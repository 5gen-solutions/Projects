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tim_sleight_riotinto_com/Documents/Desktop/New folder/"/>
    </mc:Choice>
  </mc:AlternateContent>
  <xr:revisionPtr revIDLastSave="4" documentId="11_F25DC773A252ABDACC1048E3099D58485ADE5906" xr6:coauthVersionLast="47" xr6:coauthVersionMax="47" xr10:uidLastSave="{8DE096EA-DD50-48D3-9D55-59F4DBD61C6B}"/>
  <bookViews>
    <workbookView xWindow="28680" yWindow="-120" windowWidth="29040" windowHeight="15720" activeTab="1" xr2:uid="{00000000-000D-0000-FFFF-FFFF00000000}"/>
  </bookViews>
  <sheets>
    <sheet name="Sub IO Assignment" sheetId="2" r:id="rId1"/>
    <sheet name="Field IO Assignment" sheetId="3" r:id="rId2"/>
  </sheets>
  <externalReferences>
    <externalReference r:id="rId3"/>
  </externalReferences>
  <definedNames>
    <definedName name="_xlnm._FilterDatabase" localSheetId="1" hidden="1">'Field IO Assignment'!$A$1:$AO$1331</definedName>
    <definedName name="_xlnm._FilterDatabase" localSheetId="0" hidden="1">'Sub IO Assignment'!$A$1:$AH$1832</definedName>
    <definedName name="Devices">[1]dropdowns!$C$10:$J$10</definedName>
    <definedName name="Drives_Starter">#REF!</definedName>
    <definedName name="Drives_Starters">[1]dropdowns!$C$28:$M$28</definedName>
    <definedName name="_xlnm.Print_Area" localSheetId="1">'Field IO Assignment'!$A$1:$W$1</definedName>
    <definedName name="_xlnm.Print_Titles" localSheetId="0">'Sub IO Assignment'!$1:$1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F6" i="3"/>
  <c r="F7" i="3" s="1"/>
  <c r="F8" i="3" s="1"/>
  <c r="C7" i="3"/>
  <c r="C8" i="3" s="1"/>
  <c r="M8" i="3"/>
  <c r="O8" i="3"/>
  <c r="Q8" i="3" s="1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F9" i="3"/>
  <c r="H9" i="3"/>
  <c r="A10" i="3"/>
  <c r="I10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I11" i="3"/>
  <c r="I12" i="3" s="1"/>
  <c r="I13" i="3"/>
  <c r="I14" i="3" s="1"/>
  <c r="I15" i="3"/>
  <c r="I16" i="3" s="1"/>
  <c r="I17" i="3"/>
  <c r="I18" i="3" s="1"/>
  <c r="I19" i="3" s="1"/>
  <c r="I20" i="3" s="1"/>
  <c r="I21" i="3" s="1"/>
  <c r="I22" i="3" s="1"/>
  <c r="I23" i="3" s="1"/>
  <c r="I24" i="3" s="1"/>
  <c r="I25" i="3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C38" i="3"/>
  <c r="C39" i="3" s="1"/>
  <c r="C40" i="3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A42" i="3"/>
  <c r="A43" i="3" s="1"/>
  <c r="A44" i="3" s="1"/>
  <c r="H42" i="3"/>
  <c r="H43" i="3"/>
  <c r="H44" i="3"/>
  <c r="A46" i="3"/>
  <c r="H46" i="3"/>
  <c r="H47" i="3" s="1"/>
  <c r="H48" i="3" s="1"/>
  <c r="H49" i="3" s="1"/>
  <c r="I46" i="3"/>
  <c r="A47" i="3"/>
  <c r="A48" i="3" s="1"/>
  <c r="I47" i="3"/>
  <c r="I48" i="3" s="1"/>
  <c r="A49" i="3"/>
  <c r="A50" i="3" s="1"/>
  <c r="A51" i="3" s="1"/>
  <c r="A52" i="3" s="1"/>
  <c r="I49" i="3"/>
  <c r="I50" i="3" s="1"/>
  <c r="I51" i="3" s="1"/>
  <c r="I52" i="3" s="1"/>
  <c r="H50" i="3"/>
  <c r="H51" i="3" s="1"/>
  <c r="H52" i="3" s="1"/>
  <c r="A54" i="3"/>
  <c r="H54" i="3"/>
  <c r="A55" i="3"/>
  <c r="H55" i="3"/>
  <c r="A56" i="3"/>
  <c r="H56" i="3"/>
  <c r="A58" i="3"/>
  <c r="A59" i="3" s="1"/>
  <c r="A60" i="3" s="1"/>
  <c r="H58" i="3"/>
  <c r="H59" i="3" s="1"/>
  <c r="H60" i="3" s="1"/>
  <c r="A62" i="3"/>
  <c r="H62" i="3"/>
  <c r="A63" i="3"/>
  <c r="H63" i="3"/>
  <c r="A64" i="3"/>
  <c r="H64" i="3"/>
  <c r="A66" i="3"/>
  <c r="A67" i="3" s="1"/>
  <c r="A68" i="3" s="1"/>
  <c r="H66" i="3"/>
  <c r="H67" i="3" s="1"/>
  <c r="H68" i="3" s="1"/>
  <c r="H69" i="3"/>
  <c r="A70" i="3"/>
  <c r="H70" i="3"/>
  <c r="A71" i="3"/>
  <c r="A72" i="3" s="1"/>
  <c r="H71" i="3"/>
  <c r="H72" i="3" s="1"/>
  <c r="H73" i="3"/>
  <c r="H74" i="3" s="1"/>
  <c r="H75" i="3" s="1"/>
  <c r="A74" i="3"/>
  <c r="A75" i="3"/>
  <c r="A76" i="3"/>
  <c r="H76" i="3"/>
  <c r="A78" i="3"/>
  <c r="A79" i="3"/>
  <c r="A80" i="3"/>
  <c r="A82" i="3"/>
  <c r="A83" i="3" s="1"/>
  <c r="A84" i="3" s="1"/>
  <c r="A97" i="3"/>
  <c r="C105" i="3"/>
  <c r="E105" i="3"/>
  <c r="F105" i="3"/>
  <c r="F106" i="3" s="1"/>
  <c r="F107" i="3" s="1"/>
  <c r="F108" i="3" s="1"/>
  <c r="F109" i="3" s="1"/>
  <c r="F110" i="3" s="1"/>
  <c r="F111" i="3" s="1"/>
  <c r="C106" i="3"/>
  <c r="E106" i="3"/>
  <c r="E107" i="3" s="1"/>
  <c r="E108" i="3" s="1"/>
  <c r="C107" i="3"/>
  <c r="C108" i="3" s="1"/>
  <c r="C109" i="3" s="1"/>
  <c r="C110" i="3" s="1"/>
  <c r="C111" i="3" s="1"/>
  <c r="C112" i="3" s="1"/>
  <c r="C113" i="3" s="1"/>
  <c r="C114" i="3" s="1"/>
  <c r="C115" i="3" s="1"/>
  <c r="M107" i="3"/>
  <c r="O107" i="3"/>
  <c r="Q107" i="3"/>
  <c r="H108" i="3"/>
  <c r="H109" i="3"/>
  <c r="H112" i="3" s="1"/>
  <c r="H115" i="3" s="1"/>
  <c r="H118" i="3" s="1"/>
  <c r="I109" i="3"/>
  <c r="A110" i="3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H110" i="3"/>
  <c r="H113" i="3" s="1"/>
  <c r="H116" i="3" s="1"/>
  <c r="I110" i="3"/>
  <c r="H111" i="3"/>
  <c r="I111" i="3"/>
  <c r="F112" i="3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I112" i="3"/>
  <c r="I113" i="3" s="1"/>
  <c r="H114" i="3"/>
  <c r="H117" i="3" s="1"/>
  <c r="H120" i="3" s="1"/>
  <c r="H124" i="3" s="1"/>
  <c r="I114" i="3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C116" i="3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H119" i="3"/>
  <c r="H121" i="3"/>
  <c r="H125" i="3" s="1"/>
  <c r="H129" i="3"/>
  <c r="H133" i="3" s="1"/>
  <c r="H137" i="3" s="1"/>
  <c r="I136" i="3"/>
  <c r="I137" i="3" s="1"/>
  <c r="I138" i="3" s="1"/>
  <c r="I139" i="3" s="1"/>
  <c r="A141" i="3"/>
  <c r="A142" i="3" s="1"/>
  <c r="A143" i="3" s="1"/>
  <c r="A144" i="3" s="1"/>
  <c r="A145" i="3" s="1"/>
  <c r="A146" i="3" s="1"/>
  <c r="A147" i="3" s="1"/>
  <c r="A148" i="3" s="1"/>
  <c r="I141" i="3"/>
  <c r="I142" i="3"/>
  <c r="I143" i="3" s="1"/>
  <c r="I144" i="3" s="1"/>
  <c r="I145" i="3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A149" i="3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I157" i="3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P165" i="3"/>
  <c r="P167" i="3"/>
  <c r="A173" i="3"/>
  <c r="A174" i="3" s="1"/>
  <c r="H173" i="3"/>
  <c r="I173" i="3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F174" i="3"/>
  <c r="H174" i="3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A175" i="3"/>
  <c r="A176" i="3" s="1"/>
  <c r="F175" i="3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A177" i="3"/>
  <c r="A178" i="3"/>
  <c r="A179" i="3" s="1"/>
  <c r="A180" i="3" s="1"/>
  <c r="A181" i="3" s="1"/>
  <c r="C178" i="3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A182" i="3"/>
  <c r="A183" i="3"/>
  <c r="A184" i="3" s="1"/>
  <c r="A185" i="3"/>
  <c r="I185" i="3"/>
  <c r="I186" i="3" s="1"/>
  <c r="I187" i="3" s="1"/>
  <c r="A186" i="3"/>
  <c r="A187" i="3" s="1"/>
  <c r="A189" i="3"/>
  <c r="A190" i="3" s="1"/>
  <c r="A191" i="3" s="1"/>
  <c r="A192" i="3" s="1"/>
  <c r="A193" i="3" s="1"/>
  <c r="A194" i="3" s="1"/>
  <c r="A195" i="3" s="1"/>
  <c r="H189" i="3"/>
  <c r="I189" i="3"/>
  <c r="H190" i="3"/>
  <c r="H191" i="3" s="1"/>
  <c r="H192" i="3" s="1"/>
  <c r="H193" i="3" s="1"/>
  <c r="H194" i="3" s="1"/>
  <c r="H195" i="3" s="1"/>
  <c r="I190" i="3"/>
  <c r="I191" i="3"/>
  <c r="I192" i="3"/>
  <c r="I193" i="3" s="1"/>
  <c r="I194" i="3" s="1"/>
  <c r="I195" i="3" s="1"/>
  <c r="A197" i="3"/>
  <c r="A198" i="3" s="1"/>
  <c r="A199" i="3" s="1"/>
  <c r="A200" i="3" s="1"/>
  <c r="A201" i="3" s="1"/>
  <c r="A202" i="3" s="1"/>
  <c r="A203" i="3" s="1"/>
  <c r="H197" i="3"/>
  <c r="I197" i="3"/>
  <c r="H198" i="3"/>
  <c r="H199" i="3" s="1"/>
  <c r="H200" i="3" s="1"/>
  <c r="H201" i="3" s="1"/>
  <c r="H202" i="3" s="1"/>
  <c r="I198" i="3"/>
  <c r="I199" i="3"/>
  <c r="I200" i="3" s="1"/>
  <c r="I201" i="3" s="1"/>
  <c r="I202" i="3" s="1"/>
  <c r="I203" i="3" s="1"/>
  <c r="H203" i="3"/>
  <c r="A205" i="3"/>
  <c r="H205" i="3"/>
  <c r="H206" i="3" s="1"/>
  <c r="H207" i="3" s="1"/>
  <c r="H208" i="3" s="1"/>
  <c r="I205" i="3"/>
  <c r="I206" i="3" s="1"/>
  <c r="I207" i="3" s="1"/>
  <c r="I208" i="3" s="1"/>
  <c r="I209" i="3" s="1"/>
  <c r="I210" i="3" s="1"/>
  <c r="I211" i="3" s="1"/>
  <c r="A206" i="3"/>
  <c r="A207" i="3"/>
  <c r="A208" i="3"/>
  <c r="A209" i="3" s="1"/>
  <c r="A210" i="3" s="1"/>
  <c r="A211" i="3" s="1"/>
  <c r="H209" i="3"/>
  <c r="H210" i="3" s="1"/>
  <c r="H211" i="3" s="1"/>
  <c r="A213" i="3"/>
  <c r="A214" i="3" s="1"/>
  <c r="H213" i="3"/>
  <c r="H214" i="3" s="1"/>
  <c r="A215" i="3"/>
  <c r="H215" i="3"/>
  <c r="A217" i="3"/>
  <c r="H217" i="3"/>
  <c r="H218" i="3" s="1"/>
  <c r="H219" i="3" s="1"/>
  <c r="A218" i="3"/>
  <c r="A219" i="3" s="1"/>
  <c r="A221" i="3"/>
  <c r="H221" i="3"/>
  <c r="H222" i="3" s="1"/>
  <c r="H223" i="3" s="1"/>
  <c r="A222" i="3"/>
  <c r="A223" i="3" s="1"/>
  <c r="A225" i="3"/>
  <c r="H225" i="3"/>
  <c r="A226" i="3"/>
  <c r="A227" i="3" s="1"/>
  <c r="H226" i="3"/>
  <c r="H227" i="3" s="1"/>
  <c r="A229" i="3"/>
  <c r="A230" i="3" s="1"/>
  <c r="A231" i="3" s="1"/>
  <c r="H229" i="3"/>
  <c r="H230" i="3"/>
  <c r="H231" i="3" s="1"/>
  <c r="A241" i="3"/>
  <c r="A242" i="3"/>
  <c r="A243" i="3" s="1"/>
  <c r="E254" i="3"/>
  <c r="E255" i="3" s="1"/>
  <c r="F254" i="3"/>
  <c r="F255" i="3" s="1"/>
  <c r="F256" i="3" s="1"/>
  <c r="F257" i="3" s="1"/>
  <c r="F258" i="3" s="1"/>
  <c r="F259" i="3" s="1"/>
  <c r="F260" i="3" s="1"/>
  <c r="F261" i="3" s="1"/>
  <c r="A255" i="3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C255" i="3"/>
  <c r="C256" i="3" s="1"/>
  <c r="E256" i="3"/>
  <c r="E257" i="3" s="1"/>
  <c r="M256" i="3"/>
  <c r="O256" i="3"/>
  <c r="C257" i="3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H257" i="3"/>
  <c r="H259" i="3" s="1"/>
  <c r="H258" i="3"/>
  <c r="H261" i="3" s="1"/>
  <c r="H264" i="3" s="1"/>
  <c r="H267" i="3" s="1"/>
  <c r="H270" i="3" s="1"/>
  <c r="H274" i="3" s="1"/>
  <c r="H278" i="3" s="1"/>
  <c r="H282" i="3" s="1"/>
  <c r="I258" i="3"/>
  <c r="I259" i="3" s="1"/>
  <c r="I260" i="3" s="1"/>
  <c r="I261" i="3" s="1"/>
  <c r="I262" i="3" s="1"/>
  <c r="I263" i="3" s="1"/>
  <c r="I264" i="3" s="1"/>
  <c r="I265" i="3" s="1"/>
  <c r="I266" i="3" s="1"/>
  <c r="H260" i="3"/>
  <c r="H263" i="3" s="1"/>
  <c r="H266" i="3" s="1"/>
  <c r="H269" i="3" s="1"/>
  <c r="H273" i="3" s="1"/>
  <c r="F262" i="3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H262" i="3"/>
  <c r="H265" i="3"/>
  <c r="H268" i="3" s="1"/>
  <c r="A267" i="3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I267" i="3"/>
  <c r="I268" i="3" s="1"/>
  <c r="I269" i="3" s="1"/>
  <c r="I270" i="3" s="1"/>
  <c r="I271" i="3" s="1"/>
  <c r="I272" i="3" s="1"/>
  <c r="I273" i="3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F281" i="3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H286" i="3"/>
  <c r="A289" i="3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I290" i="3"/>
  <c r="I291" i="3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C305" i="3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H322" i="3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I322" i="3"/>
  <c r="I323" i="3"/>
  <c r="I324" i="3" s="1"/>
  <c r="I325" i="3" s="1"/>
  <c r="I326" i="3" s="1"/>
  <c r="I327" i="3" s="1"/>
  <c r="I328" i="3" s="1"/>
  <c r="I329" i="3" s="1"/>
  <c r="I330" i="3" s="1"/>
  <c r="I331" i="3" s="1"/>
  <c r="I332" i="3" s="1"/>
  <c r="I333" i="3"/>
  <c r="I334" i="3" s="1"/>
  <c r="I335" i="3" s="1"/>
  <c r="I336" i="3" s="1"/>
  <c r="H338" i="3"/>
  <c r="I338" i="3"/>
  <c r="I339" i="3" s="1"/>
  <c r="I340" i="3" s="1"/>
  <c r="I341" i="3" s="1"/>
  <c r="I342" i="3" s="1"/>
  <c r="I343" i="3" s="1"/>
  <c r="I344" i="3" s="1"/>
  <c r="H339" i="3"/>
  <c r="H340" i="3" s="1"/>
  <c r="H341" i="3" s="1"/>
  <c r="H342" i="3"/>
  <c r="H343" i="3" s="1"/>
  <c r="H344" i="3" s="1"/>
  <c r="H346" i="3"/>
  <c r="H347" i="3" s="1"/>
  <c r="H348" i="3" s="1"/>
  <c r="I346" i="3"/>
  <c r="I347" i="3" s="1"/>
  <c r="I348" i="3" s="1"/>
  <c r="H349" i="3"/>
  <c r="H350" i="3" s="1"/>
  <c r="H351" i="3" s="1"/>
  <c r="H352" i="3" s="1"/>
  <c r="I349" i="3"/>
  <c r="I350" i="3" s="1"/>
  <c r="I351" i="3" s="1"/>
  <c r="I352" i="3" s="1"/>
  <c r="H354" i="3"/>
  <c r="I354" i="3"/>
  <c r="I355" i="3" s="1"/>
  <c r="H355" i="3"/>
  <c r="H356" i="3" s="1"/>
  <c r="H357" i="3" s="1"/>
  <c r="H358" i="3" s="1"/>
  <c r="H359" i="3" s="1"/>
  <c r="H360" i="3" s="1"/>
  <c r="A356" i="3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I356" i="3"/>
  <c r="I357" i="3" s="1"/>
  <c r="I358" i="3"/>
  <c r="I359" i="3" s="1"/>
  <c r="I360" i="3" s="1"/>
  <c r="H362" i="3"/>
  <c r="H363" i="3" s="1"/>
  <c r="H364" i="3" s="1"/>
  <c r="I362" i="3"/>
  <c r="I363" i="3" s="1"/>
  <c r="I364" i="3" s="1"/>
  <c r="H366" i="3"/>
  <c r="H367" i="3"/>
  <c r="H368" i="3" s="1"/>
  <c r="A368" i="3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2" i="3" s="1"/>
  <c r="A383" i="3" s="1"/>
  <c r="H370" i="3"/>
  <c r="H371" i="3" s="1"/>
  <c r="H372" i="3" s="1"/>
  <c r="I370" i="3"/>
  <c r="I371" i="3"/>
  <c r="I372" i="3"/>
  <c r="H374" i="3"/>
  <c r="H375" i="3"/>
  <c r="H376" i="3" s="1"/>
  <c r="H378" i="3"/>
  <c r="H379" i="3"/>
  <c r="H380" i="3" s="1"/>
  <c r="C400" i="3"/>
  <c r="E400" i="3"/>
  <c r="E401" i="3" s="1"/>
  <c r="E402" i="3" s="1"/>
  <c r="E403" i="3" s="1"/>
  <c r="F400" i="3"/>
  <c r="C401" i="3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F401" i="3"/>
  <c r="F402" i="3" s="1"/>
  <c r="F403" i="3" s="1"/>
  <c r="M402" i="3"/>
  <c r="O402" i="3"/>
  <c r="Q402" i="3" s="1"/>
  <c r="F404" i="3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H404" i="3"/>
  <c r="I404" i="3"/>
  <c r="A405" i="3"/>
  <c r="H405" i="3"/>
  <c r="I405" i="3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A406" i="3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H406" i="3"/>
  <c r="H407" i="3"/>
  <c r="H408" i="3"/>
  <c r="H411" i="3" s="1"/>
  <c r="H414" i="3" s="1"/>
  <c r="H409" i="3"/>
  <c r="H412" i="3" s="1"/>
  <c r="H410" i="3"/>
  <c r="H413" i="3" s="1"/>
  <c r="C414" i="3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H415" i="3"/>
  <c r="H419" i="3" s="1"/>
  <c r="H416" i="3"/>
  <c r="H420" i="3" s="1"/>
  <c r="H424" i="3" s="1"/>
  <c r="H428" i="3" s="1"/>
  <c r="H432" i="3" s="1"/>
  <c r="H417" i="3"/>
  <c r="H421" i="3" s="1"/>
  <c r="H425" i="3" s="1"/>
  <c r="H429" i="3" s="1"/>
  <c r="H433" i="3" s="1"/>
  <c r="H418" i="3"/>
  <c r="H422" i="3" s="1"/>
  <c r="H426" i="3" s="1"/>
  <c r="H430" i="3" s="1"/>
  <c r="H434" i="3" s="1"/>
  <c r="A436" i="3"/>
  <c r="C436" i="3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I436" i="3"/>
  <c r="I437" i="3" s="1"/>
  <c r="I438" i="3" s="1"/>
  <c r="A437" i="3"/>
  <c r="A438" i="3" s="1"/>
  <c r="A439" i="3" s="1"/>
  <c r="A440" i="3" s="1"/>
  <c r="A441" i="3" s="1"/>
  <c r="I439" i="3"/>
  <c r="I440" i="3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A442" i="3"/>
  <c r="A443" i="3" s="1"/>
  <c r="A444" i="3" s="1"/>
  <c r="A445" i="3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C448" i="3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A458" i="3"/>
  <c r="A459" i="3" s="1"/>
  <c r="A460" i="3" s="1"/>
  <c r="A461" i="3" s="1"/>
  <c r="A462" i="3" s="1"/>
  <c r="A463" i="3" s="1"/>
  <c r="A464" i="3" s="1"/>
  <c r="A465" i="3" s="1"/>
  <c r="A466" i="3" s="1"/>
  <c r="A468" i="3"/>
  <c r="A469" i="3" s="1"/>
  <c r="H468" i="3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I468" i="3"/>
  <c r="I469" i="3" s="1"/>
  <c r="I470" i="3" s="1"/>
  <c r="I471" i="3" s="1"/>
  <c r="I472" i="3" s="1"/>
  <c r="I473" i="3" s="1"/>
  <c r="A470" i="3"/>
  <c r="A471" i="3"/>
  <c r="A472" i="3"/>
  <c r="A473" i="3"/>
  <c r="A474" i="3"/>
  <c r="A475" i="3" s="1"/>
  <c r="A476" i="3" s="1"/>
  <c r="A477" i="3" s="1"/>
  <c r="A478" i="3" s="1"/>
  <c r="A479" i="3" s="1"/>
  <c r="A480" i="3" s="1"/>
  <c r="A481" i="3" s="1"/>
  <c r="A482" i="3" s="1"/>
  <c r="I474" i="3"/>
  <c r="I475" i="3" s="1"/>
  <c r="I476" i="3" s="1"/>
  <c r="I477" i="3"/>
  <c r="I478" i="3" s="1"/>
  <c r="I479" i="3" s="1"/>
  <c r="I480" i="3" s="1"/>
  <c r="I481" i="3" s="1"/>
  <c r="I482" i="3" s="1"/>
  <c r="A484" i="3"/>
  <c r="H484" i="3"/>
  <c r="H485" i="3" s="1"/>
  <c r="I484" i="3"/>
  <c r="I485" i="3" s="1"/>
  <c r="I486" i="3" s="1"/>
  <c r="A485" i="3"/>
  <c r="A486" i="3" s="1"/>
  <c r="H486" i="3"/>
  <c r="H487" i="3" s="1"/>
  <c r="A487" i="3"/>
  <c r="I487" i="3"/>
  <c r="A488" i="3"/>
  <c r="H488" i="3"/>
  <c r="H489" i="3" s="1"/>
  <c r="H490" i="3" s="1"/>
  <c r="I488" i="3"/>
  <c r="I489" i="3" s="1"/>
  <c r="A489" i="3"/>
  <c r="A490" i="3" s="1"/>
  <c r="I490" i="3"/>
  <c r="A492" i="3"/>
  <c r="A493" i="3" s="1"/>
  <c r="H492" i="3"/>
  <c r="H493" i="3" s="1"/>
  <c r="I492" i="3"/>
  <c r="I493" i="3" s="1"/>
  <c r="I494" i="3" s="1"/>
  <c r="I495" i="3" s="1"/>
  <c r="I496" i="3" s="1"/>
  <c r="I497" i="3" s="1"/>
  <c r="I498" i="3" s="1"/>
  <c r="A494" i="3"/>
  <c r="H494" i="3"/>
  <c r="H495" i="3" s="1"/>
  <c r="H496" i="3" s="1"/>
  <c r="H497" i="3" s="1"/>
  <c r="H498" i="3" s="1"/>
  <c r="A495" i="3"/>
  <c r="A496" i="3" s="1"/>
  <c r="A497" i="3" s="1"/>
  <c r="A498" i="3" s="1"/>
  <c r="A500" i="3"/>
  <c r="A501" i="3" s="1"/>
  <c r="A502" i="3" s="1"/>
  <c r="A503" i="3" s="1"/>
  <c r="A504" i="3" s="1"/>
  <c r="A505" i="3" s="1"/>
  <c r="A506" i="3" s="1"/>
  <c r="H500" i="3"/>
  <c r="H501" i="3" s="1"/>
  <c r="H502" i="3" s="1"/>
  <c r="H503" i="3" s="1"/>
  <c r="I500" i="3"/>
  <c r="I501" i="3" s="1"/>
  <c r="I502" i="3"/>
  <c r="I503" i="3" s="1"/>
  <c r="I504" i="3" s="1"/>
  <c r="H504" i="3"/>
  <c r="H505" i="3" s="1"/>
  <c r="I505" i="3"/>
  <c r="H506" i="3"/>
  <c r="I506" i="3"/>
  <c r="A508" i="3"/>
  <c r="H508" i="3"/>
  <c r="I508" i="3"/>
  <c r="I509" i="3" s="1"/>
  <c r="I510" i="3" s="1"/>
  <c r="I511" i="3" s="1"/>
  <c r="I512" i="3" s="1"/>
  <c r="I513" i="3" s="1"/>
  <c r="I514" i="3" s="1"/>
  <c r="A509" i="3"/>
  <c r="A510" i="3" s="1"/>
  <c r="A511" i="3" s="1"/>
  <c r="A512" i="3" s="1"/>
  <c r="A513" i="3" s="1"/>
  <c r="A514" i="3" s="1"/>
  <c r="H509" i="3"/>
  <c r="H510" i="3" s="1"/>
  <c r="H511" i="3" s="1"/>
  <c r="H512" i="3" s="1"/>
  <c r="H513" i="3" s="1"/>
  <c r="H514" i="3" s="1"/>
  <c r="A516" i="3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H516" i="3"/>
  <c r="I516" i="3"/>
  <c r="H517" i="3"/>
  <c r="I517" i="3"/>
  <c r="H518" i="3"/>
  <c r="H519" i="3" s="1"/>
  <c r="H520" i="3" s="1"/>
  <c r="H521" i="3" s="1"/>
  <c r="H522" i="3" s="1"/>
  <c r="I518" i="3"/>
  <c r="I519" i="3" s="1"/>
  <c r="I520" i="3" s="1"/>
  <c r="I521" i="3" s="1"/>
  <c r="I522" i="3" s="1"/>
  <c r="H524" i="3"/>
  <c r="H525" i="3" s="1"/>
  <c r="H526" i="3" s="1"/>
  <c r="H527" i="3" s="1"/>
  <c r="H528" i="3" s="1"/>
  <c r="H529" i="3" s="1"/>
  <c r="H530" i="3" s="1"/>
  <c r="I524" i="3"/>
  <c r="I525" i="3"/>
  <c r="I526" i="3" s="1"/>
  <c r="I527" i="3"/>
  <c r="I528" i="3" s="1"/>
  <c r="I529" i="3" s="1"/>
  <c r="I530" i="3" s="1"/>
  <c r="H532" i="3"/>
  <c r="H533" i="3"/>
  <c r="H534" i="3" s="1"/>
  <c r="H536" i="3"/>
  <c r="H537" i="3"/>
  <c r="H538" i="3" s="1"/>
  <c r="A558" i="3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B558" i="3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C558" i="3"/>
  <c r="D558" i="3"/>
  <c r="D559" i="3" s="1"/>
  <c r="E558" i="3"/>
  <c r="F558" i="3"/>
  <c r="G558" i="3"/>
  <c r="C559" i="3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F559" i="3"/>
  <c r="F560" i="3" s="1"/>
  <c r="G559" i="3"/>
  <c r="G560" i="3" s="1"/>
  <c r="G561" i="3" s="1"/>
  <c r="H559" i="3"/>
  <c r="T559" i="3"/>
  <c r="T560" i="3" s="1"/>
  <c r="T561" i="3" s="1"/>
  <c r="D560" i="3"/>
  <c r="H560" i="3"/>
  <c r="H561" i="3" s="1"/>
  <c r="D561" i="3"/>
  <c r="D562" i="3" s="1"/>
  <c r="F561" i="3"/>
  <c r="F562" i="3"/>
  <c r="F563" i="3" s="1"/>
  <c r="G562" i="3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H562" i="3"/>
  <c r="H563" i="3" s="1"/>
  <c r="H564" i="3" s="1"/>
  <c r="H565" i="3" s="1"/>
  <c r="H566" i="3" s="1"/>
  <c r="H567" i="3" s="1"/>
  <c r="H568" i="3" s="1"/>
  <c r="H569" i="3" s="1"/>
  <c r="D563" i="3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F564" i="3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H571" i="3"/>
  <c r="H572" i="3" s="1"/>
  <c r="H573" i="3"/>
  <c r="H574" i="3" s="1"/>
  <c r="H575" i="3" s="1"/>
  <c r="H576" i="3" s="1"/>
  <c r="H577" i="3" s="1"/>
  <c r="H578" i="3" s="1"/>
  <c r="H579" i="3" s="1"/>
  <c r="H580" i="3" s="1"/>
  <c r="F575" i="3"/>
  <c r="F576" i="3" s="1"/>
  <c r="F577" i="3" s="1"/>
  <c r="F578" i="3" s="1"/>
  <c r="F579" i="3" s="1"/>
  <c r="F580" i="3" s="1"/>
  <c r="F581" i="3" s="1"/>
  <c r="H581" i="3"/>
  <c r="C588" i="3"/>
  <c r="E588" i="3"/>
  <c r="E589" i="3" s="1"/>
  <c r="E590" i="3" s="1"/>
  <c r="E591" i="3" s="1"/>
  <c r="F588" i="3"/>
  <c r="C589" i="3"/>
  <c r="F589" i="3"/>
  <c r="F590" i="3" s="1"/>
  <c r="C590" i="3"/>
  <c r="C591" i="3" s="1"/>
  <c r="M590" i="3"/>
  <c r="O590" i="3"/>
  <c r="Q590" i="3" s="1"/>
  <c r="F591" i="3"/>
  <c r="F592" i="3" s="1"/>
  <c r="F593" i="3" s="1"/>
  <c r="F594" i="3" s="1"/>
  <c r="F595" i="3" s="1"/>
  <c r="F596" i="3" s="1"/>
  <c r="F597" i="3" s="1"/>
  <c r="F598" i="3" s="1"/>
  <c r="C592" i="3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H592" i="3"/>
  <c r="H595" i="3" s="1"/>
  <c r="I592" i="3"/>
  <c r="A593" i="3"/>
  <c r="H593" i="3"/>
  <c r="H596" i="3" s="1"/>
  <c r="H599" i="3" s="1"/>
  <c r="I593" i="3"/>
  <c r="A594" i="3"/>
  <c r="A595" i="3" s="1"/>
  <c r="H594" i="3"/>
  <c r="H597" i="3" s="1"/>
  <c r="H600" i="3" s="1"/>
  <c r="H603" i="3" s="1"/>
  <c r="I594" i="3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A596" i="3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H598" i="3"/>
  <c r="H601" i="3" s="1"/>
  <c r="H604" i="3" s="1"/>
  <c r="H608" i="3" s="1"/>
  <c r="H612" i="3" s="1"/>
  <c r="F599" i="3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H602" i="3"/>
  <c r="H605" i="3"/>
  <c r="H609" i="3" s="1"/>
  <c r="H613" i="3" s="1"/>
  <c r="H617" i="3" s="1"/>
  <c r="H621" i="3" s="1"/>
  <c r="H606" i="3"/>
  <c r="H607" i="3"/>
  <c r="H610" i="3"/>
  <c r="I612" i="3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A613" i="3"/>
  <c r="A614" i="3" s="1"/>
  <c r="A615" i="3" s="1"/>
  <c r="A616" i="3" s="1"/>
  <c r="A617" i="3" s="1"/>
  <c r="A618" i="3" s="1"/>
  <c r="A619" i="3" s="1"/>
  <c r="A620" i="3" s="1"/>
  <c r="A621" i="3" s="1"/>
  <c r="A622" i="3" s="1"/>
  <c r="H614" i="3"/>
  <c r="H618" i="3" s="1"/>
  <c r="H616" i="3"/>
  <c r="H620" i="3" s="1"/>
  <c r="H622" i="3"/>
  <c r="A624" i="3"/>
  <c r="I624" i="3"/>
  <c r="I625" i="3" s="1"/>
  <c r="A625" i="3"/>
  <c r="A626" i="3" s="1"/>
  <c r="A627" i="3" s="1"/>
  <c r="A628" i="3" s="1"/>
  <c r="A629" i="3" s="1"/>
  <c r="I626" i="3"/>
  <c r="I627" i="3" s="1"/>
  <c r="I628" i="3"/>
  <c r="I629" i="3" s="1"/>
  <c r="I630" i="3" s="1"/>
  <c r="I631" i="3" s="1"/>
  <c r="I632" i="3" s="1"/>
  <c r="I633" i="3" s="1"/>
  <c r="I634" i="3" s="1"/>
  <c r="I635" i="3" s="1"/>
  <c r="A630" i="3"/>
  <c r="A631" i="3"/>
  <c r="A632" i="3" s="1"/>
  <c r="A633" i="3" s="1"/>
  <c r="A634" i="3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I636" i="3"/>
  <c r="I637" i="3" s="1"/>
  <c r="I638" i="3" s="1"/>
  <c r="I639" i="3" s="1"/>
  <c r="I640" i="3" s="1"/>
  <c r="I641" i="3" s="1"/>
  <c r="I642" i="3" s="1"/>
  <c r="I643" i="3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A656" i="3"/>
  <c r="H656" i="3"/>
  <c r="H657" i="3" s="1"/>
  <c r="H658" i="3" s="1"/>
  <c r="H659" i="3" s="1"/>
  <c r="H660" i="3" s="1"/>
  <c r="H661" i="3" s="1"/>
  <c r="I656" i="3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A657" i="3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F660" i="3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H662" i="3"/>
  <c r="H663" i="3" s="1"/>
  <c r="H664" i="3" s="1"/>
  <c r="H665" i="3" s="1"/>
  <c r="H666" i="3" s="1"/>
  <c r="H667" i="3" s="1"/>
  <c r="H668" i="3" s="1"/>
  <c r="H669" i="3" s="1"/>
  <c r="H670" i="3" s="1"/>
  <c r="A672" i="3"/>
  <c r="A673" i="3" s="1"/>
  <c r="A674" i="3" s="1"/>
  <c r="A675" i="3" s="1"/>
  <c r="A676" i="3" s="1"/>
  <c r="A677" i="3" s="1"/>
  <c r="A678" i="3" s="1"/>
  <c r="H672" i="3"/>
  <c r="H673" i="3" s="1"/>
  <c r="I672" i="3"/>
  <c r="I673" i="3"/>
  <c r="I674" i="3" s="1"/>
  <c r="I675" i="3" s="1"/>
  <c r="I676" i="3" s="1"/>
  <c r="I677" i="3" s="1"/>
  <c r="I678" i="3" s="1"/>
  <c r="H674" i="3"/>
  <c r="H675" i="3" s="1"/>
  <c r="H676" i="3"/>
  <c r="H677" i="3" s="1"/>
  <c r="H678" i="3" s="1"/>
  <c r="A680" i="3"/>
  <c r="H680" i="3"/>
  <c r="I680" i="3"/>
  <c r="I681" i="3" s="1"/>
  <c r="I682" i="3" s="1"/>
  <c r="I683" i="3" s="1"/>
  <c r="I684" i="3" s="1"/>
  <c r="I685" i="3" s="1"/>
  <c r="I686" i="3" s="1"/>
  <c r="A681" i="3"/>
  <c r="H681" i="3"/>
  <c r="A682" i="3"/>
  <c r="A683" i="3" s="1"/>
  <c r="A684" i="3" s="1"/>
  <c r="A685" i="3" s="1"/>
  <c r="H682" i="3"/>
  <c r="H683" i="3" s="1"/>
  <c r="H684" i="3" s="1"/>
  <c r="H685" i="3"/>
  <c r="H686" i="3" s="1"/>
  <c r="A686" i="3"/>
  <c r="A688" i="3"/>
  <c r="A689" i="3" s="1"/>
  <c r="H688" i="3"/>
  <c r="I688" i="3"/>
  <c r="H689" i="3"/>
  <c r="H690" i="3" s="1"/>
  <c r="H691" i="3" s="1"/>
  <c r="H692" i="3" s="1"/>
  <c r="I689" i="3"/>
  <c r="I690" i="3" s="1"/>
  <c r="I691" i="3" s="1"/>
  <c r="I692" i="3" s="1"/>
  <c r="I693" i="3" s="1"/>
  <c r="I694" i="3" s="1"/>
  <c r="A690" i="3"/>
  <c r="A691" i="3" s="1"/>
  <c r="A692" i="3" s="1"/>
  <c r="A693" i="3" s="1"/>
  <c r="A694" i="3" s="1"/>
  <c r="H693" i="3"/>
  <c r="H694" i="3" s="1"/>
  <c r="A696" i="3"/>
  <c r="A697" i="3" s="1"/>
  <c r="A698" i="3" s="1"/>
  <c r="H696" i="3"/>
  <c r="H697" i="3"/>
  <c r="H698" i="3" s="1"/>
  <c r="A700" i="3"/>
  <c r="A701" i="3" s="1"/>
  <c r="A702" i="3" s="1"/>
  <c r="H700" i="3"/>
  <c r="H701" i="3"/>
  <c r="H702" i="3" s="1"/>
  <c r="A704" i="3"/>
  <c r="A705" i="3" s="1"/>
  <c r="A706" i="3" s="1"/>
  <c r="H704" i="3"/>
  <c r="H705" i="3"/>
  <c r="H706" i="3" s="1"/>
  <c r="A708" i="3"/>
  <c r="H708" i="3"/>
  <c r="H709" i="3" s="1"/>
  <c r="H710" i="3" s="1"/>
  <c r="A709" i="3"/>
  <c r="A710" i="3" s="1"/>
  <c r="A712" i="3"/>
  <c r="A713" i="3" s="1"/>
  <c r="A714" i="3" s="1"/>
  <c r="H712" i="3"/>
  <c r="H713" i="3"/>
  <c r="H714" i="3" s="1"/>
  <c r="A734" i="3"/>
  <c r="B734" i="3"/>
  <c r="B735" i="3" s="1"/>
  <c r="B736" i="3" s="1"/>
  <c r="C734" i="3"/>
  <c r="C735" i="3" s="1"/>
  <c r="D734" i="3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E734" i="3"/>
  <c r="E735" i="3" s="1"/>
  <c r="E736" i="3" s="1"/>
  <c r="F734" i="3"/>
  <c r="F735" i="3" s="1"/>
  <c r="F736" i="3" s="1"/>
  <c r="G734" i="3"/>
  <c r="A735" i="3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G735" i="3"/>
  <c r="G736" i="3" s="1"/>
  <c r="G737" i="3" s="1"/>
  <c r="H735" i="3"/>
  <c r="H736" i="3" s="1"/>
  <c r="H737" i="3" s="1"/>
  <c r="H738" i="3" s="1"/>
  <c r="H739" i="3" s="1"/>
  <c r="H740" i="3" s="1"/>
  <c r="H741" i="3" s="1"/>
  <c r="H742" i="3" s="1"/>
  <c r="H743" i="3" s="1"/>
  <c r="H744" i="3" s="1"/>
  <c r="H745" i="3" s="1"/>
  <c r="T735" i="3"/>
  <c r="C736" i="3"/>
  <c r="C737" i="3" s="1"/>
  <c r="C738" i="3" s="1"/>
  <c r="T736" i="3"/>
  <c r="T737" i="3" s="1"/>
  <c r="B737" i="3"/>
  <c r="E737" i="3"/>
  <c r="E738" i="3" s="1"/>
  <c r="E739" i="3" s="1"/>
  <c r="B738" i="3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G738" i="3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C739" i="3"/>
  <c r="C740" i="3" s="1"/>
  <c r="C741" i="3" s="1"/>
  <c r="C742" i="3" s="1"/>
  <c r="C743" i="3" s="1"/>
  <c r="C744" i="3" s="1"/>
  <c r="C745" i="3" s="1"/>
  <c r="E740" i="3"/>
  <c r="C746" i="3"/>
  <c r="C747" i="3" s="1"/>
  <c r="C748" i="3" s="1"/>
  <c r="C749" i="3" s="1"/>
  <c r="C750" i="3" s="1"/>
  <c r="C751" i="3" s="1"/>
  <c r="C752" i="3" s="1"/>
  <c r="C753" i="3" s="1"/>
  <c r="C754" i="3" s="1"/>
  <c r="C755" i="3" s="1"/>
  <c r="H747" i="3"/>
  <c r="H748" i="3"/>
  <c r="H749" i="3" s="1"/>
  <c r="H750" i="3" s="1"/>
  <c r="H751" i="3" s="1"/>
  <c r="H752" i="3"/>
  <c r="H753" i="3" s="1"/>
  <c r="H754" i="3" s="1"/>
  <c r="H755" i="3" s="1"/>
  <c r="H756" i="3" s="1"/>
  <c r="H757" i="3" s="1"/>
  <c r="A756" i="3"/>
  <c r="A757" i="3" s="1"/>
  <c r="C756" i="3"/>
  <c r="C757" i="3" s="1"/>
  <c r="C764" i="3"/>
  <c r="E764" i="3"/>
  <c r="E765" i="3" s="1"/>
  <c r="E766" i="3" s="1"/>
  <c r="F764" i="3"/>
  <c r="F765" i="3" s="1"/>
  <c r="F766" i="3" s="1"/>
  <c r="C765" i="3"/>
  <c r="C766" i="3" s="1"/>
  <c r="C767" i="3" s="1"/>
  <c r="M766" i="3"/>
  <c r="O766" i="3"/>
  <c r="Q766" i="3"/>
  <c r="E767" i="3"/>
  <c r="F767" i="3"/>
  <c r="F768" i="3" s="1"/>
  <c r="F769" i="3" s="1"/>
  <c r="F770" i="3" s="1"/>
  <c r="F771" i="3" s="1"/>
  <c r="F772" i="3" s="1"/>
  <c r="F773" i="3" s="1"/>
  <c r="A768" i="3"/>
  <c r="C768" i="3"/>
  <c r="C769" i="3" s="1"/>
  <c r="H768" i="3"/>
  <c r="H771" i="3" s="1"/>
  <c r="H774" i="3" s="1"/>
  <c r="H777" i="3" s="1"/>
  <c r="H780" i="3" s="1"/>
  <c r="H784" i="3" s="1"/>
  <c r="I768" i="3"/>
  <c r="A769" i="3"/>
  <c r="H769" i="3"/>
  <c r="H772" i="3" s="1"/>
  <c r="H775" i="3" s="1"/>
  <c r="H778" i="3" s="1"/>
  <c r="I769" i="3"/>
  <c r="A770" i="3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C770" i="3"/>
  <c r="C771" i="3" s="1"/>
  <c r="C772" i="3" s="1"/>
  <c r="C773" i="3" s="1"/>
  <c r="H770" i="3"/>
  <c r="I770" i="3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I793" i="3" s="1"/>
  <c r="I794" i="3" s="1"/>
  <c r="I795" i="3" s="1"/>
  <c r="I796" i="3" s="1"/>
  <c r="I797" i="3" s="1"/>
  <c r="I798" i="3" s="1"/>
  <c r="H773" i="3"/>
  <c r="H776" i="3" s="1"/>
  <c r="H779" i="3" s="1"/>
  <c r="H783" i="3" s="1"/>
  <c r="H787" i="3" s="1"/>
  <c r="H791" i="3" s="1"/>
  <c r="H795" i="3" s="1"/>
  <c r="C774" i="3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F774" i="3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H788" i="3"/>
  <c r="H792" i="3" s="1"/>
  <c r="H796" i="3" s="1"/>
  <c r="A792" i="3"/>
  <c r="A793" i="3" s="1"/>
  <c r="A794" i="3" s="1"/>
  <c r="A795" i="3" s="1"/>
  <c r="A796" i="3" s="1"/>
  <c r="A797" i="3" s="1"/>
  <c r="A798" i="3" s="1"/>
  <c r="A800" i="3"/>
  <c r="H800" i="3"/>
  <c r="I800" i="3"/>
  <c r="I801" i="3" s="1"/>
  <c r="A801" i="3"/>
  <c r="H801" i="3"/>
  <c r="A802" i="3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H802" i="3"/>
  <c r="H803" i="3" s="1"/>
  <c r="H804" i="3" s="1"/>
  <c r="H805" i="3" s="1"/>
  <c r="H806" i="3" s="1"/>
  <c r="H807" i="3" s="1"/>
  <c r="H808" i="3" s="1"/>
  <c r="H809" i="3" s="1"/>
  <c r="H810" i="3" s="1"/>
  <c r="H811" i="3" s="1"/>
  <c r="H812" i="3" s="1"/>
  <c r="H813" i="3" s="1"/>
  <c r="H814" i="3" s="1"/>
  <c r="I802" i="3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A816" i="3"/>
  <c r="H816" i="3"/>
  <c r="H817" i="3" s="1"/>
  <c r="H818" i="3" s="1"/>
  <c r="H819" i="3" s="1"/>
  <c r="H820" i="3" s="1"/>
  <c r="H821" i="3" s="1"/>
  <c r="H822" i="3" s="1"/>
  <c r="I816" i="3"/>
  <c r="I817" i="3" s="1"/>
  <c r="A817" i="3"/>
  <c r="A818" i="3" s="1"/>
  <c r="A819" i="3" s="1"/>
  <c r="I818" i="3"/>
  <c r="I819" i="3" s="1"/>
  <c r="I820" i="3" s="1"/>
  <c r="I821" i="3" s="1"/>
  <c r="I822" i="3" s="1"/>
  <c r="A820" i="3"/>
  <c r="A821" i="3" s="1"/>
  <c r="A822" i="3" s="1"/>
  <c r="A824" i="3"/>
  <c r="A825" i="3" s="1"/>
  <c r="A826" i="3" s="1"/>
  <c r="H824" i="3"/>
  <c r="H825" i="3"/>
  <c r="H826" i="3" s="1"/>
  <c r="A828" i="3"/>
  <c r="A829" i="3" s="1"/>
  <c r="A830" i="3" s="1"/>
  <c r="H828" i="3"/>
  <c r="H829" i="3"/>
  <c r="H830" i="3"/>
  <c r="A832" i="3"/>
  <c r="H832" i="3"/>
  <c r="H833" i="3" s="1"/>
  <c r="H834" i="3" s="1"/>
  <c r="A833" i="3"/>
  <c r="A834" i="3" s="1"/>
  <c r="A836" i="3"/>
  <c r="H836" i="3"/>
  <c r="H837" i="3" s="1"/>
  <c r="H838" i="3" s="1"/>
  <c r="A837" i="3"/>
  <c r="A838" i="3" s="1"/>
  <c r="A840" i="3"/>
  <c r="A841" i="3" s="1"/>
  <c r="A842" i="3" s="1"/>
  <c r="H840" i="3"/>
  <c r="H841" i="3"/>
  <c r="H842" i="3" s="1"/>
  <c r="A844" i="3"/>
  <c r="A845" i="3" s="1"/>
  <c r="A846" i="3" s="1"/>
  <c r="H844" i="3"/>
  <c r="H845" i="3"/>
  <c r="H846" i="3" s="1"/>
  <c r="A848" i="3"/>
  <c r="A849" i="3" s="1"/>
  <c r="H848" i="3"/>
  <c r="H849" i="3"/>
  <c r="A850" i="3"/>
  <c r="H850" i="3"/>
  <c r="A852" i="3"/>
  <c r="A853" i="3" s="1"/>
  <c r="A854" i="3" s="1"/>
  <c r="H852" i="3"/>
  <c r="H853" i="3"/>
  <c r="H854" i="3" s="1"/>
  <c r="A875" i="3"/>
  <c r="A876" i="3" s="1"/>
  <c r="B875" i="3"/>
  <c r="C875" i="3"/>
  <c r="D875" i="3"/>
  <c r="D876" i="3" s="1"/>
  <c r="E875" i="3"/>
  <c r="F875" i="3"/>
  <c r="G875" i="3"/>
  <c r="G876" i="3" s="1"/>
  <c r="V875" i="3"/>
  <c r="B876" i="3"/>
  <c r="B877" i="3" s="1"/>
  <c r="B878" i="3" s="1"/>
  <c r="B879" i="3" s="1"/>
  <c r="B880" i="3" s="1"/>
  <c r="B881" i="3" s="1"/>
  <c r="B882" i="3" s="1"/>
  <c r="B883" i="3" s="1"/>
  <c r="B884" i="3" s="1"/>
  <c r="C876" i="3"/>
  <c r="C877" i="3" s="1"/>
  <c r="C878" i="3" s="1"/>
  <c r="C879" i="3" s="1"/>
  <c r="E876" i="3"/>
  <c r="F876" i="3"/>
  <c r="H876" i="3"/>
  <c r="H877" i="3" s="1"/>
  <c r="T876" i="3"/>
  <c r="T877" i="3" s="1"/>
  <c r="T878" i="3" s="1"/>
  <c r="A877" i="3"/>
  <c r="D877" i="3"/>
  <c r="F877" i="3"/>
  <c r="F878" i="3" s="1"/>
  <c r="F879" i="3" s="1"/>
  <c r="F880" i="3" s="1"/>
  <c r="F881" i="3" s="1"/>
  <c r="F882" i="3" s="1"/>
  <c r="F883" i="3" s="1"/>
  <c r="F884" i="3" s="1"/>
  <c r="F885" i="3" s="1"/>
  <c r="F886" i="3" s="1"/>
  <c r="G877" i="3"/>
  <c r="G878" i="3" s="1"/>
  <c r="G879" i="3" s="1"/>
  <c r="G880" i="3" s="1"/>
  <c r="G881" i="3" s="1"/>
  <c r="A878" i="3"/>
  <c r="A879" i="3" s="1"/>
  <c r="D878" i="3"/>
  <c r="D879" i="3" s="1"/>
  <c r="D880" i="3" s="1"/>
  <c r="D881" i="3" s="1"/>
  <c r="D882" i="3" s="1"/>
  <c r="D883" i="3" s="1"/>
  <c r="D884" i="3" s="1"/>
  <c r="D885" i="3" s="1"/>
  <c r="D886" i="3" s="1"/>
  <c r="H878" i="3"/>
  <c r="H879" i="3"/>
  <c r="A880" i="3"/>
  <c r="A881" i="3" s="1"/>
  <c r="A882" i="3" s="1"/>
  <c r="A883" i="3" s="1"/>
  <c r="A884" i="3" s="1"/>
  <c r="A885" i="3" s="1"/>
  <c r="A886" i="3" s="1"/>
  <c r="C880" i="3"/>
  <c r="C881" i="3" s="1"/>
  <c r="C882" i="3" s="1"/>
  <c r="C883" i="3" s="1"/>
  <c r="C884" i="3" s="1"/>
  <c r="C885" i="3" s="1"/>
  <c r="C886" i="3" s="1"/>
  <c r="H880" i="3"/>
  <c r="H881" i="3" s="1"/>
  <c r="H882" i="3" s="1"/>
  <c r="H883" i="3" s="1"/>
  <c r="H884" i="3" s="1"/>
  <c r="H885" i="3" s="1"/>
  <c r="H886" i="3" s="1"/>
  <c r="G882" i="3"/>
  <c r="G883" i="3" s="1"/>
  <c r="G884" i="3" s="1"/>
  <c r="G885" i="3" s="1"/>
  <c r="G886" i="3" s="1"/>
  <c r="T883" i="3"/>
  <c r="T884" i="3" s="1"/>
  <c r="T885" i="3" s="1"/>
  <c r="B885" i="3"/>
  <c r="B886" i="3" s="1"/>
  <c r="A893" i="3"/>
  <c r="B893" i="3"/>
  <c r="B894" i="3" s="1"/>
  <c r="B895" i="3" s="1"/>
  <c r="B896" i="3" s="1"/>
  <c r="B897" i="3" s="1"/>
  <c r="B898" i="3" s="1"/>
  <c r="B899" i="3" s="1"/>
  <c r="B900" i="3" s="1"/>
  <c r="C893" i="3"/>
  <c r="D893" i="3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E893" i="3"/>
  <c r="E894" i="3" s="1"/>
  <c r="E895" i="3" s="1"/>
  <c r="V895" i="3" s="1"/>
  <c r="F893" i="3"/>
  <c r="F894" i="3" s="1"/>
  <c r="F895" i="3" s="1"/>
  <c r="F896" i="3" s="1"/>
  <c r="G893" i="3"/>
  <c r="V893" i="3"/>
  <c r="A894" i="3"/>
  <c r="C894" i="3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G894" i="3"/>
  <c r="G895" i="3" s="1"/>
  <c r="H894" i="3"/>
  <c r="H895" i="3" s="1"/>
  <c r="T894" i="3"/>
  <c r="V894" i="3"/>
  <c r="A895" i="3"/>
  <c r="A896" i="3" s="1"/>
  <c r="A897" i="3" s="1"/>
  <c r="A898" i="3" s="1"/>
  <c r="A899" i="3" s="1"/>
  <c r="A900" i="3" s="1"/>
  <c r="A901" i="3" s="1"/>
  <c r="A902" i="3" s="1"/>
  <c r="A903" i="3" s="1"/>
  <c r="A904" i="3" s="1"/>
  <c r="T895" i="3"/>
  <c r="T896" i="3" s="1"/>
  <c r="E896" i="3"/>
  <c r="G896" i="3"/>
  <c r="G897" i="3" s="1"/>
  <c r="G898" i="3" s="1"/>
  <c r="G899" i="3" s="1"/>
  <c r="G900" i="3" s="1"/>
  <c r="G901" i="3" s="1"/>
  <c r="G902" i="3" s="1"/>
  <c r="G903" i="3" s="1"/>
  <c r="G904" i="3" s="1"/>
  <c r="H896" i="3"/>
  <c r="H897" i="3" s="1"/>
  <c r="H898" i="3" s="1"/>
  <c r="H899" i="3" s="1"/>
  <c r="H900" i="3" s="1"/>
  <c r="H901" i="3" s="1"/>
  <c r="H902" i="3" s="1"/>
  <c r="H903" i="3" s="1"/>
  <c r="H904" i="3" s="1"/>
  <c r="F897" i="3"/>
  <c r="F898" i="3" s="1"/>
  <c r="F899" i="3" s="1"/>
  <c r="F900" i="3" s="1"/>
  <c r="F901" i="3" s="1"/>
  <c r="F902" i="3" s="1"/>
  <c r="F903" i="3" s="1"/>
  <c r="B901" i="3"/>
  <c r="B902" i="3" s="1"/>
  <c r="B903" i="3" s="1"/>
  <c r="B904" i="3" s="1"/>
  <c r="T901" i="3"/>
  <c r="T902" i="3"/>
  <c r="T903" i="3" s="1"/>
  <c r="F904" i="3"/>
  <c r="A911" i="3"/>
  <c r="B911" i="3"/>
  <c r="C911" i="3"/>
  <c r="C912" i="3" s="1"/>
  <c r="D911" i="3"/>
  <c r="E911" i="3"/>
  <c r="F911" i="3"/>
  <c r="G911" i="3"/>
  <c r="A912" i="3"/>
  <c r="A913" i="3" s="1"/>
  <c r="A914" i="3" s="1"/>
  <c r="A915" i="3" s="1"/>
  <c r="B912" i="3"/>
  <c r="B913" i="3" s="1"/>
  <c r="D912" i="3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E912" i="3"/>
  <c r="G912" i="3"/>
  <c r="G913" i="3" s="1"/>
  <c r="G914" i="3" s="1"/>
  <c r="G915" i="3" s="1"/>
  <c r="G916" i="3" s="1"/>
  <c r="G917" i="3" s="1"/>
  <c r="G918" i="3" s="1"/>
  <c r="G919" i="3" s="1"/>
  <c r="G920" i="3" s="1"/>
  <c r="G921" i="3" s="1"/>
  <c r="G922" i="3" s="1"/>
  <c r="H912" i="3"/>
  <c r="H913" i="3" s="1"/>
  <c r="H914" i="3" s="1"/>
  <c r="H915" i="3" s="1"/>
  <c r="H916" i="3" s="1"/>
  <c r="H917" i="3" s="1"/>
  <c r="H918" i="3" s="1"/>
  <c r="H919" i="3" s="1"/>
  <c r="H920" i="3" s="1"/>
  <c r="H921" i="3" s="1"/>
  <c r="H922" i="3" s="1"/>
  <c r="T912" i="3"/>
  <c r="C913" i="3"/>
  <c r="C914" i="3" s="1"/>
  <c r="C915" i="3" s="1"/>
  <c r="T913" i="3"/>
  <c r="B914" i="3"/>
  <c r="B915" i="3" s="1"/>
  <c r="B916" i="3" s="1"/>
  <c r="B917" i="3" s="1"/>
  <c r="B918" i="3" s="1"/>
  <c r="B919" i="3" s="1"/>
  <c r="B920" i="3" s="1"/>
  <c r="B921" i="3" s="1"/>
  <c r="B922" i="3" s="1"/>
  <c r="T914" i="3"/>
  <c r="A916" i="3"/>
  <c r="A917" i="3" s="1"/>
  <c r="A918" i="3" s="1"/>
  <c r="A919" i="3" s="1"/>
  <c r="A920" i="3" s="1"/>
  <c r="A921" i="3" s="1"/>
  <c r="C916" i="3"/>
  <c r="C917" i="3" s="1"/>
  <c r="C918" i="3" s="1"/>
  <c r="C919" i="3" s="1"/>
  <c r="C920" i="3" s="1"/>
  <c r="C921" i="3" s="1"/>
  <c r="C922" i="3" s="1"/>
  <c r="T919" i="3"/>
  <c r="T920" i="3" s="1"/>
  <c r="T921" i="3" s="1"/>
  <c r="A922" i="3"/>
  <c r="A929" i="3"/>
  <c r="B929" i="3"/>
  <c r="B930" i="3" s="1"/>
  <c r="B931" i="3" s="1"/>
  <c r="B932" i="3" s="1"/>
  <c r="C929" i="3"/>
  <c r="D929" i="3"/>
  <c r="D930" i="3" s="1"/>
  <c r="E929" i="3"/>
  <c r="E930" i="3" s="1"/>
  <c r="F929" i="3"/>
  <c r="F930" i="3" s="1"/>
  <c r="F931" i="3" s="1"/>
  <c r="F932" i="3" s="1"/>
  <c r="F933" i="3" s="1"/>
  <c r="F934" i="3" s="1"/>
  <c r="F935" i="3" s="1"/>
  <c r="F936" i="3" s="1"/>
  <c r="F937" i="3" s="1"/>
  <c r="G929" i="3"/>
  <c r="G930" i="3" s="1"/>
  <c r="V929" i="3"/>
  <c r="A930" i="3"/>
  <c r="C930" i="3"/>
  <c r="H930" i="3"/>
  <c r="T930" i="3"/>
  <c r="T931" i="3" s="1"/>
  <c r="T932" i="3" s="1"/>
  <c r="A931" i="3"/>
  <c r="A932" i="3" s="1"/>
  <c r="A933" i="3" s="1"/>
  <c r="A934" i="3" s="1"/>
  <c r="A935" i="3" s="1"/>
  <c r="A936" i="3" s="1"/>
  <c r="A937" i="3" s="1"/>
  <c r="A938" i="3" s="1"/>
  <c r="A939" i="3" s="1"/>
  <c r="A940" i="3" s="1"/>
  <c r="C931" i="3"/>
  <c r="C932" i="3" s="1"/>
  <c r="D931" i="3"/>
  <c r="D932" i="3" s="1"/>
  <c r="G931" i="3"/>
  <c r="G932" i="3" s="1"/>
  <c r="G933" i="3" s="1"/>
  <c r="G934" i="3" s="1"/>
  <c r="G935" i="3" s="1"/>
  <c r="G936" i="3" s="1"/>
  <c r="G937" i="3" s="1"/>
  <c r="H931" i="3"/>
  <c r="H932" i="3" s="1"/>
  <c r="H933" i="3" s="1"/>
  <c r="B933" i="3"/>
  <c r="B934" i="3" s="1"/>
  <c r="B935" i="3" s="1"/>
  <c r="B936" i="3" s="1"/>
  <c r="B937" i="3" s="1"/>
  <c r="B938" i="3" s="1"/>
  <c r="B939" i="3" s="1"/>
  <c r="B940" i="3" s="1"/>
  <c r="C933" i="3"/>
  <c r="C934" i="3" s="1"/>
  <c r="C935" i="3" s="1"/>
  <c r="C936" i="3" s="1"/>
  <c r="C937" i="3" s="1"/>
  <c r="C938" i="3" s="1"/>
  <c r="C939" i="3" s="1"/>
  <c r="C940" i="3" s="1"/>
  <c r="D933" i="3"/>
  <c r="D934" i="3" s="1"/>
  <c r="D935" i="3" s="1"/>
  <c r="D936" i="3" s="1"/>
  <c r="H934" i="3"/>
  <c r="H935" i="3" s="1"/>
  <c r="H936" i="3" s="1"/>
  <c r="H937" i="3" s="1"/>
  <c r="D937" i="3"/>
  <c r="D938" i="3" s="1"/>
  <c r="D939" i="3" s="1"/>
  <c r="D940" i="3" s="1"/>
  <c r="T937" i="3"/>
  <c r="F938" i="3"/>
  <c r="F939" i="3" s="1"/>
  <c r="F940" i="3" s="1"/>
  <c r="G938" i="3"/>
  <c r="G939" i="3" s="1"/>
  <c r="G940" i="3" s="1"/>
  <c r="H938" i="3"/>
  <c r="H939" i="3" s="1"/>
  <c r="H940" i="3" s="1"/>
  <c r="T938" i="3"/>
  <c r="T939" i="3" s="1"/>
  <c r="A947" i="3"/>
  <c r="B947" i="3"/>
  <c r="C947" i="3"/>
  <c r="C948" i="3" s="1"/>
  <c r="D947" i="3"/>
  <c r="D948" i="3" s="1"/>
  <c r="E947" i="3"/>
  <c r="E948" i="3" s="1"/>
  <c r="F947" i="3"/>
  <c r="G947" i="3"/>
  <c r="A948" i="3"/>
  <c r="A949" i="3" s="1"/>
  <c r="A950" i="3" s="1"/>
  <c r="B948" i="3"/>
  <c r="G948" i="3"/>
  <c r="H948" i="3"/>
  <c r="T948" i="3"/>
  <c r="T949" i="3" s="1"/>
  <c r="T950" i="3" s="1"/>
  <c r="B949" i="3"/>
  <c r="C949" i="3"/>
  <c r="C950" i="3" s="1"/>
  <c r="D949" i="3"/>
  <c r="D950" i="3" s="1"/>
  <c r="D951" i="3" s="1"/>
  <c r="D952" i="3" s="1"/>
  <c r="D953" i="3" s="1"/>
  <c r="D954" i="3" s="1"/>
  <c r="D955" i="3" s="1"/>
  <c r="D956" i="3" s="1"/>
  <c r="D957" i="3" s="1"/>
  <c r="D958" i="3" s="1"/>
  <c r="E949" i="3"/>
  <c r="G949" i="3"/>
  <c r="G950" i="3" s="1"/>
  <c r="G951" i="3" s="1"/>
  <c r="H949" i="3"/>
  <c r="B950" i="3"/>
  <c r="B951" i="3" s="1"/>
  <c r="H950" i="3"/>
  <c r="H951" i="3" s="1"/>
  <c r="H952" i="3" s="1"/>
  <c r="H953" i="3" s="1"/>
  <c r="H954" i="3" s="1"/>
  <c r="A951" i="3"/>
  <c r="A952" i="3" s="1"/>
  <c r="C951" i="3"/>
  <c r="C952" i="3" s="1"/>
  <c r="C953" i="3" s="1"/>
  <c r="C954" i="3" s="1"/>
  <c r="C955" i="3" s="1"/>
  <c r="B952" i="3"/>
  <c r="B953" i="3" s="1"/>
  <c r="B954" i="3" s="1"/>
  <c r="B955" i="3" s="1"/>
  <c r="B956" i="3" s="1"/>
  <c r="B957" i="3" s="1"/>
  <c r="B958" i="3" s="1"/>
  <c r="G952" i="3"/>
  <c r="G953" i="3" s="1"/>
  <c r="G954" i="3" s="1"/>
  <c r="G955" i="3" s="1"/>
  <c r="G956" i="3" s="1"/>
  <c r="G957" i="3" s="1"/>
  <c r="G958" i="3" s="1"/>
  <c r="A953" i="3"/>
  <c r="A954" i="3" s="1"/>
  <c r="A955" i="3" s="1"/>
  <c r="A956" i="3" s="1"/>
  <c r="A957" i="3" s="1"/>
  <c r="A958" i="3" s="1"/>
  <c r="H955" i="3"/>
  <c r="H956" i="3" s="1"/>
  <c r="H957" i="3" s="1"/>
  <c r="H958" i="3" s="1"/>
  <c r="T955" i="3"/>
  <c r="T956" i="3" s="1"/>
  <c r="T957" i="3" s="1"/>
  <c r="C956" i="3"/>
  <c r="C957" i="3"/>
  <c r="C958" i="3" s="1"/>
  <c r="A965" i="3"/>
  <c r="A966" i="3" s="1"/>
  <c r="B965" i="3"/>
  <c r="C965" i="3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D965" i="3"/>
  <c r="D966" i="3" s="1"/>
  <c r="D967" i="3" s="1"/>
  <c r="E965" i="3"/>
  <c r="F965" i="3"/>
  <c r="F966" i="3" s="1"/>
  <c r="G965" i="3"/>
  <c r="G966" i="3" s="1"/>
  <c r="V965" i="3"/>
  <c r="B966" i="3"/>
  <c r="B967" i="3" s="1"/>
  <c r="E966" i="3"/>
  <c r="H966" i="3"/>
  <c r="H967" i="3" s="1"/>
  <c r="H968" i="3" s="1"/>
  <c r="T966" i="3"/>
  <c r="A967" i="3"/>
  <c r="A968" i="3" s="1"/>
  <c r="A969" i="3" s="1"/>
  <c r="A970" i="3" s="1"/>
  <c r="A971" i="3" s="1"/>
  <c r="A972" i="3" s="1"/>
  <c r="A973" i="3" s="1"/>
  <c r="A974" i="3" s="1"/>
  <c r="F967" i="3"/>
  <c r="G967" i="3"/>
  <c r="G968" i="3" s="1"/>
  <c r="G969" i="3" s="1"/>
  <c r="G970" i="3" s="1"/>
  <c r="T967" i="3"/>
  <c r="T968" i="3" s="1"/>
  <c r="B968" i="3"/>
  <c r="B969" i="3" s="1"/>
  <c r="B970" i="3" s="1"/>
  <c r="B971" i="3" s="1"/>
  <c r="B972" i="3" s="1"/>
  <c r="B973" i="3" s="1"/>
  <c r="B974" i="3" s="1"/>
  <c r="B975" i="3" s="1"/>
  <c r="B976" i="3" s="1"/>
  <c r="D968" i="3"/>
  <c r="D969" i="3" s="1"/>
  <c r="D970" i="3" s="1"/>
  <c r="D971" i="3" s="1"/>
  <c r="D972" i="3" s="1"/>
  <c r="D973" i="3" s="1"/>
  <c r="D974" i="3" s="1"/>
  <c r="D975" i="3" s="1"/>
  <c r="D976" i="3" s="1"/>
  <c r="F968" i="3"/>
  <c r="F969" i="3" s="1"/>
  <c r="F970" i="3" s="1"/>
  <c r="F971" i="3" s="1"/>
  <c r="F972" i="3" s="1"/>
  <c r="F973" i="3" s="1"/>
  <c r="F974" i="3" s="1"/>
  <c r="F975" i="3" s="1"/>
  <c r="F976" i="3" s="1"/>
  <c r="H969" i="3"/>
  <c r="H970" i="3" s="1"/>
  <c r="G971" i="3"/>
  <c r="G972" i="3" s="1"/>
  <c r="G973" i="3" s="1"/>
  <c r="H971" i="3"/>
  <c r="H972" i="3" s="1"/>
  <c r="H973" i="3" s="1"/>
  <c r="H974" i="3" s="1"/>
  <c r="H975" i="3" s="1"/>
  <c r="H976" i="3" s="1"/>
  <c r="T973" i="3"/>
  <c r="T974" i="3" s="1"/>
  <c r="G974" i="3"/>
  <c r="G975" i="3" s="1"/>
  <c r="G976" i="3" s="1"/>
  <c r="A975" i="3"/>
  <c r="A976" i="3" s="1"/>
  <c r="T975" i="3"/>
  <c r="A983" i="3"/>
  <c r="A984" i="3" s="1"/>
  <c r="A985" i="3" s="1"/>
  <c r="A986" i="3" s="1"/>
  <c r="A987" i="3" s="1"/>
  <c r="B983" i="3"/>
  <c r="C983" i="3"/>
  <c r="C984" i="3" s="1"/>
  <c r="C985" i="3" s="1"/>
  <c r="C986" i="3" s="1"/>
  <c r="C987" i="3" s="1"/>
  <c r="C988" i="3" s="1"/>
  <c r="D983" i="3"/>
  <c r="D984" i="3" s="1"/>
  <c r="D985" i="3" s="1"/>
  <c r="D986" i="3" s="1"/>
  <c r="D987" i="3" s="1"/>
  <c r="D988" i="3" s="1"/>
  <c r="D989" i="3" s="1"/>
  <c r="D990" i="3" s="1"/>
  <c r="D991" i="3" s="1"/>
  <c r="D992" i="3" s="1"/>
  <c r="E983" i="3"/>
  <c r="E984" i="3" s="1"/>
  <c r="F983" i="3"/>
  <c r="G983" i="3"/>
  <c r="B984" i="3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F984" i="3"/>
  <c r="F985" i="3" s="1"/>
  <c r="H984" i="3"/>
  <c r="H985" i="3" s="1"/>
  <c r="T984" i="3"/>
  <c r="T985" i="3" s="1"/>
  <c r="T986" i="3" s="1"/>
  <c r="E985" i="3"/>
  <c r="E986" i="3"/>
  <c r="F986" i="3"/>
  <c r="F987" i="3" s="1"/>
  <c r="F988" i="3" s="1"/>
  <c r="H986" i="3"/>
  <c r="H987" i="3" s="1"/>
  <c r="H988" i="3" s="1"/>
  <c r="H989" i="3" s="1"/>
  <c r="H990" i="3" s="1"/>
  <c r="H991" i="3" s="1"/>
  <c r="H992" i="3" s="1"/>
  <c r="H993" i="3" s="1"/>
  <c r="H994" i="3" s="1"/>
  <c r="A988" i="3"/>
  <c r="A989" i="3"/>
  <c r="A990" i="3" s="1"/>
  <c r="A991" i="3" s="1"/>
  <c r="A992" i="3" s="1"/>
  <c r="A993" i="3" s="1"/>
  <c r="A994" i="3" s="1"/>
  <c r="C989" i="3"/>
  <c r="C990" i="3" s="1"/>
  <c r="C991" i="3" s="1"/>
  <c r="C992" i="3" s="1"/>
  <c r="C993" i="3" s="1"/>
  <c r="C994" i="3" s="1"/>
  <c r="F989" i="3"/>
  <c r="F990" i="3" s="1"/>
  <c r="F991" i="3" s="1"/>
  <c r="F992" i="3" s="1"/>
  <c r="F993" i="3" s="1"/>
  <c r="F994" i="3" s="1"/>
  <c r="T991" i="3"/>
  <c r="T992" i="3" s="1"/>
  <c r="T993" i="3" s="1"/>
  <c r="D993" i="3"/>
  <c r="D994" i="3" s="1"/>
  <c r="A1001" i="3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B1001" i="3"/>
  <c r="C1001" i="3"/>
  <c r="D1001" i="3"/>
  <c r="E1001" i="3"/>
  <c r="F1001" i="3"/>
  <c r="F1002" i="3" s="1"/>
  <c r="G1001" i="3"/>
  <c r="G1002" i="3" s="1"/>
  <c r="V1001" i="3"/>
  <c r="B1002" i="3"/>
  <c r="B1003" i="3" s="1"/>
  <c r="B1004" i="3" s="1"/>
  <c r="C1002" i="3"/>
  <c r="D1002" i="3"/>
  <c r="D1003" i="3" s="1"/>
  <c r="D1004" i="3" s="1"/>
  <c r="D1005" i="3" s="1"/>
  <c r="E1002" i="3"/>
  <c r="V1002" i="3" s="1"/>
  <c r="H1002" i="3"/>
  <c r="H1003" i="3" s="1"/>
  <c r="T1002" i="3"/>
  <c r="C1003" i="3"/>
  <c r="C1004" i="3" s="1"/>
  <c r="C1005" i="3" s="1"/>
  <c r="C1006" i="3" s="1"/>
  <c r="C1007" i="3" s="1"/>
  <c r="C1008" i="3" s="1"/>
  <c r="E1003" i="3"/>
  <c r="F1003" i="3"/>
  <c r="F1004" i="3" s="1"/>
  <c r="F1005" i="3" s="1"/>
  <c r="F1006" i="3" s="1"/>
  <c r="F1007" i="3" s="1"/>
  <c r="F1008" i="3" s="1"/>
  <c r="F1009" i="3" s="1"/>
  <c r="F1010" i="3" s="1"/>
  <c r="F1011" i="3" s="1"/>
  <c r="F1012" i="3" s="1"/>
  <c r="G1003" i="3"/>
  <c r="G1004" i="3" s="1"/>
  <c r="G1005" i="3" s="1"/>
  <c r="G1006" i="3" s="1"/>
  <c r="G1007" i="3" s="1"/>
  <c r="G1008" i="3" s="1"/>
  <c r="G1009" i="3" s="1"/>
  <c r="G1010" i="3" s="1"/>
  <c r="G1011" i="3" s="1"/>
  <c r="G1012" i="3" s="1"/>
  <c r="T1003" i="3"/>
  <c r="T1004" i="3" s="1"/>
  <c r="H1004" i="3"/>
  <c r="H1005" i="3" s="1"/>
  <c r="H1006" i="3" s="1"/>
  <c r="H1007" i="3" s="1"/>
  <c r="H1008" i="3" s="1"/>
  <c r="H1009" i="3" s="1"/>
  <c r="H1010" i="3" s="1"/>
  <c r="H1011" i="3" s="1"/>
  <c r="H1012" i="3" s="1"/>
  <c r="B1005" i="3"/>
  <c r="B1006" i="3"/>
  <c r="B1007" i="3" s="1"/>
  <c r="B1008" i="3" s="1"/>
  <c r="B1009" i="3" s="1"/>
  <c r="B1010" i="3" s="1"/>
  <c r="B1011" i="3" s="1"/>
  <c r="B1012" i="3" s="1"/>
  <c r="D1006" i="3"/>
  <c r="D1007" i="3"/>
  <c r="D1008" i="3" s="1"/>
  <c r="D1009" i="3" s="1"/>
  <c r="D1010" i="3" s="1"/>
  <c r="D1011" i="3" s="1"/>
  <c r="D1012" i="3" s="1"/>
  <c r="C1009" i="3"/>
  <c r="T1009" i="3"/>
  <c r="T1010" i="3" s="1"/>
  <c r="T1011" i="3" s="1"/>
  <c r="C1010" i="3"/>
  <c r="C1011" i="3" s="1"/>
  <c r="C1012" i="3" s="1"/>
  <c r="A1012" i="3"/>
  <c r="A1019" i="3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B1019" i="3"/>
  <c r="B1020" i="3" s="1"/>
  <c r="B1021" i="3" s="1"/>
  <c r="B1022" i="3" s="1"/>
  <c r="B1023" i="3" s="1"/>
  <c r="B1024" i="3" s="1"/>
  <c r="B1025" i="3" s="1"/>
  <c r="B1026" i="3" s="1"/>
  <c r="B1027" i="3" s="1"/>
  <c r="B1028" i="3" s="1"/>
  <c r="C1019" i="3"/>
  <c r="C1020" i="3" s="1"/>
  <c r="C1021" i="3" s="1"/>
  <c r="D1019" i="3"/>
  <c r="D1020" i="3" s="1"/>
  <c r="D1021" i="3" s="1"/>
  <c r="D1022" i="3" s="1"/>
  <c r="E1019" i="3"/>
  <c r="V1019" i="3" s="1"/>
  <c r="F1019" i="3"/>
  <c r="G1019" i="3"/>
  <c r="E1020" i="3"/>
  <c r="E1021" i="3" s="1"/>
  <c r="F1020" i="3"/>
  <c r="F1021" i="3" s="1"/>
  <c r="F1022" i="3" s="1"/>
  <c r="G1020" i="3"/>
  <c r="G1021" i="3" s="1"/>
  <c r="G1022" i="3" s="1"/>
  <c r="G1023" i="3" s="1"/>
  <c r="G1024" i="3" s="1"/>
  <c r="G1025" i="3" s="1"/>
  <c r="G1026" i="3" s="1"/>
  <c r="G1027" i="3" s="1"/>
  <c r="G1028" i="3" s="1"/>
  <c r="G1029" i="3" s="1"/>
  <c r="G1030" i="3" s="1"/>
  <c r="H1020" i="3"/>
  <c r="T1020" i="3"/>
  <c r="T1021" i="3" s="1"/>
  <c r="T1022" i="3" s="1"/>
  <c r="C1022" i="3"/>
  <c r="C1023" i="3" s="1"/>
  <c r="C1024" i="3" s="1"/>
  <c r="C1025" i="3" s="1"/>
  <c r="D1023" i="3"/>
  <c r="D1024" i="3" s="1"/>
  <c r="D1025" i="3" s="1"/>
  <c r="D1026" i="3" s="1"/>
  <c r="D1027" i="3" s="1"/>
  <c r="D1028" i="3" s="1"/>
  <c r="D1029" i="3" s="1"/>
  <c r="D1030" i="3" s="1"/>
  <c r="F1023" i="3"/>
  <c r="F1024" i="3" s="1"/>
  <c r="F1025" i="3" s="1"/>
  <c r="F1026" i="3" s="1"/>
  <c r="F1027" i="3" s="1"/>
  <c r="F1028" i="3" s="1"/>
  <c r="F1029" i="3" s="1"/>
  <c r="F1030" i="3" s="1"/>
  <c r="C1026" i="3"/>
  <c r="C1027" i="3" s="1"/>
  <c r="C1028" i="3" s="1"/>
  <c r="C1029" i="3" s="1"/>
  <c r="C1030" i="3" s="1"/>
  <c r="T1027" i="3"/>
  <c r="T1028" i="3" s="1"/>
  <c r="T1029" i="3" s="1"/>
  <c r="B1029" i="3"/>
  <c r="B1030" i="3" s="1"/>
  <c r="A1037" i="3"/>
  <c r="A1038" i="3" s="1"/>
  <c r="B1037" i="3"/>
  <c r="C1037" i="3"/>
  <c r="C1038" i="3" s="1"/>
  <c r="D1037" i="3"/>
  <c r="E1037" i="3"/>
  <c r="F1037" i="3"/>
  <c r="G1037" i="3"/>
  <c r="G1038" i="3" s="1"/>
  <c r="G1039" i="3" s="1"/>
  <c r="G1040" i="3" s="1"/>
  <c r="G1041" i="3" s="1"/>
  <c r="G1042" i="3" s="1"/>
  <c r="G1043" i="3" s="1"/>
  <c r="G1044" i="3" s="1"/>
  <c r="G1045" i="3" s="1"/>
  <c r="B1038" i="3"/>
  <c r="D1038" i="3"/>
  <c r="E1038" i="3"/>
  <c r="E1039" i="3" s="1"/>
  <c r="H1038" i="3"/>
  <c r="T1038" i="3"/>
  <c r="A1039" i="3"/>
  <c r="A1040" i="3" s="1"/>
  <c r="A1041" i="3" s="1"/>
  <c r="A1042" i="3" s="1"/>
  <c r="A1043" i="3" s="1"/>
  <c r="A1044" i="3" s="1"/>
  <c r="A1045" i="3" s="1"/>
  <c r="A1046" i="3" s="1"/>
  <c r="A1047" i="3" s="1"/>
  <c r="A1048" i="3" s="1"/>
  <c r="B1039" i="3"/>
  <c r="B1040" i="3" s="1"/>
  <c r="B1041" i="3" s="1"/>
  <c r="B1042" i="3" s="1"/>
  <c r="B1043" i="3" s="1"/>
  <c r="B1044" i="3" s="1"/>
  <c r="B1045" i="3" s="1"/>
  <c r="B1046" i="3" s="1"/>
  <c r="B1047" i="3" s="1"/>
  <c r="B1048" i="3" s="1"/>
  <c r="C1039" i="3"/>
  <c r="C1040" i="3" s="1"/>
  <c r="C1041" i="3" s="1"/>
  <c r="C1042" i="3" s="1"/>
  <c r="C1043" i="3" s="1"/>
  <c r="C1044" i="3" s="1"/>
  <c r="C1045" i="3" s="1"/>
  <c r="C1046" i="3" s="1"/>
  <c r="C1047" i="3" s="1"/>
  <c r="C1048" i="3" s="1"/>
  <c r="D1039" i="3"/>
  <c r="H1039" i="3"/>
  <c r="H1040" i="3" s="1"/>
  <c r="H1041" i="3" s="1"/>
  <c r="H1042" i="3" s="1"/>
  <c r="H1043" i="3" s="1"/>
  <c r="H1044" i="3" s="1"/>
  <c r="H1045" i="3" s="1"/>
  <c r="H1046" i="3" s="1"/>
  <c r="H1047" i="3" s="1"/>
  <c r="H1048" i="3" s="1"/>
  <c r="T1039" i="3"/>
  <c r="T1040" i="3" s="1"/>
  <c r="D1040" i="3"/>
  <c r="E1040" i="3"/>
  <c r="D1041" i="3"/>
  <c r="D1042" i="3" s="1"/>
  <c r="D1043" i="3" s="1"/>
  <c r="D1044" i="3" s="1"/>
  <c r="D1045" i="3" s="1"/>
  <c r="D1046" i="3" s="1"/>
  <c r="D1047" i="3" s="1"/>
  <c r="D1048" i="3" s="1"/>
  <c r="T1045" i="3"/>
  <c r="G1046" i="3"/>
  <c r="G1047" i="3" s="1"/>
  <c r="T1046" i="3"/>
  <c r="T1047" i="3" s="1"/>
  <c r="G1048" i="3"/>
  <c r="A1055" i="3"/>
  <c r="B1055" i="3"/>
  <c r="C1055" i="3"/>
  <c r="C1056" i="3" s="1"/>
  <c r="D1055" i="3"/>
  <c r="E1055" i="3"/>
  <c r="F1055" i="3"/>
  <c r="G1055" i="3"/>
  <c r="G1056" i="3" s="1"/>
  <c r="A1056" i="3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B1056" i="3"/>
  <c r="B1057" i="3" s="1"/>
  <c r="B1058" i="3" s="1"/>
  <c r="B1059" i="3" s="1"/>
  <c r="D1056" i="3"/>
  <c r="D1057" i="3" s="1"/>
  <c r="E1056" i="3"/>
  <c r="H1056" i="3"/>
  <c r="T1056" i="3"/>
  <c r="T1057" i="3" s="1"/>
  <c r="C1057" i="3"/>
  <c r="C1058" i="3" s="1"/>
  <c r="C1059" i="3" s="1"/>
  <c r="G1057" i="3"/>
  <c r="G1058" i="3" s="1"/>
  <c r="G1059" i="3" s="1"/>
  <c r="G1060" i="3" s="1"/>
  <c r="G1061" i="3" s="1"/>
  <c r="G1062" i="3" s="1"/>
  <c r="G1063" i="3" s="1"/>
  <c r="G1064" i="3" s="1"/>
  <c r="G1065" i="3" s="1"/>
  <c r="H1057" i="3"/>
  <c r="D1058" i="3"/>
  <c r="D1059" i="3" s="1"/>
  <c r="D1060" i="3" s="1"/>
  <c r="D1061" i="3" s="1"/>
  <c r="D1062" i="3" s="1"/>
  <c r="D1063" i="3" s="1"/>
  <c r="D1064" i="3" s="1"/>
  <c r="D1065" i="3" s="1"/>
  <c r="D1066" i="3" s="1"/>
  <c r="H1058" i="3"/>
  <c r="H1059" i="3" s="1"/>
  <c r="H1060" i="3" s="1"/>
  <c r="H1061" i="3" s="1"/>
  <c r="T1058" i="3"/>
  <c r="B1060" i="3"/>
  <c r="C1060" i="3"/>
  <c r="C1061" i="3" s="1"/>
  <c r="C1062" i="3" s="1"/>
  <c r="B1061" i="3"/>
  <c r="B1062" i="3" s="1"/>
  <c r="B1063" i="3" s="1"/>
  <c r="B1064" i="3" s="1"/>
  <c r="B1065" i="3" s="1"/>
  <c r="B1066" i="3" s="1"/>
  <c r="H1062" i="3"/>
  <c r="H1063" i="3" s="1"/>
  <c r="H1064" i="3" s="1"/>
  <c r="H1065" i="3" s="1"/>
  <c r="H1066" i="3" s="1"/>
  <c r="C1063" i="3"/>
  <c r="C1064" i="3" s="1"/>
  <c r="C1065" i="3" s="1"/>
  <c r="C1066" i="3" s="1"/>
  <c r="T1063" i="3"/>
  <c r="T1064" i="3"/>
  <c r="T1065" i="3"/>
  <c r="G1066" i="3"/>
  <c r="A1073" i="3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B1073" i="3"/>
  <c r="B1074" i="3" s="1"/>
  <c r="C1073" i="3"/>
  <c r="C1074" i="3" s="1"/>
  <c r="C1075" i="3" s="1"/>
  <c r="C1076" i="3" s="1"/>
  <c r="C1077" i="3" s="1"/>
  <c r="D1073" i="3"/>
  <c r="E1073" i="3"/>
  <c r="F1073" i="3"/>
  <c r="G1073" i="3"/>
  <c r="V1073" i="3" s="1"/>
  <c r="D1074" i="3"/>
  <c r="D1075" i="3" s="1"/>
  <c r="D1076" i="3" s="1"/>
  <c r="D1077" i="3" s="1"/>
  <c r="E1074" i="3"/>
  <c r="F1074" i="3"/>
  <c r="F1075" i="3" s="1"/>
  <c r="F1076" i="3" s="1"/>
  <c r="F1077" i="3" s="1"/>
  <c r="F1078" i="3" s="1"/>
  <c r="F1079" i="3" s="1"/>
  <c r="F1080" i="3" s="1"/>
  <c r="F1081" i="3" s="1"/>
  <c r="F1082" i="3" s="1"/>
  <c r="F1083" i="3" s="1"/>
  <c r="F1084" i="3" s="1"/>
  <c r="G1074" i="3"/>
  <c r="G1075" i="3" s="1"/>
  <c r="G1076" i="3" s="1"/>
  <c r="G1077" i="3" s="1"/>
  <c r="G1078" i="3" s="1"/>
  <c r="G1079" i="3" s="1"/>
  <c r="G1080" i="3" s="1"/>
  <c r="G1081" i="3" s="1"/>
  <c r="G1082" i="3" s="1"/>
  <c r="G1083" i="3" s="1"/>
  <c r="G1084" i="3" s="1"/>
  <c r="H1074" i="3"/>
  <c r="T1074" i="3"/>
  <c r="B1075" i="3"/>
  <c r="B1076" i="3" s="1"/>
  <c r="B1077" i="3" s="1"/>
  <c r="B1078" i="3" s="1"/>
  <c r="B1079" i="3" s="1"/>
  <c r="B1080" i="3" s="1"/>
  <c r="B1081" i="3" s="1"/>
  <c r="B1082" i="3" s="1"/>
  <c r="B1083" i="3" s="1"/>
  <c r="B1084" i="3" s="1"/>
  <c r="H1075" i="3"/>
  <c r="T1075" i="3"/>
  <c r="H1076" i="3"/>
  <c r="H1077" i="3" s="1"/>
  <c r="T1076" i="3"/>
  <c r="C1078" i="3"/>
  <c r="C1079" i="3" s="1"/>
  <c r="C1080" i="3" s="1"/>
  <c r="C1081" i="3" s="1"/>
  <c r="C1082" i="3" s="1"/>
  <c r="C1083" i="3" s="1"/>
  <c r="C1084" i="3" s="1"/>
  <c r="D1078" i="3"/>
  <c r="D1079" i="3" s="1"/>
  <c r="D1080" i="3" s="1"/>
  <c r="D1081" i="3" s="1"/>
  <c r="D1082" i="3" s="1"/>
  <c r="D1083" i="3" s="1"/>
  <c r="D1084" i="3" s="1"/>
  <c r="H1078" i="3"/>
  <c r="H1079" i="3" s="1"/>
  <c r="H1080" i="3" s="1"/>
  <c r="H1081" i="3" s="1"/>
  <c r="T1081" i="3"/>
  <c r="H1082" i="3"/>
  <c r="H1083" i="3" s="1"/>
  <c r="H1084" i="3" s="1"/>
  <c r="T1082" i="3"/>
  <c r="T1083" i="3" s="1"/>
  <c r="A1091" i="3"/>
  <c r="B1091" i="3"/>
  <c r="C1091" i="3"/>
  <c r="C1092" i="3" s="1"/>
  <c r="C1093" i="3" s="1"/>
  <c r="D1091" i="3"/>
  <c r="E1091" i="3"/>
  <c r="F1091" i="3"/>
  <c r="G1091" i="3"/>
  <c r="A1092" i="3"/>
  <c r="B1092" i="3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D1092" i="3"/>
  <c r="D1093" i="3" s="1"/>
  <c r="F1092" i="3"/>
  <c r="F1093" i="3" s="1"/>
  <c r="F1094" i="3" s="1"/>
  <c r="F1095" i="3" s="1"/>
  <c r="F1096" i="3" s="1"/>
  <c r="F1097" i="3" s="1"/>
  <c r="G1092" i="3"/>
  <c r="G1093" i="3" s="1"/>
  <c r="G1094" i="3" s="1"/>
  <c r="G1095" i="3" s="1"/>
  <c r="H1092" i="3"/>
  <c r="H1093" i="3" s="1"/>
  <c r="T1092" i="3"/>
  <c r="T1093" i="3" s="1"/>
  <c r="T1094" i="3" s="1"/>
  <c r="A1093" i="3"/>
  <c r="A1094" i="3"/>
  <c r="C1094" i="3"/>
  <c r="C1095" i="3" s="1"/>
  <c r="C1096" i="3" s="1"/>
  <c r="C1097" i="3" s="1"/>
  <c r="C1098" i="3" s="1"/>
  <c r="C1099" i="3" s="1"/>
  <c r="C1100" i="3" s="1"/>
  <c r="C1101" i="3" s="1"/>
  <c r="C1102" i="3" s="1"/>
  <c r="D1094" i="3"/>
  <c r="D1095" i="3" s="1"/>
  <c r="D1096" i="3" s="1"/>
  <c r="D1097" i="3" s="1"/>
  <c r="D1098" i="3" s="1"/>
  <c r="H1094" i="3"/>
  <c r="H1095" i="3" s="1"/>
  <c r="H1096" i="3" s="1"/>
  <c r="H1097" i="3" s="1"/>
  <c r="H1098" i="3" s="1"/>
  <c r="H1099" i="3" s="1"/>
  <c r="H1100" i="3" s="1"/>
  <c r="H1101" i="3" s="1"/>
  <c r="H1102" i="3" s="1"/>
  <c r="A1095" i="3"/>
  <c r="A1096" i="3" s="1"/>
  <c r="A1097" i="3" s="1"/>
  <c r="A1098" i="3" s="1"/>
  <c r="A1099" i="3" s="1"/>
  <c r="A1100" i="3" s="1"/>
  <c r="A1101" i="3" s="1"/>
  <c r="A1102" i="3" s="1"/>
  <c r="G1096" i="3"/>
  <c r="G1097" i="3" s="1"/>
  <c r="G1098" i="3" s="1"/>
  <c r="G1099" i="3" s="1"/>
  <c r="G1100" i="3" s="1"/>
  <c r="G1101" i="3" s="1"/>
  <c r="G1102" i="3" s="1"/>
  <c r="F1098" i="3"/>
  <c r="F1099" i="3" s="1"/>
  <c r="F1100" i="3" s="1"/>
  <c r="F1101" i="3" s="1"/>
  <c r="F1102" i="3" s="1"/>
  <c r="D1099" i="3"/>
  <c r="D1100" i="3" s="1"/>
  <c r="D1101" i="3" s="1"/>
  <c r="D1102" i="3" s="1"/>
  <c r="T1099" i="3"/>
  <c r="T1100" i="3"/>
  <c r="T1101" i="3" s="1"/>
  <c r="A1109" i="3"/>
  <c r="B1109" i="3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C1109" i="3"/>
  <c r="D1109" i="3"/>
  <c r="E1109" i="3"/>
  <c r="F1109" i="3"/>
  <c r="F1110" i="3" s="1"/>
  <c r="G1109" i="3"/>
  <c r="A1110" i="3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C1110" i="3"/>
  <c r="C1111" i="3" s="1"/>
  <c r="D1110" i="3"/>
  <c r="D1111" i="3" s="1"/>
  <c r="D1112" i="3" s="1"/>
  <c r="D1113" i="3" s="1"/>
  <c r="D1114" i="3" s="1"/>
  <c r="D1115" i="3" s="1"/>
  <c r="D1116" i="3" s="1"/>
  <c r="D1117" i="3" s="1"/>
  <c r="D1118" i="3" s="1"/>
  <c r="G1110" i="3"/>
  <c r="H1110" i="3"/>
  <c r="H1111" i="3" s="1"/>
  <c r="H1112" i="3" s="1"/>
  <c r="H1113" i="3" s="1"/>
  <c r="H1114" i="3" s="1"/>
  <c r="H1115" i="3" s="1"/>
  <c r="H1116" i="3" s="1"/>
  <c r="H1117" i="3" s="1"/>
  <c r="H1118" i="3" s="1"/>
  <c r="H1119" i="3" s="1"/>
  <c r="H1120" i="3" s="1"/>
  <c r="T1110" i="3"/>
  <c r="T1111" i="3" s="1"/>
  <c r="T1112" i="3" s="1"/>
  <c r="F1111" i="3"/>
  <c r="G1111" i="3"/>
  <c r="G1112" i="3" s="1"/>
  <c r="G1113" i="3" s="1"/>
  <c r="G1114" i="3" s="1"/>
  <c r="G1115" i="3" s="1"/>
  <c r="G1116" i="3" s="1"/>
  <c r="C1112" i="3"/>
  <c r="C1113" i="3" s="1"/>
  <c r="C1114" i="3" s="1"/>
  <c r="C1115" i="3" s="1"/>
  <c r="C1116" i="3" s="1"/>
  <c r="C1117" i="3" s="1"/>
  <c r="C1118" i="3" s="1"/>
  <c r="C1119" i="3" s="1"/>
  <c r="C1120" i="3" s="1"/>
  <c r="F1112" i="3"/>
  <c r="F1113" i="3" s="1"/>
  <c r="F1114" i="3" s="1"/>
  <c r="F1115" i="3"/>
  <c r="F1116" i="3" s="1"/>
  <c r="F1117" i="3" s="1"/>
  <c r="F1118" i="3" s="1"/>
  <c r="F1119" i="3" s="1"/>
  <c r="F1120" i="3" s="1"/>
  <c r="G1117" i="3"/>
  <c r="G1118" i="3" s="1"/>
  <c r="G1119" i="3" s="1"/>
  <c r="G1120" i="3" s="1"/>
  <c r="T1117" i="3"/>
  <c r="T1118" i="3" s="1"/>
  <c r="T1119" i="3" s="1"/>
  <c r="D1119" i="3"/>
  <c r="D1120" i="3" s="1"/>
  <c r="A1127" i="3"/>
  <c r="A1128" i="3" s="1"/>
  <c r="B1127" i="3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C1127" i="3"/>
  <c r="D1127" i="3"/>
  <c r="E1127" i="3"/>
  <c r="F1127" i="3"/>
  <c r="V1127" i="3" s="1"/>
  <c r="G1127" i="3"/>
  <c r="G1128" i="3" s="1"/>
  <c r="C1128" i="3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D1128" i="3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E1128" i="3"/>
  <c r="F1128" i="3"/>
  <c r="F1129" i="3" s="1"/>
  <c r="F1130" i="3" s="1"/>
  <c r="F1131" i="3" s="1"/>
  <c r="F1132" i="3" s="1"/>
  <c r="F1133" i="3" s="1"/>
  <c r="F1134" i="3" s="1"/>
  <c r="F1135" i="3" s="1"/>
  <c r="F1136" i="3" s="1"/>
  <c r="F1137" i="3" s="1"/>
  <c r="F1138" i="3" s="1"/>
  <c r="H1128" i="3"/>
  <c r="H1129" i="3" s="1"/>
  <c r="T1128" i="3"/>
  <c r="T1129" i="3" s="1"/>
  <c r="A1129" i="3"/>
  <c r="A1130" i="3" s="1"/>
  <c r="A1131" i="3" s="1"/>
  <c r="A1132" i="3" s="1"/>
  <c r="A1133" i="3" s="1"/>
  <c r="A1134" i="3" s="1"/>
  <c r="A1135" i="3" s="1"/>
  <c r="A1136" i="3" s="1"/>
  <c r="A1137" i="3" s="1"/>
  <c r="A1138" i="3" s="1"/>
  <c r="G1129" i="3"/>
  <c r="G1130" i="3"/>
  <c r="G1131" i="3" s="1"/>
  <c r="G1132" i="3" s="1"/>
  <c r="G1133" i="3" s="1"/>
  <c r="G1134" i="3" s="1"/>
  <c r="G1135" i="3" s="1"/>
  <c r="G1136" i="3" s="1"/>
  <c r="G1137" i="3" s="1"/>
  <c r="G1138" i="3" s="1"/>
  <c r="H1130" i="3"/>
  <c r="H1131" i="3" s="1"/>
  <c r="H1132" i="3" s="1"/>
  <c r="H1133" i="3" s="1"/>
  <c r="H1134" i="3" s="1"/>
  <c r="H1135" i="3" s="1"/>
  <c r="H1136" i="3" s="1"/>
  <c r="H1137" i="3" s="1"/>
  <c r="H1138" i="3" s="1"/>
  <c r="T1130" i="3"/>
  <c r="T1135" i="3"/>
  <c r="T1136" i="3" s="1"/>
  <c r="T1137" i="3" s="1"/>
  <c r="A1145" i="3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B1145" i="3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C1145" i="3"/>
  <c r="D1145" i="3"/>
  <c r="E1145" i="3"/>
  <c r="F1145" i="3"/>
  <c r="G1145" i="3"/>
  <c r="G1146" i="3" s="1"/>
  <c r="V1145" i="3"/>
  <c r="C1146" i="3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D1146" i="3"/>
  <c r="D1147" i="3" s="1"/>
  <c r="D1148" i="3" s="1"/>
  <c r="D1149" i="3" s="1"/>
  <c r="D1150" i="3" s="1"/>
  <c r="D1151" i="3" s="1"/>
  <c r="D1152" i="3" s="1"/>
  <c r="D1153" i="3" s="1"/>
  <c r="D1154" i="3" s="1"/>
  <c r="D1155" i="3" s="1"/>
  <c r="D1156" i="3" s="1"/>
  <c r="E1146" i="3"/>
  <c r="F1146" i="3"/>
  <c r="H1146" i="3"/>
  <c r="T1146" i="3"/>
  <c r="T1147" i="3" s="1"/>
  <c r="F1147" i="3"/>
  <c r="F1148" i="3" s="1"/>
  <c r="F1149" i="3" s="1"/>
  <c r="F1150" i="3" s="1"/>
  <c r="F1151" i="3" s="1"/>
  <c r="F1152" i="3" s="1"/>
  <c r="F1153" i="3" s="1"/>
  <c r="F1154" i="3" s="1"/>
  <c r="F1155" i="3" s="1"/>
  <c r="F1156" i="3" s="1"/>
  <c r="G1147" i="3"/>
  <c r="G1148" i="3" s="1"/>
  <c r="H1147" i="3"/>
  <c r="H1148" i="3" s="1"/>
  <c r="T1148" i="3"/>
  <c r="G1149" i="3"/>
  <c r="G1150" i="3" s="1"/>
  <c r="G1151" i="3" s="1"/>
  <c r="G1152" i="3" s="1"/>
  <c r="G1153" i="3" s="1"/>
  <c r="G1154" i="3" s="1"/>
  <c r="G1155" i="3" s="1"/>
  <c r="G1156" i="3" s="1"/>
  <c r="H1149" i="3"/>
  <c r="H1150" i="3" s="1"/>
  <c r="H1151" i="3" s="1"/>
  <c r="H1152" i="3" s="1"/>
  <c r="H1153" i="3" s="1"/>
  <c r="T1153" i="3"/>
  <c r="H1154" i="3"/>
  <c r="H1155" i="3" s="1"/>
  <c r="H1156" i="3" s="1"/>
  <c r="T1154" i="3"/>
  <c r="T1155" i="3" s="1"/>
  <c r="A1163" i="3"/>
  <c r="B1163" i="3"/>
  <c r="B1164" i="3" s="1"/>
  <c r="C1163" i="3"/>
  <c r="C1164" i="3" s="1"/>
  <c r="D1163" i="3"/>
  <c r="E1163" i="3"/>
  <c r="F1163" i="3"/>
  <c r="F1164" i="3" s="1"/>
  <c r="G1163" i="3"/>
  <c r="G1164" i="3" s="1"/>
  <c r="A1164" i="3"/>
  <c r="D1164" i="3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H1164" i="3"/>
  <c r="T1164" i="3"/>
  <c r="A1165" i="3"/>
  <c r="A1166" i="3" s="1"/>
  <c r="B1165" i="3"/>
  <c r="B1166" i="3" s="1"/>
  <c r="B1167" i="3" s="1"/>
  <c r="C1165" i="3"/>
  <c r="C1166" i="3" s="1"/>
  <c r="C1167" i="3" s="1"/>
  <c r="F1165" i="3"/>
  <c r="F1166" i="3" s="1"/>
  <c r="F1167" i="3" s="1"/>
  <c r="G1165" i="3"/>
  <c r="G1166" i="3" s="1"/>
  <c r="G1167" i="3" s="1"/>
  <c r="G1168" i="3" s="1"/>
  <c r="G1169" i="3" s="1"/>
  <c r="G1170" i="3" s="1"/>
  <c r="G1171" i="3" s="1"/>
  <c r="G1172" i="3" s="1"/>
  <c r="G1173" i="3" s="1"/>
  <c r="G1174" i="3" s="1"/>
  <c r="H1165" i="3"/>
  <c r="T1165" i="3"/>
  <c r="H1166" i="3"/>
  <c r="H1167" i="3" s="1"/>
  <c r="H1168" i="3" s="1"/>
  <c r="T1166" i="3"/>
  <c r="A1167" i="3"/>
  <c r="A1168" i="3" s="1"/>
  <c r="A1169" i="3" s="1"/>
  <c r="A1170" i="3" s="1"/>
  <c r="A1171" i="3" s="1"/>
  <c r="A1172" i="3" s="1"/>
  <c r="A1173" i="3" s="1"/>
  <c r="B1168" i="3"/>
  <c r="B1169" i="3" s="1"/>
  <c r="B1170" i="3" s="1"/>
  <c r="B1171" i="3" s="1"/>
  <c r="B1172" i="3" s="1"/>
  <c r="B1173" i="3" s="1"/>
  <c r="B1174" i="3" s="1"/>
  <c r="C1168" i="3"/>
  <c r="C1169" i="3" s="1"/>
  <c r="F1168" i="3"/>
  <c r="F1169" i="3" s="1"/>
  <c r="F1170" i="3" s="1"/>
  <c r="H1169" i="3"/>
  <c r="H1170" i="3" s="1"/>
  <c r="H1171" i="3" s="1"/>
  <c r="H1172" i="3" s="1"/>
  <c r="H1173" i="3" s="1"/>
  <c r="H1174" i="3" s="1"/>
  <c r="C1170" i="3"/>
  <c r="C1171" i="3"/>
  <c r="C1172" i="3" s="1"/>
  <c r="C1173" i="3" s="1"/>
  <c r="C1174" i="3" s="1"/>
  <c r="F1171" i="3"/>
  <c r="T1171" i="3"/>
  <c r="F1172" i="3"/>
  <c r="F1173" i="3" s="1"/>
  <c r="F1174" i="3" s="1"/>
  <c r="T1172" i="3"/>
  <c r="T1173" i="3" s="1"/>
  <c r="A1174" i="3"/>
  <c r="A1181" i="3"/>
  <c r="B1181" i="3"/>
  <c r="C1181" i="3"/>
  <c r="D1181" i="3"/>
  <c r="D1182" i="3" s="1"/>
  <c r="E1181" i="3"/>
  <c r="F1181" i="3"/>
  <c r="G1181" i="3"/>
  <c r="G1182" i="3" s="1"/>
  <c r="G1183" i="3" s="1"/>
  <c r="V1181" i="3"/>
  <c r="A1182" i="3"/>
  <c r="A1183" i="3" s="1"/>
  <c r="A1184" i="3" s="1"/>
  <c r="A1185" i="3" s="1"/>
  <c r="A1186" i="3" s="1"/>
  <c r="B1182" i="3"/>
  <c r="B1183" i="3" s="1"/>
  <c r="C1182" i="3"/>
  <c r="E1182" i="3"/>
  <c r="F1182" i="3"/>
  <c r="H1182" i="3"/>
  <c r="H1183" i="3" s="1"/>
  <c r="H1184" i="3" s="1"/>
  <c r="T1182" i="3"/>
  <c r="C1183" i="3"/>
  <c r="C1184" i="3" s="1"/>
  <c r="C1185" i="3" s="1"/>
  <c r="C1186" i="3" s="1"/>
  <c r="D1183" i="3"/>
  <c r="D1184" i="3" s="1"/>
  <c r="E1183" i="3"/>
  <c r="F1183" i="3"/>
  <c r="T1183" i="3"/>
  <c r="T1184" i="3" s="1"/>
  <c r="B1184" i="3"/>
  <c r="B1185" i="3" s="1"/>
  <c r="B1186" i="3" s="1"/>
  <c r="B1187" i="3" s="1"/>
  <c r="B1188" i="3" s="1"/>
  <c r="B1189" i="3" s="1"/>
  <c r="B1190" i="3" s="1"/>
  <c r="B1191" i="3" s="1"/>
  <c r="B1192" i="3" s="1"/>
  <c r="E1184" i="3"/>
  <c r="F1184" i="3"/>
  <c r="F1185" i="3" s="1"/>
  <c r="F1186" i="3" s="1"/>
  <c r="F1187" i="3" s="1"/>
  <c r="F1188" i="3" s="1"/>
  <c r="F1189" i="3" s="1"/>
  <c r="F1190" i="3" s="1"/>
  <c r="F1191" i="3" s="1"/>
  <c r="F1192" i="3" s="1"/>
  <c r="G1184" i="3"/>
  <c r="G1185" i="3" s="1"/>
  <c r="G1186" i="3" s="1"/>
  <c r="G1187" i="3" s="1"/>
  <c r="G1188" i="3" s="1"/>
  <c r="G1189" i="3" s="1"/>
  <c r="D1185" i="3"/>
  <c r="D1186" i="3" s="1"/>
  <c r="D1187" i="3" s="1"/>
  <c r="H1185" i="3"/>
  <c r="H1186" i="3"/>
  <c r="H1187" i="3" s="1"/>
  <c r="H1188" i="3" s="1"/>
  <c r="H1189" i="3" s="1"/>
  <c r="H1190" i="3" s="1"/>
  <c r="H1191" i="3" s="1"/>
  <c r="H1192" i="3" s="1"/>
  <c r="A1187" i="3"/>
  <c r="A1188" i="3" s="1"/>
  <c r="A1189" i="3" s="1"/>
  <c r="A1190" i="3" s="1"/>
  <c r="A1191" i="3" s="1"/>
  <c r="A1192" i="3" s="1"/>
  <c r="C1187" i="3"/>
  <c r="C1188" i="3" s="1"/>
  <c r="C1189" i="3" s="1"/>
  <c r="C1190" i="3" s="1"/>
  <c r="C1191" i="3" s="1"/>
  <c r="C1192" i="3" s="1"/>
  <c r="D1188" i="3"/>
  <c r="D1189" i="3" s="1"/>
  <c r="D1190" i="3" s="1"/>
  <c r="D1191" i="3" s="1"/>
  <c r="D1192" i="3" s="1"/>
  <c r="T1189" i="3"/>
  <c r="T1190" i="3" s="1"/>
  <c r="T1191" i="3" s="1"/>
  <c r="G1190" i="3"/>
  <c r="G1191" i="3" s="1"/>
  <c r="G1192" i="3" s="1"/>
  <c r="A1199" i="3"/>
  <c r="A1200" i="3" s="1"/>
  <c r="A1201" i="3" s="1"/>
  <c r="B1199" i="3"/>
  <c r="B1200" i="3" s="1"/>
  <c r="B1201" i="3" s="1"/>
  <c r="B1202" i="3" s="1"/>
  <c r="B1203" i="3" s="1"/>
  <c r="C1199" i="3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D1199" i="3"/>
  <c r="D1200" i="3" s="1"/>
  <c r="D1201" i="3" s="1"/>
  <c r="D1202" i="3" s="1"/>
  <c r="D1203" i="3" s="1"/>
  <c r="D1204" i="3" s="1"/>
  <c r="E1199" i="3"/>
  <c r="V1199" i="3" s="1"/>
  <c r="F1199" i="3"/>
  <c r="F1200" i="3" s="1"/>
  <c r="F1201" i="3" s="1"/>
  <c r="F1202" i="3" s="1"/>
  <c r="F1203" i="3" s="1"/>
  <c r="F1204" i="3" s="1"/>
  <c r="F1205" i="3" s="1"/>
  <c r="F1206" i="3" s="1"/>
  <c r="F1207" i="3" s="1"/>
  <c r="F1208" i="3" s="1"/>
  <c r="F1209" i="3" s="1"/>
  <c r="F1210" i="3" s="1"/>
  <c r="G1199" i="3"/>
  <c r="G1200" i="3"/>
  <c r="H1200" i="3"/>
  <c r="T1200" i="3"/>
  <c r="T1201" i="3" s="1"/>
  <c r="T1202" i="3" s="1"/>
  <c r="G1201" i="3"/>
  <c r="G1202" i="3" s="1"/>
  <c r="G1203" i="3" s="1"/>
  <c r="G1204" i="3" s="1"/>
  <c r="G1205" i="3" s="1"/>
  <c r="H1201" i="3"/>
  <c r="A1202" i="3"/>
  <c r="A1203" i="3" s="1"/>
  <c r="H1202" i="3"/>
  <c r="H1203" i="3" s="1"/>
  <c r="H1204" i="3" s="1"/>
  <c r="H1205" i="3" s="1"/>
  <c r="A1204" i="3"/>
  <c r="A1205" i="3" s="1"/>
  <c r="A1206" i="3" s="1"/>
  <c r="A1207" i="3" s="1"/>
  <c r="A1208" i="3" s="1"/>
  <c r="A1209" i="3" s="1"/>
  <c r="A1210" i="3" s="1"/>
  <c r="B1204" i="3"/>
  <c r="B1205" i="3" s="1"/>
  <c r="B1206" i="3" s="1"/>
  <c r="B1207" i="3" s="1"/>
  <c r="B1208" i="3" s="1"/>
  <c r="B1209" i="3" s="1"/>
  <c r="B1210" i="3" s="1"/>
  <c r="D1205" i="3"/>
  <c r="D1206" i="3" s="1"/>
  <c r="D1207" i="3" s="1"/>
  <c r="D1208" i="3" s="1"/>
  <c r="G1206" i="3"/>
  <c r="G1207" i="3" s="1"/>
  <c r="G1208" i="3" s="1"/>
  <c r="G1209" i="3" s="1"/>
  <c r="G1210" i="3" s="1"/>
  <c r="H1206" i="3"/>
  <c r="H1207" i="3" s="1"/>
  <c r="H1208" i="3" s="1"/>
  <c r="H1209" i="3" s="1"/>
  <c r="H1210" i="3" s="1"/>
  <c r="T1207" i="3"/>
  <c r="T1208" i="3"/>
  <c r="D1209" i="3"/>
  <c r="D1210" i="3" s="1"/>
  <c r="T1209" i="3"/>
  <c r="A1217" i="3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B1217" i="3"/>
  <c r="C1217" i="3"/>
  <c r="D1217" i="3"/>
  <c r="E1217" i="3"/>
  <c r="F1217" i="3"/>
  <c r="G1217" i="3"/>
  <c r="G1218" i="3" s="1"/>
  <c r="V1217" i="3"/>
  <c r="B1218" i="3"/>
  <c r="C1218" i="3"/>
  <c r="C1219" i="3" s="1"/>
  <c r="D1218" i="3"/>
  <c r="D1219" i="3" s="1"/>
  <c r="D1220" i="3" s="1"/>
  <c r="D1221" i="3" s="1"/>
  <c r="D1222" i="3" s="1"/>
  <c r="D1223" i="3" s="1"/>
  <c r="D1224" i="3" s="1"/>
  <c r="D1225" i="3" s="1"/>
  <c r="D1226" i="3" s="1"/>
  <c r="D1227" i="3" s="1"/>
  <c r="D1228" i="3" s="1"/>
  <c r="E1218" i="3"/>
  <c r="F1218" i="3"/>
  <c r="H1218" i="3"/>
  <c r="T1218" i="3"/>
  <c r="T1219" i="3" s="1"/>
  <c r="B1219" i="3"/>
  <c r="B1220" i="3" s="1"/>
  <c r="B1221" i="3" s="1"/>
  <c r="E1219" i="3"/>
  <c r="F1219" i="3"/>
  <c r="F1220" i="3" s="1"/>
  <c r="G1219" i="3"/>
  <c r="H1219" i="3"/>
  <c r="C1220" i="3"/>
  <c r="C1221" i="3" s="1"/>
  <c r="C1222" i="3" s="1"/>
  <c r="C1223" i="3" s="1"/>
  <c r="C1224" i="3" s="1"/>
  <c r="C1225" i="3" s="1"/>
  <c r="C1226" i="3" s="1"/>
  <c r="C1227" i="3" s="1"/>
  <c r="C1228" i="3" s="1"/>
  <c r="E1220" i="3"/>
  <c r="G1220" i="3"/>
  <c r="G1221" i="3" s="1"/>
  <c r="G1222" i="3" s="1"/>
  <c r="G1223" i="3" s="1"/>
  <c r="G1224" i="3" s="1"/>
  <c r="G1225" i="3" s="1"/>
  <c r="G1226" i="3" s="1"/>
  <c r="G1227" i="3" s="1"/>
  <c r="G1228" i="3" s="1"/>
  <c r="H1220" i="3"/>
  <c r="H1221" i="3" s="1"/>
  <c r="T1220" i="3"/>
  <c r="F1221" i="3"/>
  <c r="F1222" i="3" s="1"/>
  <c r="F1223" i="3" s="1"/>
  <c r="F1224" i="3" s="1"/>
  <c r="F1225" i="3" s="1"/>
  <c r="F1226" i="3" s="1"/>
  <c r="F1227" i="3" s="1"/>
  <c r="F1228" i="3" s="1"/>
  <c r="B1222" i="3"/>
  <c r="B1223" i="3" s="1"/>
  <c r="B1224" i="3" s="1"/>
  <c r="B1225" i="3" s="1"/>
  <c r="B1226" i="3" s="1"/>
  <c r="B1227" i="3" s="1"/>
  <c r="B1228" i="3" s="1"/>
  <c r="H1222" i="3"/>
  <c r="H1223" i="3" s="1"/>
  <c r="H1224" i="3"/>
  <c r="H1225" i="3" s="1"/>
  <c r="H1226" i="3" s="1"/>
  <c r="H1227" i="3" s="1"/>
  <c r="H1228" i="3" s="1"/>
  <c r="T1225" i="3"/>
  <c r="T1226" i="3" s="1"/>
  <c r="T1227" i="3" s="1"/>
  <c r="A1235" i="3"/>
  <c r="B1235" i="3"/>
  <c r="B1236" i="3" s="1"/>
  <c r="B1237" i="3" s="1"/>
  <c r="C1235" i="3"/>
  <c r="C1236" i="3" s="1"/>
  <c r="C1237" i="3" s="1"/>
  <c r="D1235" i="3"/>
  <c r="D1236" i="3" s="1"/>
  <c r="D1237" i="3" s="1"/>
  <c r="E1235" i="3"/>
  <c r="E1236" i="3" s="1"/>
  <c r="E1237" i="3" s="1"/>
  <c r="E1238" i="3" s="1"/>
  <c r="F1235" i="3"/>
  <c r="G1235" i="3"/>
  <c r="G1236" i="3" s="1"/>
  <c r="G1237" i="3" s="1"/>
  <c r="G1238" i="3" s="1"/>
  <c r="G1239" i="3" s="1"/>
  <c r="G1240" i="3" s="1"/>
  <c r="G1241" i="3" s="1"/>
  <c r="G1242" i="3" s="1"/>
  <c r="G1243" i="3" s="1"/>
  <c r="G1244" i="3" s="1"/>
  <c r="G1245" i="3" s="1"/>
  <c r="G1246" i="3" s="1"/>
  <c r="A1236" i="3"/>
  <c r="H1236" i="3"/>
  <c r="H1237" i="3" s="1"/>
  <c r="H1238" i="3" s="1"/>
  <c r="H1239" i="3" s="1"/>
  <c r="H1240" i="3" s="1"/>
  <c r="T1236" i="3"/>
  <c r="A1237" i="3"/>
  <c r="A1238" i="3" s="1"/>
  <c r="A1239" i="3" s="1"/>
  <c r="A1240" i="3" s="1"/>
  <c r="A1241" i="3" s="1"/>
  <c r="A1242" i="3" s="1"/>
  <c r="A1243" i="3" s="1"/>
  <c r="A1244" i="3" s="1"/>
  <c r="A1245" i="3" s="1"/>
  <c r="T1237" i="3"/>
  <c r="T1238" i="3" s="1"/>
  <c r="B1238" i="3"/>
  <c r="B1239" i="3" s="1"/>
  <c r="B1240" i="3" s="1"/>
  <c r="B1241" i="3" s="1"/>
  <c r="C1238" i="3"/>
  <c r="C1239" i="3" s="1"/>
  <c r="C1240" i="3" s="1"/>
  <c r="C1241" i="3" s="1"/>
  <c r="D1238" i="3"/>
  <c r="D1239" i="3" s="1"/>
  <c r="D1240" i="3" s="1"/>
  <c r="D1241" i="3" s="1"/>
  <c r="D1242" i="3" s="1"/>
  <c r="D1243" i="3" s="1"/>
  <c r="D1244" i="3" s="1"/>
  <c r="D1245" i="3" s="1"/>
  <c r="D1246" i="3" s="1"/>
  <c r="E1239" i="3"/>
  <c r="E1240" i="3"/>
  <c r="H1241" i="3"/>
  <c r="H1242" i="3" s="1"/>
  <c r="H1243" i="3" s="1"/>
  <c r="H1244" i="3" s="1"/>
  <c r="B1242" i="3"/>
  <c r="B1243" i="3" s="1"/>
  <c r="B1244" i="3" s="1"/>
  <c r="B1245" i="3" s="1"/>
  <c r="B1246" i="3" s="1"/>
  <c r="C1242" i="3"/>
  <c r="C1243" i="3" s="1"/>
  <c r="C1244" i="3" s="1"/>
  <c r="C1245" i="3" s="1"/>
  <c r="C1246" i="3" s="1"/>
  <c r="T1243" i="3"/>
  <c r="T1244" i="3"/>
  <c r="H1245" i="3"/>
  <c r="H1246" i="3" s="1"/>
  <c r="T1245" i="3"/>
  <c r="A1246" i="3"/>
  <c r="C1253" i="3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E1253" i="3"/>
  <c r="E1254" i="3" s="1"/>
  <c r="E1255" i="3" s="1"/>
  <c r="E1256" i="3" s="1"/>
  <c r="F1253" i="3"/>
  <c r="F1254" i="3" s="1"/>
  <c r="F1255" i="3" s="1"/>
  <c r="F1256" i="3" s="1"/>
  <c r="F1257" i="3" s="1"/>
  <c r="F1258" i="3" s="1"/>
  <c r="F1259" i="3" s="1"/>
  <c r="F1260" i="3" s="1"/>
  <c r="F1261" i="3" s="1"/>
  <c r="F1262" i="3" s="1"/>
  <c r="F1263" i="3" s="1"/>
  <c r="F1264" i="3" s="1"/>
  <c r="F1265" i="3" s="1"/>
  <c r="F1266" i="3" s="1"/>
  <c r="F1267" i="3" s="1"/>
  <c r="F1268" i="3" s="1"/>
  <c r="F1269" i="3" s="1"/>
  <c r="F1270" i="3" s="1"/>
  <c r="F1271" i="3" s="1"/>
  <c r="F1272" i="3" s="1"/>
  <c r="F1273" i="3" s="1"/>
  <c r="F1274" i="3" s="1"/>
  <c r="F1275" i="3" s="1"/>
  <c r="F1276" i="3" s="1"/>
  <c r="F1277" i="3" s="1"/>
  <c r="F1278" i="3" s="1"/>
  <c r="F1279" i="3" s="1"/>
  <c r="F1280" i="3" s="1"/>
  <c r="F1281" i="3" s="1"/>
  <c r="F1282" i="3" s="1"/>
  <c r="F1283" i="3" s="1"/>
  <c r="F1284" i="3" s="1"/>
  <c r="F1285" i="3" s="1"/>
  <c r="F1286" i="3" s="1"/>
  <c r="F1287" i="3" s="1"/>
  <c r="F1288" i="3" s="1"/>
  <c r="F1289" i="3" s="1"/>
  <c r="F1290" i="3" s="1"/>
  <c r="F1291" i="3" s="1"/>
  <c r="F1292" i="3" s="1"/>
  <c r="F1293" i="3" s="1"/>
  <c r="F1294" i="3" s="1"/>
  <c r="F1295" i="3" s="1"/>
  <c r="M1255" i="3"/>
  <c r="Q1255" i="3" s="1"/>
  <c r="O1255" i="3"/>
  <c r="A1257" i="3"/>
  <c r="H1257" i="3"/>
  <c r="H1260" i="3" s="1"/>
  <c r="H1263" i="3" s="1"/>
  <c r="H1266" i="3" s="1"/>
  <c r="H1269" i="3" s="1"/>
  <c r="H1273" i="3" s="1"/>
  <c r="H1277" i="3" s="1"/>
  <c r="H1281" i="3" s="1"/>
  <c r="H1285" i="3" s="1"/>
  <c r="I1257" i="3"/>
  <c r="I1258" i="3" s="1"/>
  <c r="I1259" i="3" s="1"/>
  <c r="I1260" i="3" s="1"/>
  <c r="I1261" i="3" s="1"/>
  <c r="A1258" i="3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H1258" i="3"/>
  <c r="H1259" i="3"/>
  <c r="H1262" i="3" s="1"/>
  <c r="H1265" i="3" s="1"/>
  <c r="H1261" i="3"/>
  <c r="I1262" i="3"/>
  <c r="I1263" i="3" s="1"/>
  <c r="I1264" i="3" s="1"/>
  <c r="I1265" i="3" s="1"/>
  <c r="I1266" i="3" s="1"/>
  <c r="I1267" i="3" s="1"/>
  <c r="I1268" i="3" s="1"/>
  <c r="I1269" i="3" s="1"/>
  <c r="I1270" i="3" s="1"/>
  <c r="I1271" i="3" s="1"/>
  <c r="I1272" i="3" s="1"/>
  <c r="I1273" i="3" s="1"/>
  <c r="I1274" i="3" s="1"/>
  <c r="I1275" i="3" s="1"/>
  <c r="I1276" i="3" s="1"/>
  <c r="I1277" i="3" s="1"/>
  <c r="H1264" i="3"/>
  <c r="H1267" i="3" s="1"/>
  <c r="H1268" i="3"/>
  <c r="H1272" i="3" s="1"/>
  <c r="H1270" i="3"/>
  <c r="H1274" i="3" s="1"/>
  <c r="H1271" i="3"/>
  <c r="H1275" i="3" s="1"/>
  <c r="H1279" i="3" s="1"/>
  <c r="H1283" i="3" s="1"/>
  <c r="H1287" i="3" s="1"/>
  <c r="C1273" i="3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H1276" i="3"/>
  <c r="H1278" i="3"/>
  <c r="H1282" i="3" s="1"/>
  <c r="H1286" i="3" s="1"/>
  <c r="I1278" i="3"/>
  <c r="I1279" i="3" s="1"/>
  <c r="I1280" i="3" s="1"/>
  <c r="I1281" i="3" s="1"/>
  <c r="I1282" i="3" s="1"/>
  <c r="I1283" i="3" s="1"/>
  <c r="I1284" i="3" s="1"/>
  <c r="I1285" i="3" s="1"/>
  <c r="I1286" i="3" s="1"/>
  <c r="I1287" i="3" s="1"/>
  <c r="H1280" i="3"/>
  <c r="H1284" i="3" s="1"/>
  <c r="A1289" i="3"/>
  <c r="A1290" i="3" s="1"/>
  <c r="A1291" i="3" s="1"/>
  <c r="H1289" i="3"/>
  <c r="H1290" i="3" s="1"/>
  <c r="H1291" i="3"/>
  <c r="A1292" i="3"/>
  <c r="A1293" i="3" s="1"/>
  <c r="A1294" i="3" s="1"/>
  <c r="A1295" i="3" s="1"/>
  <c r="H1293" i="3"/>
  <c r="H1294" i="3" s="1"/>
  <c r="H1295" i="3"/>
  <c r="A1302" i="3"/>
  <c r="A1303" i="3" s="1"/>
  <c r="A1304" i="3" s="1"/>
  <c r="A1305" i="3" s="1"/>
  <c r="A1306" i="3" s="1"/>
  <c r="A1307" i="3" s="1"/>
  <c r="B1302" i="3"/>
  <c r="C1302" i="3"/>
  <c r="D1302" i="3"/>
  <c r="E1302" i="3"/>
  <c r="F1302" i="3"/>
  <c r="G1302" i="3"/>
  <c r="B1303" i="3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C1303" i="3"/>
  <c r="D1303" i="3"/>
  <c r="E1303" i="3"/>
  <c r="F1303" i="3"/>
  <c r="H1303" i="3"/>
  <c r="T1303" i="3"/>
  <c r="T1304" i="3" s="1"/>
  <c r="C1304" i="3"/>
  <c r="C1305" i="3" s="1"/>
  <c r="C1306" i="3" s="1"/>
  <c r="C1307" i="3" s="1"/>
  <c r="C1308" i="3" s="1"/>
  <c r="C1309" i="3" s="1"/>
  <c r="C1310" i="3" s="1"/>
  <c r="C1311" i="3" s="1"/>
  <c r="C1312" i="3" s="1"/>
  <c r="C1313" i="3" s="1"/>
  <c r="D1304" i="3"/>
  <c r="D1305" i="3" s="1"/>
  <c r="D1306" i="3" s="1"/>
  <c r="D1307" i="3" s="1"/>
  <c r="F1304" i="3"/>
  <c r="F1305" i="3" s="1"/>
  <c r="F1306" i="3" s="1"/>
  <c r="F1307" i="3" s="1"/>
  <c r="F1308" i="3" s="1"/>
  <c r="F1309" i="3" s="1"/>
  <c r="F1310" i="3" s="1"/>
  <c r="F1311" i="3" s="1"/>
  <c r="H1304" i="3"/>
  <c r="H1305" i="3"/>
  <c r="H1306" i="3" s="1"/>
  <c r="T1305" i="3"/>
  <c r="H1307" i="3"/>
  <c r="H1308" i="3" s="1"/>
  <c r="H1309" i="3" s="1"/>
  <c r="H1310" i="3" s="1"/>
  <c r="H1311" i="3" s="1"/>
  <c r="H1312" i="3" s="1"/>
  <c r="H1313" i="3" s="1"/>
  <c r="A1308" i="3"/>
  <c r="A1309" i="3" s="1"/>
  <c r="A1310" i="3" s="1"/>
  <c r="D1308" i="3"/>
  <c r="D1309" i="3" s="1"/>
  <c r="D1310" i="3" s="1"/>
  <c r="D1311" i="3" s="1"/>
  <c r="D1312" i="3" s="1"/>
  <c r="D1313" i="3" s="1"/>
  <c r="T1310" i="3"/>
  <c r="A1311" i="3"/>
  <c r="A1312" i="3" s="1"/>
  <c r="A1313" i="3" s="1"/>
  <c r="T1311" i="3"/>
  <c r="F1312" i="3"/>
  <c r="F1313" i="3" s="1"/>
  <c r="T1312" i="3"/>
  <c r="A1320" i="3"/>
  <c r="B1320" i="3"/>
  <c r="B1321" i="3" s="1"/>
  <c r="B1322" i="3" s="1"/>
  <c r="B1323" i="3" s="1"/>
  <c r="C1320" i="3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D1320" i="3"/>
  <c r="D1321" i="3" s="1"/>
  <c r="D1322" i="3" s="1"/>
  <c r="D1323" i="3" s="1"/>
  <c r="D1324" i="3" s="1"/>
  <c r="D1325" i="3" s="1"/>
  <c r="D1326" i="3" s="1"/>
  <c r="D1327" i="3" s="1"/>
  <c r="D1328" i="3" s="1"/>
  <c r="D1329" i="3" s="1"/>
  <c r="D1330" i="3" s="1"/>
  <c r="D1331" i="3" s="1"/>
  <c r="E1320" i="3"/>
  <c r="E1321" i="3" s="1"/>
  <c r="F1320" i="3"/>
  <c r="G1320" i="3"/>
  <c r="G1321" i="3" s="1"/>
  <c r="G1322" i="3" s="1"/>
  <c r="A1321" i="3"/>
  <c r="A1322" i="3" s="1"/>
  <c r="A1323" i="3" s="1"/>
  <c r="H1321" i="3"/>
  <c r="T1321" i="3"/>
  <c r="E1322" i="3"/>
  <c r="H1322" i="3"/>
  <c r="H1323" i="3" s="1"/>
  <c r="H1324" i="3" s="1"/>
  <c r="T1322" i="3"/>
  <c r="T1323" i="3" s="1"/>
  <c r="E1323" i="3"/>
  <c r="G1323" i="3"/>
  <c r="G1324" i="3" s="1"/>
  <c r="G1325" i="3" s="1"/>
  <c r="G1326" i="3" s="1"/>
  <c r="G1327" i="3" s="1"/>
  <c r="G1328" i="3" s="1"/>
  <c r="G1329" i="3" s="1"/>
  <c r="G1330" i="3" s="1"/>
  <c r="G1331" i="3" s="1"/>
  <c r="A1324" i="3"/>
  <c r="A1325" i="3" s="1"/>
  <c r="A1326" i="3" s="1"/>
  <c r="A1327" i="3" s="1"/>
  <c r="A1328" i="3" s="1"/>
  <c r="A1329" i="3" s="1"/>
  <c r="A1330" i="3" s="1"/>
  <c r="A1331" i="3" s="1"/>
  <c r="B1324" i="3"/>
  <c r="B1325" i="3" s="1"/>
  <c r="B1326" i="3" s="1"/>
  <c r="B1327" i="3" s="1"/>
  <c r="B1328" i="3" s="1"/>
  <c r="B1329" i="3" s="1"/>
  <c r="B1330" i="3" s="1"/>
  <c r="B1331" i="3" s="1"/>
  <c r="H1325" i="3"/>
  <c r="H1326" i="3" s="1"/>
  <c r="H1327" i="3" s="1"/>
  <c r="H1328" i="3" s="1"/>
  <c r="H1329" i="3" s="1"/>
  <c r="H1330" i="3" s="1"/>
  <c r="H1331" i="3" s="1"/>
  <c r="T1328" i="3"/>
  <c r="T1329" i="3" s="1"/>
  <c r="T1330" i="3"/>
  <c r="A1338" i="3"/>
  <c r="A1339" i="3" s="1"/>
  <c r="A1340" i="3" s="1"/>
  <c r="A1341" i="3" s="1"/>
  <c r="B1338" i="3"/>
  <c r="C1338" i="3"/>
  <c r="D1338" i="3"/>
  <c r="D1339" i="3" s="1"/>
  <c r="D1340" i="3" s="1"/>
  <c r="D1341" i="3" s="1"/>
  <c r="D1342" i="3" s="1"/>
  <c r="E1338" i="3"/>
  <c r="F1338" i="3"/>
  <c r="G1338" i="3"/>
  <c r="B1339" i="3"/>
  <c r="B1340" i="3" s="1"/>
  <c r="B1341" i="3" s="1"/>
  <c r="B1342" i="3" s="1"/>
  <c r="B1343" i="3" s="1"/>
  <c r="C1339" i="3"/>
  <c r="C1340" i="3" s="1"/>
  <c r="E1339" i="3"/>
  <c r="V1339" i="3" s="1"/>
  <c r="F1339" i="3"/>
  <c r="G1339" i="3"/>
  <c r="H1339" i="3"/>
  <c r="H1340" i="3" s="1"/>
  <c r="H1341" i="3" s="1"/>
  <c r="T1339" i="3"/>
  <c r="E1340" i="3"/>
  <c r="F1340" i="3"/>
  <c r="F1341" i="3" s="1"/>
  <c r="F1342" i="3" s="1"/>
  <c r="F1343" i="3" s="1"/>
  <c r="F1344" i="3" s="1"/>
  <c r="F1345" i="3" s="1"/>
  <c r="F1346" i="3" s="1"/>
  <c r="F1347" i="3" s="1"/>
  <c r="F1348" i="3" s="1"/>
  <c r="F1349" i="3" s="1"/>
  <c r="G1340" i="3"/>
  <c r="G1341" i="3" s="1"/>
  <c r="G1342" i="3" s="1"/>
  <c r="T1340" i="3"/>
  <c r="T1341" i="3" s="1"/>
  <c r="C1341" i="3"/>
  <c r="C1342" i="3" s="1"/>
  <c r="C1343" i="3" s="1"/>
  <c r="C1344" i="3" s="1"/>
  <c r="C1345" i="3" s="1"/>
  <c r="C1346" i="3" s="1"/>
  <c r="C1347" i="3" s="1"/>
  <c r="C1348" i="3" s="1"/>
  <c r="C1349" i="3" s="1"/>
  <c r="A1342" i="3"/>
  <c r="A1343" i="3" s="1"/>
  <c r="H1342" i="3"/>
  <c r="H1343" i="3" s="1"/>
  <c r="H1344" i="3" s="1"/>
  <c r="H1345" i="3" s="1"/>
  <c r="H1346" i="3" s="1"/>
  <c r="H1347" i="3" s="1"/>
  <c r="H1348" i="3" s="1"/>
  <c r="H1349" i="3" s="1"/>
  <c r="D1343" i="3"/>
  <c r="D1344" i="3" s="1"/>
  <c r="D1345" i="3" s="1"/>
  <c r="D1346" i="3" s="1"/>
  <c r="D1347" i="3" s="1"/>
  <c r="D1348" i="3" s="1"/>
  <c r="D1349" i="3" s="1"/>
  <c r="G1343" i="3"/>
  <c r="G1344" i="3" s="1"/>
  <c r="A1344" i="3"/>
  <c r="A1345" i="3" s="1"/>
  <c r="A1346" i="3" s="1"/>
  <c r="B1344" i="3"/>
  <c r="B1345" i="3" s="1"/>
  <c r="B1346" i="3" s="1"/>
  <c r="B1347" i="3" s="1"/>
  <c r="B1348" i="3" s="1"/>
  <c r="B1349" i="3" s="1"/>
  <c r="G1345" i="3"/>
  <c r="G1346" i="3"/>
  <c r="G1347" i="3" s="1"/>
  <c r="G1348" i="3" s="1"/>
  <c r="G1349" i="3" s="1"/>
  <c r="T1346" i="3"/>
  <c r="T1347" i="3" s="1"/>
  <c r="A1347" i="3"/>
  <c r="A1348" i="3" s="1"/>
  <c r="A1349" i="3" s="1"/>
  <c r="T1348" i="3"/>
  <c r="C1356" i="3"/>
  <c r="C1357" i="3" s="1"/>
  <c r="C1358" i="3" s="1"/>
  <c r="C1359" i="3" s="1"/>
  <c r="C1360" i="3" s="1"/>
  <c r="C1361" i="3" s="1"/>
  <c r="E1356" i="3"/>
  <c r="E1357" i="3" s="1"/>
  <c r="E1358" i="3" s="1"/>
  <c r="F1356" i="3"/>
  <c r="F1357" i="3"/>
  <c r="F1358" i="3"/>
  <c r="F1359" i="3" s="1"/>
  <c r="F1360" i="3" s="1"/>
  <c r="F1361" i="3" s="1"/>
  <c r="F1362" i="3" s="1"/>
  <c r="M1358" i="3"/>
  <c r="O1358" i="3"/>
  <c r="Q1358" i="3" s="1"/>
  <c r="E1359" i="3"/>
  <c r="E1360" i="3" s="1"/>
  <c r="V1359" i="3"/>
  <c r="A1360" i="3"/>
  <c r="A1361" i="3" s="1"/>
  <c r="H1360" i="3"/>
  <c r="H1363" i="3" s="1"/>
  <c r="H1366" i="3" s="1"/>
  <c r="H1369" i="3" s="1"/>
  <c r="H1372" i="3" s="1"/>
  <c r="H1376" i="3" s="1"/>
  <c r="H1380" i="3" s="1"/>
  <c r="H1384" i="3" s="1"/>
  <c r="H1388" i="3" s="1"/>
  <c r="I1360" i="3"/>
  <c r="H1361" i="3"/>
  <c r="I1361" i="3"/>
  <c r="I1362" i="3" s="1"/>
  <c r="A1362" i="3"/>
  <c r="C1362" i="3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H1362" i="3"/>
  <c r="H1365" i="3" s="1"/>
  <c r="H1368" i="3" s="1"/>
  <c r="A1363" i="3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F1363" i="3"/>
  <c r="F1364" i="3" s="1"/>
  <c r="I1363" i="3"/>
  <c r="I1364" i="3" s="1"/>
  <c r="H1364" i="3"/>
  <c r="H1367" i="3" s="1"/>
  <c r="H1370" i="3" s="1"/>
  <c r="F1365" i="3"/>
  <c r="F1366" i="3" s="1"/>
  <c r="F1367" i="3" s="1"/>
  <c r="F1368" i="3" s="1"/>
  <c r="F1369" i="3" s="1"/>
  <c r="F1370" i="3" s="1"/>
  <c r="I1365" i="3"/>
  <c r="I1366" i="3" s="1"/>
  <c r="I1367" i="3" s="1"/>
  <c r="I1368" i="3" s="1"/>
  <c r="I1369" i="3" s="1"/>
  <c r="I1370" i="3" s="1"/>
  <c r="I1371" i="3" s="1"/>
  <c r="I1372" i="3" s="1"/>
  <c r="F1371" i="3"/>
  <c r="F1372" i="3" s="1"/>
  <c r="F1373" i="3" s="1"/>
  <c r="F1374" i="3" s="1"/>
  <c r="F1375" i="3" s="1"/>
  <c r="F1376" i="3" s="1"/>
  <c r="F1377" i="3" s="1"/>
  <c r="F1378" i="3" s="1"/>
  <c r="F1379" i="3" s="1"/>
  <c r="F1380" i="3" s="1"/>
  <c r="F1381" i="3" s="1"/>
  <c r="F1382" i="3" s="1"/>
  <c r="F1383" i="3" s="1"/>
  <c r="F1384" i="3" s="1"/>
  <c r="F1385" i="3" s="1"/>
  <c r="F1386" i="3" s="1"/>
  <c r="F1387" i="3" s="1"/>
  <c r="F1388" i="3" s="1"/>
  <c r="F1389" i="3" s="1"/>
  <c r="F1390" i="3" s="1"/>
  <c r="F1391" i="3" s="1"/>
  <c r="F1392" i="3" s="1"/>
  <c r="F1393" i="3" s="1"/>
  <c r="F1394" i="3" s="1"/>
  <c r="F1395" i="3" s="1"/>
  <c r="F1396" i="3" s="1"/>
  <c r="F1397" i="3" s="1"/>
  <c r="F1398" i="3" s="1"/>
  <c r="H1371" i="3"/>
  <c r="H1375" i="3" s="1"/>
  <c r="H1379" i="3" s="1"/>
  <c r="H1383" i="3" s="1"/>
  <c r="H1387" i="3" s="1"/>
  <c r="I1373" i="3"/>
  <c r="I1374" i="3" s="1"/>
  <c r="I1375" i="3" s="1"/>
  <c r="I1376" i="3" s="1"/>
  <c r="I1377" i="3" s="1"/>
  <c r="I1378" i="3" s="1"/>
  <c r="I1379" i="3" s="1"/>
  <c r="I1380" i="3" s="1"/>
  <c r="I1381" i="3" s="1"/>
  <c r="I1382" i="3" s="1"/>
  <c r="I1383" i="3" s="1"/>
  <c r="I1384" i="3" s="1"/>
  <c r="I1385" i="3" s="1"/>
  <c r="I1386" i="3" s="1"/>
  <c r="I1387" i="3" s="1"/>
  <c r="I1388" i="3" s="1"/>
  <c r="I1389" i="3" s="1"/>
  <c r="I1390" i="3" s="1"/>
  <c r="A1392" i="3"/>
  <c r="H1392" i="3"/>
  <c r="H1393" i="3" s="1"/>
  <c r="A1393" i="3"/>
  <c r="A1394" i="3" s="1"/>
  <c r="H1394" i="3"/>
  <c r="A1395" i="3"/>
  <c r="A1396" i="3" s="1"/>
  <c r="A1397" i="3" s="1"/>
  <c r="A1398" i="3" s="1"/>
  <c r="H1396" i="3"/>
  <c r="H1397" i="3" s="1"/>
  <c r="H1398" i="3"/>
  <c r="A1405" i="3"/>
  <c r="A1406" i="3" s="1"/>
  <c r="A1407" i="3" s="1"/>
  <c r="B1405" i="3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C1405" i="3"/>
  <c r="D1405" i="3"/>
  <c r="E1405" i="3"/>
  <c r="E1406" i="3" s="1"/>
  <c r="F1405" i="3"/>
  <c r="G1405" i="3"/>
  <c r="V1405" i="3"/>
  <c r="C1406" i="3"/>
  <c r="C1407" i="3" s="1"/>
  <c r="C1408" i="3" s="1"/>
  <c r="C1409" i="3" s="1"/>
  <c r="C1410" i="3" s="1"/>
  <c r="C1411" i="3" s="1"/>
  <c r="D1406" i="3"/>
  <c r="D1407" i="3" s="1"/>
  <c r="F1406" i="3"/>
  <c r="F1407" i="3" s="1"/>
  <c r="F1408" i="3" s="1"/>
  <c r="F1409" i="3" s="1"/>
  <c r="F1410" i="3" s="1"/>
  <c r="F1411" i="3" s="1"/>
  <c r="F1412" i="3" s="1"/>
  <c r="F1413" i="3" s="1"/>
  <c r="F1414" i="3" s="1"/>
  <c r="F1415" i="3" s="1"/>
  <c r="G1406" i="3"/>
  <c r="G1407" i="3" s="1"/>
  <c r="H1406" i="3"/>
  <c r="T1406" i="3"/>
  <c r="T1407" i="3" s="1"/>
  <c r="T1408" i="3" s="1"/>
  <c r="E1407" i="3"/>
  <c r="H1407" i="3"/>
  <c r="A1408" i="3"/>
  <c r="A1409" i="3" s="1"/>
  <c r="A1410" i="3" s="1"/>
  <c r="A1411" i="3" s="1"/>
  <c r="A1412" i="3" s="1"/>
  <c r="D1408" i="3"/>
  <c r="D1409" i="3" s="1"/>
  <c r="D1410" i="3" s="1"/>
  <c r="D1411" i="3" s="1"/>
  <c r="D1412" i="3" s="1"/>
  <c r="D1413" i="3" s="1"/>
  <c r="D1414" i="3" s="1"/>
  <c r="D1415" i="3" s="1"/>
  <c r="D1416" i="3" s="1"/>
  <c r="G1408" i="3"/>
  <c r="G1409" i="3" s="1"/>
  <c r="G1410" i="3" s="1"/>
  <c r="G1411" i="3" s="1"/>
  <c r="G1412" i="3" s="1"/>
  <c r="G1413" i="3" s="1"/>
  <c r="G1414" i="3" s="1"/>
  <c r="G1415" i="3" s="1"/>
  <c r="H1408" i="3"/>
  <c r="H1409" i="3" s="1"/>
  <c r="H1410" i="3" s="1"/>
  <c r="H1411" i="3" s="1"/>
  <c r="H1412" i="3" s="1"/>
  <c r="H1413" i="3" s="1"/>
  <c r="H1414" i="3" s="1"/>
  <c r="H1415" i="3" s="1"/>
  <c r="H1416" i="3" s="1"/>
  <c r="C1412" i="3"/>
  <c r="C1413" i="3" s="1"/>
  <c r="C1414" i="3" s="1"/>
  <c r="C1415" i="3" s="1"/>
  <c r="C1416" i="3" s="1"/>
  <c r="A1413" i="3"/>
  <c r="A1414" i="3" s="1"/>
  <c r="A1415" i="3" s="1"/>
  <c r="A1416" i="3" s="1"/>
  <c r="T1413" i="3"/>
  <c r="T1414" i="3" s="1"/>
  <c r="T1415" i="3" s="1"/>
  <c r="F1416" i="3"/>
  <c r="G1416" i="3"/>
  <c r="A1423" i="3"/>
  <c r="B1423" i="3"/>
  <c r="C1423" i="3"/>
  <c r="D1423" i="3"/>
  <c r="E1423" i="3"/>
  <c r="F1423" i="3"/>
  <c r="F1424" i="3" s="1"/>
  <c r="F1425" i="3" s="1"/>
  <c r="F1426" i="3" s="1"/>
  <c r="F1427" i="3" s="1"/>
  <c r="F1428" i="3" s="1"/>
  <c r="F1429" i="3" s="1"/>
  <c r="F1430" i="3" s="1"/>
  <c r="F1431" i="3" s="1"/>
  <c r="F1432" i="3" s="1"/>
  <c r="F1433" i="3" s="1"/>
  <c r="F1434" i="3" s="1"/>
  <c r="G1423" i="3"/>
  <c r="G1424" i="3" s="1"/>
  <c r="G1425" i="3" s="1"/>
  <c r="G1426" i="3" s="1"/>
  <c r="A1424" i="3"/>
  <c r="B1424" i="3"/>
  <c r="B1425" i="3" s="1"/>
  <c r="B1426" i="3" s="1"/>
  <c r="B1427" i="3" s="1"/>
  <c r="B1428" i="3" s="1"/>
  <c r="B1429" i="3" s="1"/>
  <c r="B1430" i="3" s="1"/>
  <c r="B1431" i="3" s="1"/>
  <c r="B1432" i="3" s="1"/>
  <c r="C1424" i="3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D1424" i="3"/>
  <c r="H1424" i="3"/>
  <c r="T1424" i="3"/>
  <c r="A1425" i="3"/>
  <c r="D1425" i="3"/>
  <c r="D1426" i="3" s="1"/>
  <c r="D1427" i="3" s="1"/>
  <c r="D1428" i="3" s="1"/>
  <c r="D1429" i="3" s="1"/>
  <c r="D1430" i="3" s="1"/>
  <c r="D1431" i="3" s="1"/>
  <c r="D1432" i="3" s="1"/>
  <c r="D1433" i="3" s="1"/>
  <c r="D1434" i="3" s="1"/>
  <c r="H1425" i="3"/>
  <c r="T1425" i="3"/>
  <c r="T1426" i="3" s="1"/>
  <c r="A1426" i="3"/>
  <c r="H1426" i="3"/>
  <c r="H1427" i="3" s="1"/>
  <c r="A1427" i="3"/>
  <c r="A1428" i="3" s="1"/>
  <c r="A1429" i="3" s="1"/>
  <c r="A1430" i="3" s="1"/>
  <c r="A1431" i="3" s="1"/>
  <c r="A1432" i="3" s="1"/>
  <c r="A1433" i="3" s="1"/>
  <c r="A1434" i="3" s="1"/>
  <c r="G1427" i="3"/>
  <c r="G1428" i="3" s="1"/>
  <c r="G1429" i="3" s="1"/>
  <c r="G1430" i="3" s="1"/>
  <c r="G1431" i="3" s="1"/>
  <c r="G1432" i="3" s="1"/>
  <c r="G1433" i="3" s="1"/>
  <c r="G1434" i="3" s="1"/>
  <c r="H1428" i="3"/>
  <c r="H1429" i="3" s="1"/>
  <c r="H1430" i="3" s="1"/>
  <c r="H1431" i="3" s="1"/>
  <c r="H1432" i="3" s="1"/>
  <c r="H1433" i="3" s="1"/>
  <c r="H1434" i="3" s="1"/>
  <c r="T1431" i="3"/>
  <c r="T1432" i="3"/>
  <c r="T1433" i="3" s="1"/>
  <c r="B1433" i="3"/>
  <c r="B1434" i="3" s="1"/>
  <c r="C1441" i="3"/>
  <c r="E1441" i="3"/>
  <c r="E1442" i="3" s="1"/>
  <c r="E1443" i="3" s="1"/>
  <c r="E1444" i="3" s="1"/>
  <c r="F1441" i="3"/>
  <c r="C1442" i="3"/>
  <c r="C1443" i="3" s="1"/>
  <c r="F1442" i="3"/>
  <c r="F1443" i="3" s="1"/>
  <c r="F1444" i="3" s="1"/>
  <c r="F1445" i="3" s="1"/>
  <c r="F1446" i="3" s="1"/>
  <c r="M1443" i="3"/>
  <c r="O1443" i="3"/>
  <c r="Q1443" i="3"/>
  <c r="C1444" i="3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A1445" i="3"/>
  <c r="A1446" i="3" s="1"/>
  <c r="A1447" i="3" s="1"/>
  <c r="A1448" i="3" s="1"/>
  <c r="A1449" i="3" s="1"/>
  <c r="H1445" i="3"/>
  <c r="I1445" i="3"/>
  <c r="H1446" i="3"/>
  <c r="H1449" i="3" s="1"/>
  <c r="I1446" i="3"/>
  <c r="I1447" i="3" s="1"/>
  <c r="I1448" i="3" s="1"/>
  <c r="I1449" i="3" s="1"/>
  <c r="I1450" i="3" s="1"/>
  <c r="I1451" i="3" s="1"/>
  <c r="I1452" i="3" s="1"/>
  <c r="I1453" i="3" s="1"/>
  <c r="I1454" i="3" s="1"/>
  <c r="I1455" i="3" s="1"/>
  <c r="I1456" i="3" s="1"/>
  <c r="I1457" i="3" s="1"/>
  <c r="I1458" i="3" s="1"/>
  <c r="I1459" i="3" s="1"/>
  <c r="I1460" i="3" s="1"/>
  <c r="I1461" i="3" s="1"/>
  <c r="I1462" i="3" s="1"/>
  <c r="I1463" i="3" s="1"/>
  <c r="I1464" i="3" s="1"/>
  <c r="I1465" i="3" s="1"/>
  <c r="I1466" i="3" s="1"/>
  <c r="I1467" i="3" s="1"/>
  <c r="I1468" i="3" s="1"/>
  <c r="I1469" i="3" s="1"/>
  <c r="F1447" i="3"/>
  <c r="F1448" i="3" s="1"/>
  <c r="F1449" i="3" s="1"/>
  <c r="F1450" i="3" s="1"/>
  <c r="F1451" i="3" s="1"/>
  <c r="F1452" i="3" s="1"/>
  <c r="F1453" i="3" s="1"/>
  <c r="F1454" i="3" s="1"/>
  <c r="F1455" i="3" s="1"/>
  <c r="F1456" i="3" s="1"/>
  <c r="F1457" i="3" s="1"/>
  <c r="F1458" i="3" s="1"/>
  <c r="F1459" i="3" s="1"/>
  <c r="F1460" i="3" s="1"/>
  <c r="F1461" i="3" s="1"/>
  <c r="F1462" i="3" s="1"/>
  <c r="F1463" i="3" s="1"/>
  <c r="F1464" i="3" s="1"/>
  <c r="F1465" i="3" s="1"/>
  <c r="F1466" i="3" s="1"/>
  <c r="F1467" i="3" s="1"/>
  <c r="F1468" i="3" s="1"/>
  <c r="F1469" i="3" s="1"/>
  <c r="F1470" i="3" s="1"/>
  <c r="F1471" i="3" s="1"/>
  <c r="F1472" i="3" s="1"/>
  <c r="F1473" i="3" s="1"/>
  <c r="F1474" i="3" s="1"/>
  <c r="F1475" i="3" s="1"/>
  <c r="F1476" i="3" s="1"/>
  <c r="F1477" i="3" s="1"/>
  <c r="F1478" i="3" s="1"/>
  <c r="F1479" i="3" s="1"/>
  <c r="F1480" i="3" s="1"/>
  <c r="F1481" i="3" s="1"/>
  <c r="F1482" i="3" s="1"/>
  <c r="F1483" i="3" s="1"/>
  <c r="H1447" i="3"/>
  <c r="H1450" i="3" s="1"/>
  <c r="H1453" i="3" s="1"/>
  <c r="H1448" i="3"/>
  <c r="H1451" i="3" s="1"/>
  <c r="A1450" i="3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H1452" i="3"/>
  <c r="H1455" i="3" s="1"/>
  <c r="H1454" i="3"/>
  <c r="H1457" i="3" s="1"/>
  <c r="H1461" i="3" s="1"/>
  <c r="H1465" i="3" s="1"/>
  <c r="H1469" i="3" s="1"/>
  <c r="H1473" i="3" s="1"/>
  <c r="H1456" i="3"/>
  <c r="H1460" i="3" s="1"/>
  <c r="H1464" i="3"/>
  <c r="H1468" i="3" s="1"/>
  <c r="H1472" i="3" s="1"/>
  <c r="C1465" i="3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I1470" i="3"/>
  <c r="I1471" i="3" s="1"/>
  <c r="I1472" i="3" s="1"/>
  <c r="I1473" i="3" s="1"/>
  <c r="I1474" i="3" s="1"/>
  <c r="I1475" i="3" s="1"/>
  <c r="A1477" i="3"/>
  <c r="H1477" i="3"/>
  <c r="H1478" i="3" s="1"/>
  <c r="H1479" i="3" s="1"/>
  <c r="A1478" i="3"/>
  <c r="A1479" i="3"/>
  <c r="A1480" i="3" s="1"/>
  <c r="A1481" i="3" s="1"/>
  <c r="A1482" i="3" s="1"/>
  <c r="A1483" i="3" s="1"/>
  <c r="H1481" i="3"/>
  <c r="H1482" i="3" s="1"/>
  <c r="H1483" i="3" s="1"/>
  <c r="A1490" i="3"/>
  <c r="A1491" i="3" s="1"/>
  <c r="A1492" i="3" s="1"/>
  <c r="A1493" i="3" s="1"/>
  <c r="A1494" i="3" s="1"/>
  <c r="A1495" i="3" s="1"/>
  <c r="A1496" i="3" s="1"/>
  <c r="A1497" i="3" s="1"/>
  <c r="A1498" i="3" s="1"/>
  <c r="A1499" i="3" s="1"/>
  <c r="B1490" i="3"/>
  <c r="B1491" i="3" s="1"/>
  <c r="C1490" i="3"/>
  <c r="C1491" i="3" s="1"/>
  <c r="C1492" i="3" s="1"/>
  <c r="D1490" i="3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E1490" i="3"/>
  <c r="F1490" i="3"/>
  <c r="G1490" i="3"/>
  <c r="F1491" i="3"/>
  <c r="F1492" i="3" s="1"/>
  <c r="F1493" i="3" s="1"/>
  <c r="F1494" i="3" s="1"/>
  <c r="G1491" i="3"/>
  <c r="G1492" i="3" s="1"/>
  <c r="H1491" i="3"/>
  <c r="H1492" i="3" s="1"/>
  <c r="T1491" i="3"/>
  <c r="T1492" i="3" s="1"/>
  <c r="T1493" i="3" s="1"/>
  <c r="B1492" i="3"/>
  <c r="B1493" i="3" s="1"/>
  <c r="B1494" i="3" s="1"/>
  <c r="B1495" i="3" s="1"/>
  <c r="B1496" i="3" s="1"/>
  <c r="B1497" i="3" s="1"/>
  <c r="B1498" i="3" s="1"/>
  <c r="B1499" i="3" s="1"/>
  <c r="B1500" i="3" s="1"/>
  <c r="B1501" i="3" s="1"/>
  <c r="C1493" i="3"/>
  <c r="C1494" i="3" s="1"/>
  <c r="C1495" i="3" s="1"/>
  <c r="C1496" i="3" s="1"/>
  <c r="G1493" i="3"/>
  <c r="G1494" i="3" s="1"/>
  <c r="G1495" i="3" s="1"/>
  <c r="G1496" i="3" s="1"/>
  <c r="G1497" i="3" s="1"/>
  <c r="G1498" i="3" s="1"/>
  <c r="G1499" i="3" s="1"/>
  <c r="G1500" i="3" s="1"/>
  <c r="G1501" i="3" s="1"/>
  <c r="H1493" i="3"/>
  <c r="H1494" i="3" s="1"/>
  <c r="H1495" i="3" s="1"/>
  <c r="H1496" i="3" s="1"/>
  <c r="H1497" i="3" s="1"/>
  <c r="H1498" i="3" s="1"/>
  <c r="H1499" i="3" s="1"/>
  <c r="H1500" i="3" s="1"/>
  <c r="H1501" i="3" s="1"/>
  <c r="F1495" i="3"/>
  <c r="F1496" i="3"/>
  <c r="F1497" i="3" s="1"/>
  <c r="F1498" i="3" s="1"/>
  <c r="F1499" i="3" s="1"/>
  <c r="F1500" i="3" s="1"/>
  <c r="F1501" i="3" s="1"/>
  <c r="C1497" i="3"/>
  <c r="C1498" i="3"/>
  <c r="C1499" i="3" s="1"/>
  <c r="C1500" i="3" s="1"/>
  <c r="C1501" i="3" s="1"/>
  <c r="T1498" i="3"/>
  <c r="T1499" i="3" s="1"/>
  <c r="T1500" i="3" s="1"/>
  <c r="A1500" i="3"/>
  <c r="A1501" i="3" s="1"/>
  <c r="A1508" i="3"/>
  <c r="B1508" i="3"/>
  <c r="C1508" i="3"/>
  <c r="D1508" i="3"/>
  <c r="E1508" i="3"/>
  <c r="F1508" i="3"/>
  <c r="G1508" i="3"/>
  <c r="A1509" i="3"/>
  <c r="A1510" i="3" s="1"/>
  <c r="A1511" i="3" s="1"/>
  <c r="A1512" i="3" s="1"/>
  <c r="B1509" i="3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C1509" i="3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D1509" i="3"/>
  <c r="D1510" i="3" s="1"/>
  <c r="D1511" i="3" s="1"/>
  <c r="F1509" i="3"/>
  <c r="G1509" i="3"/>
  <c r="G1510" i="3" s="1"/>
  <c r="G1511" i="3" s="1"/>
  <c r="G1512" i="3" s="1"/>
  <c r="G1513" i="3" s="1"/>
  <c r="H1509" i="3"/>
  <c r="T1509" i="3"/>
  <c r="T1510" i="3" s="1"/>
  <c r="T1511" i="3" s="1"/>
  <c r="F1510" i="3"/>
  <c r="F1511" i="3" s="1"/>
  <c r="F1512" i="3" s="1"/>
  <c r="F1513" i="3" s="1"/>
  <c r="F1514" i="3" s="1"/>
  <c r="F1515" i="3" s="1"/>
  <c r="F1516" i="3" s="1"/>
  <c r="F1517" i="3" s="1"/>
  <c r="F1518" i="3" s="1"/>
  <c r="F1519" i="3" s="1"/>
  <c r="H1510" i="3"/>
  <c r="H1511" i="3" s="1"/>
  <c r="H1512" i="3" s="1"/>
  <c r="H1513" i="3" s="1"/>
  <c r="H1514" i="3" s="1"/>
  <c r="H1515" i="3" s="1"/>
  <c r="H1516" i="3" s="1"/>
  <c r="H1517" i="3" s="1"/>
  <c r="H1518" i="3" s="1"/>
  <c r="H1519" i="3" s="1"/>
  <c r="D1512" i="3"/>
  <c r="D1513" i="3" s="1"/>
  <c r="D1514" i="3" s="1"/>
  <c r="D1515" i="3" s="1"/>
  <c r="D1516" i="3" s="1"/>
  <c r="D1517" i="3" s="1"/>
  <c r="D1518" i="3" s="1"/>
  <c r="D1519" i="3" s="1"/>
  <c r="A1513" i="3"/>
  <c r="A1514" i="3"/>
  <c r="A1515" i="3" s="1"/>
  <c r="A1516" i="3" s="1"/>
  <c r="A1517" i="3" s="1"/>
  <c r="A1518" i="3" s="1"/>
  <c r="A1519" i="3" s="1"/>
  <c r="G1514" i="3"/>
  <c r="G1515" i="3" s="1"/>
  <c r="G1516" i="3" s="1"/>
  <c r="G1517" i="3" s="1"/>
  <c r="G1518" i="3" s="1"/>
  <c r="G1519" i="3" s="1"/>
  <c r="T1516" i="3"/>
  <c r="T1517" i="3"/>
  <c r="T1518" i="3" s="1"/>
  <c r="A1526" i="3"/>
  <c r="B1526" i="3"/>
  <c r="B1527" i="3" s="1"/>
  <c r="B1528" i="3" s="1"/>
  <c r="C1526" i="3"/>
  <c r="C1527" i="3" s="1"/>
  <c r="D1526" i="3"/>
  <c r="D1527" i="3" s="1"/>
  <c r="E1526" i="3"/>
  <c r="F1526" i="3"/>
  <c r="F1527" i="3" s="1"/>
  <c r="F1528" i="3" s="1"/>
  <c r="F1529" i="3" s="1"/>
  <c r="F1530" i="3" s="1"/>
  <c r="F1531" i="3" s="1"/>
  <c r="F1532" i="3" s="1"/>
  <c r="F1533" i="3" s="1"/>
  <c r="F1534" i="3" s="1"/>
  <c r="F1535" i="3" s="1"/>
  <c r="F1536" i="3" s="1"/>
  <c r="F1537" i="3" s="1"/>
  <c r="G1526" i="3"/>
  <c r="G1527" i="3" s="1"/>
  <c r="G1528" i="3" s="1"/>
  <c r="G1529" i="3" s="1"/>
  <c r="G1530" i="3" s="1"/>
  <c r="G1531" i="3" s="1"/>
  <c r="G1532" i="3" s="1"/>
  <c r="G1533" i="3" s="1"/>
  <c r="G1534" i="3" s="1"/>
  <c r="G1535" i="3" s="1"/>
  <c r="G1536" i="3" s="1"/>
  <c r="G1537" i="3" s="1"/>
  <c r="A1527" i="3"/>
  <c r="A1528" i="3" s="1"/>
  <c r="A1529" i="3" s="1"/>
  <c r="A1530" i="3" s="1"/>
  <c r="H1527" i="3"/>
  <c r="H1528" i="3" s="1"/>
  <c r="T1527" i="3"/>
  <c r="T1528" i="3" s="1"/>
  <c r="C1528" i="3"/>
  <c r="C1529" i="3" s="1"/>
  <c r="C1530" i="3" s="1"/>
  <c r="C1531" i="3" s="1"/>
  <c r="C1532" i="3" s="1"/>
  <c r="C1533" i="3" s="1"/>
  <c r="C1534" i="3" s="1"/>
  <c r="C1535" i="3" s="1"/>
  <c r="C1536" i="3" s="1"/>
  <c r="C1537" i="3" s="1"/>
  <c r="D1528" i="3"/>
  <c r="D1529" i="3" s="1"/>
  <c r="D1530" i="3" s="1"/>
  <c r="D1531" i="3" s="1"/>
  <c r="D1532" i="3" s="1"/>
  <c r="D1533" i="3" s="1"/>
  <c r="D1534" i="3" s="1"/>
  <c r="D1535" i="3" s="1"/>
  <c r="D1536" i="3" s="1"/>
  <c r="D1537" i="3" s="1"/>
  <c r="B1529" i="3"/>
  <c r="B1530" i="3" s="1"/>
  <c r="B1531" i="3" s="1"/>
  <c r="B1532" i="3" s="1"/>
  <c r="B1533" i="3" s="1"/>
  <c r="H1529" i="3"/>
  <c r="H1530" i="3" s="1"/>
  <c r="H1531" i="3" s="1"/>
  <c r="H1532" i="3" s="1"/>
  <c r="H1533" i="3" s="1"/>
  <c r="H1534" i="3" s="1"/>
  <c r="H1535" i="3" s="1"/>
  <c r="H1536" i="3" s="1"/>
  <c r="H1537" i="3" s="1"/>
  <c r="T1529" i="3"/>
  <c r="A1531" i="3"/>
  <c r="A1532" i="3" s="1"/>
  <c r="A1533" i="3" s="1"/>
  <c r="A1534" i="3" s="1"/>
  <c r="A1535" i="3" s="1"/>
  <c r="A1536" i="3" s="1"/>
  <c r="A1537" i="3" s="1"/>
  <c r="B1534" i="3"/>
  <c r="B1535" i="3" s="1"/>
  <c r="B1536" i="3" s="1"/>
  <c r="T1534" i="3"/>
  <c r="T1535" i="3"/>
  <c r="T1536" i="3"/>
  <c r="B1537" i="3"/>
  <c r="A1544" i="3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B1544" i="3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C1544" i="3"/>
  <c r="D1544" i="3"/>
  <c r="D1545" i="3" s="1"/>
  <c r="E1544" i="3"/>
  <c r="E1545" i="3" s="1"/>
  <c r="F1544" i="3"/>
  <c r="G1544" i="3"/>
  <c r="G1545" i="3" s="1"/>
  <c r="G1546" i="3" s="1"/>
  <c r="V1544" i="3"/>
  <c r="C1545" i="3"/>
  <c r="F1545" i="3"/>
  <c r="F1546" i="3" s="1"/>
  <c r="F1547" i="3" s="1"/>
  <c r="H1545" i="3"/>
  <c r="H1546" i="3" s="1"/>
  <c r="T1545" i="3"/>
  <c r="T1546" i="3" s="1"/>
  <c r="T1547" i="3" s="1"/>
  <c r="C1546" i="3"/>
  <c r="C1547" i="3" s="1"/>
  <c r="C1548" i="3" s="1"/>
  <c r="C1549" i="3" s="1"/>
  <c r="C1550" i="3" s="1"/>
  <c r="C1551" i="3" s="1"/>
  <c r="C1552" i="3" s="1"/>
  <c r="C1553" i="3" s="1"/>
  <c r="C1554" i="3" s="1"/>
  <c r="C1555" i="3" s="1"/>
  <c r="D1546" i="3"/>
  <c r="D1547" i="3" s="1"/>
  <c r="D1548" i="3" s="1"/>
  <c r="D1549" i="3" s="1"/>
  <c r="D1550" i="3" s="1"/>
  <c r="D1551" i="3" s="1"/>
  <c r="D1552" i="3" s="1"/>
  <c r="D1553" i="3" s="1"/>
  <c r="D1554" i="3" s="1"/>
  <c r="D1555" i="3" s="1"/>
  <c r="G1547" i="3"/>
  <c r="G1548" i="3" s="1"/>
  <c r="G1549" i="3" s="1"/>
  <c r="G1550" i="3" s="1"/>
  <c r="H1547" i="3"/>
  <c r="H1548" i="3" s="1"/>
  <c r="H1549" i="3" s="1"/>
  <c r="H1550" i="3" s="1"/>
  <c r="H1551" i="3" s="1"/>
  <c r="H1552" i="3" s="1"/>
  <c r="H1553" i="3" s="1"/>
  <c r="H1554" i="3" s="1"/>
  <c r="H1555" i="3" s="1"/>
  <c r="F1548" i="3"/>
  <c r="F1549" i="3" s="1"/>
  <c r="F1550" i="3" s="1"/>
  <c r="F1551" i="3" s="1"/>
  <c r="F1552" i="3" s="1"/>
  <c r="F1553" i="3" s="1"/>
  <c r="F1554" i="3" s="1"/>
  <c r="F1555" i="3" s="1"/>
  <c r="G1551" i="3"/>
  <c r="G1552" i="3" s="1"/>
  <c r="G1553" i="3" s="1"/>
  <c r="G1554" i="3" s="1"/>
  <c r="G1555" i="3" s="1"/>
  <c r="T1552" i="3"/>
  <c r="T1553" i="3"/>
  <c r="T1554" i="3" s="1"/>
  <c r="A1562" i="3"/>
  <c r="B1562" i="3"/>
  <c r="B1563" i="3" s="1"/>
  <c r="C1562" i="3"/>
  <c r="C1563" i="3" s="1"/>
  <c r="D1562" i="3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E1562" i="3"/>
  <c r="E1563" i="3" s="1"/>
  <c r="F1562" i="3"/>
  <c r="G1562" i="3"/>
  <c r="G1563" i="3" s="1"/>
  <c r="G1564" i="3" s="1"/>
  <c r="A1563" i="3"/>
  <c r="H1563" i="3"/>
  <c r="H1564" i="3" s="1"/>
  <c r="T1563" i="3"/>
  <c r="T1564" i="3" s="1"/>
  <c r="T1565" i="3" s="1"/>
  <c r="A1564" i="3"/>
  <c r="A1565" i="3" s="1"/>
  <c r="A1566" i="3" s="1"/>
  <c r="A1567" i="3" s="1"/>
  <c r="A1568" i="3" s="1"/>
  <c r="A1569" i="3" s="1"/>
  <c r="A1570" i="3" s="1"/>
  <c r="B1564" i="3"/>
  <c r="C1564" i="3"/>
  <c r="E1564" i="3"/>
  <c r="B1565" i="3"/>
  <c r="B1566" i="3" s="1"/>
  <c r="B1567" i="3" s="1"/>
  <c r="B1568" i="3" s="1"/>
  <c r="B1569" i="3" s="1"/>
  <c r="B1570" i="3" s="1"/>
  <c r="B1571" i="3" s="1"/>
  <c r="B1572" i="3" s="1"/>
  <c r="B1573" i="3" s="1"/>
  <c r="C1565" i="3"/>
  <c r="C1566" i="3" s="1"/>
  <c r="C1567" i="3" s="1"/>
  <c r="C1568" i="3" s="1"/>
  <c r="C1569" i="3" s="1"/>
  <c r="C1570" i="3" s="1"/>
  <c r="C1571" i="3" s="1"/>
  <c r="C1572" i="3" s="1"/>
  <c r="C1573" i="3" s="1"/>
  <c r="G1565" i="3"/>
  <c r="H1565" i="3"/>
  <c r="H1566" i="3" s="1"/>
  <c r="H1567" i="3" s="1"/>
  <c r="H1568" i="3" s="1"/>
  <c r="H1569" i="3" s="1"/>
  <c r="H1570" i="3" s="1"/>
  <c r="H1571" i="3" s="1"/>
  <c r="H1572" i="3" s="1"/>
  <c r="H1573" i="3" s="1"/>
  <c r="G1566" i="3"/>
  <c r="G1567" i="3" s="1"/>
  <c r="G1568" i="3" s="1"/>
  <c r="G1569" i="3" s="1"/>
  <c r="G1570" i="3" s="1"/>
  <c r="G1571" i="3" s="1"/>
  <c r="G1572" i="3" s="1"/>
  <c r="G1573" i="3" s="1"/>
  <c r="T1570" i="3"/>
  <c r="A1571" i="3"/>
  <c r="A1572" i="3" s="1"/>
  <c r="A1573" i="3" s="1"/>
  <c r="T1571" i="3"/>
  <c r="T1572" i="3"/>
  <c r="A1580" i="3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B1580" i="3"/>
  <c r="C1580" i="3"/>
  <c r="D1580" i="3"/>
  <c r="D1581" i="3" s="1"/>
  <c r="D1582" i="3" s="1"/>
  <c r="D1583" i="3" s="1"/>
  <c r="D1584" i="3" s="1"/>
  <c r="D1585" i="3" s="1"/>
  <c r="D1586" i="3" s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E1580" i="3"/>
  <c r="F1580" i="3"/>
  <c r="V1580" i="3" s="1"/>
  <c r="G1580" i="3"/>
  <c r="B1581" i="3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C1581" i="3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E1581" i="3"/>
  <c r="F1581" i="3"/>
  <c r="F1582" i="3" s="1"/>
  <c r="F1583" i="3" s="1"/>
  <c r="F1584" i="3" s="1"/>
  <c r="F1585" i="3" s="1"/>
  <c r="F1586" i="3" s="1"/>
  <c r="G1581" i="3"/>
  <c r="H1581" i="3"/>
  <c r="T1581" i="3"/>
  <c r="G1582" i="3"/>
  <c r="G1583" i="3" s="1"/>
  <c r="G1584" i="3" s="1"/>
  <c r="G1585" i="3" s="1"/>
  <c r="G1586" i="3" s="1"/>
  <c r="H1582" i="3"/>
  <c r="H1583" i="3" s="1"/>
  <c r="H1584" i="3" s="1"/>
  <c r="H1585" i="3" s="1"/>
  <c r="H1586" i="3" s="1"/>
  <c r="H1587" i="3" s="1"/>
  <c r="H1588" i="3" s="1"/>
  <c r="H1589" i="3" s="1"/>
  <c r="H1590" i="3" s="1"/>
  <c r="H1591" i="3" s="1"/>
  <c r="T1582" i="3"/>
  <c r="T1583" i="3" s="1"/>
  <c r="F1587" i="3"/>
  <c r="F1588" i="3" s="1"/>
  <c r="F1589" i="3" s="1"/>
  <c r="F1590" i="3" s="1"/>
  <c r="F1591" i="3" s="1"/>
  <c r="F1592" i="3" s="1"/>
  <c r="F1593" i="3" s="1"/>
  <c r="F1594" i="3" s="1"/>
  <c r="F1595" i="3" s="1"/>
  <c r="F1596" i="3" s="1"/>
  <c r="F1597" i="3" s="1"/>
  <c r="F1598" i="3" s="1"/>
  <c r="F1599" i="3" s="1"/>
  <c r="F1600" i="3" s="1"/>
  <c r="F1601" i="3" s="1"/>
  <c r="F1602" i="3" s="1"/>
  <c r="F1603" i="3" s="1"/>
  <c r="G1587" i="3"/>
  <c r="G1588" i="3" s="1"/>
  <c r="G1589" i="3" s="1"/>
  <c r="G1590" i="3" s="1"/>
  <c r="G1591" i="3" s="1"/>
  <c r="G1592" i="3" s="1"/>
  <c r="G1593" i="3" s="1"/>
  <c r="G1594" i="3" s="1"/>
  <c r="G1595" i="3" s="1"/>
  <c r="G1596" i="3" s="1"/>
  <c r="G1597" i="3" s="1"/>
  <c r="G1598" i="3" s="1"/>
  <c r="G1599" i="3" s="1"/>
  <c r="G1600" i="3" s="1"/>
  <c r="G1601" i="3" s="1"/>
  <c r="G1602" i="3" s="1"/>
  <c r="G1603" i="3" s="1"/>
  <c r="A1592" i="3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H1593" i="3"/>
  <c r="H1594" i="3"/>
  <c r="H1595" i="3" s="1"/>
  <c r="H1596" i="3" s="1"/>
  <c r="H1597" i="3" s="1"/>
  <c r="H1598" i="3" s="1"/>
  <c r="H1599" i="3" s="1"/>
  <c r="H1600" i="3" s="1"/>
  <c r="H1601" i="3" s="1"/>
  <c r="H1602" i="3" s="1"/>
  <c r="H1603" i="3" s="1"/>
  <c r="T1595" i="3"/>
  <c r="T1597" i="3"/>
  <c r="C1611" i="3"/>
  <c r="E1611" i="3"/>
  <c r="E1612" i="3" s="1"/>
  <c r="E1613" i="3" s="1"/>
  <c r="E1614" i="3" s="1"/>
  <c r="F1611" i="3"/>
  <c r="C1612" i="3"/>
  <c r="F1612" i="3"/>
  <c r="F1613" i="3" s="1"/>
  <c r="F1614" i="3" s="1"/>
  <c r="F1615" i="3" s="1"/>
  <c r="F1616" i="3" s="1"/>
  <c r="F1617" i="3" s="1"/>
  <c r="F1618" i="3" s="1"/>
  <c r="F1619" i="3" s="1"/>
  <c r="F1620" i="3" s="1"/>
  <c r="F1621" i="3" s="1"/>
  <c r="F1622" i="3" s="1"/>
  <c r="F1623" i="3" s="1"/>
  <c r="F1624" i="3" s="1"/>
  <c r="F1625" i="3" s="1"/>
  <c r="F1626" i="3" s="1"/>
  <c r="F1627" i="3" s="1"/>
  <c r="F1628" i="3" s="1"/>
  <c r="F1629" i="3" s="1"/>
  <c r="F1630" i="3" s="1"/>
  <c r="F1631" i="3" s="1"/>
  <c r="F1632" i="3" s="1"/>
  <c r="F1633" i="3" s="1"/>
  <c r="F1634" i="3" s="1"/>
  <c r="F1635" i="3" s="1"/>
  <c r="F1636" i="3" s="1"/>
  <c r="F1637" i="3" s="1"/>
  <c r="F1638" i="3" s="1"/>
  <c r="F1639" i="3" s="1"/>
  <c r="F1640" i="3" s="1"/>
  <c r="F1641" i="3" s="1"/>
  <c r="F1642" i="3" s="1"/>
  <c r="F1643" i="3" s="1"/>
  <c r="F1644" i="3" s="1"/>
  <c r="F1645" i="3" s="1"/>
  <c r="F1646" i="3" s="1"/>
  <c r="F1647" i="3" s="1"/>
  <c r="F1648" i="3" s="1"/>
  <c r="F1649" i="3" s="1"/>
  <c r="F1650" i="3" s="1"/>
  <c r="F1651" i="3" s="1"/>
  <c r="F1652" i="3" s="1"/>
  <c r="F1653" i="3" s="1"/>
  <c r="F1654" i="3" s="1"/>
  <c r="F1655" i="3" s="1"/>
  <c r="F1656" i="3" s="1"/>
  <c r="F1657" i="3" s="1"/>
  <c r="F1658" i="3" s="1"/>
  <c r="F1659" i="3" s="1"/>
  <c r="F1660" i="3" s="1"/>
  <c r="F1661" i="3" s="1"/>
  <c r="F1662" i="3" s="1"/>
  <c r="F1663" i="3" s="1"/>
  <c r="F1664" i="3" s="1"/>
  <c r="F1665" i="3" s="1"/>
  <c r="F1666" i="3" s="1"/>
  <c r="F1667" i="3" s="1"/>
  <c r="F1668" i="3" s="1"/>
  <c r="F1669" i="3" s="1"/>
  <c r="F1670" i="3" s="1"/>
  <c r="F1671" i="3" s="1"/>
  <c r="F1672" i="3" s="1"/>
  <c r="F1673" i="3" s="1"/>
  <c r="F1674" i="3" s="1"/>
  <c r="F1675" i="3" s="1"/>
  <c r="F1676" i="3" s="1"/>
  <c r="F1677" i="3" s="1"/>
  <c r="F1678" i="3" s="1"/>
  <c r="F1679" i="3" s="1"/>
  <c r="F1680" i="3" s="1"/>
  <c r="F1681" i="3" s="1"/>
  <c r="F1682" i="3" s="1"/>
  <c r="F1683" i="3" s="1"/>
  <c r="F1684" i="3" s="1"/>
  <c r="F1685" i="3" s="1"/>
  <c r="F1686" i="3" s="1"/>
  <c r="F1687" i="3" s="1"/>
  <c r="F1688" i="3" s="1"/>
  <c r="F1689" i="3" s="1"/>
  <c r="F1690" i="3" s="1"/>
  <c r="F1691" i="3" s="1"/>
  <c r="F1692" i="3" s="1"/>
  <c r="F1693" i="3" s="1"/>
  <c r="F1694" i="3" s="1"/>
  <c r="F1695" i="3" s="1"/>
  <c r="F1696" i="3" s="1"/>
  <c r="F1697" i="3" s="1"/>
  <c r="F1698" i="3" s="1"/>
  <c r="F1699" i="3" s="1"/>
  <c r="F1700" i="3" s="1"/>
  <c r="F1701" i="3" s="1"/>
  <c r="F1702" i="3" s="1"/>
  <c r="F1703" i="3" s="1"/>
  <c r="F1704" i="3" s="1"/>
  <c r="F1705" i="3" s="1"/>
  <c r="F1706" i="3" s="1"/>
  <c r="F1707" i="3" s="1"/>
  <c r="F1708" i="3" s="1"/>
  <c r="F1709" i="3" s="1"/>
  <c r="F1710" i="3" s="1"/>
  <c r="F1711" i="3" s="1"/>
  <c r="F1712" i="3" s="1"/>
  <c r="F1713" i="3" s="1"/>
  <c r="F1714" i="3" s="1"/>
  <c r="F1715" i="3" s="1"/>
  <c r="F1716" i="3" s="1"/>
  <c r="F1717" i="3" s="1"/>
  <c r="F1718" i="3" s="1"/>
  <c r="F1719" i="3" s="1"/>
  <c r="F1720" i="3" s="1"/>
  <c r="F1721" i="3" s="1"/>
  <c r="F1722" i="3" s="1"/>
  <c r="F1723" i="3" s="1"/>
  <c r="F1724" i="3" s="1"/>
  <c r="F1725" i="3" s="1"/>
  <c r="F1726" i="3" s="1"/>
  <c r="F1727" i="3" s="1"/>
  <c r="F1728" i="3" s="1"/>
  <c r="F1729" i="3" s="1"/>
  <c r="F1730" i="3" s="1"/>
  <c r="F1731" i="3" s="1"/>
  <c r="F1732" i="3" s="1"/>
  <c r="F1733" i="3" s="1"/>
  <c r="C1613" i="3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M1613" i="3"/>
  <c r="O1613" i="3"/>
  <c r="Q1613" i="3" s="1"/>
  <c r="H1614" i="3"/>
  <c r="H1617" i="3" s="1"/>
  <c r="H1620" i="3" s="1"/>
  <c r="H1623" i="3" s="1"/>
  <c r="H1615" i="3"/>
  <c r="H1618" i="3" s="1"/>
  <c r="H1621" i="3" s="1"/>
  <c r="H1624" i="3" s="1"/>
  <c r="H1627" i="3" s="1"/>
  <c r="H1631" i="3" s="1"/>
  <c r="H1635" i="3" s="1"/>
  <c r="H1639" i="3" s="1"/>
  <c r="H1643" i="3" s="1"/>
  <c r="I1615" i="3"/>
  <c r="I1616" i="3" s="1"/>
  <c r="I1617" i="3" s="1"/>
  <c r="I1618" i="3" s="1"/>
  <c r="I1619" i="3" s="1"/>
  <c r="I1620" i="3" s="1"/>
  <c r="I1621" i="3" s="1"/>
  <c r="I1622" i="3" s="1"/>
  <c r="I1623" i="3" s="1"/>
  <c r="I1624" i="3" s="1"/>
  <c r="I1625" i="3" s="1"/>
  <c r="I1626" i="3" s="1"/>
  <c r="I1627" i="3" s="1"/>
  <c r="I1628" i="3" s="1"/>
  <c r="I1629" i="3" s="1"/>
  <c r="I1630" i="3" s="1"/>
  <c r="I1631" i="3" s="1"/>
  <c r="I1632" i="3" s="1"/>
  <c r="I1633" i="3" s="1"/>
  <c r="I1634" i="3" s="1"/>
  <c r="I1635" i="3" s="1"/>
  <c r="I1636" i="3" s="1"/>
  <c r="I1637" i="3" s="1"/>
  <c r="I1638" i="3" s="1"/>
  <c r="I1639" i="3" s="1"/>
  <c r="I1640" i="3" s="1"/>
  <c r="I1641" i="3" s="1"/>
  <c r="I1642" i="3" s="1"/>
  <c r="I1643" i="3" s="1"/>
  <c r="I1644" i="3" s="1"/>
  <c r="I1645" i="3" s="1"/>
  <c r="A1616" i="3"/>
  <c r="H1616" i="3"/>
  <c r="H1619" i="3" s="1"/>
  <c r="A1617" i="3"/>
  <c r="A1618" i="3" s="1"/>
  <c r="A1619" i="3" s="1"/>
  <c r="A1620" i="3" s="1"/>
  <c r="A1621" i="3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H1622" i="3"/>
  <c r="H1625" i="3" s="1"/>
  <c r="H1628" i="3" s="1"/>
  <c r="H1632" i="3" s="1"/>
  <c r="H1636" i="3" s="1"/>
  <c r="H1640" i="3" s="1"/>
  <c r="H1644" i="3" s="1"/>
  <c r="H1626" i="3"/>
  <c r="H1630" i="3" s="1"/>
  <c r="H1634" i="3" s="1"/>
  <c r="H1638" i="3" s="1"/>
  <c r="H1642" i="3" s="1"/>
  <c r="A1647" i="3"/>
  <c r="A1648" i="3" s="1"/>
  <c r="I1647" i="3"/>
  <c r="I1648" i="3" s="1"/>
  <c r="I1649" i="3" s="1"/>
  <c r="I1650" i="3" s="1"/>
  <c r="I1651" i="3" s="1"/>
  <c r="I1652" i="3" s="1"/>
  <c r="I1653" i="3" s="1"/>
  <c r="I1654" i="3" s="1"/>
  <c r="I1655" i="3" s="1"/>
  <c r="I1656" i="3" s="1"/>
  <c r="I1657" i="3" s="1"/>
  <c r="I1658" i="3" s="1"/>
  <c r="I1659" i="3" s="1"/>
  <c r="I1660" i="3" s="1"/>
  <c r="I1661" i="3" s="1"/>
  <c r="I1662" i="3" s="1"/>
  <c r="I1663" i="3" s="1"/>
  <c r="I1664" i="3" s="1"/>
  <c r="I1665" i="3" s="1"/>
  <c r="I1666" i="3" s="1"/>
  <c r="A1649" i="3"/>
  <c r="A1650" i="3" s="1"/>
  <c r="A1651" i="3" s="1"/>
  <c r="A1652" i="3" s="1"/>
  <c r="A1653" i="3" s="1"/>
  <c r="A1654" i="3" s="1"/>
  <c r="A1655" i="3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I1667" i="3"/>
  <c r="I1668" i="3" s="1"/>
  <c r="I1669" i="3" s="1"/>
  <c r="I1670" i="3" s="1"/>
  <c r="I1671" i="3" s="1"/>
  <c r="I1672" i="3" s="1"/>
  <c r="I1673" i="3" s="1"/>
  <c r="I1674" i="3" s="1"/>
  <c r="I1675" i="3" s="1"/>
  <c r="I1676" i="3" s="1"/>
  <c r="I1677" i="3" s="1"/>
  <c r="A1679" i="3"/>
  <c r="H1679" i="3"/>
  <c r="H1680" i="3" s="1"/>
  <c r="I1679" i="3"/>
  <c r="A1680" i="3"/>
  <c r="A1681" i="3" s="1"/>
  <c r="A1682" i="3" s="1"/>
  <c r="A1683" i="3" s="1"/>
  <c r="A1684" i="3" s="1"/>
  <c r="I1680" i="3"/>
  <c r="I1681" i="3" s="1"/>
  <c r="I1682" i="3" s="1"/>
  <c r="I1683" i="3" s="1"/>
  <c r="I1684" i="3" s="1"/>
  <c r="I1685" i="3" s="1"/>
  <c r="I1686" i="3" s="1"/>
  <c r="I1687" i="3" s="1"/>
  <c r="I1688" i="3" s="1"/>
  <c r="I1689" i="3" s="1"/>
  <c r="I1690" i="3" s="1"/>
  <c r="I1691" i="3" s="1"/>
  <c r="I1692" i="3" s="1"/>
  <c r="I1693" i="3" s="1"/>
  <c r="H1681" i="3"/>
  <c r="H1682" i="3"/>
  <c r="H1683" i="3" s="1"/>
  <c r="H1684" i="3" s="1"/>
  <c r="H1685" i="3" s="1"/>
  <c r="H1686" i="3" s="1"/>
  <c r="H1687" i="3" s="1"/>
  <c r="H1688" i="3" s="1"/>
  <c r="H1689" i="3" s="1"/>
  <c r="H1690" i="3" s="1"/>
  <c r="H1691" i="3" s="1"/>
  <c r="H1692" i="3" s="1"/>
  <c r="H1693" i="3" s="1"/>
  <c r="A1685" i="3"/>
  <c r="A1686" i="3" s="1"/>
  <c r="A1687" i="3" s="1"/>
  <c r="A1688" i="3" s="1"/>
  <c r="A1689" i="3" s="1"/>
  <c r="A1690" i="3" s="1"/>
  <c r="A1691" i="3" s="1"/>
  <c r="A1692" i="3" s="1"/>
  <c r="A1693" i="3" s="1"/>
  <c r="A1695" i="3"/>
  <c r="A1696" i="3" s="1"/>
  <c r="H1695" i="3"/>
  <c r="H1696" i="3" s="1"/>
  <c r="H1697" i="3" s="1"/>
  <c r="H1698" i="3" s="1"/>
  <c r="H1699" i="3" s="1"/>
  <c r="H1700" i="3" s="1"/>
  <c r="H1701" i="3" s="1"/>
  <c r="I1695" i="3"/>
  <c r="I1696" i="3"/>
  <c r="I1697" i="3" s="1"/>
  <c r="I1698" i="3" s="1"/>
  <c r="I1699" i="3" s="1"/>
  <c r="I1700" i="3" s="1"/>
  <c r="A1697" i="3"/>
  <c r="A1698" i="3" s="1"/>
  <c r="A1699" i="3"/>
  <c r="A1700" i="3" s="1"/>
  <c r="A1701" i="3" s="1"/>
  <c r="I1701" i="3"/>
  <c r="A1703" i="3"/>
  <c r="H1703" i="3"/>
  <c r="I1703" i="3"/>
  <c r="A1704" i="3"/>
  <c r="A1705" i="3" s="1"/>
  <c r="H1704" i="3"/>
  <c r="H1705" i="3" s="1"/>
  <c r="H1706" i="3" s="1"/>
  <c r="H1707" i="3" s="1"/>
  <c r="H1708" i="3" s="1"/>
  <c r="H1709" i="3" s="1"/>
  <c r="I1704" i="3"/>
  <c r="I1705" i="3" s="1"/>
  <c r="I1706" i="3" s="1"/>
  <c r="I1707" i="3" s="1"/>
  <c r="I1708" i="3" s="1"/>
  <c r="I1709" i="3" s="1"/>
  <c r="A1706" i="3"/>
  <c r="A1707" i="3" s="1"/>
  <c r="A1708" i="3"/>
  <c r="A1709" i="3" s="1"/>
  <c r="A1711" i="3"/>
  <c r="H1711" i="3"/>
  <c r="A1712" i="3"/>
  <c r="A1713" i="3" s="1"/>
  <c r="H1712" i="3"/>
  <c r="H1713" i="3" s="1"/>
  <c r="A1715" i="3"/>
  <c r="A1716" i="3" s="1"/>
  <c r="A1717" i="3" s="1"/>
  <c r="H1715" i="3"/>
  <c r="H1716" i="3"/>
  <c r="H1717" i="3"/>
  <c r="A1719" i="3"/>
  <c r="A1720" i="3" s="1"/>
  <c r="A1721" i="3" s="1"/>
  <c r="H1719" i="3"/>
  <c r="H1720" i="3"/>
  <c r="H1721" i="3" s="1"/>
  <c r="A1723" i="3"/>
  <c r="A1724" i="3" s="1"/>
  <c r="A1725" i="3" s="1"/>
  <c r="H1723" i="3"/>
  <c r="H1724" i="3" s="1"/>
  <c r="H1725" i="3" s="1"/>
  <c r="A1727" i="3"/>
  <c r="H1727" i="3"/>
  <c r="H1728" i="3" s="1"/>
  <c r="H1729" i="3" s="1"/>
  <c r="A1728" i="3"/>
  <c r="A1729" i="3" s="1"/>
  <c r="A1731" i="3"/>
  <c r="A1732" i="3" s="1"/>
  <c r="A1733" i="3" s="1"/>
  <c r="H1731" i="3"/>
  <c r="H1732" i="3" s="1"/>
  <c r="H1733" i="3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B6" i="2"/>
  <c r="B7" i="2" s="1"/>
  <c r="B8" i="2" s="1"/>
  <c r="B9" i="2" s="1"/>
  <c r="B10" i="2" s="1"/>
  <c r="B11" i="2" s="1"/>
  <c r="B12" i="2" s="1"/>
  <c r="B13" i="2" s="1"/>
  <c r="C6" i="2"/>
  <c r="C7" i="2" s="1"/>
  <c r="C8" i="2" s="1"/>
  <c r="C9" i="2" s="1"/>
  <c r="C10" i="2" s="1"/>
  <c r="C11" i="2" s="1"/>
  <c r="C12" i="2" s="1"/>
  <c r="C13" i="2" s="1"/>
  <c r="D6" i="2"/>
  <c r="D7" i="2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H10" i="2"/>
  <c r="H11" i="2" s="1"/>
  <c r="H13" i="2"/>
  <c r="H14" i="2" s="1"/>
  <c r="H15" i="2" s="1"/>
  <c r="H16" i="2" s="1"/>
  <c r="H17" i="2" s="1"/>
  <c r="H18" i="2" s="1"/>
  <c r="D23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A24" i="2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C24" i="2"/>
  <c r="F24" i="2"/>
  <c r="F25" i="2" s="1"/>
  <c r="A25" i="2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C25" i="2"/>
  <c r="N25" i="2"/>
  <c r="P25" i="2" s="1"/>
  <c r="R25" i="2" s="1"/>
  <c r="C26" i="2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H26" i="2"/>
  <c r="H28" i="2" s="1"/>
  <c r="H31" i="2" s="1"/>
  <c r="H34" i="2" s="1"/>
  <c r="H37" i="2" s="1"/>
  <c r="I27" i="2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AH27" i="2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AH57" i="2" s="1"/>
  <c r="H29" i="2"/>
  <c r="H32" i="2" s="1"/>
  <c r="H35" i="2" s="1"/>
  <c r="H38" i="2"/>
  <c r="H42" i="2"/>
  <c r="H46" i="2" s="1"/>
  <c r="H50" i="2" s="1"/>
  <c r="H54" i="2" s="1"/>
  <c r="A59" i="2"/>
  <c r="I59" i="2"/>
  <c r="AH59" i="2"/>
  <c r="AH60" i="2" s="1"/>
  <c r="AH61" i="2" s="1"/>
  <c r="A60" i="2"/>
  <c r="A61" i="2" s="1"/>
  <c r="I60" i="2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A62" i="2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H62" i="2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91" i="2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I91" i="2"/>
  <c r="AH91" i="2"/>
  <c r="I92" i="2"/>
  <c r="AH92" i="2"/>
  <c r="I93" i="2"/>
  <c r="I94" i="2" s="1"/>
  <c r="I95" i="2" s="1"/>
  <c r="I96" i="2" s="1"/>
  <c r="I97" i="2" s="1"/>
  <c r="I98" i="2" s="1"/>
  <c r="I99" i="2" s="1"/>
  <c r="AH93" i="2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H107" i="2" s="1"/>
  <c r="AH108" i="2" s="1"/>
  <c r="AH109" i="2" s="1"/>
  <c r="AH110" i="2" s="1"/>
  <c r="AH111" i="2" s="1"/>
  <c r="AH112" i="2" s="1"/>
  <c r="I100" i="2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AH113" i="2"/>
  <c r="AH114" i="2" s="1"/>
  <c r="AH115" i="2" s="1"/>
  <c r="AH116" i="2" s="1"/>
  <c r="AH117" i="2" s="1"/>
  <c r="AH118" i="2" s="1"/>
  <c r="AH119" i="2" s="1"/>
  <c r="AH120" i="2" s="1"/>
  <c r="AH121" i="2" s="1"/>
  <c r="A123" i="2"/>
  <c r="I123" i="2"/>
  <c r="I124" i="2" s="1"/>
  <c r="AH123" i="2"/>
  <c r="AH124" i="2" s="1"/>
  <c r="AH125" i="2" s="1"/>
  <c r="A124" i="2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I125" i="2"/>
  <c r="I126" i="2"/>
  <c r="I127" i="2" s="1"/>
  <c r="I128" i="2" s="1"/>
  <c r="I129" i="2" s="1"/>
  <c r="I130" i="2" s="1"/>
  <c r="I131" i="2" s="1"/>
  <c r="I132" i="2" s="1"/>
  <c r="I133" i="2" s="1"/>
  <c r="AH126" i="2"/>
  <c r="AH127" i="2" s="1"/>
  <c r="AH128" i="2"/>
  <c r="AH129" i="2" s="1"/>
  <c r="AH130" i="2" s="1"/>
  <c r="AH131" i="2" s="1"/>
  <c r="AH132" i="2" s="1"/>
  <c r="AH133" i="2" s="1"/>
  <c r="AH134" i="2" s="1"/>
  <c r="AH135" i="2" s="1"/>
  <c r="AH136" i="2" s="1"/>
  <c r="AH137" i="2" s="1"/>
  <c r="AH138" i="2" s="1"/>
  <c r="AH139" i="2" s="1"/>
  <c r="AH140" i="2" s="1"/>
  <c r="AH141" i="2" s="1"/>
  <c r="AH142" i="2" s="1"/>
  <c r="AH143" i="2" s="1"/>
  <c r="AH144" i="2" s="1"/>
  <c r="AH145" i="2" s="1"/>
  <c r="AH146" i="2" s="1"/>
  <c r="AH147" i="2" s="1"/>
  <c r="AH148" i="2" s="1"/>
  <c r="AH149" i="2" s="1"/>
  <c r="AH150" i="2" s="1"/>
  <c r="AH151" i="2" s="1"/>
  <c r="AH152" i="2" s="1"/>
  <c r="AH153" i="2" s="1"/>
  <c r="I134" i="2"/>
  <c r="I135" i="2" s="1"/>
  <c r="I136" i="2" s="1"/>
  <c r="I137" i="2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A155" i="2"/>
  <c r="A156" i="2" s="1"/>
  <c r="A157" i="2" s="1"/>
  <c r="A158" i="2" s="1"/>
  <c r="A159" i="2" s="1"/>
  <c r="A160" i="2" s="1"/>
  <c r="I155" i="2"/>
  <c r="I156" i="2" s="1"/>
  <c r="AH155" i="2"/>
  <c r="AH156" i="2" s="1"/>
  <c r="AH157" i="2" s="1"/>
  <c r="AH158" i="2" s="1"/>
  <c r="AH159" i="2" s="1"/>
  <c r="AH160" i="2" s="1"/>
  <c r="AH161" i="2" s="1"/>
  <c r="AH162" i="2" s="1"/>
  <c r="I157" i="2"/>
  <c r="I158" i="2" s="1"/>
  <c r="I159" i="2" s="1"/>
  <c r="I160" i="2" s="1"/>
  <c r="I161" i="2" s="1"/>
  <c r="I162" i="2" s="1"/>
  <c r="I163" i="2" s="1"/>
  <c r="A161" i="2"/>
  <c r="A162" i="2" s="1"/>
  <c r="A163" i="2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H163" i="2"/>
  <c r="AH164" i="2" s="1"/>
  <c r="AH165" i="2" s="1"/>
  <c r="AH166" i="2" s="1"/>
  <c r="AH167" i="2" s="1"/>
  <c r="AH168" i="2" s="1"/>
  <c r="AH169" i="2" s="1"/>
  <c r="AH170" i="2" s="1"/>
  <c r="AH171" i="2" s="1"/>
  <c r="AH172" i="2" s="1"/>
  <c r="AH173" i="2" s="1"/>
  <c r="AH174" i="2" s="1"/>
  <c r="AH175" i="2" s="1"/>
  <c r="AH176" i="2" s="1"/>
  <c r="AH177" i="2" s="1"/>
  <c r="AH178" i="2" s="1"/>
  <c r="AH179" i="2" s="1"/>
  <c r="AH180" i="2" s="1"/>
  <c r="AH181" i="2" s="1"/>
  <c r="AH182" i="2" s="1"/>
  <c r="AH183" i="2" s="1"/>
  <c r="AH184" i="2" s="1"/>
  <c r="AH185" i="2" s="1"/>
  <c r="I164" i="2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/>
  <c r="I178" i="2" s="1"/>
  <c r="I179" i="2" s="1"/>
  <c r="I180" i="2"/>
  <c r="I181" i="2" s="1"/>
  <c r="I182" i="2" s="1"/>
  <c r="I183" i="2" s="1"/>
  <c r="I184" i="2" s="1"/>
  <c r="I185" i="2" s="1"/>
  <c r="W186" i="2"/>
  <c r="A187" i="2"/>
  <c r="F187" i="2"/>
  <c r="H187" i="2"/>
  <c r="I187" i="2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AH187" i="2"/>
  <c r="A188" i="2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F188" i="2"/>
  <c r="H188" i="2"/>
  <c r="AH188" i="2"/>
  <c r="F189" i="2"/>
  <c r="H189" i="2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AH189" i="2"/>
  <c r="AH190" i="2" s="1"/>
  <c r="AH191" i="2" s="1"/>
  <c r="AH192" i="2" s="1"/>
  <c r="AH193" i="2" s="1"/>
  <c r="AH194" i="2" s="1"/>
  <c r="AH195" i="2" s="1"/>
  <c r="AH196" i="2" s="1"/>
  <c r="AH197" i="2" s="1"/>
  <c r="AH198" i="2" s="1"/>
  <c r="AH199" i="2" s="1"/>
  <c r="AH200" i="2" s="1"/>
  <c r="AH201" i="2" s="1"/>
  <c r="AH202" i="2" s="1"/>
  <c r="AH203" i="2" s="1"/>
  <c r="AH204" i="2" s="1"/>
  <c r="AH205" i="2" s="1"/>
  <c r="AH206" i="2" s="1"/>
  <c r="AH207" i="2" s="1"/>
  <c r="AH208" i="2" s="1"/>
  <c r="AH209" i="2" s="1"/>
  <c r="AH210" i="2" s="1"/>
  <c r="AH211" i="2" s="1"/>
  <c r="AH212" i="2" s="1"/>
  <c r="AH213" i="2" s="1"/>
  <c r="AH214" i="2" s="1"/>
  <c r="AH215" i="2" s="1"/>
  <c r="AH216" i="2" s="1"/>
  <c r="AH217" i="2" s="1"/>
  <c r="W218" i="2"/>
  <c r="A219" i="2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F219" i="2"/>
  <c r="F220" i="2" s="1"/>
  <c r="F221" i="2" s="1"/>
  <c r="H219" i="2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I219" i="2"/>
  <c r="AH219" i="2"/>
  <c r="I220" i="2"/>
  <c r="I221" i="2" s="1"/>
  <c r="I222" i="2" s="1"/>
  <c r="I223" i="2" s="1"/>
  <c r="AH220" i="2"/>
  <c r="AH221" i="2" s="1"/>
  <c r="AH222" i="2" s="1"/>
  <c r="AH223" i="2" s="1"/>
  <c r="AH224" i="2" s="1"/>
  <c r="AH225" i="2" s="1"/>
  <c r="AH226" i="2" s="1"/>
  <c r="AH227" i="2" s="1"/>
  <c r="AH228" i="2" s="1"/>
  <c r="AH229" i="2" s="1"/>
  <c r="AH230" i="2" s="1"/>
  <c r="AH231" i="2" s="1"/>
  <c r="AH232" i="2" s="1"/>
  <c r="AH233" i="2" s="1"/>
  <c r="AH234" i="2" s="1"/>
  <c r="AH235" i="2" s="1"/>
  <c r="AH236" i="2" s="1"/>
  <c r="AH237" i="2" s="1"/>
  <c r="AH238" i="2" s="1"/>
  <c r="AH239" i="2" s="1"/>
  <c r="AH240" i="2" s="1"/>
  <c r="AH241" i="2" s="1"/>
  <c r="AH242" i="2" s="1"/>
  <c r="AH243" i="2" s="1"/>
  <c r="AH244" i="2" s="1"/>
  <c r="AH245" i="2" s="1"/>
  <c r="AH246" i="2" s="1"/>
  <c r="AH247" i="2" s="1"/>
  <c r="AH248" i="2" s="1"/>
  <c r="AH249" i="2" s="1"/>
  <c r="I224" i="2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W250" i="2"/>
  <c r="A251" i="2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F251" i="2"/>
  <c r="F252" i="2" s="1"/>
  <c r="H251" i="2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I251" i="2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W251" i="2"/>
  <c r="AH251" i="2"/>
  <c r="AH252" i="2" s="1"/>
  <c r="AH253" i="2" s="1"/>
  <c r="AH254" i="2" s="1"/>
  <c r="AH255" i="2" s="1"/>
  <c r="AH256" i="2" s="1"/>
  <c r="AH257" i="2" s="1"/>
  <c r="AH258" i="2" s="1"/>
  <c r="AH259" i="2" s="1"/>
  <c r="AH260" i="2" s="1"/>
  <c r="AH261" i="2" s="1"/>
  <c r="AH262" i="2" s="1"/>
  <c r="AH263" i="2" s="1"/>
  <c r="AH264" i="2" s="1"/>
  <c r="AH265" i="2" s="1"/>
  <c r="AH266" i="2" s="1"/>
  <c r="AH267" i="2" s="1"/>
  <c r="AH268" i="2" s="1"/>
  <c r="AH269" i="2" s="1"/>
  <c r="AH270" i="2" s="1"/>
  <c r="AH271" i="2" s="1"/>
  <c r="AH272" i="2" s="1"/>
  <c r="AH273" i="2" s="1"/>
  <c r="AH274" i="2" s="1"/>
  <c r="AH275" i="2" s="1"/>
  <c r="AH276" i="2" s="1"/>
  <c r="AH277" i="2" s="1"/>
  <c r="AH278" i="2" s="1"/>
  <c r="AH279" i="2" s="1"/>
  <c r="AH280" i="2" s="1"/>
  <c r="AH281" i="2" s="1"/>
  <c r="W282" i="2"/>
  <c r="A283" i="2"/>
  <c r="F283" i="2"/>
  <c r="H283" i="2"/>
  <c r="I283" i="2"/>
  <c r="W283" i="2" s="1"/>
  <c r="AH283" i="2"/>
  <c r="AH284" i="2" s="1"/>
  <c r="AH285" i="2" s="1"/>
  <c r="AH286" i="2" s="1"/>
  <c r="AH287" i="2" s="1"/>
  <c r="AH288" i="2" s="1"/>
  <c r="AH289" i="2" s="1"/>
  <c r="AH290" i="2" s="1"/>
  <c r="AH291" i="2" s="1"/>
  <c r="AH292" i="2" s="1"/>
  <c r="AH293" i="2" s="1"/>
  <c r="AH294" i="2" s="1"/>
  <c r="AH295" i="2" s="1"/>
  <c r="AH296" i="2" s="1"/>
  <c r="AH297" i="2" s="1"/>
  <c r="AH298" i="2" s="1"/>
  <c r="AH299" i="2" s="1"/>
  <c r="AH300" i="2" s="1"/>
  <c r="AH301" i="2" s="1"/>
  <c r="AH302" i="2" s="1"/>
  <c r="AH303" i="2" s="1"/>
  <c r="AH304" i="2" s="1"/>
  <c r="AH305" i="2" s="1"/>
  <c r="AH306" i="2" s="1"/>
  <c r="AH307" i="2" s="1"/>
  <c r="AH308" i="2" s="1"/>
  <c r="AH309" i="2" s="1"/>
  <c r="AH310" i="2" s="1"/>
  <c r="AH311" i="2" s="1"/>
  <c r="AH312" i="2" s="1"/>
  <c r="AH313" i="2" s="1"/>
  <c r="A284" i="2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F284" i="2"/>
  <c r="H284" i="2"/>
  <c r="I284" i="2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F285" i="2"/>
  <c r="W285" i="2" s="1"/>
  <c r="H285" i="2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W314" i="2"/>
  <c r="A315" i="2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C315" i="2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F315" i="2"/>
  <c r="H315" i="2"/>
  <c r="H316" i="2" s="1"/>
  <c r="I315" i="2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W315" i="2"/>
  <c r="AH315" i="2"/>
  <c r="AH316" i="2" s="1"/>
  <c r="AH317" i="2" s="1"/>
  <c r="AH318" i="2" s="1"/>
  <c r="AH319" i="2" s="1"/>
  <c r="AH320" i="2" s="1"/>
  <c r="AH321" i="2" s="1"/>
  <c r="AH322" i="2" s="1"/>
  <c r="AH323" i="2" s="1"/>
  <c r="AH324" i="2" s="1"/>
  <c r="AH325" i="2" s="1"/>
  <c r="AH326" i="2" s="1"/>
  <c r="AH327" i="2" s="1"/>
  <c r="AH328" i="2" s="1"/>
  <c r="AH329" i="2" s="1"/>
  <c r="F316" i="2"/>
  <c r="W316" i="2" s="1"/>
  <c r="F317" i="2"/>
  <c r="H317" i="2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/>
  <c r="H331" i="2" s="1"/>
  <c r="H332" i="2" s="1"/>
  <c r="H333" i="2" s="1"/>
  <c r="A331" i="2"/>
  <c r="A332" i="2" s="1"/>
  <c r="I331" i="2"/>
  <c r="I332" i="2"/>
  <c r="I333" i="2" s="1"/>
  <c r="A333" i="2"/>
  <c r="AH335" i="2"/>
  <c r="H339" i="2"/>
  <c r="H340" i="2" s="1"/>
  <c r="H341" i="2" s="1"/>
  <c r="H342" i="2" s="1"/>
  <c r="H343" i="2" s="1"/>
  <c r="H344" i="2" s="1"/>
  <c r="H345" i="2" s="1"/>
  <c r="H346" i="2" s="1"/>
  <c r="H347" i="2" s="1"/>
  <c r="U339" i="2"/>
  <c r="U340" i="2" s="1"/>
  <c r="U341" i="2" s="1"/>
  <c r="U342" i="2" s="1"/>
  <c r="U343" i="2" s="1"/>
  <c r="U344" i="2" s="1"/>
  <c r="U345" i="2" s="1"/>
  <c r="U346" i="2" s="1"/>
  <c r="U347" i="2" s="1"/>
  <c r="X339" i="2"/>
  <c r="Y339" i="2"/>
  <c r="Y340" i="2" s="1"/>
  <c r="Y341" i="2" s="1"/>
  <c r="X340" i="2"/>
  <c r="X341" i="2" s="1"/>
  <c r="X342" i="2" s="1"/>
  <c r="X343" i="2" s="1"/>
  <c r="X344" i="2" s="1"/>
  <c r="X345" i="2" s="1"/>
  <c r="X346" i="2" s="1"/>
  <c r="Y342" i="2"/>
  <c r="Y343" i="2" s="1"/>
  <c r="Y344" i="2" s="1"/>
  <c r="Y345" i="2" s="1"/>
  <c r="Y346" i="2" s="1"/>
  <c r="Y347" i="2" s="1"/>
  <c r="X347" i="2"/>
  <c r="H350" i="2"/>
  <c r="H351" i="2" s="1"/>
  <c r="H352" i="2" s="1"/>
  <c r="H353" i="2" s="1"/>
  <c r="H354" i="2" s="1"/>
  <c r="H355" i="2" s="1"/>
  <c r="H356" i="2" s="1"/>
  <c r="H357" i="2" s="1"/>
  <c r="H358" i="2" s="1"/>
  <c r="U350" i="2"/>
  <c r="U351" i="2" s="1"/>
  <c r="U352" i="2" s="1"/>
  <c r="U353" i="2" s="1"/>
  <c r="U354" i="2" s="1"/>
  <c r="U355" i="2" s="1"/>
  <c r="U356" i="2" s="1"/>
  <c r="U357" i="2" s="1"/>
  <c r="U358" i="2" s="1"/>
  <c r="X350" i="2"/>
  <c r="Y350" i="2"/>
  <c r="Y351" i="2" s="1"/>
  <c r="Y352" i="2" s="1"/>
  <c r="X351" i="2"/>
  <c r="X352" i="2" s="1"/>
  <c r="X353" i="2" s="1"/>
  <c r="X354" i="2" s="1"/>
  <c r="X355" i="2" s="1"/>
  <c r="X356" i="2" s="1"/>
  <c r="X357" i="2" s="1"/>
  <c r="X358" i="2" s="1"/>
  <c r="Y353" i="2"/>
  <c r="Y354" i="2" s="1"/>
  <c r="Y355" i="2" s="1"/>
  <c r="Y356" i="2" s="1"/>
  <c r="Y357" i="2" s="1"/>
  <c r="Y358" i="2" s="1"/>
  <c r="H361" i="2"/>
  <c r="H362" i="2" s="1"/>
  <c r="H363" i="2" s="1"/>
  <c r="H364" i="2" s="1"/>
  <c r="H365" i="2" s="1"/>
  <c r="H366" i="2" s="1"/>
  <c r="H367" i="2" s="1"/>
  <c r="H368" i="2" s="1"/>
  <c r="H369" i="2" s="1"/>
  <c r="U361" i="2"/>
  <c r="U362" i="2" s="1"/>
  <c r="U363" i="2" s="1"/>
  <c r="U364" i="2" s="1"/>
  <c r="U365" i="2" s="1"/>
  <c r="U366" i="2" s="1"/>
  <c r="U367" i="2" s="1"/>
  <c r="U368" i="2" s="1"/>
  <c r="U369" i="2" s="1"/>
  <c r="X361" i="2"/>
  <c r="Y361" i="2"/>
  <c r="Y362" i="2" s="1"/>
  <c r="Y363" i="2" s="1"/>
  <c r="Y364" i="2" s="1"/>
  <c r="Y365" i="2" s="1"/>
  <c r="Y366" i="2" s="1"/>
  <c r="Y367" i="2" s="1"/>
  <c r="Y368" i="2" s="1"/>
  <c r="Y369" i="2" s="1"/>
  <c r="X362" i="2"/>
  <c r="X363" i="2"/>
  <c r="X364" i="2" s="1"/>
  <c r="X365" i="2"/>
  <c r="X366" i="2" s="1"/>
  <c r="X367" i="2" s="1"/>
  <c r="X368" i="2" s="1"/>
  <c r="X369" i="2" s="1"/>
  <c r="H372" i="2"/>
  <c r="H373" i="2" s="1"/>
  <c r="H374" i="2" s="1"/>
  <c r="H375" i="2" s="1"/>
  <c r="H376" i="2" s="1"/>
  <c r="U372" i="2"/>
  <c r="X372" i="2"/>
  <c r="Y372" i="2"/>
  <c r="Y373" i="2" s="1"/>
  <c r="Y374" i="2" s="1"/>
  <c r="Y375" i="2" s="1"/>
  <c r="Y376" i="2" s="1"/>
  <c r="Y381" i="2" s="1"/>
  <c r="Y382" i="2" s="1"/>
  <c r="Y383" i="2" s="1"/>
  <c r="Y384" i="2" s="1"/>
  <c r="U373" i="2"/>
  <c r="U374" i="2" s="1"/>
  <c r="U375" i="2" s="1"/>
  <c r="U376" i="2" s="1"/>
  <c r="U381" i="2" s="1"/>
  <c r="U382" i="2" s="1"/>
  <c r="U383" i="2" s="1"/>
  <c r="U384" i="2" s="1"/>
  <c r="X373" i="2"/>
  <c r="X374" i="2"/>
  <c r="X375" i="2" s="1"/>
  <c r="X376" i="2"/>
  <c r="X381" i="2" s="1"/>
  <c r="X382" i="2" s="1"/>
  <c r="U378" i="2"/>
  <c r="X378" i="2"/>
  <c r="Y378" i="2"/>
  <c r="X383" i="2"/>
  <c r="X384" i="2" s="1"/>
  <c r="H387" i="2"/>
  <c r="U387" i="2"/>
  <c r="X387" i="2"/>
  <c r="Y387" i="2"/>
  <c r="Y388" i="2" s="1"/>
  <c r="H388" i="2"/>
  <c r="U388" i="2"/>
  <c r="X388" i="2"/>
  <c r="H389" i="2"/>
  <c r="H390" i="2" s="1"/>
  <c r="H391" i="2" s="1"/>
  <c r="H392" i="2" s="1"/>
  <c r="H393" i="2" s="1"/>
  <c r="H394" i="2" s="1"/>
  <c r="H395" i="2" s="1"/>
  <c r="U389" i="2"/>
  <c r="U390" i="2" s="1"/>
  <c r="U391" i="2" s="1"/>
  <c r="U392" i="2" s="1"/>
  <c r="U393" i="2" s="1"/>
  <c r="U394" i="2" s="1"/>
  <c r="U395" i="2" s="1"/>
  <c r="X389" i="2"/>
  <c r="X390" i="2" s="1"/>
  <c r="X391" i="2" s="1"/>
  <c r="X392" i="2" s="1"/>
  <c r="X393" i="2" s="1"/>
  <c r="X394" i="2" s="1"/>
  <c r="X395" i="2" s="1"/>
  <c r="Y389" i="2"/>
  <c r="Y390" i="2" s="1"/>
  <c r="Y391" i="2" s="1"/>
  <c r="Y392" i="2" s="1"/>
  <c r="Y393" i="2" s="1"/>
  <c r="Y394" i="2" s="1"/>
  <c r="Y395" i="2" s="1"/>
  <c r="H398" i="2"/>
  <c r="U398" i="2"/>
  <c r="X398" i="2"/>
  <c r="Y398" i="2"/>
  <c r="Y399" i="2" s="1"/>
  <c r="H399" i="2"/>
  <c r="U399" i="2"/>
  <c r="X399" i="2"/>
  <c r="X400" i="2" s="1"/>
  <c r="X401" i="2" s="1"/>
  <c r="X402" i="2" s="1"/>
  <c r="X403" i="2" s="1"/>
  <c r="X404" i="2" s="1"/>
  <c r="X405" i="2" s="1"/>
  <c r="X406" i="2" s="1"/>
  <c r="H400" i="2"/>
  <c r="H401" i="2" s="1"/>
  <c r="H402" i="2" s="1"/>
  <c r="H403" i="2" s="1"/>
  <c r="H404" i="2" s="1"/>
  <c r="H405" i="2" s="1"/>
  <c r="H406" i="2" s="1"/>
  <c r="U400" i="2"/>
  <c r="U401" i="2" s="1"/>
  <c r="U402" i="2" s="1"/>
  <c r="U403" i="2" s="1"/>
  <c r="U404" i="2" s="1"/>
  <c r="U405" i="2" s="1"/>
  <c r="U406" i="2" s="1"/>
  <c r="Y400" i="2"/>
  <c r="Y401" i="2" s="1"/>
  <c r="Y402" i="2" s="1"/>
  <c r="Y403" i="2" s="1"/>
  <c r="Y404" i="2" s="1"/>
  <c r="Y405" i="2" s="1"/>
  <c r="Y406" i="2" s="1"/>
  <c r="H409" i="2"/>
  <c r="U409" i="2"/>
  <c r="X409" i="2"/>
  <c r="Y409" i="2"/>
  <c r="Y410" i="2" s="1"/>
  <c r="Y411" i="2" s="1"/>
  <c r="Y412" i="2" s="1"/>
  <c r="Y413" i="2" s="1"/>
  <c r="Y414" i="2" s="1"/>
  <c r="Y415" i="2" s="1"/>
  <c r="Y416" i="2" s="1"/>
  <c r="Y417" i="2" s="1"/>
  <c r="H410" i="2"/>
  <c r="U410" i="2"/>
  <c r="X410" i="2"/>
  <c r="X411" i="2" s="1"/>
  <c r="X412" i="2" s="1"/>
  <c r="X413" i="2" s="1"/>
  <c r="X414" i="2" s="1"/>
  <c r="X415" i="2" s="1"/>
  <c r="X416" i="2" s="1"/>
  <c r="X417" i="2" s="1"/>
  <c r="H411" i="2"/>
  <c r="H412" i="2" s="1"/>
  <c r="H413" i="2" s="1"/>
  <c r="H414" i="2" s="1"/>
  <c r="H415" i="2" s="1"/>
  <c r="H416" i="2" s="1"/>
  <c r="H417" i="2" s="1"/>
  <c r="U411" i="2"/>
  <c r="U412" i="2" s="1"/>
  <c r="U413" i="2" s="1"/>
  <c r="U414" i="2" s="1"/>
  <c r="U415" i="2" s="1"/>
  <c r="U416" i="2" s="1"/>
  <c r="U417" i="2" s="1"/>
  <c r="H420" i="2"/>
  <c r="U420" i="2"/>
  <c r="X420" i="2"/>
  <c r="X421" i="2" s="1"/>
  <c r="X422" i="2" s="1"/>
  <c r="X423" i="2" s="1"/>
  <c r="X424" i="2" s="1"/>
  <c r="X425" i="2" s="1"/>
  <c r="X426" i="2" s="1"/>
  <c r="X427" i="2" s="1"/>
  <c r="X428" i="2" s="1"/>
  <c r="Y420" i="2"/>
  <c r="Y421" i="2" s="1"/>
  <c r="Y422" i="2" s="1"/>
  <c r="Y423" i="2" s="1"/>
  <c r="Y424" i="2" s="1"/>
  <c r="Y425" i="2" s="1"/>
  <c r="Y426" i="2" s="1"/>
  <c r="Y427" i="2" s="1"/>
  <c r="Y428" i="2" s="1"/>
  <c r="H421" i="2"/>
  <c r="H422" i="2" s="1"/>
  <c r="H423" i="2" s="1"/>
  <c r="H424" i="2" s="1"/>
  <c r="H425" i="2" s="1"/>
  <c r="H426" i="2" s="1"/>
  <c r="H427" i="2" s="1"/>
  <c r="H428" i="2" s="1"/>
  <c r="U421" i="2"/>
  <c r="U422" i="2" s="1"/>
  <c r="U423" i="2" s="1"/>
  <c r="U424" i="2" s="1"/>
  <c r="U425" i="2" s="1"/>
  <c r="U426" i="2" s="1"/>
  <c r="U427" i="2" s="1"/>
  <c r="U428" i="2" s="1"/>
  <c r="H431" i="2"/>
  <c r="U431" i="2"/>
  <c r="X431" i="2"/>
  <c r="Y431" i="2"/>
  <c r="Y432" i="2" s="1"/>
  <c r="Y433" i="2" s="1"/>
  <c r="Y434" i="2" s="1"/>
  <c r="Y435" i="2" s="1"/>
  <c r="Y436" i="2" s="1"/>
  <c r="Y437" i="2" s="1"/>
  <c r="Y438" i="2" s="1"/>
  <c r="Y439" i="2" s="1"/>
  <c r="H432" i="2"/>
  <c r="H433" i="2" s="1"/>
  <c r="H434" i="2" s="1"/>
  <c r="H435" i="2" s="1"/>
  <c r="H436" i="2" s="1"/>
  <c r="H437" i="2" s="1"/>
  <c r="H438" i="2" s="1"/>
  <c r="H439" i="2" s="1"/>
  <c r="U432" i="2"/>
  <c r="U433" i="2" s="1"/>
  <c r="U434" i="2" s="1"/>
  <c r="U435" i="2" s="1"/>
  <c r="U436" i="2" s="1"/>
  <c r="U437" i="2" s="1"/>
  <c r="U438" i="2" s="1"/>
  <c r="U439" i="2" s="1"/>
  <c r="X432" i="2"/>
  <c r="X433" i="2" s="1"/>
  <c r="X434" i="2" s="1"/>
  <c r="X435" i="2" s="1"/>
  <c r="X436" i="2" s="1"/>
  <c r="X437" i="2" s="1"/>
  <c r="X438" i="2" s="1"/>
  <c r="X439" i="2" s="1"/>
  <c r="H442" i="2"/>
  <c r="U442" i="2"/>
  <c r="X442" i="2"/>
  <c r="H443" i="2"/>
  <c r="H444" i="2" s="1"/>
  <c r="H445" i="2" s="1"/>
  <c r="H446" i="2" s="1"/>
  <c r="H447" i="2" s="1"/>
  <c r="H448" i="2" s="1"/>
  <c r="H449" i="2" s="1"/>
  <c r="H450" i="2" s="1"/>
  <c r="U443" i="2"/>
  <c r="U444" i="2" s="1"/>
  <c r="U445" i="2" s="1"/>
  <c r="U446" i="2" s="1"/>
  <c r="X443" i="2"/>
  <c r="X444" i="2"/>
  <c r="X445" i="2"/>
  <c r="X446" i="2" s="1"/>
  <c r="U447" i="2"/>
  <c r="U448" i="2" s="1"/>
  <c r="U449" i="2" s="1"/>
  <c r="U450" i="2" s="1"/>
  <c r="X447" i="2"/>
  <c r="X448" i="2"/>
  <c r="X449" i="2" s="1"/>
  <c r="X450" i="2" s="1"/>
  <c r="H453" i="2"/>
  <c r="U453" i="2"/>
  <c r="U454" i="2" s="1"/>
  <c r="X453" i="2"/>
  <c r="H454" i="2"/>
  <c r="X454" i="2"/>
  <c r="H455" i="2"/>
  <c r="H456" i="2" s="1"/>
  <c r="H457" i="2" s="1"/>
  <c r="H458" i="2" s="1"/>
  <c r="H459" i="2" s="1"/>
  <c r="H460" i="2" s="1"/>
  <c r="H461" i="2" s="1"/>
  <c r="U455" i="2"/>
  <c r="U456" i="2" s="1"/>
  <c r="X455" i="2"/>
  <c r="X456" i="2" s="1"/>
  <c r="X457" i="2" s="1"/>
  <c r="X458" i="2" s="1"/>
  <c r="X459" i="2" s="1"/>
  <c r="X460" i="2" s="1"/>
  <c r="U457" i="2"/>
  <c r="U458" i="2" s="1"/>
  <c r="U459" i="2" s="1"/>
  <c r="U460" i="2" s="1"/>
  <c r="U461" i="2"/>
  <c r="X461" i="2"/>
  <c r="H464" i="2"/>
  <c r="H465" i="2" s="1"/>
  <c r="H466" i="2" s="1"/>
  <c r="H467" i="2" s="1"/>
  <c r="H468" i="2" s="1"/>
  <c r="H469" i="2" s="1"/>
  <c r="H470" i="2" s="1"/>
  <c r="U464" i="2"/>
  <c r="X464" i="2"/>
  <c r="X465" i="2" s="1"/>
  <c r="X466" i="2" s="1"/>
  <c r="X467" i="2" s="1"/>
  <c r="U465" i="2"/>
  <c r="U466" i="2" s="1"/>
  <c r="U467" i="2" s="1"/>
  <c r="U468" i="2" s="1"/>
  <c r="U469" i="2" s="1"/>
  <c r="U470" i="2" s="1"/>
  <c r="U471" i="2" s="1"/>
  <c r="U472" i="2" s="1"/>
  <c r="X468" i="2"/>
  <c r="X469" i="2" s="1"/>
  <c r="X470" i="2" s="1"/>
  <c r="X471" i="2" s="1"/>
  <c r="X472" i="2" s="1"/>
  <c r="H471" i="2"/>
  <c r="H472" i="2" s="1"/>
  <c r="H475" i="2"/>
  <c r="H476" i="2" s="1"/>
  <c r="U475" i="2"/>
  <c r="U476" i="2" s="1"/>
  <c r="U477" i="2" s="1"/>
  <c r="U478" i="2" s="1"/>
  <c r="U479" i="2" s="1"/>
  <c r="U480" i="2" s="1"/>
  <c r="U481" i="2" s="1"/>
  <c r="U482" i="2" s="1"/>
  <c r="U483" i="2" s="1"/>
  <c r="X475" i="2"/>
  <c r="X476" i="2" s="1"/>
  <c r="X477" i="2" s="1"/>
  <c r="X478" i="2" s="1"/>
  <c r="X479" i="2" s="1"/>
  <c r="X480" i="2" s="1"/>
  <c r="X481" i="2" s="1"/>
  <c r="X482" i="2" s="1"/>
  <c r="X483" i="2" s="1"/>
  <c r="H477" i="2"/>
  <c r="H478" i="2" s="1"/>
  <c r="H479" i="2" s="1"/>
  <c r="H480" i="2" s="1"/>
  <c r="H481" i="2" s="1"/>
  <c r="H482" i="2" s="1"/>
  <c r="H483" i="2" s="1"/>
  <c r="H486" i="2"/>
  <c r="H487" i="2"/>
  <c r="H488" i="2"/>
  <c r="H489" i="2"/>
  <c r="H490" i="2"/>
  <c r="H491" i="2" s="1"/>
  <c r="H492" i="2" s="1"/>
  <c r="H493" i="2" s="1"/>
  <c r="H494" i="2" s="1"/>
  <c r="H497" i="2"/>
  <c r="H498" i="2"/>
  <c r="H499" i="2"/>
  <c r="H500" i="2" s="1"/>
  <c r="H501" i="2" s="1"/>
  <c r="H502" i="2" s="1"/>
  <c r="H503" i="2" s="1"/>
  <c r="H504" i="2" s="1"/>
  <c r="H505" i="2" s="1"/>
  <c r="H508" i="2"/>
  <c r="H509" i="2"/>
  <c r="H510" i="2" s="1"/>
  <c r="H511" i="2" s="1"/>
  <c r="H512" i="2" s="1"/>
  <c r="H513" i="2" s="1"/>
  <c r="H514" i="2" s="1"/>
  <c r="H515" i="2" s="1"/>
  <c r="H516" i="2" s="1"/>
  <c r="H519" i="2"/>
  <c r="H520" i="2"/>
  <c r="H521" i="2" s="1"/>
  <c r="H522" i="2" s="1"/>
  <c r="H523" i="2" s="1"/>
  <c r="H524" i="2" s="1"/>
  <c r="H525" i="2" s="1"/>
  <c r="H526" i="2" s="1"/>
  <c r="H527" i="2" s="1"/>
  <c r="H530" i="2"/>
  <c r="H531" i="2" s="1"/>
  <c r="H532" i="2" s="1"/>
  <c r="H533" i="2" s="1"/>
  <c r="H534" i="2" s="1"/>
  <c r="H535" i="2" s="1"/>
  <c r="H536" i="2" s="1"/>
  <c r="H537" i="2" s="1"/>
  <c r="H538" i="2" s="1"/>
  <c r="U530" i="2"/>
  <c r="U531" i="2" s="1"/>
  <c r="U532" i="2" s="1"/>
  <c r="U533" i="2" s="1"/>
  <c r="U534" i="2" s="1"/>
  <c r="U535" i="2" s="1"/>
  <c r="U536" i="2" s="1"/>
  <c r="U537" i="2" s="1"/>
  <c r="U538" i="2" s="1"/>
  <c r="X530" i="2"/>
  <c r="X531" i="2" s="1"/>
  <c r="X532" i="2" s="1"/>
  <c r="X533" i="2" s="1"/>
  <c r="X534" i="2" s="1"/>
  <c r="X535" i="2" s="1"/>
  <c r="X536" i="2" s="1"/>
  <c r="X537" i="2" s="1"/>
  <c r="X538" i="2" s="1"/>
  <c r="Y530" i="2"/>
  <c r="Y531" i="2" s="1"/>
  <c r="Y532" i="2" s="1"/>
  <c r="Y533" i="2" s="1"/>
  <c r="Y534" i="2" s="1"/>
  <c r="Y535" i="2" s="1"/>
  <c r="Y536" i="2" s="1"/>
  <c r="Y537" i="2" s="1"/>
  <c r="Y538" i="2" s="1"/>
  <c r="H541" i="2"/>
  <c r="U541" i="2"/>
  <c r="U542" i="2" s="1"/>
  <c r="U543" i="2" s="1"/>
  <c r="U544" i="2" s="1"/>
  <c r="U545" i="2" s="1"/>
  <c r="U546" i="2" s="1"/>
  <c r="U547" i="2" s="1"/>
  <c r="U548" i="2" s="1"/>
  <c r="U549" i="2" s="1"/>
  <c r="X541" i="2"/>
  <c r="X542" i="2" s="1"/>
  <c r="X543" i="2" s="1"/>
  <c r="X544" i="2" s="1"/>
  <c r="X545" i="2" s="1"/>
  <c r="X546" i="2" s="1"/>
  <c r="X547" i="2" s="1"/>
  <c r="X548" i="2" s="1"/>
  <c r="X549" i="2" s="1"/>
  <c r="Y541" i="2"/>
  <c r="Y542" i="2" s="1"/>
  <c r="Y543" i="2" s="1"/>
  <c r="Y544" i="2" s="1"/>
  <c r="Y545" i="2" s="1"/>
  <c r="Y546" i="2" s="1"/>
  <c r="Y547" i="2" s="1"/>
  <c r="Y548" i="2" s="1"/>
  <c r="Y549" i="2" s="1"/>
  <c r="H542" i="2"/>
  <c r="H543" i="2" s="1"/>
  <c r="H544" i="2" s="1"/>
  <c r="H545" i="2" s="1"/>
  <c r="H546" i="2" s="1"/>
  <c r="H547" i="2" s="1"/>
  <c r="H548" i="2" s="1"/>
  <c r="H549" i="2" s="1"/>
  <c r="H552" i="2"/>
  <c r="U552" i="2"/>
  <c r="X552" i="2"/>
  <c r="Y552" i="2"/>
  <c r="H553" i="2"/>
  <c r="H554" i="2" s="1"/>
  <c r="H555" i="2" s="1"/>
  <c r="H556" i="2" s="1"/>
  <c r="H557" i="2" s="1"/>
  <c r="H558" i="2" s="1"/>
  <c r="H559" i="2" s="1"/>
  <c r="H560" i="2" s="1"/>
  <c r="U553" i="2"/>
  <c r="U554" i="2" s="1"/>
  <c r="U555" i="2" s="1"/>
  <c r="U556" i="2" s="1"/>
  <c r="U557" i="2" s="1"/>
  <c r="U558" i="2" s="1"/>
  <c r="U559" i="2" s="1"/>
  <c r="U560" i="2" s="1"/>
  <c r="X553" i="2"/>
  <c r="X554" i="2" s="1"/>
  <c r="X555" i="2" s="1"/>
  <c r="X556" i="2" s="1"/>
  <c r="X557" i="2" s="1"/>
  <c r="X558" i="2" s="1"/>
  <c r="X559" i="2" s="1"/>
  <c r="X560" i="2" s="1"/>
  <c r="Y553" i="2"/>
  <c r="Y554" i="2" s="1"/>
  <c r="Y555" i="2" s="1"/>
  <c r="Y556" i="2" s="1"/>
  <c r="Y557" i="2" s="1"/>
  <c r="Y558" i="2" s="1"/>
  <c r="Y559" i="2" s="1"/>
  <c r="Y560" i="2" s="1"/>
  <c r="H564" i="2"/>
  <c r="U564" i="2"/>
  <c r="U565" i="2" s="1"/>
  <c r="X564" i="2"/>
  <c r="Y564" i="2"/>
  <c r="H565" i="2"/>
  <c r="X565" i="2"/>
  <c r="Y565" i="2"/>
  <c r="H566" i="2"/>
  <c r="H567" i="2" s="1"/>
  <c r="H568" i="2" s="1"/>
  <c r="H569" i="2" s="1"/>
  <c r="H570" i="2" s="1"/>
  <c r="H571" i="2" s="1"/>
  <c r="H572" i="2" s="1"/>
  <c r="U566" i="2"/>
  <c r="U567" i="2" s="1"/>
  <c r="U568" i="2" s="1"/>
  <c r="U569" i="2" s="1"/>
  <c r="U570" i="2" s="1"/>
  <c r="U571" i="2" s="1"/>
  <c r="U572" i="2" s="1"/>
  <c r="X566" i="2"/>
  <c r="X567" i="2" s="1"/>
  <c r="X568" i="2" s="1"/>
  <c r="X569" i="2" s="1"/>
  <c r="X570" i="2" s="1"/>
  <c r="X571" i="2" s="1"/>
  <c r="X572" i="2" s="1"/>
  <c r="Y566" i="2"/>
  <c r="Y567" i="2" s="1"/>
  <c r="Y568" i="2" s="1"/>
  <c r="Y569" i="2" s="1"/>
  <c r="Y570" i="2" s="1"/>
  <c r="Y571" i="2" s="1"/>
  <c r="Y572" i="2" s="1"/>
  <c r="H575" i="2"/>
  <c r="U575" i="2"/>
  <c r="U576" i="2" s="1"/>
  <c r="U577" i="2" s="1"/>
  <c r="X575" i="2"/>
  <c r="X576" i="2" s="1"/>
  <c r="X577" i="2" s="1"/>
  <c r="X578" i="2" s="1"/>
  <c r="X579" i="2" s="1"/>
  <c r="X580" i="2" s="1"/>
  <c r="X581" i="2" s="1"/>
  <c r="X582" i="2" s="1"/>
  <c r="X583" i="2" s="1"/>
  <c r="Y575" i="2"/>
  <c r="Y576" i="2" s="1"/>
  <c r="Y577" i="2" s="1"/>
  <c r="Y578" i="2" s="1"/>
  <c r="Y579" i="2" s="1"/>
  <c r="Y580" i="2" s="1"/>
  <c r="Y581" i="2" s="1"/>
  <c r="Y582" i="2" s="1"/>
  <c r="Y583" i="2" s="1"/>
  <c r="H576" i="2"/>
  <c r="H577" i="2"/>
  <c r="H578" i="2" s="1"/>
  <c r="H579" i="2" s="1"/>
  <c r="H580" i="2" s="1"/>
  <c r="H581" i="2" s="1"/>
  <c r="U578" i="2"/>
  <c r="U579" i="2" s="1"/>
  <c r="U580" i="2" s="1"/>
  <c r="U581" i="2" s="1"/>
  <c r="U582" i="2" s="1"/>
  <c r="U583" i="2" s="1"/>
  <c r="H582" i="2"/>
  <c r="H583" i="2" s="1"/>
  <c r="B599" i="2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C599" i="2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H599" i="2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I600" i="2"/>
  <c r="U600" i="2"/>
  <c r="U601" i="2" s="1"/>
  <c r="I601" i="2"/>
  <c r="I602" i="2"/>
  <c r="I603" i="2" s="1"/>
  <c r="I604" i="2" s="1"/>
  <c r="I605" i="2" s="1"/>
  <c r="I606" i="2" s="1"/>
  <c r="U602" i="2"/>
  <c r="U603" i="2" s="1"/>
  <c r="U604" i="2" s="1"/>
  <c r="U605" i="2" s="1"/>
  <c r="U606" i="2" s="1"/>
  <c r="U607" i="2" s="1"/>
  <c r="U608" i="2" s="1"/>
  <c r="U609" i="2" s="1"/>
  <c r="I607" i="2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U610" i="2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B637" i="2"/>
  <c r="C637" i="2"/>
  <c r="H637" i="2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B638" i="2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C638" i="2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I638" i="2"/>
  <c r="U638" i="2"/>
  <c r="I639" i="2"/>
  <c r="U639" i="2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I640" i="2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B675" i="2"/>
  <c r="H675" i="2"/>
  <c r="B676" i="2"/>
  <c r="H676" i="2"/>
  <c r="I676" i="2"/>
  <c r="U676" i="2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B677" i="2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H677" i="2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I677" i="2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H715" i="2"/>
  <c r="H716" i="2"/>
  <c r="H719" i="2"/>
  <c r="H720" i="2" s="1"/>
  <c r="H723" i="2"/>
  <c r="H724" i="2" s="1"/>
  <c r="C733" i="2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H733" i="2"/>
  <c r="H734" i="2" s="1"/>
  <c r="H735" i="2" s="1"/>
  <c r="H736" i="2" s="1"/>
  <c r="H737" i="2" s="1"/>
  <c r="H738" i="2" s="1"/>
  <c r="U733" i="2"/>
  <c r="U734" i="2"/>
  <c r="U735" i="2" s="1"/>
  <c r="U736" i="2" s="1"/>
  <c r="U737" i="2" s="1"/>
  <c r="U738" i="2" s="1"/>
  <c r="U739" i="2" s="1"/>
  <c r="U740" i="2" s="1"/>
  <c r="U741" i="2" s="1"/>
  <c r="U742" i="2" s="1"/>
  <c r="U743" i="2" s="1"/>
  <c r="U744" i="2" s="1"/>
  <c r="U745" i="2" s="1"/>
  <c r="U746" i="2" s="1"/>
  <c r="U747" i="2" s="1"/>
  <c r="U748" i="2" s="1"/>
  <c r="U749" i="2" s="1"/>
  <c r="U750" i="2" s="1"/>
  <c r="U751" i="2" s="1"/>
  <c r="U752" i="2" s="1"/>
  <c r="U753" i="2" s="1"/>
  <c r="U754" i="2" s="1"/>
  <c r="U755" i="2" s="1"/>
  <c r="U756" i="2" s="1"/>
  <c r="U757" i="2" s="1"/>
  <c r="U758" i="2" s="1"/>
  <c r="U759" i="2" s="1"/>
  <c r="U760" i="2" s="1"/>
  <c r="U761" i="2" s="1"/>
  <c r="U762" i="2" s="1"/>
  <c r="U763" i="2" s="1"/>
  <c r="U764" i="2" s="1"/>
  <c r="U765" i="2" s="1"/>
  <c r="U766" i="2" s="1"/>
  <c r="U767" i="2" s="1"/>
  <c r="U768" i="2" s="1"/>
  <c r="U769" i="2" s="1"/>
  <c r="U770" i="2" s="1"/>
  <c r="U771" i="2" s="1"/>
  <c r="U772" i="2" s="1"/>
  <c r="U773" i="2" s="1"/>
  <c r="U774" i="2" s="1"/>
  <c r="U775" i="2" s="1"/>
  <c r="U776" i="2" s="1"/>
  <c r="U777" i="2" s="1"/>
  <c r="U778" i="2" s="1"/>
  <c r="U779" i="2" s="1"/>
  <c r="U780" i="2" s="1"/>
  <c r="U781" i="2" s="1"/>
  <c r="U782" i="2" s="1"/>
  <c r="U783" i="2" s="1"/>
  <c r="U784" i="2" s="1"/>
  <c r="U785" i="2" s="1"/>
  <c r="U786" i="2" s="1"/>
  <c r="H740" i="2"/>
  <c r="H741" i="2" s="1"/>
  <c r="H742" i="2"/>
  <c r="H744" i="2"/>
  <c r="H745" i="2"/>
  <c r="H746" i="2" s="1"/>
  <c r="H747" i="2" s="1"/>
  <c r="H748" i="2" s="1"/>
  <c r="H749" i="2" s="1"/>
  <c r="H750" i="2" s="1"/>
  <c r="H751" i="2" s="1"/>
  <c r="H752" i="2" s="1"/>
  <c r="H753" i="2" s="1"/>
  <c r="H754" i="2" s="1"/>
  <c r="H755" i="2" s="1"/>
  <c r="H756" i="2" s="1"/>
  <c r="H758" i="2"/>
  <c r="H759" i="2"/>
  <c r="H760" i="2"/>
  <c r="H761" i="2" s="1"/>
  <c r="H762" i="2" s="1"/>
  <c r="H763" i="2" s="1"/>
  <c r="H764" i="2" s="1"/>
  <c r="H766" i="2"/>
  <c r="H767" i="2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80" i="2"/>
  <c r="H781" i="2"/>
  <c r="H782" i="2" s="1"/>
  <c r="H783" i="2" s="1"/>
  <c r="H784" i="2" s="1"/>
  <c r="H785" i="2" s="1"/>
  <c r="H786" i="2" s="1"/>
  <c r="C791" i="2"/>
  <c r="H791" i="2"/>
  <c r="H792" i="2" s="1"/>
  <c r="H793" i="2" s="1"/>
  <c r="H794" i="2" s="1"/>
  <c r="H795" i="2" s="1"/>
  <c r="H796" i="2" s="1"/>
  <c r="U791" i="2"/>
  <c r="U792" i="2" s="1"/>
  <c r="U793" i="2" s="1"/>
  <c r="U794" i="2" s="1"/>
  <c r="U795" i="2" s="1"/>
  <c r="U796" i="2" s="1"/>
  <c r="U797" i="2" s="1"/>
  <c r="U798" i="2" s="1"/>
  <c r="U799" i="2" s="1"/>
  <c r="U800" i="2" s="1"/>
  <c r="U801" i="2" s="1"/>
  <c r="U802" i="2" s="1"/>
  <c r="U803" i="2" s="1"/>
  <c r="U804" i="2" s="1"/>
  <c r="U805" i="2" s="1"/>
  <c r="U806" i="2" s="1"/>
  <c r="U807" i="2" s="1"/>
  <c r="U808" i="2" s="1"/>
  <c r="U809" i="2" s="1"/>
  <c r="U810" i="2" s="1"/>
  <c r="U811" i="2" s="1"/>
  <c r="U812" i="2" s="1"/>
  <c r="U813" i="2" s="1"/>
  <c r="U814" i="2" s="1"/>
  <c r="U815" i="2" s="1"/>
  <c r="U816" i="2" s="1"/>
  <c r="U817" i="2" s="1"/>
  <c r="U818" i="2" s="1"/>
  <c r="U819" i="2" s="1"/>
  <c r="U820" i="2" s="1"/>
  <c r="U821" i="2" s="1"/>
  <c r="U822" i="2" s="1"/>
  <c r="U823" i="2" s="1"/>
  <c r="U824" i="2" s="1"/>
  <c r="U825" i="2" s="1"/>
  <c r="U826" i="2" s="1"/>
  <c r="U827" i="2" s="1"/>
  <c r="U828" i="2" s="1"/>
  <c r="U829" i="2" s="1"/>
  <c r="U830" i="2" s="1"/>
  <c r="U831" i="2" s="1"/>
  <c r="U832" i="2" s="1"/>
  <c r="U833" i="2" s="1"/>
  <c r="U834" i="2" s="1"/>
  <c r="U835" i="2" s="1"/>
  <c r="U836" i="2" s="1"/>
  <c r="U837" i="2" s="1"/>
  <c r="U838" i="2" s="1"/>
  <c r="U839" i="2" s="1"/>
  <c r="U840" i="2" s="1"/>
  <c r="U841" i="2" s="1"/>
  <c r="U842" i="2" s="1"/>
  <c r="U843" i="2" s="1"/>
  <c r="U844" i="2" s="1"/>
  <c r="C792" i="2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H798" i="2"/>
  <c r="H799" i="2" s="1"/>
  <c r="H800" i="2" s="1"/>
  <c r="H802" i="2"/>
  <c r="H803" i="2" s="1"/>
  <c r="H804" i="2" s="1"/>
  <c r="H805" i="2"/>
  <c r="H806" i="2"/>
  <c r="H807" i="2" s="1"/>
  <c r="H808" i="2" s="1"/>
  <c r="H809" i="2" s="1"/>
  <c r="H810" i="2"/>
  <c r="H811" i="2" s="1"/>
  <c r="H812" i="2" s="1"/>
  <c r="H813" i="2" s="1"/>
  <c r="H814" i="2" s="1"/>
  <c r="H816" i="2"/>
  <c r="H817" i="2" s="1"/>
  <c r="H818" i="2" s="1"/>
  <c r="H819" i="2" s="1"/>
  <c r="H820" i="2" s="1"/>
  <c r="H821" i="2" s="1"/>
  <c r="H822" i="2" s="1"/>
  <c r="H824" i="2"/>
  <c r="H825" i="2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8" i="2"/>
  <c r="H839" i="2"/>
  <c r="H840" i="2" s="1"/>
  <c r="H841" i="2"/>
  <c r="H842" i="2" s="1"/>
  <c r="H843" i="2" s="1"/>
  <c r="H844" i="2" s="1"/>
  <c r="C847" i="2"/>
  <c r="H847" i="2"/>
  <c r="U847" i="2"/>
  <c r="U848" i="2" s="1"/>
  <c r="U849" i="2" s="1"/>
  <c r="U850" i="2" s="1"/>
  <c r="C848" i="2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H848" i="2"/>
  <c r="H849" i="2" s="1"/>
  <c r="H850" i="2" s="1"/>
  <c r="H851" i="2" s="1"/>
  <c r="H852" i="2" s="1"/>
  <c r="U851" i="2"/>
  <c r="U852" i="2" s="1"/>
  <c r="U853" i="2" s="1"/>
  <c r="U854" i="2" s="1"/>
  <c r="U855" i="2" s="1"/>
  <c r="U856" i="2" s="1"/>
  <c r="U857" i="2" s="1"/>
  <c r="U858" i="2" s="1"/>
  <c r="U859" i="2" s="1"/>
  <c r="U860" i="2" s="1"/>
  <c r="U861" i="2" s="1"/>
  <c r="U862" i="2" s="1"/>
  <c r="U863" i="2" s="1"/>
  <c r="U864" i="2" s="1"/>
  <c r="U865" i="2" s="1"/>
  <c r="U866" i="2" s="1"/>
  <c r="U867" i="2" s="1"/>
  <c r="U868" i="2" s="1"/>
  <c r="U869" i="2" s="1"/>
  <c r="U870" i="2" s="1"/>
  <c r="U871" i="2" s="1"/>
  <c r="U872" i="2" s="1"/>
  <c r="U873" i="2" s="1"/>
  <c r="U874" i="2" s="1"/>
  <c r="U875" i="2" s="1"/>
  <c r="U876" i="2" s="1"/>
  <c r="U877" i="2" s="1"/>
  <c r="U878" i="2" s="1"/>
  <c r="U879" i="2" s="1"/>
  <c r="U880" i="2" s="1"/>
  <c r="U881" i="2" s="1"/>
  <c r="U882" i="2" s="1"/>
  <c r="U883" i="2" s="1"/>
  <c r="U884" i="2" s="1"/>
  <c r="U885" i="2" s="1"/>
  <c r="U886" i="2" s="1"/>
  <c r="U887" i="2" s="1"/>
  <c r="U888" i="2" s="1"/>
  <c r="U889" i="2" s="1"/>
  <c r="U890" i="2" s="1"/>
  <c r="U891" i="2" s="1"/>
  <c r="U892" i="2" s="1"/>
  <c r="U893" i="2" s="1"/>
  <c r="U894" i="2" s="1"/>
  <c r="U895" i="2" s="1"/>
  <c r="U896" i="2" s="1"/>
  <c r="U897" i="2" s="1"/>
  <c r="U898" i="2" s="1"/>
  <c r="U899" i="2" s="1"/>
  <c r="U900" i="2" s="1"/>
  <c r="H854" i="2"/>
  <c r="H855" i="2" s="1"/>
  <c r="H856" i="2"/>
  <c r="H858" i="2"/>
  <c r="H859" i="2" s="1"/>
  <c r="H860" i="2" s="1"/>
  <c r="H861" i="2" s="1"/>
  <c r="H862" i="2" s="1"/>
  <c r="H863" i="2" s="1"/>
  <c r="H864" i="2" s="1"/>
  <c r="H865" i="2" s="1"/>
  <c r="H866" i="2" s="1"/>
  <c r="H867" i="2" s="1"/>
  <c r="H868" i="2" s="1"/>
  <c r="H869" i="2" s="1"/>
  <c r="H870" i="2" s="1"/>
  <c r="H872" i="2"/>
  <c r="H873" i="2"/>
  <c r="H874" i="2"/>
  <c r="H875" i="2" s="1"/>
  <c r="H876" i="2" s="1"/>
  <c r="H877" i="2" s="1"/>
  <c r="H878" i="2" s="1"/>
  <c r="H880" i="2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4" i="2"/>
  <c r="H895" i="2"/>
  <c r="H896" i="2" s="1"/>
  <c r="H897" i="2" s="1"/>
  <c r="H898" i="2" s="1"/>
  <c r="H899" i="2" s="1"/>
  <c r="H900" i="2" s="1"/>
  <c r="C903" i="2"/>
  <c r="H903" i="2"/>
  <c r="H904" i="2" s="1"/>
  <c r="H905" i="2" s="1"/>
  <c r="H906" i="2" s="1"/>
  <c r="H907" i="2" s="1"/>
  <c r="H908" i="2" s="1"/>
  <c r="U903" i="2"/>
  <c r="U904" i="2" s="1"/>
  <c r="U905" i="2" s="1"/>
  <c r="U906" i="2" s="1"/>
  <c r="U907" i="2" s="1"/>
  <c r="U908" i="2" s="1"/>
  <c r="U909" i="2" s="1"/>
  <c r="U910" i="2" s="1"/>
  <c r="U911" i="2" s="1"/>
  <c r="U912" i="2" s="1"/>
  <c r="U913" i="2" s="1"/>
  <c r="U914" i="2" s="1"/>
  <c r="U915" i="2" s="1"/>
  <c r="U916" i="2" s="1"/>
  <c r="U917" i="2" s="1"/>
  <c r="U918" i="2" s="1"/>
  <c r="U919" i="2" s="1"/>
  <c r="U920" i="2" s="1"/>
  <c r="U921" i="2" s="1"/>
  <c r="U922" i="2" s="1"/>
  <c r="U923" i="2" s="1"/>
  <c r="U924" i="2" s="1"/>
  <c r="U925" i="2" s="1"/>
  <c r="U926" i="2" s="1"/>
  <c r="U927" i="2" s="1"/>
  <c r="U928" i="2" s="1"/>
  <c r="U929" i="2" s="1"/>
  <c r="U930" i="2" s="1"/>
  <c r="U931" i="2" s="1"/>
  <c r="U932" i="2" s="1"/>
  <c r="U933" i="2" s="1"/>
  <c r="U934" i="2" s="1"/>
  <c r="U935" i="2" s="1"/>
  <c r="U936" i="2" s="1"/>
  <c r="U937" i="2" s="1"/>
  <c r="U938" i="2" s="1"/>
  <c r="U939" i="2" s="1"/>
  <c r="U940" i="2" s="1"/>
  <c r="U941" i="2" s="1"/>
  <c r="U942" i="2" s="1"/>
  <c r="U943" i="2" s="1"/>
  <c r="U944" i="2" s="1"/>
  <c r="U945" i="2" s="1"/>
  <c r="U946" i="2" s="1"/>
  <c r="U947" i="2" s="1"/>
  <c r="U948" i="2" s="1"/>
  <c r="U949" i="2" s="1"/>
  <c r="U950" i="2" s="1"/>
  <c r="U951" i="2" s="1"/>
  <c r="U952" i="2" s="1"/>
  <c r="U953" i="2" s="1"/>
  <c r="U954" i="2" s="1"/>
  <c r="U955" i="2" s="1"/>
  <c r="U956" i="2" s="1"/>
  <c r="C904" i="2"/>
  <c r="C905" i="2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H910" i="2"/>
  <c r="H911" i="2" s="1"/>
  <c r="H912" i="2" s="1"/>
  <c r="H914" i="2"/>
  <c r="H915" i="2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8" i="2"/>
  <c r="H929" i="2"/>
  <c r="H930" i="2"/>
  <c r="H931" i="2" s="1"/>
  <c r="H932" i="2" s="1"/>
  <c r="H933" i="2" s="1"/>
  <c r="H934" i="2" s="1"/>
  <c r="H936" i="2"/>
  <c r="H937" i="2" s="1"/>
  <c r="H938" i="2"/>
  <c r="H939" i="2" s="1"/>
  <c r="H940" i="2"/>
  <c r="H941" i="2" s="1"/>
  <c r="H942" i="2" s="1"/>
  <c r="H943" i="2" s="1"/>
  <c r="H944" i="2" s="1"/>
  <c r="H945" i="2" s="1"/>
  <c r="H946" i="2" s="1"/>
  <c r="H947" i="2" s="1"/>
  <c r="H948" i="2" s="1"/>
  <c r="H950" i="2"/>
  <c r="H951" i="2"/>
  <c r="H952" i="2" s="1"/>
  <c r="H953" i="2" s="1"/>
  <c r="H954" i="2" s="1"/>
  <c r="H955" i="2" s="1"/>
  <c r="H956" i="2" s="1"/>
  <c r="W961" i="2"/>
  <c r="E962" i="2"/>
  <c r="F962" i="2"/>
  <c r="W962" i="2"/>
  <c r="E963" i="2"/>
  <c r="E964" i="2" s="1"/>
  <c r="E965" i="2" s="1"/>
  <c r="E966" i="2" s="1"/>
  <c r="F963" i="2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G963" i="2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W963" i="2"/>
  <c r="A964" i="2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B964" i="2"/>
  <c r="H964" i="2"/>
  <c r="U964" i="2"/>
  <c r="U967" i="2" s="1"/>
  <c r="U968" i="2" s="1"/>
  <c r="U969" i="2" s="1"/>
  <c r="U970" i="2" s="1"/>
  <c r="U971" i="2" s="1"/>
  <c r="U972" i="2" s="1"/>
  <c r="U973" i="2" s="1"/>
  <c r="U974" i="2" s="1"/>
  <c r="U975" i="2" s="1"/>
  <c r="U976" i="2" s="1"/>
  <c r="U977" i="2" s="1"/>
  <c r="U978" i="2" s="1"/>
  <c r="U979" i="2" s="1"/>
  <c r="U980" i="2" s="1"/>
  <c r="U981" i="2" s="1"/>
  <c r="U982" i="2" s="1"/>
  <c r="B965" i="2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H965" i="2"/>
  <c r="H966" i="2" s="1"/>
  <c r="H967" i="2" s="1"/>
  <c r="H968" i="2" s="1"/>
  <c r="H969" i="2" s="1"/>
  <c r="H970" i="2" s="1"/>
  <c r="H971" i="2" s="1"/>
  <c r="H972" i="2" s="1"/>
  <c r="H973" i="2" s="1"/>
  <c r="H974" i="2" s="1"/>
  <c r="U966" i="2"/>
  <c r="H976" i="2"/>
  <c r="H977" i="2"/>
  <c r="H978" i="2" s="1"/>
  <c r="H979" i="2" s="1"/>
  <c r="H980" i="2" s="1"/>
  <c r="H981" i="2" s="1"/>
  <c r="H982" i="2" s="1"/>
  <c r="W987" i="2"/>
  <c r="F988" i="2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W988" i="2"/>
  <c r="E989" i="2"/>
  <c r="E990" i="2" s="1"/>
  <c r="E991" i="2" s="1"/>
  <c r="G989" i="2"/>
  <c r="A990" i="2"/>
  <c r="B990" i="2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G990" i="2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H990" i="2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U990" i="2"/>
  <c r="U993" i="2" s="1"/>
  <c r="U994" i="2" s="1"/>
  <c r="U995" i="2" s="1"/>
  <c r="U996" i="2" s="1"/>
  <c r="U997" i="2" s="1"/>
  <c r="U998" i="2" s="1"/>
  <c r="U999" i="2" s="1"/>
  <c r="U1000" i="2" s="1"/>
  <c r="U1001" i="2" s="1"/>
  <c r="U1002" i="2" s="1"/>
  <c r="U1003" i="2" s="1"/>
  <c r="U1004" i="2" s="1"/>
  <c r="U1005" i="2" s="1"/>
  <c r="U1006" i="2" s="1"/>
  <c r="U1007" i="2" s="1"/>
  <c r="U1008" i="2" s="1"/>
  <c r="A991" i="2"/>
  <c r="A992" i="2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U992" i="2"/>
  <c r="H1002" i="2"/>
  <c r="H1003" i="2" s="1"/>
  <c r="H1004" i="2" s="1"/>
  <c r="H1005" i="2" s="1"/>
  <c r="H1006" i="2" s="1"/>
  <c r="H1007" i="2" s="1"/>
  <c r="H1008" i="2" s="1"/>
  <c r="AH1011" i="2"/>
  <c r="AH1012" i="2" s="1"/>
  <c r="AH1013" i="2" s="1"/>
  <c r="AH1014" i="2" s="1"/>
  <c r="AH1015" i="2" s="1"/>
  <c r="AH1016" i="2" s="1"/>
  <c r="AH1017" i="2" s="1"/>
  <c r="AH1018" i="2" s="1"/>
  <c r="AH1019" i="2" s="1"/>
  <c r="AH1020" i="2" s="1"/>
  <c r="AH1021" i="2" s="1"/>
  <c r="AH1022" i="2" s="1"/>
  <c r="AH1023" i="2" s="1"/>
  <c r="AH1024" i="2" s="1"/>
  <c r="AH1025" i="2" s="1"/>
  <c r="AH1026" i="2" s="1"/>
  <c r="AH1027" i="2" s="1"/>
  <c r="AH1028" i="2" s="1"/>
  <c r="AH1029" i="2" s="1"/>
  <c r="AH1030" i="2" s="1"/>
  <c r="AH1031" i="2" s="1"/>
  <c r="AH1032" i="2" s="1"/>
  <c r="AH1033" i="2" s="1"/>
  <c r="AH1034" i="2" s="1"/>
  <c r="AH1035" i="2" s="1"/>
  <c r="AH1036" i="2" s="1"/>
  <c r="AH1037" i="2" s="1"/>
  <c r="AH1038" i="2" s="1"/>
  <c r="AH1039" i="2" s="1"/>
  <c r="AH1040" i="2" s="1"/>
  <c r="AH1041" i="2" s="1"/>
  <c r="AH1042" i="2" s="1"/>
  <c r="AH1043" i="2" s="1"/>
  <c r="AH1044" i="2" s="1"/>
  <c r="AH1045" i="2" s="1"/>
  <c r="AH1046" i="2" s="1"/>
  <c r="W220" i="2" l="1"/>
  <c r="F286" i="2"/>
  <c r="W219" i="2"/>
  <c r="V1614" i="3"/>
  <c r="E1615" i="3"/>
  <c r="T1592" i="3"/>
  <c r="T1593" i="3" s="1"/>
  <c r="T1584" i="3"/>
  <c r="T1585" i="3" s="1"/>
  <c r="T1586" i="3" s="1"/>
  <c r="T1587" i="3" s="1"/>
  <c r="T1588" i="3" s="1"/>
  <c r="T1589" i="3" s="1"/>
  <c r="T1590" i="3" s="1"/>
  <c r="F1563" i="3"/>
  <c r="V1562" i="3"/>
  <c r="H1646" i="3"/>
  <c r="E1341" i="3"/>
  <c r="V1340" i="3"/>
  <c r="E1424" i="3"/>
  <c r="V1423" i="3"/>
  <c r="E1491" i="3"/>
  <c r="V1490" i="3"/>
  <c r="H1459" i="3"/>
  <c r="H1463" i="3" s="1"/>
  <c r="H1467" i="3" s="1"/>
  <c r="H1471" i="3" s="1"/>
  <c r="H1475" i="3" s="1"/>
  <c r="H1458" i="3"/>
  <c r="H1462" i="3" s="1"/>
  <c r="H1466" i="3" s="1"/>
  <c r="H1470" i="3" s="1"/>
  <c r="H1474" i="3" s="1"/>
  <c r="V1444" i="3"/>
  <c r="E1445" i="3"/>
  <c r="V1581" i="3"/>
  <c r="E1361" i="3"/>
  <c r="V1360" i="3"/>
  <c r="E1565" i="3"/>
  <c r="H1629" i="3"/>
  <c r="H1633" i="3" s="1"/>
  <c r="H1637" i="3" s="1"/>
  <c r="H1641" i="3" s="1"/>
  <c r="H1645" i="3" s="1"/>
  <c r="E1582" i="3"/>
  <c r="V1235" i="3"/>
  <c r="F1236" i="3"/>
  <c r="F1237" i="3" s="1"/>
  <c r="V1545" i="3"/>
  <c r="E1546" i="3"/>
  <c r="G1303" i="3"/>
  <c r="G1304" i="3" s="1"/>
  <c r="G1305" i="3" s="1"/>
  <c r="G1306" i="3" s="1"/>
  <c r="G1307" i="3" s="1"/>
  <c r="G1308" i="3" s="1"/>
  <c r="G1309" i="3" s="1"/>
  <c r="G1310" i="3" s="1"/>
  <c r="G1311" i="3" s="1"/>
  <c r="G1312" i="3" s="1"/>
  <c r="G1313" i="3" s="1"/>
  <c r="V1302" i="3"/>
  <c r="V1184" i="3"/>
  <c r="E1185" i="3"/>
  <c r="G984" i="3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V983" i="3"/>
  <c r="E1257" i="3"/>
  <c r="V1256" i="3"/>
  <c r="V1526" i="3"/>
  <c r="V1220" i="3"/>
  <c r="E1221" i="3"/>
  <c r="E1324" i="3"/>
  <c r="F1321" i="3"/>
  <c r="V1320" i="3"/>
  <c r="E1164" i="3"/>
  <c r="V1163" i="3"/>
  <c r="V1146" i="3"/>
  <c r="E1147" i="3"/>
  <c r="E1041" i="3"/>
  <c r="H1021" i="3"/>
  <c r="H1022" i="3" s="1"/>
  <c r="H1023" i="3" s="1"/>
  <c r="H1024" i="3" s="1"/>
  <c r="H1025" i="3" s="1"/>
  <c r="H1026" i="3" s="1"/>
  <c r="H1027" i="3" s="1"/>
  <c r="H1028" i="3" s="1"/>
  <c r="H1029" i="3" s="1"/>
  <c r="H1030" i="3" s="1"/>
  <c r="V1020" i="3"/>
  <c r="V767" i="3"/>
  <c r="E768" i="3"/>
  <c r="E1527" i="3"/>
  <c r="H1374" i="3"/>
  <c r="H1378" i="3" s="1"/>
  <c r="H1382" i="3" s="1"/>
  <c r="H1386" i="3" s="1"/>
  <c r="H1390" i="3" s="1"/>
  <c r="H1373" i="3"/>
  <c r="H1377" i="3" s="1"/>
  <c r="H1381" i="3" s="1"/>
  <c r="H1385" i="3" s="1"/>
  <c r="H1389" i="3" s="1"/>
  <c r="V1303" i="3"/>
  <c r="E1304" i="3"/>
  <c r="E1241" i="3"/>
  <c r="E1509" i="3"/>
  <c r="V1508" i="3"/>
  <c r="E1408" i="3"/>
  <c r="V1407" i="3"/>
  <c r="V1406" i="3"/>
  <c r="F1038" i="3"/>
  <c r="F1039" i="3" s="1"/>
  <c r="F1040" i="3" s="1"/>
  <c r="F1041" i="3" s="1"/>
  <c r="F1042" i="3" s="1"/>
  <c r="F1043" i="3" s="1"/>
  <c r="F1044" i="3" s="1"/>
  <c r="F1045" i="3" s="1"/>
  <c r="F1046" i="3" s="1"/>
  <c r="F1047" i="3" s="1"/>
  <c r="F1048" i="3" s="1"/>
  <c r="V1037" i="3"/>
  <c r="E1022" i="3"/>
  <c r="V1021" i="3"/>
  <c r="V896" i="3"/>
  <c r="E897" i="3"/>
  <c r="V1218" i="3"/>
  <c r="V1128" i="3"/>
  <c r="E1129" i="3"/>
  <c r="V1003" i="3"/>
  <c r="E1004" i="3"/>
  <c r="V1074" i="3"/>
  <c r="E1075" i="3"/>
  <c r="F948" i="3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V947" i="3"/>
  <c r="V1183" i="3"/>
  <c r="V948" i="3"/>
  <c r="V1219" i="3"/>
  <c r="E1057" i="3"/>
  <c r="E950" i="3"/>
  <c r="V1338" i="3"/>
  <c r="V1236" i="3"/>
  <c r="E987" i="3"/>
  <c r="V986" i="3"/>
  <c r="E1200" i="3"/>
  <c r="V985" i="3"/>
  <c r="V912" i="3"/>
  <c r="E913" i="3"/>
  <c r="F737" i="3"/>
  <c r="F738" i="3" s="1"/>
  <c r="V736" i="3"/>
  <c r="V930" i="3"/>
  <c r="F1056" i="3"/>
  <c r="F1057" i="3" s="1"/>
  <c r="F1058" i="3" s="1"/>
  <c r="F1059" i="3" s="1"/>
  <c r="F1060" i="3" s="1"/>
  <c r="F1061" i="3" s="1"/>
  <c r="F1062" i="3" s="1"/>
  <c r="F1063" i="3" s="1"/>
  <c r="F1064" i="3" s="1"/>
  <c r="F1065" i="3" s="1"/>
  <c r="F1066" i="3" s="1"/>
  <c r="V1055" i="3"/>
  <c r="V1039" i="3"/>
  <c r="E931" i="3"/>
  <c r="V966" i="3"/>
  <c r="E967" i="3"/>
  <c r="V1182" i="3"/>
  <c r="V1109" i="3"/>
  <c r="E1110" i="3"/>
  <c r="E1092" i="3"/>
  <c r="V1091" i="3"/>
  <c r="H782" i="3"/>
  <c r="H786" i="3" s="1"/>
  <c r="H790" i="3" s="1"/>
  <c r="H794" i="3" s="1"/>
  <c r="H798" i="3" s="1"/>
  <c r="H781" i="3"/>
  <c r="H785" i="3" s="1"/>
  <c r="H789" i="3" s="1"/>
  <c r="H793" i="3" s="1"/>
  <c r="H797" i="3" s="1"/>
  <c r="V911" i="3"/>
  <c r="F912" i="3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T738" i="3"/>
  <c r="T746" i="3"/>
  <c r="V876" i="3"/>
  <c r="E877" i="3"/>
  <c r="E741" i="3"/>
  <c r="H611" i="3"/>
  <c r="H615" i="3" s="1"/>
  <c r="H619" i="3" s="1"/>
  <c r="H623" i="3"/>
  <c r="E592" i="3"/>
  <c r="V591" i="3"/>
  <c r="T570" i="3"/>
  <c r="T571" i="3" s="1"/>
  <c r="T562" i="3"/>
  <c r="T563" i="3" s="1"/>
  <c r="T564" i="3" s="1"/>
  <c r="T565" i="3" s="1"/>
  <c r="T566" i="3" s="1"/>
  <c r="T567" i="3" s="1"/>
  <c r="T568" i="3" s="1"/>
  <c r="V737" i="3"/>
  <c r="H289" i="3"/>
  <c r="H277" i="3"/>
  <c r="H281" i="3" s="1"/>
  <c r="H285" i="3" s="1"/>
  <c r="V735" i="3"/>
  <c r="V734" i="3"/>
  <c r="V257" i="3"/>
  <c r="E258" i="3"/>
  <c r="V558" i="3"/>
  <c r="E559" i="3"/>
  <c r="H423" i="3"/>
  <c r="H427" i="3" s="1"/>
  <c r="H431" i="3" s="1"/>
  <c r="H435" i="3"/>
  <c r="H271" i="3"/>
  <c r="H275" i="3" s="1"/>
  <c r="H279" i="3" s="1"/>
  <c r="H283" i="3" s="1"/>
  <c r="H287" i="3" s="1"/>
  <c r="H272" i="3"/>
  <c r="H276" i="3" s="1"/>
  <c r="H280" i="3" s="1"/>
  <c r="H284" i="3" s="1"/>
  <c r="H288" i="3" s="1"/>
  <c r="V403" i="3"/>
  <c r="E404" i="3"/>
  <c r="E109" i="3"/>
  <c r="V108" i="3"/>
  <c r="V9" i="3"/>
  <c r="F10" i="3"/>
  <c r="H128" i="3"/>
  <c r="H132" i="3" s="1"/>
  <c r="H136" i="3" s="1"/>
  <c r="H140" i="3"/>
  <c r="Q256" i="3"/>
  <c r="H123" i="3"/>
  <c r="H127" i="3" s="1"/>
  <c r="H131" i="3" s="1"/>
  <c r="H135" i="3" s="1"/>
  <c r="H139" i="3" s="1"/>
  <c r="H122" i="3"/>
  <c r="H126" i="3" s="1"/>
  <c r="H130" i="3" s="1"/>
  <c r="H134" i="3" s="1"/>
  <c r="H138" i="3" s="1"/>
  <c r="H10" i="3"/>
  <c r="H13" i="3" s="1"/>
  <c r="H16" i="3" s="1"/>
  <c r="H19" i="3" s="1"/>
  <c r="H22" i="3" s="1"/>
  <c r="H26" i="3" s="1"/>
  <c r="H30" i="3" s="1"/>
  <c r="H34" i="3" s="1"/>
  <c r="H38" i="3" s="1"/>
  <c r="H12" i="3"/>
  <c r="H15" i="3" s="1"/>
  <c r="H18" i="3" s="1"/>
  <c r="H21" i="3" s="1"/>
  <c r="H25" i="3" s="1"/>
  <c r="H29" i="3" s="1"/>
  <c r="H33" i="3" s="1"/>
  <c r="H37" i="3" s="1"/>
  <c r="H77" i="3"/>
  <c r="H11" i="3"/>
  <c r="H14" i="3" s="1"/>
  <c r="H17" i="3" s="1"/>
  <c r="H20" i="3" s="1"/>
  <c r="W991" i="2"/>
  <c r="W966" i="2"/>
  <c r="C14" i="2"/>
  <c r="C15" i="2" s="1"/>
  <c r="C16" i="2" s="1"/>
  <c r="C17" i="2" s="1"/>
  <c r="C18" i="2"/>
  <c r="W965" i="2"/>
  <c r="E992" i="2"/>
  <c r="B14" i="2"/>
  <c r="B15" i="2" s="1"/>
  <c r="B16" i="2" s="1"/>
  <c r="B17" i="2" s="1"/>
  <c r="B18" i="2"/>
  <c r="W989" i="2"/>
  <c r="E967" i="2"/>
  <c r="W964" i="2"/>
  <c r="H377" i="2"/>
  <c r="H378" i="2" s="1"/>
  <c r="H379" i="2" s="1"/>
  <c r="H380" i="2" s="1"/>
  <c r="H381" i="2"/>
  <c r="H382" i="2" s="1"/>
  <c r="H383" i="2" s="1"/>
  <c r="H384" i="2" s="1"/>
  <c r="W990" i="2"/>
  <c r="B154" i="2"/>
  <c r="B138" i="2"/>
  <c r="W317" i="2"/>
  <c r="F318" i="2"/>
  <c r="F287" i="2"/>
  <c r="W286" i="2"/>
  <c r="W187" i="2"/>
  <c r="W221" i="2"/>
  <c r="F222" i="2"/>
  <c r="F253" i="2"/>
  <c r="W252" i="2"/>
  <c r="W284" i="2"/>
  <c r="W189" i="2"/>
  <c r="F190" i="2"/>
  <c r="H40" i="2"/>
  <c r="H44" i="2" s="1"/>
  <c r="H48" i="2" s="1"/>
  <c r="H52" i="2" s="1"/>
  <c r="H56" i="2" s="1"/>
  <c r="H41" i="2"/>
  <c r="H45" i="2" s="1"/>
  <c r="H49" i="2" s="1"/>
  <c r="H53" i="2" s="1"/>
  <c r="H57" i="2" s="1"/>
  <c r="H58" i="2" s="1"/>
  <c r="W188" i="2"/>
  <c r="W25" i="2"/>
  <c r="F26" i="2"/>
  <c r="H27" i="2"/>
  <c r="H30" i="2" s="1"/>
  <c r="H33" i="2" s="1"/>
  <c r="H36" i="2" s="1"/>
  <c r="H39" i="2" s="1"/>
  <c r="H43" i="2" s="1"/>
  <c r="H47" i="2" s="1"/>
  <c r="H51" i="2" s="1"/>
  <c r="H55" i="2" s="1"/>
  <c r="V1491" i="3" l="1"/>
  <c r="E1492" i="3"/>
  <c r="T739" i="3"/>
  <c r="T747" i="3"/>
  <c r="E1566" i="3"/>
  <c r="H290" i="3"/>
  <c r="H293" i="3" s="1"/>
  <c r="H296" i="3" s="1"/>
  <c r="H299" i="3" s="1"/>
  <c r="H302" i="3" s="1"/>
  <c r="H306" i="3" s="1"/>
  <c r="H310" i="3" s="1"/>
  <c r="H314" i="3" s="1"/>
  <c r="H318" i="3" s="1"/>
  <c r="H292" i="3"/>
  <c r="H295" i="3" s="1"/>
  <c r="H298" i="3" s="1"/>
  <c r="H301" i="3" s="1"/>
  <c r="H305" i="3" s="1"/>
  <c r="H309" i="3" s="1"/>
  <c r="H313" i="3" s="1"/>
  <c r="H317" i="3" s="1"/>
  <c r="H291" i="3"/>
  <c r="H294" i="3" s="1"/>
  <c r="H297" i="3" s="1"/>
  <c r="H300" i="3" s="1"/>
  <c r="V1257" i="3"/>
  <c r="E1258" i="3"/>
  <c r="E1165" i="3"/>
  <c r="V1164" i="3"/>
  <c r="E1186" i="3"/>
  <c r="V1185" i="3"/>
  <c r="V1341" i="3"/>
  <c r="E1342" i="3"/>
  <c r="V897" i="3"/>
  <c r="E898" i="3"/>
  <c r="E1305" i="3"/>
  <c r="V1304" i="3"/>
  <c r="H142" i="3"/>
  <c r="H145" i="3" s="1"/>
  <c r="H148" i="3" s="1"/>
  <c r="H151" i="3" s="1"/>
  <c r="H141" i="3"/>
  <c r="H144" i="3" s="1"/>
  <c r="H147" i="3" s="1"/>
  <c r="H150" i="3" s="1"/>
  <c r="H153" i="3" s="1"/>
  <c r="H157" i="3" s="1"/>
  <c r="H161" i="3" s="1"/>
  <c r="H165" i="3" s="1"/>
  <c r="H169" i="3" s="1"/>
  <c r="H143" i="3"/>
  <c r="H146" i="3" s="1"/>
  <c r="H149" i="3" s="1"/>
  <c r="H152" i="3" s="1"/>
  <c r="H156" i="3" s="1"/>
  <c r="H160" i="3" s="1"/>
  <c r="H164" i="3" s="1"/>
  <c r="H168" i="3" s="1"/>
  <c r="E1528" i="3"/>
  <c r="V1527" i="3"/>
  <c r="H1649" i="3"/>
  <c r="H1652" i="3" s="1"/>
  <c r="H1655" i="3" s="1"/>
  <c r="H1658" i="3" s="1"/>
  <c r="H1662" i="3" s="1"/>
  <c r="H1666" i="3" s="1"/>
  <c r="H1670" i="3" s="1"/>
  <c r="H1674" i="3" s="1"/>
  <c r="H1648" i="3"/>
  <c r="H1651" i="3" s="1"/>
  <c r="H1654" i="3" s="1"/>
  <c r="H1657" i="3" s="1"/>
  <c r="H1647" i="3"/>
  <c r="H1650" i="3" s="1"/>
  <c r="H1653" i="3" s="1"/>
  <c r="H1656" i="3" s="1"/>
  <c r="H1659" i="3" s="1"/>
  <c r="H1663" i="3" s="1"/>
  <c r="H1667" i="3" s="1"/>
  <c r="H1671" i="3" s="1"/>
  <c r="H1675" i="3" s="1"/>
  <c r="E593" i="3"/>
  <c r="V592" i="3"/>
  <c r="E951" i="3"/>
  <c r="V950" i="3"/>
  <c r="F1564" i="3"/>
  <c r="V1563" i="3"/>
  <c r="E1093" i="3"/>
  <c r="V1092" i="3"/>
  <c r="V1038" i="3"/>
  <c r="V949" i="3"/>
  <c r="E1409" i="3"/>
  <c r="V1408" i="3"/>
  <c r="E1325" i="3"/>
  <c r="V1546" i="3"/>
  <c r="E1547" i="3"/>
  <c r="V967" i="3"/>
  <c r="E968" i="3"/>
  <c r="E1042" i="3"/>
  <c r="V1041" i="3"/>
  <c r="V1147" i="3"/>
  <c r="E1148" i="3"/>
  <c r="E1201" i="3"/>
  <c r="V1200" i="3"/>
  <c r="V1424" i="3"/>
  <c r="E1425" i="3"/>
  <c r="H437" i="3"/>
  <c r="H440" i="3" s="1"/>
  <c r="H443" i="3" s="1"/>
  <c r="H446" i="3" s="1"/>
  <c r="H438" i="3"/>
  <c r="H441" i="3" s="1"/>
  <c r="H444" i="3" s="1"/>
  <c r="H447" i="3" s="1"/>
  <c r="H451" i="3" s="1"/>
  <c r="H455" i="3" s="1"/>
  <c r="H459" i="3" s="1"/>
  <c r="H463" i="3" s="1"/>
  <c r="H436" i="3"/>
  <c r="H439" i="3" s="1"/>
  <c r="H442" i="3" s="1"/>
  <c r="H445" i="3" s="1"/>
  <c r="H448" i="3" s="1"/>
  <c r="H452" i="3" s="1"/>
  <c r="H456" i="3" s="1"/>
  <c r="H460" i="3" s="1"/>
  <c r="H464" i="3" s="1"/>
  <c r="V1022" i="3"/>
  <c r="E1023" i="3"/>
  <c r="E1362" i="3"/>
  <c r="V1361" i="3"/>
  <c r="H625" i="3"/>
  <c r="H628" i="3" s="1"/>
  <c r="H631" i="3" s="1"/>
  <c r="H634" i="3" s="1"/>
  <c r="H624" i="3"/>
  <c r="H627" i="3" s="1"/>
  <c r="H630" i="3" s="1"/>
  <c r="H633" i="3" s="1"/>
  <c r="H636" i="3" s="1"/>
  <c r="H640" i="3" s="1"/>
  <c r="H644" i="3" s="1"/>
  <c r="H648" i="3" s="1"/>
  <c r="H652" i="3" s="1"/>
  <c r="H626" i="3"/>
  <c r="H629" i="3" s="1"/>
  <c r="H632" i="3" s="1"/>
  <c r="H635" i="3" s="1"/>
  <c r="H639" i="3" s="1"/>
  <c r="H643" i="3" s="1"/>
  <c r="H647" i="3" s="1"/>
  <c r="H651" i="3" s="1"/>
  <c r="V1004" i="3"/>
  <c r="E1005" i="3"/>
  <c r="V768" i="3"/>
  <c r="E769" i="3"/>
  <c r="E1111" i="3"/>
  <c r="V1110" i="3"/>
  <c r="V1056" i="3"/>
  <c r="E1130" i="3"/>
  <c r="V1129" i="3"/>
  <c r="E1222" i="3"/>
  <c r="V1221" i="3"/>
  <c r="V1075" i="3"/>
  <c r="E1076" i="3"/>
  <c r="E560" i="3"/>
  <c r="V559" i="3"/>
  <c r="F1322" i="3"/>
  <c r="V1321" i="3"/>
  <c r="V10" i="3"/>
  <c r="F11" i="3"/>
  <c r="V109" i="3"/>
  <c r="E110" i="3"/>
  <c r="V738" i="3"/>
  <c r="F739" i="3"/>
  <c r="V1057" i="3"/>
  <c r="E1058" i="3"/>
  <c r="V1509" i="3"/>
  <c r="E1510" i="3"/>
  <c r="F1238" i="3"/>
  <c r="V1237" i="3"/>
  <c r="V1615" i="3"/>
  <c r="E1616" i="3"/>
  <c r="E1242" i="3"/>
  <c r="E1583" i="3"/>
  <c r="V1582" i="3"/>
  <c r="V931" i="3"/>
  <c r="E932" i="3"/>
  <c r="E988" i="3"/>
  <c r="V987" i="3"/>
  <c r="E259" i="3"/>
  <c r="V258" i="3"/>
  <c r="V984" i="3"/>
  <c r="V1445" i="3"/>
  <c r="E1446" i="3"/>
  <c r="H24" i="3"/>
  <c r="H28" i="3" s="1"/>
  <c r="H32" i="3" s="1"/>
  <c r="H36" i="3" s="1"/>
  <c r="H40" i="3" s="1"/>
  <c r="H23" i="3"/>
  <c r="H27" i="3" s="1"/>
  <c r="H31" i="3" s="1"/>
  <c r="H35" i="3" s="1"/>
  <c r="H39" i="3" s="1"/>
  <c r="E742" i="3"/>
  <c r="H78" i="3"/>
  <c r="H79" i="3" s="1"/>
  <c r="H80" i="3" s="1"/>
  <c r="H81" i="3"/>
  <c r="H82" i="3" s="1"/>
  <c r="H83" i="3" s="1"/>
  <c r="H84" i="3" s="1"/>
  <c r="E405" i="3"/>
  <c r="V404" i="3"/>
  <c r="E878" i="3"/>
  <c r="V877" i="3"/>
  <c r="E914" i="3"/>
  <c r="V913" i="3"/>
  <c r="V1040" i="3"/>
  <c r="E968" i="2"/>
  <c r="W967" i="2"/>
  <c r="F288" i="2"/>
  <c r="W287" i="2"/>
  <c r="F27" i="2"/>
  <c r="W26" i="2"/>
  <c r="H59" i="2"/>
  <c r="H62" i="2" s="1"/>
  <c r="H65" i="2" s="1"/>
  <c r="H68" i="2" s="1"/>
  <c r="H71" i="2" s="1"/>
  <c r="H75" i="2" s="1"/>
  <c r="H79" i="2" s="1"/>
  <c r="H83" i="2" s="1"/>
  <c r="H87" i="2" s="1"/>
  <c r="H60" i="2"/>
  <c r="H63" i="2" s="1"/>
  <c r="H66" i="2" s="1"/>
  <c r="H69" i="2" s="1"/>
  <c r="H61" i="2"/>
  <c r="H64" i="2" s="1"/>
  <c r="H67" i="2" s="1"/>
  <c r="H70" i="2" s="1"/>
  <c r="H74" i="2" s="1"/>
  <c r="H78" i="2" s="1"/>
  <c r="H82" i="2" s="1"/>
  <c r="H86" i="2" s="1"/>
  <c r="W318" i="2"/>
  <c r="F319" i="2"/>
  <c r="W992" i="2"/>
  <c r="E993" i="2"/>
  <c r="F191" i="2"/>
  <c r="W190" i="2"/>
  <c r="B139" i="2"/>
  <c r="B155" i="2"/>
  <c r="F223" i="2"/>
  <c r="W222" i="2"/>
  <c r="W253" i="2"/>
  <c r="F254" i="2"/>
  <c r="V1258" i="3" l="1"/>
  <c r="E1259" i="3"/>
  <c r="V405" i="3"/>
  <c r="E406" i="3"/>
  <c r="V1510" i="3"/>
  <c r="E1511" i="3"/>
  <c r="V1305" i="3"/>
  <c r="E1306" i="3"/>
  <c r="V988" i="3"/>
  <c r="E989" i="3"/>
  <c r="V560" i="3"/>
  <c r="E561" i="3"/>
  <c r="V1005" i="3"/>
  <c r="E1006" i="3"/>
  <c r="V1425" i="3"/>
  <c r="E1426" i="3"/>
  <c r="E1326" i="3"/>
  <c r="E899" i="3"/>
  <c r="V898" i="3"/>
  <c r="E1617" i="3"/>
  <c r="V1616" i="3"/>
  <c r="E1043" i="3"/>
  <c r="V1042" i="3"/>
  <c r="F1565" i="3"/>
  <c r="V1564" i="3"/>
  <c r="V951" i="3"/>
  <c r="E952" i="3"/>
  <c r="V1342" i="3"/>
  <c r="E1343" i="3"/>
  <c r="E1567" i="3"/>
  <c r="E1094" i="3"/>
  <c r="V1093" i="3"/>
  <c r="E1077" i="3"/>
  <c r="V1076" i="3"/>
  <c r="V593" i="3"/>
  <c r="E594" i="3"/>
  <c r="F740" i="3"/>
  <c r="V739" i="3"/>
  <c r="E1202" i="3"/>
  <c r="V1201" i="3"/>
  <c r="V1409" i="3"/>
  <c r="E1410" i="3"/>
  <c r="H1661" i="3"/>
  <c r="H1665" i="3" s="1"/>
  <c r="H1669" i="3" s="1"/>
  <c r="H1673" i="3" s="1"/>
  <c r="H1677" i="3" s="1"/>
  <c r="H1660" i="3"/>
  <c r="H1664" i="3" s="1"/>
  <c r="H1668" i="3" s="1"/>
  <c r="H1672" i="3" s="1"/>
  <c r="H1676" i="3" s="1"/>
  <c r="V968" i="3"/>
  <c r="E969" i="3"/>
  <c r="V259" i="3"/>
  <c r="E260" i="3"/>
  <c r="V769" i="3"/>
  <c r="E770" i="3"/>
  <c r="V1058" i="3"/>
  <c r="E1059" i="3"/>
  <c r="H637" i="3"/>
  <c r="H641" i="3" s="1"/>
  <c r="H645" i="3" s="1"/>
  <c r="H649" i="3" s="1"/>
  <c r="H653" i="3" s="1"/>
  <c r="H638" i="3"/>
  <c r="H642" i="3" s="1"/>
  <c r="H646" i="3" s="1"/>
  <c r="H650" i="3" s="1"/>
  <c r="H654" i="3" s="1"/>
  <c r="E1149" i="3"/>
  <c r="V1148" i="3"/>
  <c r="T748" i="3"/>
  <c r="T740" i="3"/>
  <c r="V914" i="3"/>
  <c r="E915" i="3"/>
  <c r="V1023" i="3"/>
  <c r="E1024" i="3"/>
  <c r="V878" i="3"/>
  <c r="E879" i="3"/>
  <c r="H154" i="3"/>
  <c r="H158" i="3" s="1"/>
  <c r="H162" i="3" s="1"/>
  <c r="H166" i="3" s="1"/>
  <c r="H170" i="3" s="1"/>
  <c r="H155" i="3"/>
  <c r="H159" i="3" s="1"/>
  <c r="H163" i="3" s="1"/>
  <c r="H167" i="3" s="1"/>
  <c r="H171" i="3" s="1"/>
  <c r="F1239" i="3"/>
  <c r="V1238" i="3"/>
  <c r="F1323" i="3"/>
  <c r="V1322" i="3"/>
  <c r="V1547" i="3"/>
  <c r="E1548" i="3"/>
  <c r="E933" i="3"/>
  <c r="V932" i="3"/>
  <c r="E743" i="3"/>
  <c r="E1584" i="3"/>
  <c r="V1583" i="3"/>
  <c r="V1222" i="3"/>
  <c r="E1223" i="3"/>
  <c r="E1187" i="3"/>
  <c r="V1186" i="3"/>
  <c r="E1493" i="3"/>
  <c r="V1492" i="3"/>
  <c r="V11" i="3"/>
  <c r="F12" i="3"/>
  <c r="V1165" i="3"/>
  <c r="E1166" i="3"/>
  <c r="V1111" i="3"/>
  <c r="E1112" i="3"/>
  <c r="H303" i="3"/>
  <c r="H307" i="3" s="1"/>
  <c r="H311" i="3" s="1"/>
  <c r="H315" i="3" s="1"/>
  <c r="H319" i="3" s="1"/>
  <c r="H304" i="3"/>
  <c r="H308" i="3" s="1"/>
  <c r="H312" i="3" s="1"/>
  <c r="H316" i="3" s="1"/>
  <c r="H320" i="3" s="1"/>
  <c r="H449" i="3"/>
  <c r="H453" i="3" s="1"/>
  <c r="H457" i="3" s="1"/>
  <c r="H461" i="3" s="1"/>
  <c r="H465" i="3" s="1"/>
  <c r="H450" i="3"/>
  <c r="H454" i="3" s="1"/>
  <c r="H458" i="3" s="1"/>
  <c r="H462" i="3" s="1"/>
  <c r="H466" i="3" s="1"/>
  <c r="V110" i="3"/>
  <c r="E111" i="3"/>
  <c r="E1447" i="3"/>
  <c r="V1446" i="3"/>
  <c r="E1243" i="3"/>
  <c r="E1131" i="3"/>
  <c r="V1130" i="3"/>
  <c r="V1362" i="3"/>
  <c r="E1363" i="3"/>
  <c r="V1528" i="3"/>
  <c r="E1529" i="3"/>
  <c r="W254" i="2"/>
  <c r="F255" i="2"/>
  <c r="H72" i="2"/>
  <c r="H76" i="2" s="1"/>
  <c r="H80" i="2" s="1"/>
  <c r="H84" i="2" s="1"/>
  <c r="H88" i="2" s="1"/>
  <c r="H73" i="2"/>
  <c r="H77" i="2" s="1"/>
  <c r="H81" i="2" s="1"/>
  <c r="H85" i="2" s="1"/>
  <c r="H89" i="2" s="1"/>
  <c r="H90" i="2" s="1"/>
  <c r="F224" i="2"/>
  <c r="W223" i="2"/>
  <c r="F320" i="2"/>
  <c r="W319" i="2"/>
  <c r="F28" i="2"/>
  <c r="W27" i="2"/>
  <c r="B156" i="2"/>
  <c r="B140" i="2"/>
  <c r="W288" i="2"/>
  <c r="F289" i="2"/>
  <c r="F192" i="2"/>
  <c r="W191" i="2"/>
  <c r="E994" i="2"/>
  <c r="W993" i="2"/>
  <c r="W968" i="2"/>
  <c r="E969" i="2"/>
  <c r="V1043" i="3" l="1"/>
  <c r="E1044" i="3"/>
  <c r="E1364" i="3"/>
  <c r="V1363" i="3"/>
  <c r="F1240" i="3"/>
  <c r="V1239" i="3"/>
  <c r="E1150" i="3"/>
  <c r="V1149" i="3"/>
  <c r="V1094" i="3"/>
  <c r="E1095" i="3"/>
  <c r="V1617" i="3"/>
  <c r="E1618" i="3"/>
  <c r="V561" i="3"/>
  <c r="E562" i="3"/>
  <c r="E1411" i="3"/>
  <c r="V1410" i="3"/>
  <c r="E900" i="3"/>
  <c r="V899" i="3"/>
  <c r="E1167" i="3"/>
  <c r="V1166" i="3"/>
  <c r="E880" i="3"/>
  <c r="V879" i="3"/>
  <c r="V1059" i="3"/>
  <c r="E1060" i="3"/>
  <c r="V1343" i="3"/>
  <c r="E1344" i="3"/>
  <c r="V1511" i="3"/>
  <c r="E1512" i="3"/>
  <c r="V1131" i="3"/>
  <c r="E1132" i="3"/>
  <c r="E1244" i="3"/>
  <c r="E744" i="3"/>
  <c r="E1203" i="3"/>
  <c r="V1202" i="3"/>
  <c r="E1327" i="3"/>
  <c r="E1530" i="3"/>
  <c r="V1529" i="3"/>
  <c r="V1223" i="3"/>
  <c r="E1224" i="3"/>
  <c r="V1112" i="3"/>
  <c r="E1113" i="3"/>
  <c r="E953" i="3"/>
  <c r="V952" i="3"/>
  <c r="V1426" i="3"/>
  <c r="E1427" i="3"/>
  <c r="V406" i="3"/>
  <c r="E407" i="3"/>
  <c r="V1187" i="3"/>
  <c r="E1188" i="3"/>
  <c r="F1324" i="3"/>
  <c r="V1323" i="3"/>
  <c r="V989" i="3"/>
  <c r="E990" i="3"/>
  <c r="V1306" i="3"/>
  <c r="E1307" i="3"/>
  <c r="E1025" i="3"/>
  <c r="V1024" i="3"/>
  <c r="V1447" i="3"/>
  <c r="E1448" i="3"/>
  <c r="F741" i="3"/>
  <c r="V740" i="3"/>
  <c r="T749" i="3"/>
  <c r="T741" i="3"/>
  <c r="T742" i="3" s="1"/>
  <c r="T743" i="3" s="1"/>
  <c r="T744" i="3" s="1"/>
  <c r="E970" i="3"/>
  <c r="V969" i="3"/>
  <c r="E1568" i="3"/>
  <c r="E1585" i="3"/>
  <c r="V1584" i="3"/>
  <c r="V12" i="3"/>
  <c r="F13" i="3"/>
  <c r="V770" i="3"/>
  <c r="E771" i="3"/>
  <c r="V933" i="3"/>
  <c r="E934" i="3"/>
  <c r="V111" i="3"/>
  <c r="E112" i="3"/>
  <c r="E1549" i="3"/>
  <c r="V1548" i="3"/>
  <c r="E916" i="3"/>
  <c r="V915" i="3"/>
  <c r="E261" i="3"/>
  <c r="V260" i="3"/>
  <c r="V594" i="3"/>
  <c r="E595" i="3"/>
  <c r="V1006" i="3"/>
  <c r="E1007" i="3"/>
  <c r="V1259" i="3"/>
  <c r="E1260" i="3"/>
  <c r="V1077" i="3"/>
  <c r="E1078" i="3"/>
  <c r="E1494" i="3"/>
  <c r="V1493" i="3"/>
  <c r="F1566" i="3"/>
  <c r="V1565" i="3"/>
  <c r="B141" i="2"/>
  <c r="B157" i="2"/>
  <c r="E970" i="2"/>
  <c r="W969" i="2"/>
  <c r="H93" i="2"/>
  <c r="H96" i="2" s="1"/>
  <c r="H99" i="2" s="1"/>
  <c r="H102" i="2" s="1"/>
  <c r="H106" i="2" s="1"/>
  <c r="H110" i="2" s="1"/>
  <c r="H114" i="2" s="1"/>
  <c r="H118" i="2" s="1"/>
  <c r="H91" i="2"/>
  <c r="H94" i="2" s="1"/>
  <c r="H97" i="2" s="1"/>
  <c r="H100" i="2" s="1"/>
  <c r="H103" i="2" s="1"/>
  <c r="H107" i="2" s="1"/>
  <c r="H111" i="2" s="1"/>
  <c r="H115" i="2" s="1"/>
  <c r="H119" i="2" s="1"/>
  <c r="H92" i="2"/>
  <c r="H95" i="2" s="1"/>
  <c r="H98" i="2" s="1"/>
  <c r="H101" i="2" s="1"/>
  <c r="W320" i="2"/>
  <c r="F321" i="2"/>
  <c r="F256" i="2"/>
  <c r="W255" i="2"/>
  <c r="W28" i="2"/>
  <c r="F29" i="2"/>
  <c r="W994" i="2"/>
  <c r="E995" i="2"/>
  <c r="F225" i="2"/>
  <c r="W224" i="2"/>
  <c r="W192" i="2"/>
  <c r="F193" i="2"/>
  <c r="W289" i="2"/>
  <c r="F290" i="2"/>
  <c r="E1061" i="3" l="1"/>
  <c r="V1060" i="3"/>
  <c r="V916" i="3"/>
  <c r="E917" i="3"/>
  <c r="V1025" i="3"/>
  <c r="E1026" i="3"/>
  <c r="V1203" i="3"/>
  <c r="E1204" i="3"/>
  <c r="V970" i="3"/>
  <c r="E971" i="3"/>
  <c r="V1167" i="3"/>
  <c r="E1168" i="3"/>
  <c r="E1151" i="3"/>
  <c r="V1150" i="3"/>
  <c r="V1078" i="3"/>
  <c r="E1079" i="3"/>
  <c r="E1308" i="3"/>
  <c r="V1307" i="3"/>
  <c r="V1095" i="3"/>
  <c r="E1096" i="3"/>
  <c r="E954" i="3"/>
  <c r="V953" i="3"/>
  <c r="E1008" i="3"/>
  <c r="V1007" i="3"/>
  <c r="E935" i="3"/>
  <c r="V934" i="3"/>
  <c r="V1224" i="3"/>
  <c r="E1225" i="3"/>
  <c r="V1132" i="3"/>
  <c r="E1133" i="3"/>
  <c r="E1428" i="3"/>
  <c r="V1427" i="3"/>
  <c r="V1585" i="3"/>
  <c r="E1586" i="3"/>
  <c r="E901" i="3"/>
  <c r="V900" i="3"/>
  <c r="F1241" i="3"/>
  <c r="V1240" i="3"/>
  <c r="E1569" i="3"/>
  <c r="E113" i="3"/>
  <c r="V112" i="3"/>
  <c r="F1325" i="3"/>
  <c r="V1324" i="3"/>
  <c r="E772" i="3"/>
  <c r="V771" i="3"/>
  <c r="V1188" i="3"/>
  <c r="E1189" i="3"/>
  <c r="F742" i="3"/>
  <c r="V741" i="3"/>
  <c r="V1530" i="3"/>
  <c r="E1531" i="3"/>
  <c r="V1411" i="3"/>
  <c r="E1412" i="3"/>
  <c r="V1364" i="3"/>
  <c r="E1365" i="3"/>
  <c r="E1495" i="3"/>
  <c r="V1494" i="3"/>
  <c r="V1549" i="3"/>
  <c r="E1550" i="3"/>
  <c r="V880" i="3"/>
  <c r="E881" i="3"/>
  <c r="V1260" i="3"/>
  <c r="E1261" i="3"/>
  <c r="E1114" i="3"/>
  <c r="V1113" i="3"/>
  <c r="V595" i="3"/>
  <c r="E596" i="3"/>
  <c r="E1513" i="3"/>
  <c r="V1512" i="3"/>
  <c r="V13" i="3"/>
  <c r="F14" i="3"/>
  <c r="V1448" i="3"/>
  <c r="E1449" i="3"/>
  <c r="V407" i="3"/>
  <c r="E408" i="3"/>
  <c r="V1344" i="3"/>
  <c r="E1345" i="3"/>
  <c r="V562" i="3"/>
  <c r="E563" i="3"/>
  <c r="V1044" i="3"/>
  <c r="E1045" i="3"/>
  <c r="V1618" i="3"/>
  <c r="E1619" i="3"/>
  <c r="E745" i="3"/>
  <c r="E991" i="3"/>
  <c r="V990" i="3"/>
  <c r="E1245" i="3"/>
  <c r="F1567" i="3"/>
  <c r="V1566" i="3"/>
  <c r="E262" i="3"/>
  <c r="V261" i="3"/>
  <c r="E1328" i="3"/>
  <c r="F291" i="2"/>
  <c r="W290" i="2"/>
  <c r="W321" i="2"/>
  <c r="F322" i="2"/>
  <c r="H105" i="2"/>
  <c r="H109" i="2" s="1"/>
  <c r="H113" i="2" s="1"/>
  <c r="H117" i="2" s="1"/>
  <c r="H121" i="2" s="1"/>
  <c r="H122" i="2" s="1"/>
  <c r="H104" i="2"/>
  <c r="H108" i="2" s="1"/>
  <c r="H112" i="2" s="1"/>
  <c r="H116" i="2" s="1"/>
  <c r="H120" i="2" s="1"/>
  <c r="E996" i="2"/>
  <c r="W995" i="2"/>
  <c r="W970" i="2"/>
  <c r="E971" i="2"/>
  <c r="F257" i="2"/>
  <c r="W256" i="2"/>
  <c r="W193" i="2"/>
  <c r="F194" i="2"/>
  <c r="F226" i="2"/>
  <c r="W225" i="2"/>
  <c r="W29" i="2"/>
  <c r="F30" i="2"/>
  <c r="B158" i="2"/>
  <c r="B142" i="2"/>
  <c r="V14" i="3" l="1"/>
  <c r="F15" i="3"/>
  <c r="E1329" i="3"/>
  <c r="V1008" i="3"/>
  <c r="E1009" i="3"/>
  <c r="V596" i="3"/>
  <c r="E597" i="3"/>
  <c r="E1097" i="3"/>
  <c r="V1096" i="3"/>
  <c r="E1429" i="3"/>
  <c r="V1428" i="3"/>
  <c r="E1246" i="3"/>
  <c r="E1346" i="3"/>
  <c r="V1345" i="3"/>
  <c r="E1413" i="3"/>
  <c r="V1412" i="3"/>
  <c r="V1133" i="3"/>
  <c r="E1134" i="3"/>
  <c r="V1026" i="3"/>
  <c r="E1027" i="3"/>
  <c r="E773" i="3"/>
  <c r="V772" i="3"/>
  <c r="E564" i="3"/>
  <c r="V563" i="3"/>
  <c r="V1204" i="3"/>
  <c r="E1205" i="3"/>
  <c r="F1568" i="3"/>
  <c r="V1567" i="3"/>
  <c r="V1308" i="3"/>
  <c r="E1309" i="3"/>
  <c r="E1551" i="3"/>
  <c r="V1550" i="3"/>
  <c r="V1168" i="3"/>
  <c r="E1169" i="3"/>
  <c r="V262" i="3"/>
  <c r="E263" i="3"/>
  <c r="E955" i="3"/>
  <c r="V954" i="3"/>
  <c r="V408" i="3"/>
  <c r="E409" i="3"/>
  <c r="E1262" i="3"/>
  <c r="V1261" i="3"/>
  <c r="V1531" i="3"/>
  <c r="E1532" i="3"/>
  <c r="E1226" i="3"/>
  <c r="V1225" i="3"/>
  <c r="E1080" i="3"/>
  <c r="V1079" i="3"/>
  <c r="V917" i="3"/>
  <c r="E918" i="3"/>
  <c r="V1619" i="3"/>
  <c r="E1620" i="3"/>
  <c r="E1190" i="3"/>
  <c r="V1189" i="3"/>
  <c r="E1587" i="3"/>
  <c r="V1586" i="3"/>
  <c r="E1496" i="3"/>
  <c r="V1495" i="3"/>
  <c r="V1365" i="3"/>
  <c r="E1366" i="3"/>
  <c r="F1326" i="3"/>
  <c r="V1325" i="3"/>
  <c r="E1570" i="3"/>
  <c r="E902" i="3"/>
  <c r="V901" i="3"/>
  <c r="E1046" i="3"/>
  <c r="V1045" i="3"/>
  <c r="E972" i="3"/>
  <c r="V971" i="3"/>
  <c r="E1514" i="3"/>
  <c r="V1513" i="3"/>
  <c r="V1114" i="3"/>
  <c r="E1115" i="3"/>
  <c r="V113" i="3"/>
  <c r="E114" i="3"/>
  <c r="E992" i="3"/>
  <c r="V991" i="3"/>
  <c r="V1449" i="3"/>
  <c r="E1450" i="3"/>
  <c r="E882" i="3"/>
  <c r="V881" i="3"/>
  <c r="E746" i="3"/>
  <c r="F743" i="3"/>
  <c r="V742" i="3"/>
  <c r="F1242" i="3"/>
  <c r="V1241" i="3"/>
  <c r="V935" i="3"/>
  <c r="E936" i="3"/>
  <c r="V1151" i="3"/>
  <c r="E1152" i="3"/>
  <c r="E1062" i="3"/>
  <c r="V1061" i="3"/>
  <c r="F31" i="2"/>
  <c r="W30" i="2"/>
  <c r="W257" i="2"/>
  <c r="F258" i="2"/>
  <c r="E972" i="2"/>
  <c r="W971" i="2"/>
  <c r="W322" i="2"/>
  <c r="F323" i="2"/>
  <c r="W996" i="2"/>
  <c r="E997" i="2"/>
  <c r="B143" i="2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9" i="2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H124" i="2"/>
  <c r="H127" i="2" s="1"/>
  <c r="H130" i="2" s="1"/>
  <c r="H133" i="2" s="1"/>
  <c r="H123" i="2"/>
  <c r="H126" i="2" s="1"/>
  <c r="H129" i="2" s="1"/>
  <c r="H132" i="2" s="1"/>
  <c r="H135" i="2" s="1"/>
  <c r="H139" i="2" s="1"/>
  <c r="H143" i="2" s="1"/>
  <c r="H147" i="2" s="1"/>
  <c r="H151" i="2" s="1"/>
  <c r="H125" i="2"/>
  <c r="H128" i="2" s="1"/>
  <c r="H131" i="2" s="1"/>
  <c r="H134" i="2" s="1"/>
  <c r="H138" i="2" s="1"/>
  <c r="H142" i="2" s="1"/>
  <c r="H146" i="2" s="1"/>
  <c r="H150" i="2" s="1"/>
  <c r="F227" i="2"/>
  <c r="W226" i="2"/>
  <c r="F195" i="2"/>
  <c r="W194" i="2"/>
  <c r="F292" i="2"/>
  <c r="W291" i="2"/>
  <c r="E1063" i="3" l="1"/>
  <c r="V1062" i="3"/>
  <c r="E1533" i="3"/>
  <c r="V1532" i="3"/>
  <c r="V1097" i="3"/>
  <c r="E1098" i="3"/>
  <c r="E937" i="3"/>
  <c r="V936" i="3"/>
  <c r="E1310" i="3"/>
  <c r="V1309" i="3"/>
  <c r="V992" i="3"/>
  <c r="E993" i="3"/>
  <c r="V902" i="3"/>
  <c r="E903" i="3"/>
  <c r="E1191" i="3"/>
  <c r="V1190" i="3"/>
  <c r="V1262" i="3"/>
  <c r="E1263" i="3"/>
  <c r="E1170" i="3"/>
  <c r="V1169" i="3"/>
  <c r="E883" i="3"/>
  <c r="V882" i="3"/>
  <c r="E1588" i="3"/>
  <c r="V1587" i="3"/>
  <c r="V1009" i="3"/>
  <c r="E1010" i="3"/>
  <c r="V1413" i="3"/>
  <c r="E1414" i="3"/>
  <c r="V972" i="3"/>
  <c r="E973" i="3"/>
  <c r="E1330" i="3"/>
  <c r="E1430" i="3"/>
  <c r="V1429" i="3"/>
  <c r="V1450" i="3"/>
  <c r="E1451" i="3"/>
  <c r="V1134" i="3"/>
  <c r="E1135" i="3"/>
  <c r="F1243" i="3"/>
  <c r="V1242" i="3"/>
  <c r="E1571" i="3"/>
  <c r="F1569" i="3"/>
  <c r="V1568" i="3"/>
  <c r="E956" i="3"/>
  <c r="V955" i="3"/>
  <c r="E1347" i="3"/>
  <c r="V1346" i="3"/>
  <c r="V773" i="3"/>
  <c r="E774" i="3"/>
  <c r="E1153" i="3"/>
  <c r="V1152" i="3"/>
  <c r="E1047" i="3"/>
  <c r="V1046" i="3"/>
  <c r="V918" i="3"/>
  <c r="E919" i="3"/>
  <c r="V1366" i="3"/>
  <c r="E1367" i="3"/>
  <c r="V15" i="3"/>
  <c r="F16" i="3"/>
  <c r="V1496" i="3"/>
  <c r="E1497" i="3"/>
  <c r="E1227" i="3"/>
  <c r="V1226" i="3"/>
  <c r="E1028" i="3"/>
  <c r="V1027" i="3"/>
  <c r="V1551" i="3"/>
  <c r="E1552" i="3"/>
  <c r="V597" i="3"/>
  <c r="E598" i="3"/>
  <c r="V114" i="3"/>
  <c r="E115" i="3"/>
  <c r="V1620" i="3"/>
  <c r="E1621" i="3"/>
  <c r="V409" i="3"/>
  <c r="E410" i="3"/>
  <c r="V1115" i="3"/>
  <c r="E1116" i="3"/>
  <c r="E1206" i="3"/>
  <c r="V1205" i="3"/>
  <c r="F744" i="3"/>
  <c r="V743" i="3"/>
  <c r="F1327" i="3"/>
  <c r="V1326" i="3"/>
  <c r="V263" i="3"/>
  <c r="E264" i="3"/>
  <c r="E747" i="3"/>
  <c r="E1515" i="3"/>
  <c r="V1514" i="3"/>
  <c r="V1080" i="3"/>
  <c r="E1081" i="3"/>
  <c r="V564" i="3"/>
  <c r="E565" i="3"/>
  <c r="W292" i="2"/>
  <c r="F293" i="2"/>
  <c r="W972" i="2"/>
  <c r="E973" i="2"/>
  <c r="F228" i="2"/>
  <c r="W227" i="2"/>
  <c r="W258" i="2"/>
  <c r="F259" i="2"/>
  <c r="W997" i="2"/>
  <c r="E998" i="2"/>
  <c r="B172" i="2"/>
  <c r="B186" i="2"/>
  <c r="W323" i="2"/>
  <c r="F324" i="2"/>
  <c r="F196" i="2"/>
  <c r="W195" i="2"/>
  <c r="H137" i="2"/>
  <c r="H141" i="2" s="1"/>
  <c r="H145" i="2" s="1"/>
  <c r="H149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36" i="2"/>
  <c r="H140" i="2" s="1"/>
  <c r="H144" i="2" s="1"/>
  <c r="H148" i="2" s="1"/>
  <c r="H152" i="2" s="1"/>
  <c r="F32" i="2"/>
  <c r="W31" i="2"/>
  <c r="E599" i="3" l="1"/>
  <c r="V598" i="3"/>
  <c r="V1430" i="3"/>
  <c r="E1431" i="3"/>
  <c r="E1207" i="3"/>
  <c r="V1206" i="3"/>
  <c r="F1570" i="3"/>
  <c r="V1569" i="3"/>
  <c r="V1170" i="3"/>
  <c r="E1171" i="3"/>
  <c r="V937" i="3"/>
  <c r="E938" i="3"/>
  <c r="F1328" i="3"/>
  <c r="V1327" i="3"/>
  <c r="E1117" i="3"/>
  <c r="V1116" i="3"/>
  <c r="E1572" i="3"/>
  <c r="V973" i="3"/>
  <c r="E974" i="3"/>
  <c r="V1263" i="3"/>
  <c r="E1264" i="3"/>
  <c r="V1098" i="3"/>
  <c r="E1099" i="3"/>
  <c r="V883" i="3"/>
  <c r="E884" i="3"/>
  <c r="V16" i="3"/>
  <c r="F17" i="3"/>
  <c r="V993" i="3"/>
  <c r="E994" i="3"/>
  <c r="V994" i="3" s="1"/>
  <c r="F745" i="3"/>
  <c r="V744" i="3"/>
  <c r="E1311" i="3"/>
  <c r="V1310" i="3"/>
  <c r="V1552" i="3"/>
  <c r="E1553" i="3"/>
  <c r="E920" i="3"/>
  <c r="V919" i="3"/>
  <c r="E1331" i="3"/>
  <c r="V410" i="3"/>
  <c r="E411" i="3"/>
  <c r="E1415" i="3"/>
  <c r="V1414" i="3"/>
  <c r="F1244" i="3"/>
  <c r="V1243" i="3"/>
  <c r="V1533" i="3"/>
  <c r="E1534" i="3"/>
  <c r="V115" i="3"/>
  <c r="E116" i="3"/>
  <c r="E1452" i="3"/>
  <c r="V1451" i="3"/>
  <c r="V1347" i="3"/>
  <c r="E1348" i="3"/>
  <c r="V1515" i="3"/>
  <c r="E1516" i="3"/>
  <c r="E1029" i="3"/>
  <c r="V1028" i="3"/>
  <c r="V1047" i="3"/>
  <c r="E1048" i="3"/>
  <c r="V1048" i="3" s="1"/>
  <c r="V1227" i="3"/>
  <c r="E1228" i="3"/>
  <c r="V1228" i="3" s="1"/>
  <c r="V1497" i="3"/>
  <c r="E1498" i="3"/>
  <c r="V774" i="3"/>
  <c r="E775" i="3"/>
  <c r="E1136" i="3"/>
  <c r="V1135" i="3"/>
  <c r="V1010" i="3"/>
  <c r="E1011" i="3"/>
  <c r="E904" i="3"/>
  <c r="V904" i="3" s="1"/>
  <c r="V903" i="3"/>
  <c r="V1588" i="3"/>
  <c r="E1589" i="3"/>
  <c r="V565" i="3"/>
  <c r="E566" i="3"/>
  <c r="V1367" i="3"/>
  <c r="E1368" i="3"/>
  <c r="V956" i="3"/>
  <c r="E957" i="3"/>
  <c r="V1081" i="3"/>
  <c r="E1082" i="3"/>
  <c r="E748" i="3"/>
  <c r="V1153" i="3"/>
  <c r="E1154" i="3"/>
  <c r="E1192" i="3"/>
  <c r="V1192" i="3" s="1"/>
  <c r="V1191" i="3"/>
  <c r="V264" i="3"/>
  <c r="E265" i="3"/>
  <c r="V1621" i="3"/>
  <c r="E1622" i="3"/>
  <c r="V1063" i="3"/>
  <c r="E1064" i="3"/>
  <c r="W32" i="2"/>
  <c r="F33" i="2"/>
  <c r="B187" i="2"/>
  <c r="B173" i="2"/>
  <c r="E974" i="2"/>
  <c r="W973" i="2"/>
  <c r="W998" i="2"/>
  <c r="E999" i="2"/>
  <c r="W259" i="2"/>
  <c r="F260" i="2"/>
  <c r="W228" i="2"/>
  <c r="F229" i="2"/>
  <c r="W196" i="2"/>
  <c r="F197" i="2"/>
  <c r="F325" i="2"/>
  <c r="W324" i="2"/>
  <c r="W293" i="2"/>
  <c r="F294" i="2"/>
  <c r="V1264" i="3" l="1"/>
  <c r="E1265" i="3"/>
  <c r="E1312" i="3"/>
  <c r="V1311" i="3"/>
  <c r="E975" i="3"/>
  <c r="V974" i="3"/>
  <c r="E776" i="3"/>
  <c r="V775" i="3"/>
  <c r="V1348" i="3"/>
  <c r="E1349" i="3"/>
  <c r="V1349" i="3" s="1"/>
  <c r="E412" i="3"/>
  <c r="V411" i="3"/>
  <c r="E1573" i="3"/>
  <c r="V1207" i="3"/>
  <c r="E1208" i="3"/>
  <c r="V1534" i="3"/>
  <c r="E1535" i="3"/>
  <c r="V1029" i="3"/>
  <c r="E1030" i="3"/>
  <c r="V1030" i="3" s="1"/>
  <c r="E567" i="3"/>
  <c r="V566" i="3"/>
  <c r="V17" i="3"/>
  <c r="F18" i="3"/>
  <c r="V1431" i="3"/>
  <c r="E1432" i="3"/>
  <c r="E749" i="3"/>
  <c r="E1554" i="3"/>
  <c r="V1553" i="3"/>
  <c r="E1083" i="3"/>
  <c r="V1082" i="3"/>
  <c r="V1011" i="3"/>
  <c r="E1012" i="3"/>
  <c r="V1012" i="3" s="1"/>
  <c r="E1623" i="3"/>
  <c r="V1622" i="3"/>
  <c r="V1516" i="3"/>
  <c r="E1517" i="3"/>
  <c r="F746" i="3"/>
  <c r="V745" i="3"/>
  <c r="E266" i="3"/>
  <c r="V265" i="3"/>
  <c r="E1118" i="3"/>
  <c r="V1117" i="3"/>
  <c r="E939" i="3"/>
  <c r="V938" i="3"/>
  <c r="E1065" i="3"/>
  <c r="V1064" i="3"/>
  <c r="F1245" i="3"/>
  <c r="V1244" i="3"/>
  <c r="E958" i="3"/>
  <c r="V958" i="3" s="1"/>
  <c r="V957" i="3"/>
  <c r="E1137" i="3"/>
  <c r="V1136" i="3"/>
  <c r="E1416" i="3"/>
  <c r="V1416" i="3" s="1"/>
  <c r="V1415" i="3"/>
  <c r="E1499" i="3"/>
  <c r="V1498" i="3"/>
  <c r="V1589" i="3"/>
  <c r="E1590" i="3"/>
  <c r="E885" i="3"/>
  <c r="V884" i="3"/>
  <c r="V1099" i="3"/>
  <c r="E1100" i="3"/>
  <c r="E1172" i="3"/>
  <c r="V1171" i="3"/>
  <c r="F1571" i="3"/>
  <c r="V1570" i="3"/>
  <c r="V1368" i="3"/>
  <c r="E1369" i="3"/>
  <c r="E1453" i="3"/>
  <c r="V1452" i="3"/>
  <c r="E1155" i="3"/>
  <c r="V1154" i="3"/>
  <c r="E117" i="3"/>
  <c r="V116" i="3"/>
  <c r="E921" i="3"/>
  <c r="V920" i="3"/>
  <c r="F1329" i="3"/>
  <c r="V1328" i="3"/>
  <c r="V599" i="3"/>
  <c r="E600" i="3"/>
  <c r="W229" i="2"/>
  <c r="F230" i="2"/>
  <c r="W999" i="2"/>
  <c r="E1000" i="2"/>
  <c r="E975" i="2"/>
  <c r="W974" i="2"/>
  <c r="B174" i="2"/>
  <c r="B188" i="2"/>
  <c r="W325" i="2"/>
  <c r="F326" i="2"/>
  <c r="W197" i="2"/>
  <c r="F198" i="2"/>
  <c r="W33" i="2"/>
  <c r="F34" i="2"/>
  <c r="W260" i="2"/>
  <c r="F261" i="2"/>
  <c r="F295" i="2"/>
  <c r="W294" i="2"/>
  <c r="F1330" i="3" l="1"/>
  <c r="V1329" i="3"/>
  <c r="E1454" i="3"/>
  <c r="V1453" i="3"/>
  <c r="V1065" i="3"/>
  <c r="E1066" i="3"/>
  <c r="V1066" i="3" s="1"/>
  <c r="E601" i="3"/>
  <c r="V600" i="3"/>
  <c r="E1370" i="3"/>
  <c r="V1369" i="3"/>
  <c r="V1623" i="3"/>
  <c r="E1624" i="3"/>
  <c r="E413" i="3"/>
  <c r="V412" i="3"/>
  <c r="V18" i="3"/>
  <c r="F19" i="3"/>
  <c r="E1500" i="3"/>
  <c r="V1499" i="3"/>
  <c r="V939" i="3"/>
  <c r="E940" i="3"/>
  <c r="V940" i="3" s="1"/>
  <c r="E568" i="3"/>
  <c r="V567" i="3"/>
  <c r="E777" i="3"/>
  <c r="V776" i="3"/>
  <c r="E118" i="3"/>
  <c r="V117" i="3"/>
  <c r="E1084" i="3"/>
  <c r="V1084" i="3" s="1"/>
  <c r="V1083" i="3"/>
  <c r="V1172" i="3"/>
  <c r="E1173" i="3"/>
  <c r="F747" i="3"/>
  <c r="V746" i="3"/>
  <c r="E750" i="3"/>
  <c r="E1313" i="3"/>
  <c r="V1313" i="3" s="1"/>
  <c r="V1312" i="3"/>
  <c r="V1137" i="3"/>
  <c r="E1138" i="3"/>
  <c r="V1138" i="3" s="1"/>
  <c r="E1101" i="3"/>
  <c r="V1100" i="3"/>
  <c r="V266" i="3"/>
  <c r="E267" i="3"/>
  <c r="V1208" i="3"/>
  <c r="E1209" i="3"/>
  <c r="V1155" i="3"/>
  <c r="E1156" i="3"/>
  <c r="V1156" i="3" s="1"/>
  <c r="E886" i="3"/>
  <c r="V886" i="3" s="1"/>
  <c r="V885" i="3"/>
  <c r="F1246" i="3"/>
  <c r="V1246" i="3" s="1"/>
  <c r="V1245" i="3"/>
  <c r="V1517" i="3"/>
  <c r="E1518" i="3"/>
  <c r="V1432" i="3"/>
  <c r="E1433" i="3"/>
  <c r="V1265" i="3"/>
  <c r="E1266" i="3"/>
  <c r="F1572" i="3"/>
  <c r="V1571" i="3"/>
  <c r="V1118" i="3"/>
  <c r="E1119" i="3"/>
  <c r="V921" i="3"/>
  <c r="E922" i="3"/>
  <c r="V922" i="3" s="1"/>
  <c r="E1536" i="3"/>
  <c r="V1535" i="3"/>
  <c r="E1555" i="3"/>
  <c r="V1555" i="3" s="1"/>
  <c r="V1554" i="3"/>
  <c r="V975" i="3"/>
  <c r="E976" i="3"/>
  <c r="V976" i="3" s="1"/>
  <c r="E1591" i="3"/>
  <c r="V1590" i="3"/>
  <c r="F199" i="2"/>
  <c r="W198" i="2"/>
  <c r="B175" i="2"/>
  <c r="B189" i="2"/>
  <c r="F296" i="2"/>
  <c r="W295" i="2"/>
  <c r="E976" i="2"/>
  <c r="W975" i="2"/>
  <c r="F262" i="2"/>
  <c r="W261" i="2"/>
  <c r="E1001" i="2"/>
  <c r="W1000" i="2"/>
  <c r="W326" i="2"/>
  <c r="F327" i="2"/>
  <c r="F35" i="2"/>
  <c r="W34" i="2"/>
  <c r="F231" i="2"/>
  <c r="W230" i="2"/>
  <c r="F1573" i="3" l="1"/>
  <c r="V1573" i="3" s="1"/>
  <c r="V1572" i="3"/>
  <c r="V568" i="3"/>
  <c r="E569" i="3"/>
  <c r="E1267" i="3"/>
  <c r="V1266" i="3"/>
  <c r="V1173" i="3"/>
  <c r="E1174" i="3"/>
  <c r="V1174" i="3" s="1"/>
  <c r="V1209" i="3"/>
  <c r="E1210" i="3"/>
  <c r="V1210" i="3" s="1"/>
  <c r="V1119" i="3"/>
  <c r="E1120" i="3"/>
  <c r="V1120" i="3" s="1"/>
  <c r="V1536" i="3"/>
  <c r="E1537" i="3"/>
  <c r="V1537" i="3" s="1"/>
  <c r="E1102" i="3"/>
  <c r="V1102" i="3" s="1"/>
  <c r="V1101" i="3"/>
  <c r="E1455" i="3"/>
  <c r="V1454" i="3"/>
  <c r="E1625" i="3"/>
  <c r="V1624" i="3"/>
  <c r="E1592" i="3"/>
  <c r="V1591" i="3"/>
  <c r="E1371" i="3"/>
  <c r="V1370" i="3"/>
  <c r="V601" i="3"/>
  <c r="E602" i="3"/>
  <c r="E1434" i="3"/>
  <c r="V1434" i="3" s="1"/>
  <c r="V1433" i="3"/>
  <c r="E778" i="3"/>
  <c r="V777" i="3"/>
  <c r="E751" i="3"/>
  <c r="F748" i="3"/>
  <c r="V747" i="3"/>
  <c r="V267" i="3"/>
  <c r="E268" i="3"/>
  <c r="E1501" i="3"/>
  <c r="V1501" i="3" s="1"/>
  <c r="V1500" i="3"/>
  <c r="E1519" i="3"/>
  <c r="V1519" i="3" s="1"/>
  <c r="V1518" i="3"/>
  <c r="V19" i="3"/>
  <c r="F20" i="3"/>
  <c r="V118" i="3"/>
  <c r="E119" i="3"/>
  <c r="V413" i="3"/>
  <c r="E414" i="3"/>
  <c r="F1331" i="3"/>
  <c r="V1331" i="3" s="1"/>
  <c r="V1330" i="3"/>
  <c r="W976" i="2"/>
  <c r="E977" i="2"/>
  <c r="E1002" i="2"/>
  <c r="W1001" i="2"/>
  <c r="W296" i="2"/>
  <c r="F297" i="2"/>
  <c r="F263" i="2"/>
  <c r="W262" i="2"/>
  <c r="F36" i="2"/>
  <c r="W35" i="2"/>
  <c r="B176" i="2"/>
  <c r="B190" i="2"/>
  <c r="F328" i="2"/>
  <c r="W327" i="2"/>
  <c r="F232" i="2"/>
  <c r="W231" i="2"/>
  <c r="F200" i="2"/>
  <c r="W199" i="2"/>
  <c r="V1371" i="3" l="1"/>
  <c r="E1372" i="3"/>
  <c r="V1592" i="3"/>
  <c r="E1593" i="3"/>
  <c r="F749" i="3"/>
  <c r="V748" i="3"/>
  <c r="V20" i="3"/>
  <c r="F21" i="3"/>
  <c r="E1268" i="3"/>
  <c r="V1267" i="3"/>
  <c r="E269" i="3"/>
  <c r="V268" i="3"/>
  <c r="E752" i="3"/>
  <c r="V569" i="3"/>
  <c r="E570" i="3"/>
  <c r="V602" i="3"/>
  <c r="E603" i="3"/>
  <c r="V414" i="3"/>
  <c r="E415" i="3"/>
  <c r="V119" i="3"/>
  <c r="E120" i="3"/>
  <c r="V1625" i="3"/>
  <c r="E1626" i="3"/>
  <c r="V778" i="3"/>
  <c r="E779" i="3"/>
  <c r="V1455" i="3"/>
  <c r="E1456" i="3"/>
  <c r="B191" i="2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177" i="2"/>
  <c r="B178" i="2" s="1"/>
  <c r="B179" i="2" s="1"/>
  <c r="B180" i="2" s="1"/>
  <c r="B181" i="2" s="1"/>
  <c r="B182" i="2" s="1"/>
  <c r="B183" i="2" s="1"/>
  <c r="B184" i="2" s="1"/>
  <c r="B185" i="2" s="1"/>
  <c r="W200" i="2"/>
  <c r="F201" i="2"/>
  <c r="W1002" i="2"/>
  <c r="E1003" i="2"/>
  <c r="W977" i="2"/>
  <c r="E978" i="2"/>
  <c r="W36" i="2"/>
  <c r="F37" i="2"/>
  <c r="W263" i="2"/>
  <c r="F264" i="2"/>
  <c r="F298" i="2"/>
  <c r="W297" i="2"/>
  <c r="W232" i="2"/>
  <c r="F233" i="2"/>
  <c r="W328" i="2"/>
  <c r="F329" i="2"/>
  <c r="E1627" i="3" l="1"/>
  <c r="V1626" i="3"/>
  <c r="E416" i="3"/>
  <c r="V415" i="3"/>
  <c r="V21" i="3"/>
  <c r="F22" i="3"/>
  <c r="V603" i="3"/>
  <c r="E604" i="3"/>
  <c r="F750" i="3"/>
  <c r="V749" i="3"/>
  <c r="V269" i="3"/>
  <c r="E270" i="3"/>
  <c r="E1269" i="3"/>
  <c r="V1268" i="3"/>
  <c r="V1456" i="3"/>
  <c r="E1457" i="3"/>
  <c r="E571" i="3"/>
  <c r="V570" i="3"/>
  <c r="V1593" i="3"/>
  <c r="E1594" i="3"/>
  <c r="V779" i="3"/>
  <c r="E780" i="3"/>
  <c r="V1372" i="3"/>
  <c r="E1373" i="3"/>
  <c r="V120" i="3"/>
  <c r="E121" i="3"/>
  <c r="E753" i="3"/>
  <c r="E979" i="2"/>
  <c r="W978" i="2"/>
  <c r="W264" i="2"/>
  <c r="F265" i="2"/>
  <c r="W329" i="2"/>
  <c r="F330" i="2"/>
  <c r="W1003" i="2"/>
  <c r="E1004" i="2"/>
  <c r="W37" i="2"/>
  <c r="F38" i="2"/>
  <c r="W233" i="2"/>
  <c r="F234" i="2"/>
  <c r="W201" i="2"/>
  <c r="F202" i="2"/>
  <c r="F299" i="2"/>
  <c r="W298" i="2"/>
  <c r="B218" i="2"/>
  <c r="B204" i="2"/>
  <c r="E1595" i="3" l="1"/>
  <c r="V1594" i="3"/>
  <c r="E572" i="3"/>
  <c r="V571" i="3"/>
  <c r="F751" i="3"/>
  <c r="V750" i="3"/>
  <c r="E271" i="3"/>
  <c r="V270" i="3"/>
  <c r="E1374" i="3"/>
  <c r="V1373" i="3"/>
  <c r="V780" i="3"/>
  <c r="E781" i="3"/>
  <c r="E605" i="3"/>
  <c r="V604" i="3"/>
  <c r="V22" i="3"/>
  <c r="F23" i="3"/>
  <c r="V1457" i="3"/>
  <c r="E1458" i="3"/>
  <c r="E754" i="3"/>
  <c r="V416" i="3"/>
  <c r="E417" i="3"/>
  <c r="V121" i="3"/>
  <c r="E122" i="3"/>
  <c r="V1269" i="3"/>
  <c r="E1270" i="3"/>
  <c r="E1628" i="3"/>
  <c r="V1627" i="3"/>
  <c r="W234" i="2"/>
  <c r="F235" i="2"/>
  <c r="F39" i="2"/>
  <c r="W38" i="2"/>
  <c r="E1005" i="2"/>
  <c r="W1004" i="2"/>
  <c r="B205" i="2"/>
  <c r="B219" i="2"/>
  <c r="W330" i="2"/>
  <c r="F331" i="2"/>
  <c r="F266" i="2"/>
  <c r="W265" i="2"/>
  <c r="F300" i="2"/>
  <c r="W299" i="2"/>
  <c r="F203" i="2"/>
  <c r="W202" i="2"/>
  <c r="E980" i="2"/>
  <c r="W979" i="2"/>
  <c r="V122" i="3" l="1"/>
  <c r="E123" i="3"/>
  <c r="E755" i="3"/>
  <c r="E272" i="3"/>
  <c r="V271" i="3"/>
  <c r="V572" i="3"/>
  <c r="E573" i="3"/>
  <c r="E1459" i="3"/>
  <c r="V1458" i="3"/>
  <c r="F752" i="3"/>
  <c r="V751" i="3"/>
  <c r="E782" i="3"/>
  <c r="V781" i="3"/>
  <c r="E418" i="3"/>
  <c r="V417" i="3"/>
  <c r="V1374" i="3"/>
  <c r="E1375" i="3"/>
  <c r="V23" i="3"/>
  <c r="F24" i="3"/>
  <c r="E1629" i="3"/>
  <c r="V1628" i="3"/>
  <c r="V1270" i="3"/>
  <c r="E1271" i="3"/>
  <c r="V605" i="3"/>
  <c r="E606" i="3"/>
  <c r="E1596" i="3"/>
  <c r="V1595" i="3"/>
  <c r="B206" i="2"/>
  <c r="B220" i="2"/>
  <c r="F267" i="2"/>
  <c r="W266" i="2"/>
  <c r="W331" i="2"/>
  <c r="F332" i="2"/>
  <c r="E981" i="2"/>
  <c r="W980" i="2"/>
  <c r="F236" i="2"/>
  <c r="W235" i="2"/>
  <c r="E1006" i="2"/>
  <c r="W1005" i="2"/>
  <c r="F204" i="2"/>
  <c r="W203" i="2"/>
  <c r="F40" i="2"/>
  <c r="W39" i="2"/>
  <c r="W300" i="2"/>
  <c r="F301" i="2"/>
  <c r="V1271" i="3" l="1"/>
  <c r="E1272" i="3"/>
  <c r="E1376" i="3"/>
  <c r="V1375" i="3"/>
  <c r="F753" i="3"/>
  <c r="V752" i="3"/>
  <c r="V24" i="3"/>
  <c r="F25" i="3"/>
  <c r="E756" i="3"/>
  <c r="E1630" i="3"/>
  <c r="V1629" i="3"/>
  <c r="V1596" i="3"/>
  <c r="E1597" i="3"/>
  <c r="V418" i="3"/>
  <c r="E419" i="3"/>
  <c r="V123" i="3"/>
  <c r="E124" i="3"/>
  <c r="V1459" i="3"/>
  <c r="E1460" i="3"/>
  <c r="V573" i="3"/>
  <c r="E574" i="3"/>
  <c r="E273" i="3"/>
  <c r="V272" i="3"/>
  <c r="V606" i="3"/>
  <c r="E607" i="3"/>
  <c r="V782" i="3"/>
  <c r="E783" i="3"/>
  <c r="W1006" i="2"/>
  <c r="E1007" i="2"/>
  <c r="W236" i="2"/>
  <c r="F237" i="2"/>
  <c r="E982" i="2"/>
  <c r="W982" i="2" s="1"/>
  <c r="W981" i="2"/>
  <c r="W301" i="2"/>
  <c r="F302" i="2"/>
  <c r="F333" i="2"/>
  <c r="W333" i="2" s="1"/>
  <c r="W332" i="2"/>
  <c r="W40" i="2"/>
  <c r="F41" i="2"/>
  <c r="W267" i="2"/>
  <c r="F268" i="2"/>
  <c r="W204" i="2"/>
  <c r="F205" i="2"/>
  <c r="B221" i="2"/>
  <c r="B207" i="2"/>
  <c r="E757" i="3" l="1"/>
  <c r="V1460" i="3"/>
  <c r="E1461" i="3"/>
  <c r="V25" i="3"/>
  <c r="F26" i="3"/>
  <c r="V273" i="3"/>
  <c r="E274" i="3"/>
  <c r="V1630" i="3"/>
  <c r="E1631" i="3"/>
  <c r="V574" i="3"/>
  <c r="E575" i="3"/>
  <c r="E125" i="3"/>
  <c r="V124" i="3"/>
  <c r="F754" i="3"/>
  <c r="V753" i="3"/>
  <c r="E420" i="3"/>
  <c r="V419" i="3"/>
  <c r="E784" i="3"/>
  <c r="V783" i="3"/>
  <c r="E1377" i="3"/>
  <c r="V1376" i="3"/>
  <c r="E608" i="3"/>
  <c r="V607" i="3"/>
  <c r="V1597" i="3"/>
  <c r="E1598" i="3"/>
  <c r="V1272" i="3"/>
  <c r="E1273" i="3"/>
  <c r="W205" i="2"/>
  <c r="F206" i="2"/>
  <c r="F207" i="2" s="1"/>
  <c r="W237" i="2"/>
  <c r="F238" i="2"/>
  <c r="F42" i="2"/>
  <c r="W41" i="2"/>
  <c r="F303" i="2"/>
  <c r="W302" i="2"/>
  <c r="B208" i="2"/>
  <c r="B222" i="2"/>
  <c r="F269" i="2"/>
  <c r="W268" i="2"/>
  <c r="E1008" i="2"/>
  <c r="W1008" i="2" s="1"/>
  <c r="W1007" i="2"/>
  <c r="V575" i="3" l="1"/>
  <c r="E576" i="3"/>
  <c r="E1378" i="3"/>
  <c r="V1377" i="3"/>
  <c r="V26" i="3"/>
  <c r="F27" i="3"/>
  <c r="E785" i="3"/>
  <c r="V784" i="3"/>
  <c r="E1274" i="3"/>
  <c r="V1273" i="3"/>
  <c r="V1461" i="3"/>
  <c r="E1462" i="3"/>
  <c r="E609" i="3"/>
  <c r="V608" i="3"/>
  <c r="V1631" i="3"/>
  <c r="E1632" i="3"/>
  <c r="V274" i="3"/>
  <c r="E275" i="3"/>
  <c r="E421" i="3"/>
  <c r="V420" i="3"/>
  <c r="F755" i="3"/>
  <c r="V754" i="3"/>
  <c r="E1599" i="3"/>
  <c r="V1598" i="3"/>
  <c r="V125" i="3"/>
  <c r="E126" i="3"/>
  <c r="W269" i="2"/>
  <c r="F270" i="2"/>
  <c r="B209" i="2"/>
  <c r="B210" i="2" s="1"/>
  <c r="B211" i="2" s="1"/>
  <c r="B212" i="2" s="1"/>
  <c r="B213" i="2" s="1"/>
  <c r="B214" i="2" s="1"/>
  <c r="B215" i="2" s="1"/>
  <c r="B216" i="2" s="1"/>
  <c r="B217" i="2" s="1"/>
  <c r="B223" i="2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F304" i="2"/>
  <c r="W303" i="2"/>
  <c r="F43" i="2"/>
  <c r="W42" i="2"/>
  <c r="F239" i="2"/>
  <c r="W238" i="2"/>
  <c r="W207" i="2"/>
  <c r="F208" i="2"/>
  <c r="V1274" i="3" l="1"/>
  <c r="E1275" i="3"/>
  <c r="V421" i="3"/>
  <c r="E422" i="3"/>
  <c r="F756" i="3"/>
  <c r="V755" i="3"/>
  <c r="V27" i="3"/>
  <c r="F28" i="3"/>
  <c r="E1463" i="3"/>
  <c r="V1462" i="3"/>
  <c r="V785" i="3"/>
  <c r="E786" i="3"/>
  <c r="V1632" i="3"/>
  <c r="E1633" i="3"/>
  <c r="E1600" i="3"/>
  <c r="V1599" i="3"/>
  <c r="V275" i="3"/>
  <c r="E276" i="3"/>
  <c r="E1379" i="3"/>
  <c r="V1378" i="3"/>
  <c r="V126" i="3"/>
  <c r="E127" i="3"/>
  <c r="E577" i="3"/>
  <c r="V576" i="3"/>
  <c r="V609" i="3"/>
  <c r="E610" i="3"/>
  <c r="W208" i="2"/>
  <c r="F209" i="2"/>
  <c r="F240" i="2"/>
  <c r="W239" i="2"/>
  <c r="W304" i="2"/>
  <c r="F305" i="2"/>
  <c r="F44" i="2"/>
  <c r="W43" i="2"/>
  <c r="B250" i="2"/>
  <c r="B236" i="2"/>
  <c r="W270" i="2"/>
  <c r="F271" i="2"/>
  <c r="V28" i="3" l="1"/>
  <c r="F29" i="3"/>
  <c r="V786" i="3"/>
  <c r="E787" i="3"/>
  <c r="V127" i="3"/>
  <c r="E128" i="3"/>
  <c r="F757" i="3"/>
  <c r="V757" i="3" s="1"/>
  <c r="V756" i="3"/>
  <c r="V422" i="3"/>
  <c r="E423" i="3"/>
  <c r="V577" i="3"/>
  <c r="E578" i="3"/>
  <c r="V1600" i="3"/>
  <c r="E1601" i="3"/>
  <c r="E611" i="3"/>
  <c r="V610" i="3"/>
  <c r="V1633" i="3"/>
  <c r="E1634" i="3"/>
  <c r="V1275" i="3"/>
  <c r="E1276" i="3"/>
  <c r="E1464" i="3"/>
  <c r="V1463" i="3"/>
  <c r="V1379" i="3"/>
  <c r="E1380" i="3"/>
  <c r="V276" i="3"/>
  <c r="E277" i="3"/>
  <c r="F272" i="2"/>
  <c r="W271" i="2"/>
  <c r="B237" i="2"/>
  <c r="B251" i="2"/>
  <c r="W305" i="2"/>
  <c r="F306" i="2"/>
  <c r="W44" i="2"/>
  <c r="F45" i="2"/>
  <c r="W240" i="2"/>
  <c r="F241" i="2"/>
  <c r="F210" i="2"/>
  <c r="W209" i="2"/>
  <c r="E1381" i="3" l="1"/>
  <c r="V1380" i="3"/>
  <c r="V423" i="3"/>
  <c r="E424" i="3"/>
  <c r="E1465" i="3"/>
  <c r="V1464" i="3"/>
  <c r="E129" i="3"/>
  <c r="V128" i="3"/>
  <c r="V1634" i="3"/>
  <c r="E1635" i="3"/>
  <c r="E788" i="3"/>
  <c r="V787" i="3"/>
  <c r="V578" i="3"/>
  <c r="E579" i="3"/>
  <c r="V29" i="3"/>
  <c r="F30" i="3"/>
  <c r="V1276" i="3"/>
  <c r="E1277" i="3"/>
  <c r="V611" i="3"/>
  <c r="E612" i="3"/>
  <c r="E278" i="3"/>
  <c r="V277" i="3"/>
  <c r="E1602" i="3"/>
  <c r="V1601" i="3"/>
  <c r="W241" i="2"/>
  <c r="F242" i="2"/>
  <c r="F211" i="2"/>
  <c r="F212" i="2" s="1"/>
  <c r="W210" i="2"/>
  <c r="W45" i="2"/>
  <c r="F46" i="2"/>
  <c r="F307" i="2"/>
  <c r="W306" i="2"/>
  <c r="B238" i="2"/>
  <c r="B252" i="2"/>
  <c r="W272" i="2"/>
  <c r="F273" i="2"/>
  <c r="F274" i="2" s="1"/>
  <c r="F275" i="2" s="1"/>
  <c r="F276" i="2" s="1"/>
  <c r="F277" i="2" s="1"/>
  <c r="F278" i="2" s="1"/>
  <c r="E1603" i="3" l="1"/>
  <c r="V1603" i="3" s="1"/>
  <c r="V1602" i="3"/>
  <c r="E789" i="3"/>
  <c r="V788" i="3"/>
  <c r="E1636" i="3"/>
  <c r="V1635" i="3"/>
  <c r="E130" i="3"/>
  <c r="V129" i="3"/>
  <c r="V1277" i="3"/>
  <c r="E1278" i="3"/>
  <c r="V278" i="3"/>
  <c r="E279" i="3"/>
  <c r="E425" i="3"/>
  <c r="V424" i="3"/>
  <c r="E613" i="3"/>
  <c r="V612" i="3"/>
  <c r="V1465" i="3"/>
  <c r="E1466" i="3"/>
  <c r="V30" i="3"/>
  <c r="F31" i="3"/>
  <c r="V579" i="3"/>
  <c r="E580" i="3"/>
  <c r="V1381" i="3"/>
  <c r="E1382" i="3"/>
  <c r="W278" i="2"/>
  <c r="F279" i="2"/>
  <c r="B239" i="2"/>
  <c r="B253" i="2"/>
  <c r="F308" i="2"/>
  <c r="W307" i="2"/>
  <c r="F47" i="2"/>
  <c r="W46" i="2"/>
  <c r="W212" i="2"/>
  <c r="F213" i="2"/>
  <c r="W242" i="2"/>
  <c r="F243" i="2"/>
  <c r="V31" i="3" l="1"/>
  <c r="F32" i="3"/>
  <c r="V279" i="3"/>
  <c r="E280" i="3"/>
  <c r="E581" i="3"/>
  <c r="V581" i="3" s="1"/>
  <c r="V580" i="3"/>
  <c r="E1383" i="3"/>
  <c r="V1382" i="3"/>
  <c r="E1467" i="3"/>
  <c r="V1466" i="3"/>
  <c r="E1637" i="3"/>
  <c r="V1636" i="3"/>
  <c r="V789" i="3"/>
  <c r="E790" i="3"/>
  <c r="E1279" i="3"/>
  <c r="V1278" i="3"/>
  <c r="V130" i="3"/>
  <c r="E131" i="3"/>
  <c r="V613" i="3"/>
  <c r="E614" i="3"/>
  <c r="V425" i="3"/>
  <c r="E426" i="3"/>
  <c r="F244" i="2"/>
  <c r="W243" i="2"/>
  <c r="F48" i="2"/>
  <c r="W47" i="2"/>
  <c r="F214" i="2"/>
  <c r="W213" i="2"/>
  <c r="W308" i="2"/>
  <c r="F309" i="2"/>
  <c r="B254" i="2"/>
  <c r="B240" i="2"/>
  <c r="F280" i="2"/>
  <c r="W279" i="2"/>
  <c r="E1638" i="3" l="1"/>
  <c r="V1637" i="3"/>
  <c r="V1467" i="3"/>
  <c r="E1468" i="3"/>
  <c r="E615" i="3"/>
  <c r="V614" i="3"/>
  <c r="V1383" i="3"/>
  <c r="E1384" i="3"/>
  <c r="E132" i="3"/>
  <c r="V131" i="3"/>
  <c r="V280" i="3"/>
  <c r="E281" i="3"/>
  <c r="V1279" i="3"/>
  <c r="E1280" i="3"/>
  <c r="E791" i="3"/>
  <c r="V790" i="3"/>
  <c r="V32" i="3"/>
  <c r="F33" i="3"/>
  <c r="V426" i="3"/>
  <c r="E427" i="3"/>
  <c r="F281" i="2"/>
  <c r="W281" i="2" s="1"/>
  <c r="W280" i="2"/>
  <c r="F215" i="2"/>
  <c r="W214" i="2"/>
  <c r="W48" i="2"/>
  <c r="F49" i="2"/>
  <c r="B241" i="2"/>
  <c r="B242" i="2" s="1"/>
  <c r="B243" i="2" s="1"/>
  <c r="B244" i="2" s="1"/>
  <c r="B245" i="2" s="1"/>
  <c r="B246" i="2" s="1"/>
  <c r="B247" i="2" s="1"/>
  <c r="B248" i="2" s="1"/>
  <c r="B249" i="2" s="1"/>
  <c r="B255" i="2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W309" i="2"/>
  <c r="F310" i="2"/>
  <c r="W244" i="2"/>
  <c r="F245" i="2"/>
  <c r="V132" i="3" l="1"/>
  <c r="E133" i="3"/>
  <c r="V427" i="3"/>
  <c r="E428" i="3"/>
  <c r="V33" i="3"/>
  <c r="F34" i="3"/>
  <c r="V615" i="3"/>
  <c r="E616" i="3"/>
  <c r="V1468" i="3"/>
  <c r="E1469" i="3"/>
  <c r="V281" i="3"/>
  <c r="E282" i="3"/>
  <c r="V791" i="3"/>
  <c r="E792" i="3"/>
  <c r="E1281" i="3"/>
  <c r="V1280" i="3"/>
  <c r="E1385" i="3"/>
  <c r="V1384" i="3"/>
  <c r="E1639" i="3"/>
  <c r="V1638" i="3"/>
  <c r="W49" i="2"/>
  <c r="F50" i="2"/>
  <c r="F216" i="2"/>
  <c r="F217" i="2" s="1"/>
  <c r="W217" i="2" s="1"/>
  <c r="W215" i="2"/>
  <c r="W245" i="2"/>
  <c r="F246" i="2"/>
  <c r="F311" i="2"/>
  <c r="W310" i="2"/>
  <c r="B268" i="2"/>
  <c r="B282" i="2"/>
  <c r="V1469" i="3" l="1"/>
  <c r="E1470" i="3"/>
  <c r="E617" i="3"/>
  <c r="V616" i="3"/>
  <c r="V34" i="3"/>
  <c r="F35" i="3"/>
  <c r="E283" i="3"/>
  <c r="V282" i="3"/>
  <c r="E1640" i="3"/>
  <c r="V1639" i="3"/>
  <c r="V428" i="3"/>
  <c r="E429" i="3"/>
  <c r="E1386" i="3"/>
  <c r="V1385" i="3"/>
  <c r="E1282" i="3"/>
  <c r="V1281" i="3"/>
  <c r="V792" i="3"/>
  <c r="E793" i="3"/>
  <c r="V133" i="3"/>
  <c r="E134" i="3"/>
  <c r="B283" i="2"/>
  <c r="B269" i="2"/>
  <c r="F312" i="2"/>
  <c r="W311" i="2"/>
  <c r="F247" i="2"/>
  <c r="W246" i="2"/>
  <c r="F51" i="2"/>
  <c r="W50" i="2"/>
  <c r="V134" i="3" l="1"/>
  <c r="E135" i="3"/>
  <c r="E794" i="3"/>
  <c r="V793" i="3"/>
  <c r="V35" i="3"/>
  <c r="F36" i="3"/>
  <c r="V429" i="3"/>
  <c r="E430" i="3"/>
  <c r="V283" i="3"/>
  <c r="E284" i="3"/>
  <c r="V1282" i="3"/>
  <c r="E1283" i="3"/>
  <c r="V617" i="3"/>
  <c r="E618" i="3"/>
  <c r="E1471" i="3"/>
  <c r="V1470" i="3"/>
  <c r="E1641" i="3"/>
  <c r="V1640" i="3"/>
  <c r="V1386" i="3"/>
  <c r="E1387" i="3"/>
  <c r="W312" i="2"/>
  <c r="F313" i="2"/>
  <c r="W313" i="2" s="1"/>
  <c r="F52" i="2"/>
  <c r="W51" i="2"/>
  <c r="B270" i="2"/>
  <c r="B284" i="2"/>
  <c r="W247" i="2"/>
  <c r="F248" i="2"/>
  <c r="E285" i="3" l="1"/>
  <c r="V284" i="3"/>
  <c r="V36" i="3"/>
  <c r="F37" i="3"/>
  <c r="E1642" i="3"/>
  <c r="V1641" i="3"/>
  <c r="E1284" i="3"/>
  <c r="V1283" i="3"/>
  <c r="V1387" i="3"/>
  <c r="E1388" i="3"/>
  <c r="V1471" i="3"/>
  <c r="E1472" i="3"/>
  <c r="V794" i="3"/>
  <c r="E795" i="3"/>
  <c r="E431" i="3"/>
  <c r="V430" i="3"/>
  <c r="V618" i="3"/>
  <c r="E619" i="3"/>
  <c r="V135" i="3"/>
  <c r="E136" i="3"/>
  <c r="W248" i="2"/>
  <c r="F249" i="2"/>
  <c r="W249" i="2" s="1"/>
  <c r="B271" i="2"/>
  <c r="B285" i="2"/>
  <c r="W52" i="2"/>
  <c r="F53" i="2"/>
  <c r="V1284" i="3" l="1"/>
  <c r="E1285" i="3"/>
  <c r="V1642" i="3"/>
  <c r="E1643" i="3"/>
  <c r="E137" i="3"/>
  <c r="V136" i="3"/>
  <c r="V1472" i="3"/>
  <c r="E1473" i="3"/>
  <c r="E1389" i="3"/>
  <c r="V1388" i="3"/>
  <c r="V431" i="3"/>
  <c r="E432" i="3"/>
  <c r="E796" i="3"/>
  <c r="V795" i="3"/>
  <c r="V619" i="3"/>
  <c r="E620" i="3"/>
  <c r="V37" i="3"/>
  <c r="F38" i="3"/>
  <c r="V285" i="3"/>
  <c r="E286" i="3"/>
  <c r="W53" i="2"/>
  <c r="F54" i="2"/>
  <c r="B286" i="2"/>
  <c r="B272" i="2"/>
  <c r="V1389" i="3" l="1"/>
  <c r="E1390" i="3"/>
  <c r="V286" i="3"/>
  <c r="E287" i="3"/>
  <c r="V1473" i="3"/>
  <c r="E1474" i="3"/>
  <c r="V38" i="3"/>
  <c r="F39" i="3"/>
  <c r="V137" i="3"/>
  <c r="E138" i="3"/>
  <c r="E621" i="3"/>
  <c r="V620" i="3"/>
  <c r="V1643" i="3"/>
  <c r="E1644" i="3"/>
  <c r="E433" i="3"/>
  <c r="V432" i="3"/>
  <c r="E1286" i="3"/>
  <c r="V1285" i="3"/>
  <c r="V796" i="3"/>
  <c r="E797" i="3"/>
  <c r="B287" i="2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273" i="2"/>
  <c r="B274" i="2" s="1"/>
  <c r="B275" i="2" s="1"/>
  <c r="B276" i="2" s="1"/>
  <c r="B277" i="2" s="1"/>
  <c r="B278" i="2" s="1"/>
  <c r="B279" i="2" s="1"/>
  <c r="B280" i="2" s="1"/>
  <c r="B281" i="2" s="1"/>
  <c r="F55" i="2"/>
  <c r="W54" i="2"/>
  <c r="V39" i="3" l="1"/>
  <c r="F40" i="3"/>
  <c r="E1287" i="3"/>
  <c r="V1286" i="3"/>
  <c r="V621" i="3"/>
  <c r="E622" i="3"/>
  <c r="V138" i="3"/>
  <c r="E139" i="3"/>
  <c r="V797" i="3"/>
  <c r="E798" i="3"/>
  <c r="E1475" i="3"/>
  <c r="V1474" i="3"/>
  <c r="E288" i="3"/>
  <c r="V287" i="3"/>
  <c r="V433" i="3"/>
  <c r="E434" i="3"/>
  <c r="E1645" i="3"/>
  <c r="V1644" i="3"/>
  <c r="E1391" i="3"/>
  <c r="V1390" i="3"/>
  <c r="F56" i="2"/>
  <c r="W55" i="2"/>
  <c r="E1476" i="3" l="1"/>
  <c r="V1475" i="3"/>
  <c r="E140" i="3"/>
  <c r="V139" i="3"/>
  <c r="V1645" i="3"/>
  <c r="E1646" i="3"/>
  <c r="E435" i="3"/>
  <c r="V434" i="3"/>
  <c r="E1392" i="3"/>
  <c r="V1391" i="3"/>
  <c r="V1287" i="3"/>
  <c r="E1288" i="3"/>
  <c r="V40" i="3"/>
  <c r="F41" i="3"/>
  <c r="E799" i="3"/>
  <c r="V798" i="3"/>
  <c r="E623" i="3"/>
  <c r="V622" i="3"/>
  <c r="V288" i="3"/>
  <c r="E289" i="3"/>
  <c r="W56" i="2"/>
  <c r="F57" i="2"/>
  <c r="V435" i="3" l="1"/>
  <c r="E436" i="3"/>
  <c r="E1647" i="3"/>
  <c r="V1646" i="3"/>
  <c r="E1289" i="3"/>
  <c r="V1288" i="3"/>
  <c r="E290" i="3"/>
  <c r="V289" i="3"/>
  <c r="V623" i="3"/>
  <c r="E624" i="3"/>
  <c r="V799" i="3"/>
  <c r="E800" i="3"/>
  <c r="V140" i="3"/>
  <c r="E141" i="3"/>
  <c r="V1392" i="3"/>
  <c r="E1393" i="3"/>
  <c r="F42" i="3"/>
  <c r="V41" i="3"/>
  <c r="V1476" i="3"/>
  <c r="E1477" i="3"/>
  <c r="F58" i="2"/>
  <c r="W57" i="2"/>
  <c r="F43" i="3" l="1"/>
  <c r="V42" i="3"/>
  <c r="E1290" i="3"/>
  <c r="V1289" i="3"/>
  <c r="V1477" i="3"/>
  <c r="E1478" i="3"/>
  <c r="V1393" i="3"/>
  <c r="E1394" i="3"/>
  <c r="V800" i="3"/>
  <c r="E801" i="3"/>
  <c r="V624" i="3"/>
  <c r="E625" i="3"/>
  <c r="V290" i="3"/>
  <c r="E291" i="3"/>
  <c r="V1647" i="3"/>
  <c r="E1648" i="3"/>
  <c r="V141" i="3"/>
  <c r="E142" i="3"/>
  <c r="E437" i="3"/>
  <c r="V436" i="3"/>
  <c r="W58" i="2"/>
  <c r="F59" i="2"/>
  <c r="V801" i="3" l="1"/>
  <c r="E802" i="3"/>
  <c r="V625" i="3"/>
  <c r="E626" i="3"/>
  <c r="V1394" i="3"/>
  <c r="E1395" i="3"/>
  <c r="V1290" i="3"/>
  <c r="E1291" i="3"/>
  <c r="E438" i="3"/>
  <c r="V437" i="3"/>
  <c r="E143" i="3"/>
  <c r="V142" i="3"/>
  <c r="V1478" i="3"/>
  <c r="E1479" i="3"/>
  <c r="V1648" i="3"/>
  <c r="E1649" i="3"/>
  <c r="E292" i="3"/>
  <c r="V291" i="3"/>
  <c r="V43" i="3"/>
  <c r="F44" i="3"/>
  <c r="W59" i="2"/>
  <c r="F60" i="2"/>
  <c r="E144" i="3" l="1"/>
  <c r="V143" i="3"/>
  <c r="E439" i="3"/>
  <c r="V438" i="3"/>
  <c r="V1395" i="3"/>
  <c r="E1396" i="3"/>
  <c r="V292" i="3"/>
  <c r="E293" i="3"/>
  <c r="V1649" i="3"/>
  <c r="E1650" i="3"/>
  <c r="E627" i="3"/>
  <c r="V626" i="3"/>
  <c r="V802" i="3"/>
  <c r="E803" i="3"/>
  <c r="V44" i="3"/>
  <c r="F45" i="3"/>
  <c r="E1292" i="3"/>
  <c r="V1291" i="3"/>
  <c r="V1479" i="3"/>
  <c r="E1480" i="3"/>
  <c r="W60" i="2"/>
  <c r="F61" i="2"/>
  <c r="V627" i="3" l="1"/>
  <c r="E628" i="3"/>
  <c r="V1480" i="3"/>
  <c r="E1481" i="3"/>
  <c r="E1651" i="3"/>
  <c r="V1650" i="3"/>
  <c r="V293" i="3"/>
  <c r="E294" i="3"/>
  <c r="V1396" i="3"/>
  <c r="E1397" i="3"/>
  <c r="V45" i="3"/>
  <c r="F46" i="3"/>
  <c r="V803" i="3"/>
  <c r="E804" i="3"/>
  <c r="V1292" i="3"/>
  <c r="E1293" i="3"/>
  <c r="E440" i="3"/>
  <c r="V439" i="3"/>
  <c r="E145" i="3"/>
  <c r="V144" i="3"/>
  <c r="F62" i="2"/>
  <c r="W61" i="2"/>
  <c r="E295" i="3" l="1"/>
  <c r="V294" i="3"/>
  <c r="E1294" i="3"/>
  <c r="V1293" i="3"/>
  <c r="F47" i="3"/>
  <c r="V46" i="3"/>
  <c r="E805" i="3"/>
  <c r="V804" i="3"/>
  <c r="E629" i="3"/>
  <c r="V628" i="3"/>
  <c r="V1397" i="3"/>
  <c r="E1398" i="3"/>
  <c r="V1398" i="3" s="1"/>
  <c r="E146" i="3"/>
  <c r="V145" i="3"/>
  <c r="V440" i="3"/>
  <c r="E441" i="3"/>
  <c r="V1651" i="3"/>
  <c r="E1652" i="3"/>
  <c r="E1482" i="3"/>
  <c r="V1481" i="3"/>
  <c r="F63" i="2"/>
  <c r="W62" i="2"/>
  <c r="V629" i="3" l="1"/>
  <c r="E630" i="3"/>
  <c r="V1482" i="3"/>
  <c r="E1483" i="3"/>
  <c r="V1483" i="3" s="1"/>
  <c r="E806" i="3"/>
  <c r="V805" i="3"/>
  <c r="E1653" i="3"/>
  <c r="V1652" i="3"/>
  <c r="V47" i="3"/>
  <c r="F48" i="3"/>
  <c r="V441" i="3"/>
  <c r="E442" i="3"/>
  <c r="V1294" i="3"/>
  <c r="E1295" i="3"/>
  <c r="V1295" i="3" s="1"/>
  <c r="V146" i="3"/>
  <c r="E147" i="3"/>
  <c r="V295" i="3"/>
  <c r="E296" i="3"/>
  <c r="F64" i="2"/>
  <c r="W63" i="2"/>
  <c r="V1653" i="3" l="1"/>
  <c r="E1654" i="3"/>
  <c r="V806" i="3"/>
  <c r="E807" i="3"/>
  <c r="V442" i="3"/>
  <c r="E443" i="3"/>
  <c r="F49" i="3"/>
  <c r="V48" i="3"/>
  <c r="E297" i="3"/>
  <c r="V296" i="3"/>
  <c r="E148" i="3"/>
  <c r="V147" i="3"/>
  <c r="E631" i="3"/>
  <c r="V630" i="3"/>
  <c r="F65" i="2"/>
  <c r="W64" i="2"/>
  <c r="V49" i="3" l="1"/>
  <c r="F50" i="3"/>
  <c r="V148" i="3"/>
  <c r="E149" i="3"/>
  <c r="V297" i="3"/>
  <c r="E298" i="3"/>
  <c r="E444" i="3"/>
  <c r="V443" i="3"/>
  <c r="E808" i="3"/>
  <c r="V807" i="3"/>
  <c r="E1655" i="3"/>
  <c r="V1654" i="3"/>
  <c r="V631" i="3"/>
  <c r="E632" i="3"/>
  <c r="W65" i="2"/>
  <c r="F66" i="2"/>
  <c r="V1655" i="3" l="1"/>
  <c r="E1656" i="3"/>
  <c r="V808" i="3"/>
  <c r="E809" i="3"/>
  <c r="V444" i="3"/>
  <c r="E445" i="3"/>
  <c r="V298" i="3"/>
  <c r="E299" i="3"/>
  <c r="V149" i="3"/>
  <c r="E150" i="3"/>
  <c r="E633" i="3"/>
  <c r="V632" i="3"/>
  <c r="F51" i="3"/>
  <c r="V50" i="3"/>
  <c r="W66" i="2"/>
  <c r="F67" i="2"/>
  <c r="V299" i="3" l="1"/>
  <c r="E300" i="3"/>
  <c r="E446" i="3"/>
  <c r="V445" i="3"/>
  <c r="E634" i="3"/>
  <c r="V633" i="3"/>
  <c r="E151" i="3"/>
  <c r="V150" i="3"/>
  <c r="E810" i="3"/>
  <c r="V809" i="3"/>
  <c r="E1657" i="3"/>
  <c r="V1656" i="3"/>
  <c r="V51" i="3"/>
  <c r="F52" i="3"/>
  <c r="F68" i="2"/>
  <c r="W67" i="2"/>
  <c r="E1658" i="3" l="1"/>
  <c r="V1657" i="3"/>
  <c r="V151" i="3"/>
  <c r="E152" i="3"/>
  <c r="V810" i="3"/>
  <c r="E811" i="3"/>
  <c r="E635" i="3"/>
  <c r="V634" i="3"/>
  <c r="V446" i="3"/>
  <c r="E447" i="3"/>
  <c r="V52" i="3"/>
  <c r="F53" i="3"/>
  <c r="V300" i="3"/>
  <c r="E301" i="3"/>
  <c r="W68" i="2"/>
  <c r="F69" i="2"/>
  <c r="V53" i="3" l="1"/>
  <c r="F54" i="3"/>
  <c r="V447" i="3"/>
  <c r="E448" i="3"/>
  <c r="V635" i="3"/>
  <c r="E636" i="3"/>
  <c r="V811" i="3"/>
  <c r="E812" i="3"/>
  <c r="V152" i="3"/>
  <c r="E153" i="3"/>
  <c r="V301" i="3"/>
  <c r="E302" i="3"/>
  <c r="V1658" i="3"/>
  <c r="E1659" i="3"/>
  <c r="W69" i="2"/>
  <c r="F70" i="2"/>
  <c r="V812" i="3" l="1"/>
  <c r="E813" i="3"/>
  <c r="E303" i="3"/>
  <c r="V302" i="3"/>
  <c r="E154" i="3"/>
  <c r="V153" i="3"/>
  <c r="V448" i="3"/>
  <c r="E449" i="3"/>
  <c r="V636" i="3"/>
  <c r="E637" i="3"/>
  <c r="V1659" i="3"/>
  <c r="E1660" i="3"/>
  <c r="V54" i="3"/>
  <c r="F55" i="3"/>
  <c r="W70" i="2"/>
  <c r="F71" i="2"/>
  <c r="E1661" i="3" l="1"/>
  <c r="V1660" i="3"/>
  <c r="E638" i="3"/>
  <c r="V637" i="3"/>
  <c r="E450" i="3"/>
  <c r="V449" i="3"/>
  <c r="E155" i="3"/>
  <c r="V154" i="3"/>
  <c r="V303" i="3"/>
  <c r="E304" i="3"/>
  <c r="F56" i="3"/>
  <c r="V55" i="3"/>
  <c r="V813" i="3"/>
  <c r="E814" i="3"/>
  <c r="F72" i="2"/>
  <c r="W71" i="2"/>
  <c r="V56" i="3" l="1"/>
  <c r="F57" i="3"/>
  <c r="E451" i="3"/>
  <c r="V450" i="3"/>
  <c r="E639" i="3"/>
  <c r="V638" i="3"/>
  <c r="V304" i="3"/>
  <c r="E305" i="3"/>
  <c r="E156" i="3"/>
  <c r="V155" i="3"/>
  <c r="E815" i="3"/>
  <c r="V814" i="3"/>
  <c r="V1661" i="3"/>
  <c r="E1662" i="3"/>
  <c r="F73" i="2"/>
  <c r="W72" i="2"/>
  <c r="V156" i="3" l="1"/>
  <c r="E157" i="3"/>
  <c r="E640" i="3"/>
  <c r="V639" i="3"/>
  <c r="E452" i="3"/>
  <c r="V451" i="3"/>
  <c r="V815" i="3"/>
  <c r="E816" i="3"/>
  <c r="V305" i="3"/>
  <c r="E306" i="3"/>
  <c r="E1663" i="3"/>
  <c r="V1662" i="3"/>
  <c r="V57" i="3"/>
  <c r="F58" i="3"/>
  <c r="W73" i="2"/>
  <c r="F74" i="2"/>
  <c r="E1664" i="3" l="1"/>
  <c r="V1663" i="3"/>
  <c r="V452" i="3"/>
  <c r="E453" i="3"/>
  <c r="E307" i="3"/>
  <c r="V306" i="3"/>
  <c r="V816" i="3"/>
  <c r="E817" i="3"/>
  <c r="V640" i="3"/>
  <c r="E641" i="3"/>
  <c r="V58" i="3"/>
  <c r="F59" i="3"/>
  <c r="E158" i="3"/>
  <c r="V157" i="3"/>
  <c r="W74" i="2"/>
  <c r="F75" i="2"/>
  <c r="V641" i="3" l="1"/>
  <c r="E642" i="3"/>
  <c r="V59" i="3"/>
  <c r="F60" i="3"/>
  <c r="V817" i="3"/>
  <c r="E818" i="3"/>
  <c r="E308" i="3"/>
  <c r="V307" i="3"/>
  <c r="V453" i="3"/>
  <c r="E454" i="3"/>
  <c r="V158" i="3"/>
  <c r="E159" i="3"/>
  <c r="E1665" i="3"/>
  <c r="V1664" i="3"/>
  <c r="F76" i="2"/>
  <c r="W75" i="2"/>
  <c r="V159" i="3" l="1"/>
  <c r="E160" i="3"/>
  <c r="E1666" i="3"/>
  <c r="V1665" i="3"/>
  <c r="V454" i="3"/>
  <c r="E455" i="3"/>
  <c r="V308" i="3"/>
  <c r="E309" i="3"/>
  <c r="E819" i="3"/>
  <c r="V818" i="3"/>
  <c r="F61" i="3"/>
  <c r="V60" i="3"/>
  <c r="V642" i="3"/>
  <c r="E643" i="3"/>
  <c r="F77" i="2"/>
  <c r="W76" i="2"/>
  <c r="V455" i="3" l="1"/>
  <c r="E456" i="3"/>
  <c r="V1666" i="3"/>
  <c r="E1667" i="3"/>
  <c r="E644" i="3"/>
  <c r="V643" i="3"/>
  <c r="V160" i="3"/>
  <c r="E161" i="3"/>
  <c r="V61" i="3"/>
  <c r="F62" i="3"/>
  <c r="E820" i="3"/>
  <c r="V819" i="3"/>
  <c r="V309" i="3"/>
  <c r="E310" i="3"/>
  <c r="F78" i="2"/>
  <c r="W77" i="2"/>
  <c r="V820" i="3" l="1"/>
  <c r="E821" i="3"/>
  <c r="V161" i="3"/>
  <c r="E162" i="3"/>
  <c r="V1667" i="3"/>
  <c r="E1668" i="3"/>
  <c r="V62" i="3"/>
  <c r="F63" i="3"/>
  <c r="V310" i="3"/>
  <c r="E311" i="3"/>
  <c r="E457" i="3"/>
  <c r="V456" i="3"/>
  <c r="V644" i="3"/>
  <c r="E645" i="3"/>
  <c r="W78" i="2"/>
  <c r="F79" i="2"/>
  <c r="E646" i="3" l="1"/>
  <c r="V645" i="3"/>
  <c r="E458" i="3"/>
  <c r="V457" i="3"/>
  <c r="V311" i="3"/>
  <c r="E312" i="3"/>
  <c r="F64" i="3"/>
  <c r="V63" i="3"/>
  <c r="V1668" i="3"/>
  <c r="E1669" i="3"/>
  <c r="V162" i="3"/>
  <c r="E163" i="3"/>
  <c r="E822" i="3"/>
  <c r="V821" i="3"/>
  <c r="W79" i="2"/>
  <c r="F80" i="2"/>
  <c r="V163" i="3" l="1"/>
  <c r="E164" i="3"/>
  <c r="E1670" i="3"/>
  <c r="V1669" i="3"/>
  <c r="V64" i="3"/>
  <c r="F65" i="3"/>
  <c r="V312" i="3"/>
  <c r="E313" i="3"/>
  <c r="E459" i="3"/>
  <c r="V458" i="3"/>
  <c r="V822" i="3"/>
  <c r="E823" i="3"/>
  <c r="V646" i="3"/>
  <c r="E647" i="3"/>
  <c r="W80" i="2"/>
  <c r="F81" i="2"/>
  <c r="V459" i="3" l="1"/>
  <c r="E460" i="3"/>
  <c r="V1670" i="3"/>
  <c r="E1671" i="3"/>
  <c r="V647" i="3"/>
  <c r="E648" i="3"/>
  <c r="V164" i="3"/>
  <c r="E165" i="3"/>
  <c r="V823" i="3"/>
  <c r="E824" i="3"/>
  <c r="V313" i="3"/>
  <c r="E314" i="3"/>
  <c r="V65" i="3"/>
  <c r="F66" i="3"/>
  <c r="W81" i="2"/>
  <c r="F82" i="2"/>
  <c r="E315" i="3" l="1"/>
  <c r="V314" i="3"/>
  <c r="V165" i="3"/>
  <c r="E166" i="3"/>
  <c r="V648" i="3"/>
  <c r="E649" i="3"/>
  <c r="V1671" i="3"/>
  <c r="E1672" i="3"/>
  <c r="V66" i="3"/>
  <c r="F67" i="3"/>
  <c r="V460" i="3"/>
  <c r="E461" i="3"/>
  <c r="E825" i="3"/>
  <c r="V824" i="3"/>
  <c r="F83" i="2"/>
  <c r="W82" i="2"/>
  <c r="V67" i="3" l="1"/>
  <c r="F68" i="3"/>
  <c r="E1673" i="3"/>
  <c r="V1672" i="3"/>
  <c r="E650" i="3"/>
  <c r="V649" i="3"/>
  <c r="V166" i="3"/>
  <c r="E167" i="3"/>
  <c r="V461" i="3"/>
  <c r="E462" i="3"/>
  <c r="V825" i="3"/>
  <c r="E826" i="3"/>
  <c r="V315" i="3"/>
  <c r="E316" i="3"/>
  <c r="F84" i="2"/>
  <c r="W83" i="2"/>
  <c r="E651" i="3" l="1"/>
  <c r="V650" i="3"/>
  <c r="V316" i="3"/>
  <c r="E317" i="3"/>
  <c r="V68" i="3"/>
  <c r="F69" i="3"/>
  <c r="E827" i="3"/>
  <c r="V826" i="3"/>
  <c r="E463" i="3"/>
  <c r="V462" i="3"/>
  <c r="V167" i="3"/>
  <c r="E168" i="3"/>
  <c r="V1673" i="3"/>
  <c r="E1674" i="3"/>
  <c r="F85" i="2"/>
  <c r="W84" i="2"/>
  <c r="V168" i="3" l="1"/>
  <c r="E169" i="3"/>
  <c r="E464" i="3"/>
  <c r="V463" i="3"/>
  <c r="V827" i="3"/>
  <c r="E828" i="3"/>
  <c r="V69" i="3"/>
  <c r="F70" i="3"/>
  <c r="V317" i="3"/>
  <c r="E318" i="3"/>
  <c r="E1675" i="3"/>
  <c r="V1674" i="3"/>
  <c r="V651" i="3"/>
  <c r="E652" i="3"/>
  <c r="W85" i="2"/>
  <c r="F86" i="2"/>
  <c r="E319" i="3" l="1"/>
  <c r="V318" i="3"/>
  <c r="V70" i="3"/>
  <c r="F71" i="3"/>
  <c r="E829" i="3"/>
  <c r="V828" i="3"/>
  <c r="E465" i="3"/>
  <c r="V464" i="3"/>
  <c r="E1676" i="3"/>
  <c r="V1675" i="3"/>
  <c r="V652" i="3"/>
  <c r="E653" i="3"/>
  <c r="V169" i="3"/>
  <c r="E170" i="3"/>
  <c r="F87" i="2"/>
  <c r="W86" i="2"/>
  <c r="V71" i="3" l="1"/>
  <c r="F72" i="3"/>
  <c r="V465" i="3"/>
  <c r="E466" i="3"/>
  <c r="V829" i="3"/>
  <c r="E830" i="3"/>
  <c r="V1676" i="3"/>
  <c r="E1677" i="3"/>
  <c r="V653" i="3"/>
  <c r="E654" i="3"/>
  <c r="V170" i="3"/>
  <c r="E171" i="3"/>
  <c r="E320" i="3"/>
  <c r="V319" i="3"/>
  <c r="W87" i="2"/>
  <c r="F88" i="2"/>
  <c r="V830" i="3" l="1"/>
  <c r="E831" i="3"/>
  <c r="V466" i="3"/>
  <c r="E467" i="3"/>
  <c r="V72" i="3"/>
  <c r="F73" i="3"/>
  <c r="V171" i="3"/>
  <c r="E172" i="3"/>
  <c r="E655" i="3"/>
  <c r="V654" i="3"/>
  <c r="V1677" i="3"/>
  <c r="E1678" i="3"/>
  <c r="V320" i="3"/>
  <c r="E321" i="3"/>
  <c r="F89" i="2"/>
  <c r="W88" i="2"/>
  <c r="V73" i="3" l="1"/>
  <c r="F74" i="3"/>
  <c r="E468" i="3"/>
  <c r="V467" i="3"/>
  <c r="E322" i="3"/>
  <c r="V321" i="3"/>
  <c r="V831" i="3"/>
  <c r="E832" i="3"/>
  <c r="V1678" i="3"/>
  <c r="E1679" i="3"/>
  <c r="E656" i="3"/>
  <c r="V655" i="3"/>
  <c r="V172" i="3"/>
  <c r="E173" i="3"/>
  <c r="F90" i="2"/>
  <c r="W89" i="2"/>
  <c r="V322" i="3" l="1"/>
  <c r="E323" i="3"/>
  <c r="E469" i="3"/>
  <c r="V468" i="3"/>
  <c r="V1679" i="3"/>
  <c r="E1680" i="3"/>
  <c r="E174" i="3"/>
  <c r="V173" i="3"/>
  <c r="V74" i="3"/>
  <c r="F75" i="3"/>
  <c r="V656" i="3"/>
  <c r="E657" i="3"/>
  <c r="V832" i="3"/>
  <c r="E833" i="3"/>
  <c r="W90" i="2"/>
  <c r="F91" i="2"/>
  <c r="V75" i="3" l="1"/>
  <c r="F76" i="3"/>
  <c r="V174" i="3"/>
  <c r="E175" i="3"/>
  <c r="V1680" i="3"/>
  <c r="E1681" i="3"/>
  <c r="V657" i="3"/>
  <c r="E658" i="3"/>
  <c r="V469" i="3"/>
  <c r="E470" i="3"/>
  <c r="V833" i="3"/>
  <c r="E834" i="3"/>
  <c r="V323" i="3"/>
  <c r="E324" i="3"/>
  <c r="W91" i="2"/>
  <c r="F92" i="2"/>
  <c r="V1681" i="3" l="1"/>
  <c r="E1682" i="3"/>
  <c r="V834" i="3"/>
  <c r="E835" i="3"/>
  <c r="V324" i="3"/>
  <c r="E325" i="3"/>
  <c r="F77" i="3"/>
  <c r="V76" i="3"/>
  <c r="V470" i="3"/>
  <c r="E471" i="3"/>
  <c r="V658" i="3"/>
  <c r="E659" i="3"/>
  <c r="E176" i="3"/>
  <c r="V175" i="3"/>
  <c r="F93" i="2"/>
  <c r="W92" i="2"/>
  <c r="V77" i="3" l="1"/>
  <c r="F78" i="3"/>
  <c r="V325" i="3"/>
  <c r="E326" i="3"/>
  <c r="E836" i="3"/>
  <c r="V835" i="3"/>
  <c r="E1683" i="3"/>
  <c r="V1682" i="3"/>
  <c r="E660" i="3"/>
  <c r="V659" i="3"/>
  <c r="V471" i="3"/>
  <c r="E472" i="3"/>
  <c r="V176" i="3"/>
  <c r="E177" i="3"/>
  <c r="F94" i="2"/>
  <c r="W93" i="2"/>
  <c r="E473" i="3" l="1"/>
  <c r="V472" i="3"/>
  <c r="V660" i="3"/>
  <c r="E661" i="3"/>
  <c r="V1683" i="3"/>
  <c r="E1684" i="3"/>
  <c r="V836" i="3"/>
  <c r="E837" i="3"/>
  <c r="E327" i="3"/>
  <c r="V326" i="3"/>
  <c r="V177" i="3"/>
  <c r="E178" i="3"/>
  <c r="V78" i="3"/>
  <c r="F79" i="3"/>
  <c r="W94" i="2"/>
  <c r="F95" i="2"/>
  <c r="V178" i="3" l="1"/>
  <c r="E179" i="3"/>
  <c r="E838" i="3"/>
  <c r="V837" i="3"/>
  <c r="V327" i="3"/>
  <c r="E328" i="3"/>
  <c r="E1685" i="3"/>
  <c r="V1684" i="3"/>
  <c r="V661" i="3"/>
  <c r="E662" i="3"/>
  <c r="V79" i="3"/>
  <c r="F80" i="3"/>
  <c r="V473" i="3"/>
  <c r="E474" i="3"/>
  <c r="W95" i="2"/>
  <c r="F96" i="2"/>
  <c r="E329" i="3" l="1"/>
  <c r="V328" i="3"/>
  <c r="V80" i="3"/>
  <c r="F81" i="3"/>
  <c r="V662" i="3"/>
  <c r="E663" i="3"/>
  <c r="E1686" i="3"/>
  <c r="V1685" i="3"/>
  <c r="V838" i="3"/>
  <c r="E839" i="3"/>
  <c r="V474" i="3"/>
  <c r="E475" i="3"/>
  <c r="V179" i="3"/>
  <c r="E180" i="3"/>
  <c r="W96" i="2"/>
  <c r="F97" i="2"/>
  <c r="V663" i="3" l="1"/>
  <c r="E664" i="3"/>
  <c r="V475" i="3"/>
  <c r="E476" i="3"/>
  <c r="E840" i="3"/>
  <c r="V839" i="3"/>
  <c r="E1687" i="3"/>
  <c r="V1686" i="3"/>
  <c r="F82" i="3"/>
  <c r="V81" i="3"/>
  <c r="V180" i="3"/>
  <c r="E181" i="3"/>
  <c r="V329" i="3"/>
  <c r="E330" i="3"/>
  <c r="F98" i="2"/>
  <c r="W97" i="2"/>
  <c r="V840" i="3" l="1"/>
  <c r="E841" i="3"/>
  <c r="V181" i="3"/>
  <c r="E182" i="3"/>
  <c r="V82" i="3"/>
  <c r="F83" i="3"/>
  <c r="V1687" i="3"/>
  <c r="E1688" i="3"/>
  <c r="V476" i="3"/>
  <c r="E477" i="3"/>
  <c r="V330" i="3"/>
  <c r="E331" i="3"/>
  <c r="E665" i="3"/>
  <c r="V664" i="3"/>
  <c r="W98" i="2"/>
  <c r="F99" i="2"/>
  <c r="E332" i="3" l="1"/>
  <c r="V331" i="3"/>
  <c r="V1688" i="3"/>
  <c r="E1689" i="3"/>
  <c r="V182" i="3"/>
  <c r="E183" i="3"/>
  <c r="V477" i="3"/>
  <c r="E478" i="3"/>
  <c r="E842" i="3"/>
  <c r="V841" i="3"/>
  <c r="V83" i="3"/>
  <c r="F84" i="3"/>
  <c r="V84" i="3" s="1"/>
  <c r="V665" i="3"/>
  <c r="E666" i="3"/>
  <c r="F100" i="2"/>
  <c r="W99" i="2"/>
  <c r="V842" i="3" l="1"/>
  <c r="E843" i="3"/>
  <c r="E184" i="3"/>
  <c r="V183" i="3"/>
  <c r="V478" i="3"/>
  <c r="E479" i="3"/>
  <c r="V1689" i="3"/>
  <c r="E1690" i="3"/>
  <c r="E667" i="3"/>
  <c r="V666" i="3"/>
  <c r="E333" i="3"/>
  <c r="V332" i="3"/>
  <c r="F101" i="2"/>
  <c r="W100" i="2"/>
  <c r="E668" i="3" l="1"/>
  <c r="V667" i="3"/>
  <c r="V1690" i="3"/>
  <c r="E1691" i="3"/>
  <c r="E334" i="3"/>
  <c r="V333" i="3"/>
  <c r="E480" i="3"/>
  <c r="V479" i="3"/>
  <c r="E185" i="3"/>
  <c r="V184" i="3"/>
  <c r="V843" i="3"/>
  <c r="E844" i="3"/>
  <c r="W101" i="2"/>
  <c r="F102" i="2"/>
  <c r="E481" i="3" l="1"/>
  <c r="V480" i="3"/>
  <c r="E186" i="3"/>
  <c r="V185" i="3"/>
  <c r="V334" i="3"/>
  <c r="E335" i="3"/>
  <c r="E1692" i="3"/>
  <c r="V1691" i="3"/>
  <c r="E845" i="3"/>
  <c r="V844" i="3"/>
  <c r="V668" i="3"/>
  <c r="E669" i="3"/>
  <c r="W102" i="2"/>
  <c r="F103" i="2"/>
  <c r="V669" i="3" l="1"/>
  <c r="E670" i="3"/>
  <c r="E846" i="3"/>
  <c r="V845" i="3"/>
  <c r="E1693" i="3"/>
  <c r="V1692" i="3"/>
  <c r="E336" i="3"/>
  <c r="V335" i="3"/>
  <c r="E187" i="3"/>
  <c r="V186" i="3"/>
  <c r="V481" i="3"/>
  <c r="E482" i="3"/>
  <c r="W103" i="2"/>
  <c r="F104" i="2"/>
  <c r="V336" i="3" l="1"/>
  <c r="E337" i="3"/>
  <c r="V1693" i="3"/>
  <c r="E1694" i="3"/>
  <c r="E671" i="3"/>
  <c r="V670" i="3"/>
  <c r="V482" i="3"/>
  <c r="E483" i="3"/>
  <c r="V187" i="3"/>
  <c r="E188" i="3"/>
  <c r="E847" i="3"/>
  <c r="V846" i="3"/>
  <c r="F105" i="2"/>
  <c r="W104" i="2"/>
  <c r="V847" i="3" l="1"/>
  <c r="E848" i="3"/>
  <c r="E189" i="3"/>
  <c r="V188" i="3"/>
  <c r="V483" i="3"/>
  <c r="E484" i="3"/>
  <c r="V671" i="3"/>
  <c r="E672" i="3"/>
  <c r="E1695" i="3"/>
  <c r="V1694" i="3"/>
  <c r="V337" i="3"/>
  <c r="E338" i="3"/>
  <c r="W105" i="2"/>
  <c r="F106" i="2"/>
  <c r="E673" i="3" l="1"/>
  <c r="V672" i="3"/>
  <c r="V338" i="3"/>
  <c r="E339" i="3"/>
  <c r="E1696" i="3"/>
  <c r="V1695" i="3"/>
  <c r="E485" i="3"/>
  <c r="V484" i="3"/>
  <c r="E190" i="3"/>
  <c r="V189" i="3"/>
  <c r="V848" i="3"/>
  <c r="E849" i="3"/>
  <c r="F107" i="2"/>
  <c r="W106" i="2"/>
  <c r="V849" i="3" l="1"/>
  <c r="E850" i="3"/>
  <c r="E486" i="3"/>
  <c r="V485" i="3"/>
  <c r="E191" i="3"/>
  <c r="V190" i="3"/>
  <c r="E1697" i="3"/>
  <c r="V1696" i="3"/>
  <c r="V339" i="3"/>
  <c r="E340" i="3"/>
  <c r="V673" i="3"/>
  <c r="E674" i="3"/>
  <c r="W107" i="2"/>
  <c r="F108" i="2"/>
  <c r="E675" i="3" l="1"/>
  <c r="V674" i="3"/>
  <c r="V340" i="3"/>
  <c r="E341" i="3"/>
  <c r="V191" i="3"/>
  <c r="E192" i="3"/>
  <c r="E487" i="3"/>
  <c r="V486" i="3"/>
  <c r="E1698" i="3"/>
  <c r="V1697" i="3"/>
  <c r="E851" i="3"/>
  <c r="V850" i="3"/>
  <c r="F109" i="2"/>
  <c r="W108" i="2"/>
  <c r="V1698" i="3" l="1"/>
  <c r="E1699" i="3"/>
  <c r="V851" i="3"/>
  <c r="E852" i="3"/>
  <c r="V487" i="3"/>
  <c r="E488" i="3"/>
  <c r="E193" i="3"/>
  <c r="V192" i="3"/>
  <c r="V341" i="3"/>
  <c r="E342" i="3"/>
  <c r="E676" i="3"/>
  <c r="V675" i="3"/>
  <c r="W109" i="2"/>
  <c r="F110" i="2"/>
  <c r="V676" i="3" l="1"/>
  <c r="E677" i="3"/>
  <c r="E343" i="3"/>
  <c r="V342" i="3"/>
  <c r="V193" i="3"/>
  <c r="E194" i="3"/>
  <c r="V488" i="3"/>
  <c r="E489" i="3"/>
  <c r="E853" i="3"/>
  <c r="V852" i="3"/>
  <c r="V1699" i="3"/>
  <c r="E1700" i="3"/>
  <c r="W110" i="2"/>
  <c r="F111" i="2"/>
  <c r="V1700" i="3" l="1"/>
  <c r="E1701" i="3"/>
  <c r="V853" i="3"/>
  <c r="E854" i="3"/>
  <c r="V854" i="3" s="1"/>
  <c r="V489" i="3"/>
  <c r="E490" i="3"/>
  <c r="E195" i="3"/>
  <c r="V194" i="3"/>
  <c r="V343" i="3"/>
  <c r="E344" i="3"/>
  <c r="V677" i="3"/>
  <c r="E678" i="3"/>
  <c r="W111" i="2"/>
  <c r="F112" i="2"/>
  <c r="V344" i="3" l="1"/>
  <c r="E345" i="3"/>
  <c r="V490" i="3"/>
  <c r="E491" i="3"/>
  <c r="V678" i="3"/>
  <c r="E679" i="3"/>
  <c r="E196" i="3"/>
  <c r="V195" i="3"/>
  <c r="V1701" i="3"/>
  <c r="E1702" i="3"/>
  <c r="W112" i="2"/>
  <c r="F113" i="2"/>
  <c r="E1703" i="3" l="1"/>
  <c r="V1702" i="3"/>
  <c r="E492" i="3"/>
  <c r="V491" i="3"/>
  <c r="E197" i="3"/>
  <c r="V196" i="3"/>
  <c r="V679" i="3"/>
  <c r="E680" i="3"/>
  <c r="V345" i="3"/>
  <c r="E346" i="3"/>
  <c r="F114" i="2"/>
  <c r="W113" i="2"/>
  <c r="E198" i="3" l="1"/>
  <c r="V197" i="3"/>
  <c r="V346" i="3"/>
  <c r="E347" i="3"/>
  <c r="V680" i="3"/>
  <c r="E681" i="3"/>
  <c r="E493" i="3"/>
  <c r="V492" i="3"/>
  <c r="E1704" i="3"/>
  <c r="V1703" i="3"/>
  <c r="W114" i="2"/>
  <c r="F115" i="2"/>
  <c r="V681" i="3" l="1"/>
  <c r="E682" i="3"/>
  <c r="V347" i="3"/>
  <c r="E348" i="3"/>
  <c r="V1704" i="3"/>
  <c r="E1705" i="3"/>
  <c r="V493" i="3"/>
  <c r="E494" i="3"/>
  <c r="E199" i="3"/>
  <c r="V198" i="3"/>
  <c r="F116" i="2"/>
  <c r="W115" i="2"/>
  <c r="V199" i="3" l="1"/>
  <c r="E200" i="3"/>
  <c r="E495" i="3"/>
  <c r="V494" i="3"/>
  <c r="E1706" i="3"/>
  <c r="V1705" i="3"/>
  <c r="E349" i="3"/>
  <c r="V348" i="3"/>
  <c r="V682" i="3"/>
  <c r="E683" i="3"/>
  <c r="F117" i="2"/>
  <c r="W116" i="2"/>
  <c r="V683" i="3" l="1"/>
  <c r="E684" i="3"/>
  <c r="E350" i="3"/>
  <c r="V349" i="3"/>
  <c r="E1707" i="3"/>
  <c r="V1706" i="3"/>
  <c r="E496" i="3"/>
  <c r="V495" i="3"/>
  <c r="V200" i="3"/>
  <c r="E201" i="3"/>
  <c r="W117" i="2"/>
  <c r="F118" i="2"/>
  <c r="V201" i="3" l="1"/>
  <c r="E202" i="3"/>
  <c r="E497" i="3"/>
  <c r="V496" i="3"/>
  <c r="E1708" i="3"/>
  <c r="V1707" i="3"/>
  <c r="V350" i="3"/>
  <c r="E351" i="3"/>
  <c r="V684" i="3"/>
  <c r="E685" i="3"/>
  <c r="W118" i="2"/>
  <c r="F119" i="2"/>
  <c r="E686" i="3" l="1"/>
  <c r="V685" i="3"/>
  <c r="E352" i="3"/>
  <c r="V351" i="3"/>
  <c r="V1708" i="3"/>
  <c r="E1709" i="3"/>
  <c r="E498" i="3"/>
  <c r="V497" i="3"/>
  <c r="V202" i="3"/>
  <c r="E203" i="3"/>
  <c r="W119" i="2"/>
  <c r="F120" i="2"/>
  <c r="V352" i="3" l="1"/>
  <c r="E353" i="3"/>
  <c r="E204" i="3"/>
  <c r="V203" i="3"/>
  <c r="E499" i="3"/>
  <c r="V498" i="3"/>
  <c r="E1710" i="3"/>
  <c r="V1709" i="3"/>
  <c r="V686" i="3"/>
  <c r="E687" i="3"/>
  <c r="W120" i="2"/>
  <c r="F121" i="2"/>
  <c r="V687" i="3" l="1"/>
  <c r="E688" i="3"/>
  <c r="E500" i="3"/>
  <c r="V499" i="3"/>
  <c r="V204" i="3"/>
  <c r="E205" i="3"/>
  <c r="V353" i="3"/>
  <c r="E354" i="3"/>
  <c r="V1710" i="3"/>
  <c r="E1711" i="3"/>
  <c r="W121" i="2"/>
  <c r="F122" i="2"/>
  <c r="V1711" i="3" l="1"/>
  <c r="E1712" i="3"/>
  <c r="V354" i="3"/>
  <c r="E355" i="3"/>
  <c r="V205" i="3"/>
  <c r="E206" i="3"/>
  <c r="V500" i="3"/>
  <c r="E501" i="3"/>
  <c r="V688" i="3"/>
  <c r="E689" i="3"/>
  <c r="F123" i="2"/>
  <c r="W122" i="2"/>
  <c r="E690" i="3" l="1"/>
  <c r="V689" i="3"/>
  <c r="E502" i="3"/>
  <c r="V501" i="3"/>
  <c r="V206" i="3"/>
  <c r="E207" i="3"/>
  <c r="V355" i="3"/>
  <c r="E356" i="3"/>
  <c r="V1712" i="3"/>
  <c r="E1713" i="3"/>
  <c r="W123" i="2"/>
  <c r="F124" i="2"/>
  <c r="V1713" i="3" l="1"/>
  <c r="E1714" i="3"/>
  <c r="V356" i="3"/>
  <c r="E357" i="3"/>
  <c r="E208" i="3"/>
  <c r="V207" i="3"/>
  <c r="E503" i="3"/>
  <c r="V502" i="3"/>
  <c r="V690" i="3"/>
  <c r="E691" i="3"/>
  <c r="F125" i="2"/>
  <c r="W124" i="2"/>
  <c r="V691" i="3" l="1"/>
  <c r="E692" i="3"/>
  <c r="V357" i="3"/>
  <c r="E358" i="3"/>
  <c r="V1714" i="3"/>
  <c r="E1715" i="3"/>
  <c r="V503" i="3"/>
  <c r="E504" i="3"/>
  <c r="V208" i="3"/>
  <c r="E209" i="3"/>
  <c r="F126" i="2"/>
  <c r="W125" i="2"/>
  <c r="V209" i="3" l="1"/>
  <c r="E210" i="3"/>
  <c r="E505" i="3"/>
  <c r="V504" i="3"/>
  <c r="V1715" i="3"/>
  <c r="E1716" i="3"/>
  <c r="E359" i="3"/>
  <c r="V358" i="3"/>
  <c r="V692" i="3"/>
  <c r="E693" i="3"/>
  <c r="F127" i="2"/>
  <c r="W126" i="2"/>
  <c r="V1716" i="3" l="1"/>
  <c r="E1717" i="3"/>
  <c r="E694" i="3"/>
  <c r="V693" i="3"/>
  <c r="V359" i="3"/>
  <c r="E360" i="3"/>
  <c r="V505" i="3"/>
  <c r="E506" i="3"/>
  <c r="E211" i="3"/>
  <c r="V210" i="3"/>
  <c r="W127" i="2"/>
  <c r="F128" i="2"/>
  <c r="E507" i="3" l="1"/>
  <c r="V506" i="3"/>
  <c r="V211" i="3"/>
  <c r="E212" i="3"/>
  <c r="V360" i="3"/>
  <c r="E361" i="3"/>
  <c r="E695" i="3"/>
  <c r="V694" i="3"/>
  <c r="E1718" i="3"/>
  <c r="V1717" i="3"/>
  <c r="F129" i="2"/>
  <c r="W128" i="2"/>
  <c r="E1719" i="3" l="1"/>
  <c r="V1718" i="3"/>
  <c r="E696" i="3"/>
  <c r="V695" i="3"/>
  <c r="V361" i="3"/>
  <c r="E362" i="3"/>
  <c r="V212" i="3"/>
  <c r="E213" i="3"/>
  <c r="V507" i="3"/>
  <c r="E508" i="3"/>
  <c r="F130" i="2"/>
  <c r="W129" i="2"/>
  <c r="E509" i="3" l="1"/>
  <c r="V508" i="3"/>
  <c r="V213" i="3"/>
  <c r="E214" i="3"/>
  <c r="V362" i="3"/>
  <c r="E363" i="3"/>
  <c r="V696" i="3"/>
  <c r="E697" i="3"/>
  <c r="V1719" i="3"/>
  <c r="E1720" i="3"/>
  <c r="W130" i="2"/>
  <c r="F131" i="2"/>
  <c r="E1721" i="3" l="1"/>
  <c r="V1720" i="3"/>
  <c r="E698" i="3"/>
  <c r="V697" i="3"/>
  <c r="V363" i="3"/>
  <c r="E364" i="3"/>
  <c r="E215" i="3"/>
  <c r="V214" i="3"/>
  <c r="V509" i="3"/>
  <c r="E510" i="3"/>
  <c r="W131" i="2"/>
  <c r="F132" i="2"/>
  <c r="E511" i="3" l="1"/>
  <c r="V510" i="3"/>
  <c r="V215" i="3"/>
  <c r="E216" i="3"/>
  <c r="V364" i="3"/>
  <c r="E365" i="3"/>
  <c r="V698" i="3"/>
  <c r="E699" i="3"/>
  <c r="V1721" i="3"/>
  <c r="E1722" i="3"/>
  <c r="F133" i="2"/>
  <c r="W132" i="2"/>
  <c r="V699" i="3" l="1"/>
  <c r="E700" i="3"/>
  <c r="E1723" i="3"/>
  <c r="V1722" i="3"/>
  <c r="V365" i="3"/>
  <c r="E366" i="3"/>
  <c r="V216" i="3"/>
  <c r="E217" i="3"/>
  <c r="V511" i="3"/>
  <c r="E512" i="3"/>
  <c r="W133" i="2"/>
  <c r="F134" i="2"/>
  <c r="V366" i="3" l="1"/>
  <c r="E367" i="3"/>
  <c r="E1724" i="3"/>
  <c r="V1723" i="3"/>
  <c r="V700" i="3"/>
  <c r="E701" i="3"/>
  <c r="E513" i="3"/>
  <c r="V512" i="3"/>
  <c r="E218" i="3"/>
  <c r="V217" i="3"/>
  <c r="W134" i="2"/>
  <c r="F135" i="2"/>
  <c r="V513" i="3" l="1"/>
  <c r="E514" i="3"/>
  <c r="E702" i="3"/>
  <c r="V701" i="3"/>
  <c r="E219" i="3"/>
  <c r="V218" i="3"/>
  <c r="V1724" i="3"/>
  <c r="E1725" i="3"/>
  <c r="E368" i="3"/>
  <c r="V367" i="3"/>
  <c r="F136" i="2"/>
  <c r="W135" i="2"/>
  <c r="E220" i="3" l="1"/>
  <c r="V219" i="3"/>
  <c r="E703" i="3"/>
  <c r="V702" i="3"/>
  <c r="V368" i="3"/>
  <c r="E369" i="3"/>
  <c r="V1725" i="3"/>
  <c r="E1726" i="3"/>
  <c r="V514" i="3"/>
  <c r="E515" i="3"/>
  <c r="F137" i="2"/>
  <c r="W136" i="2"/>
  <c r="E516" i="3" l="1"/>
  <c r="V515" i="3"/>
  <c r="E1727" i="3"/>
  <c r="V1726" i="3"/>
  <c r="V369" i="3"/>
  <c r="E370" i="3"/>
  <c r="V703" i="3"/>
  <c r="E704" i="3"/>
  <c r="V220" i="3"/>
  <c r="E221" i="3"/>
  <c r="W137" i="2"/>
  <c r="F138" i="2"/>
  <c r="V704" i="3" l="1"/>
  <c r="E705" i="3"/>
  <c r="V370" i="3"/>
  <c r="E371" i="3"/>
  <c r="V221" i="3"/>
  <c r="E222" i="3"/>
  <c r="V1727" i="3"/>
  <c r="E1728" i="3"/>
  <c r="V516" i="3"/>
  <c r="E517" i="3"/>
  <c r="W138" i="2"/>
  <c r="F139" i="2"/>
  <c r="E1729" i="3" l="1"/>
  <c r="V1728" i="3"/>
  <c r="V222" i="3"/>
  <c r="E223" i="3"/>
  <c r="V371" i="3"/>
  <c r="E372" i="3"/>
  <c r="V705" i="3"/>
  <c r="E706" i="3"/>
  <c r="E518" i="3"/>
  <c r="V517" i="3"/>
  <c r="F140" i="2"/>
  <c r="W139" i="2"/>
  <c r="V223" i="3" l="1"/>
  <c r="E224" i="3"/>
  <c r="V518" i="3"/>
  <c r="E519" i="3"/>
  <c r="E707" i="3"/>
  <c r="V706" i="3"/>
  <c r="V372" i="3"/>
  <c r="E373" i="3"/>
  <c r="V1729" i="3"/>
  <c r="E1730" i="3"/>
  <c r="W140" i="2"/>
  <c r="F141" i="2"/>
  <c r="V373" i="3" l="1"/>
  <c r="E374" i="3"/>
  <c r="V519" i="3"/>
  <c r="E520" i="3"/>
  <c r="V224" i="3"/>
  <c r="E225" i="3"/>
  <c r="E1731" i="3"/>
  <c r="V1730" i="3"/>
  <c r="V707" i="3"/>
  <c r="E708" i="3"/>
  <c r="W141" i="2"/>
  <c r="F142" i="2"/>
  <c r="E709" i="3" l="1"/>
  <c r="V708" i="3"/>
  <c r="E1732" i="3"/>
  <c r="V1731" i="3"/>
  <c r="V225" i="3"/>
  <c r="E226" i="3"/>
  <c r="V520" i="3"/>
  <c r="E521" i="3"/>
  <c r="V374" i="3"/>
  <c r="E375" i="3"/>
  <c r="W142" i="2"/>
  <c r="F143" i="2"/>
  <c r="E376" i="3" l="1"/>
  <c r="V375" i="3"/>
  <c r="E522" i="3"/>
  <c r="V521" i="3"/>
  <c r="V226" i="3"/>
  <c r="E227" i="3"/>
  <c r="V1732" i="3"/>
  <c r="E1733" i="3"/>
  <c r="V1733" i="3" s="1"/>
  <c r="V709" i="3"/>
  <c r="E710" i="3"/>
  <c r="F144" i="2"/>
  <c r="W143" i="2"/>
  <c r="E711" i="3" l="1"/>
  <c r="V710" i="3"/>
  <c r="E228" i="3"/>
  <c r="V227" i="3"/>
  <c r="V522" i="3"/>
  <c r="E523" i="3"/>
  <c r="V376" i="3"/>
  <c r="E377" i="3"/>
  <c r="W144" i="2"/>
  <c r="F145" i="2"/>
  <c r="F146" i="2" s="1"/>
  <c r="F147" i="2" s="1"/>
  <c r="F148" i="2" s="1"/>
  <c r="F149" i="2" s="1"/>
  <c r="F150" i="2" s="1"/>
  <c r="F151" i="2" s="1"/>
  <c r="F152" i="2" s="1"/>
  <c r="F153" i="2" s="1"/>
  <c r="F154" i="2" s="1"/>
  <c r="V523" i="3" l="1"/>
  <c r="E524" i="3"/>
  <c r="V377" i="3"/>
  <c r="E378" i="3"/>
  <c r="E229" i="3"/>
  <c r="V228" i="3"/>
  <c r="E712" i="3"/>
  <c r="V711" i="3"/>
  <c r="W154" i="2"/>
  <c r="F155" i="2"/>
  <c r="V229" i="3" l="1"/>
  <c r="E230" i="3"/>
  <c r="V378" i="3"/>
  <c r="E379" i="3"/>
  <c r="V712" i="3"/>
  <c r="E713" i="3"/>
  <c r="V524" i="3"/>
  <c r="E525" i="3"/>
  <c r="F156" i="2"/>
  <c r="W155" i="2"/>
  <c r="E380" i="3" l="1"/>
  <c r="V380" i="3" s="1"/>
  <c r="V379" i="3"/>
  <c r="E231" i="3"/>
  <c r="V231" i="3" s="1"/>
  <c r="V230" i="3"/>
  <c r="V525" i="3"/>
  <c r="E526" i="3"/>
  <c r="V713" i="3"/>
  <c r="E714" i="3"/>
  <c r="V714" i="3" s="1"/>
  <c r="W156" i="2"/>
  <c r="F157" i="2"/>
  <c r="V526" i="3" l="1"/>
  <c r="E527" i="3"/>
  <c r="W157" i="2"/>
  <c r="F158" i="2"/>
  <c r="V527" i="3" l="1"/>
  <c r="E528" i="3"/>
  <c r="F159" i="2"/>
  <c r="W158" i="2"/>
  <c r="V528" i="3" l="1"/>
  <c r="E529" i="3"/>
  <c r="F160" i="2"/>
  <c r="W159" i="2"/>
  <c r="E530" i="3" l="1"/>
  <c r="V529" i="3"/>
  <c r="F161" i="2"/>
  <c r="W160" i="2"/>
  <c r="V530" i="3" l="1"/>
  <c r="E531" i="3"/>
  <c r="W161" i="2"/>
  <c r="F162" i="2"/>
  <c r="V531" i="3" l="1"/>
  <c r="E532" i="3"/>
  <c r="F163" i="2"/>
  <c r="W162" i="2"/>
  <c r="E533" i="3" l="1"/>
  <c r="V532" i="3"/>
  <c r="F164" i="2"/>
  <c r="W163" i="2"/>
  <c r="V533" i="3" l="1"/>
  <c r="E534" i="3"/>
  <c r="F165" i="2"/>
  <c r="W164" i="2"/>
  <c r="V534" i="3" l="1"/>
  <c r="E535" i="3"/>
  <c r="W165" i="2"/>
  <c r="F166" i="2"/>
  <c r="E536" i="3" l="1"/>
  <c r="V535" i="3"/>
  <c r="W166" i="2"/>
  <c r="F167" i="2"/>
  <c r="V536" i="3" l="1"/>
  <c r="E537" i="3"/>
  <c r="F168" i="2"/>
  <c r="W167" i="2"/>
  <c r="E538" i="3" l="1"/>
  <c r="V538" i="3" s="1"/>
  <c r="V537" i="3"/>
  <c r="W168" i="2"/>
  <c r="F169" i="2"/>
  <c r="W169" i="2" l="1"/>
  <c r="F170" i="2"/>
  <c r="W170" i="2" l="1"/>
  <c r="F171" i="2"/>
  <c r="F172" i="2" l="1"/>
  <c r="W171" i="2"/>
  <c r="W172" i="2" l="1"/>
  <c r="F173" i="2"/>
  <c r="W173" i="2" l="1"/>
  <c r="F174" i="2"/>
  <c r="W174" i="2" l="1"/>
  <c r="F175" i="2"/>
  <c r="F176" i="2" l="1"/>
  <c r="W175" i="2"/>
  <c r="F177" i="2" l="1"/>
  <c r="W176" i="2"/>
  <c r="W177" i="2" l="1"/>
  <c r="F178" i="2"/>
  <c r="F179" i="2" l="1"/>
  <c r="W178" i="2"/>
  <c r="F180" i="2" l="1"/>
  <c r="W179" i="2"/>
  <c r="F181" i="2" l="1"/>
  <c r="W180" i="2"/>
  <c r="W181" i="2" l="1"/>
  <c r="F182" i="2"/>
  <c r="W182" i="2" l="1"/>
  <c r="F183" i="2"/>
  <c r="F184" i="2" l="1"/>
  <c r="W183" i="2"/>
  <c r="W184" i="2" l="1"/>
  <c r="F185" i="2"/>
  <c r="W18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tc={689959A5-F4E9-4BEC-A092-51EBA15C65B6}</author>
    <author>tc={594CD4B9-AD3E-47D6-825D-3788371271EF}</author>
  </authors>
  <commentList>
    <comment ref="P277" authorId="0" shapeId="0" xr:uid="{689959A5-F4E9-4BEC-A092-51EBA15C65B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THESE GO TO THE FIRE PANEL</t>
      </text>
    </comment>
    <comment ref="P278" authorId="1" shapeId="0" xr:uid="{594CD4B9-AD3E-47D6-825D-37883712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THESE GO TO THE FIRE PANEL</t>
      </text>
    </comment>
  </commentList>
</comments>
</file>

<file path=xl/sharedStrings.xml><?xml version="1.0" encoding="utf-8"?>
<sst xmlns="http://schemas.openxmlformats.org/spreadsheetml/2006/main" count="17302" uniqueCount="2595">
  <si>
    <t>146</t>
  </si>
  <si>
    <t>145</t>
  </si>
  <si>
    <t>BCV131DX07</t>
  </si>
  <si>
    <t xml:space="preserve">BCV131CGB01LCS01 MASTER TO BCV131CPP02 BUCKET </t>
  </si>
  <si>
    <t>BCV131CFN01LCS01</t>
  </si>
  <si>
    <t>BCV131CGB01LCS01</t>
  </si>
  <si>
    <t>PNOZs7.1</t>
  </si>
  <si>
    <t>142</t>
  </si>
  <si>
    <t>141</t>
  </si>
  <si>
    <t>BCV131DX06</t>
  </si>
  <si>
    <t xml:space="preserve">BCV131BGB01LCS01 MASTER TO BCV131BPP02 BUCKET </t>
  </si>
  <si>
    <t>BCV131BGB01LCS01</t>
  </si>
  <si>
    <t>138</t>
  </si>
  <si>
    <t>137</t>
  </si>
  <si>
    <t xml:space="preserve">BCV131AGB01LCS01 MASTER TO BCV131APP02 BUCKET </t>
  </si>
  <si>
    <t>BCV131AGB01LCS01</t>
  </si>
  <si>
    <t>134</t>
  </si>
  <si>
    <t>133</t>
  </si>
  <si>
    <t>130</t>
  </si>
  <si>
    <t>129</t>
  </si>
  <si>
    <t>K435-2</t>
  </si>
  <si>
    <t>BCV131CFN03 FIELD LOS TO BCV131CFAN03 BUCKET</t>
  </si>
  <si>
    <t>BCV131CFN02LCS01</t>
  </si>
  <si>
    <t>126</t>
  </si>
  <si>
    <t>125</t>
  </si>
  <si>
    <t>K435-1</t>
  </si>
  <si>
    <t>BCV131CFN02 FIELD LOS TO BCV131CFAN02 BUCKET</t>
  </si>
  <si>
    <t>PNOZs4</t>
  </si>
  <si>
    <t>status to 2.1\0.9.5</t>
  </si>
  <si>
    <t>122</t>
  </si>
  <si>
    <t>121</t>
  </si>
  <si>
    <t>BR4-2150-E-00205</t>
  </si>
  <si>
    <t>BCV131CFN02 SUB DX RELAY</t>
  </si>
  <si>
    <t>118</t>
  </si>
  <si>
    <t>117</t>
  </si>
  <si>
    <t xml:space="preserve">BCV131CGB01LCS01 MASTER TO BCV131CFN01 BUCKET </t>
  </si>
  <si>
    <t>BCV131DX07-C1
20 PAIR - ONLY 6 PAIR REQUIRED
10 PAIR USED</t>
  </si>
  <si>
    <t>114</t>
  </si>
  <si>
    <t>113</t>
  </si>
  <si>
    <t>K420-2</t>
  </si>
  <si>
    <t>BCV131PP03 FIELD LOS TO BCV131PP03 BUCKET</t>
  </si>
  <si>
    <t>BCV131PP03LCS01</t>
  </si>
  <si>
    <t>110</t>
  </si>
  <si>
    <t>109</t>
  </si>
  <si>
    <t>K420-1</t>
  </si>
  <si>
    <t>BCV131BFN03 FIELD LOS TO BCV131BFAN03 BUCKET</t>
  </si>
  <si>
    <t>BCV131BFN02LCS01</t>
  </si>
  <si>
    <t>status to 2.1\0.9.4</t>
  </si>
  <si>
    <t>106</t>
  </si>
  <si>
    <t>105</t>
  </si>
  <si>
    <t>BCV131BFN02 FIELD LOS TO BCV131BFAN02 BUCKET</t>
  </si>
  <si>
    <t>102</t>
  </si>
  <si>
    <t>101</t>
  </si>
  <si>
    <t>BCV131BFN02 SUB DX RELAY</t>
  </si>
  <si>
    <t>98</t>
  </si>
  <si>
    <t>97</t>
  </si>
  <si>
    <t>K405-2</t>
  </si>
  <si>
    <t xml:space="preserve">BCV131BGB01LCS01 MASTER TO BCV131BFN01 BUCKET </t>
  </si>
  <si>
    <t>94</t>
  </si>
  <si>
    <t>93</t>
  </si>
  <si>
    <t>K405-1</t>
  </si>
  <si>
    <t>BCV131AFN03 MASTER TO BCV131AFAN03 BUCKET</t>
  </si>
  <si>
    <t>BCV131AFN02LCS01</t>
  </si>
  <si>
    <t>status to 2.1\0.9.3</t>
  </si>
  <si>
    <t>90</t>
  </si>
  <si>
    <t>89</t>
  </si>
  <si>
    <t>BR4-2150-E-00204</t>
  </si>
  <si>
    <t>BCV131AFN02 MASTER TO BCV131AFAN02 BUCKET</t>
  </si>
  <si>
    <t>86</t>
  </si>
  <si>
    <t>85</t>
  </si>
  <si>
    <t>BCV131AFN02 SUB DX RELAY</t>
  </si>
  <si>
    <t>82</t>
  </si>
  <si>
    <t>81</t>
  </si>
  <si>
    <t xml:space="preserve">BCV131AGB01LCS01 MASTER TO BCV131AFN01 BUCKET </t>
  </si>
  <si>
    <t>BCV131DX06-C1
20 PAIR - ONLY 10 PAIR REQUIRED
16 PAIR USED</t>
  </si>
  <si>
    <t>78</t>
  </si>
  <si>
    <t>77</t>
  </si>
  <si>
    <t>BCV131PP02 FIELD LOS TO BCV131PP02 BUCKET</t>
  </si>
  <si>
    <t>BCV131PP02LCS01</t>
  </si>
  <si>
    <t>status to 2.1\0.8.8</t>
  </si>
  <si>
    <t>BPP2105EM01-C2
2 PAIR</t>
  </si>
  <si>
    <t>74</t>
  </si>
  <si>
    <t>73</t>
  </si>
  <si>
    <t>BR4-2150-E-00077</t>
  </si>
  <si>
    <t>BBD131DX05</t>
  </si>
  <si>
    <t>BPP2105 FIELD LOS TO BPP2105 BUCKET</t>
  </si>
  <si>
    <t>BPP2105LCS01</t>
  </si>
  <si>
    <t>status to 2.1\0.8.4</t>
  </si>
  <si>
    <t>BBD131DX05-C1
20 PAIR - ONLY 4 PAIR REQUIRED
6 PAIR ON DX05 TERM</t>
  </si>
  <si>
    <t>70</t>
  </si>
  <si>
    <t>69</t>
  </si>
  <si>
    <t>BR4-2150-E-00109</t>
  </si>
  <si>
    <t>BPP2104 FIELD LOS TO BPP2104 BUCKET</t>
  </si>
  <si>
    <t>BPP2104LCS01</t>
  </si>
  <si>
    <t>68</t>
  </si>
  <si>
    <t>67</t>
  </si>
  <si>
    <t>66</t>
  </si>
  <si>
    <t>65</t>
  </si>
  <si>
    <t>BR4-2150-E-00108</t>
  </si>
  <si>
    <t>BBD131DX04</t>
  </si>
  <si>
    <t>BBD131PP01 FIELD LOS TO BBD131PP01 BUCKET</t>
  </si>
  <si>
    <t>BBD131PP01LCS01</t>
  </si>
  <si>
    <t>63</t>
  </si>
  <si>
    <t>62</t>
  </si>
  <si>
    <t>61</t>
  </si>
  <si>
    <t>BAF131FN01 FIELD LOS TO BAF131FN01 BUCKET</t>
  </si>
  <si>
    <t>BAF131FN01</t>
  </si>
  <si>
    <t>59</t>
  </si>
  <si>
    <t>58</t>
  </si>
  <si>
    <t>57</t>
  </si>
  <si>
    <t>BAF131 DX04 FIELD RELAYS TO BAF131 MASTER</t>
  </si>
  <si>
    <t>BAF131</t>
  </si>
  <si>
    <t>55</t>
  </si>
  <si>
    <t>54</t>
  </si>
  <si>
    <t>53</t>
  </si>
  <si>
    <t>K355-2</t>
  </si>
  <si>
    <t>BAF131 MASTER TO BAF131PP04 BUCKET</t>
  </si>
  <si>
    <t>status to 2.1\0.9.2</t>
  </si>
  <si>
    <t>51</t>
  </si>
  <si>
    <t>50</t>
  </si>
  <si>
    <t>49</t>
  </si>
  <si>
    <t>K355-1</t>
  </si>
  <si>
    <t>BAF131 MASTER TO BAF131PP01 BUCKET</t>
  </si>
  <si>
    <t>47</t>
  </si>
  <si>
    <t>46</t>
  </si>
  <si>
    <t>45</t>
  </si>
  <si>
    <t>BAF131LU01 FIELD LOS TO BAF131PP02 BUCKET</t>
  </si>
  <si>
    <t/>
  </si>
  <si>
    <t>43</t>
  </si>
  <si>
    <t>42</t>
  </si>
  <si>
    <t>41</t>
  </si>
  <si>
    <t>BBD131DX04-C1
20 PAIR - ONLY 12 PAIR REQUIRED
16 PAIR USED</t>
  </si>
  <si>
    <t>39</t>
  </si>
  <si>
    <t>38</t>
  </si>
  <si>
    <t>37</t>
  </si>
  <si>
    <t>35</t>
  </si>
  <si>
    <t>34</t>
  </si>
  <si>
    <t>33</t>
  </si>
  <si>
    <t>BR4-2150-E-00203</t>
  </si>
  <si>
    <t>BBN131 LS MASTER (FROM FIELD)</t>
  </si>
  <si>
    <t>BBN131LS0X</t>
  </si>
  <si>
    <t>BBD131DX03-C1
20 PAIR - ONLY 4 PAIR REQUIRED
6 PAIR USED</t>
  </si>
  <si>
    <t>31</t>
  </si>
  <si>
    <t>30</t>
  </si>
  <si>
    <t>29</t>
  </si>
  <si>
    <t>BR4-2150-E-00202</t>
  </si>
  <si>
    <t>BBD131DX03</t>
  </si>
  <si>
    <t>BDU131FN01 FIELD LOS TO BBD131FN01 BUCKET</t>
  </si>
  <si>
    <t>27</t>
  </si>
  <si>
    <t>26</t>
  </si>
  <si>
    <t>25</t>
  </si>
  <si>
    <t>status to 2.1\0.9.14</t>
  </si>
  <si>
    <t>23</t>
  </si>
  <si>
    <t>22</t>
  </si>
  <si>
    <t>21</t>
  </si>
  <si>
    <t>BSR132DX01</t>
  </si>
  <si>
    <t>K255-1</t>
  </si>
  <si>
    <t>BBN131 LS MASTER (TO FLEXISOFT)</t>
  </si>
  <si>
    <t>BCV131CVS01-C4
2 PAIR</t>
  </si>
  <si>
    <t>19</t>
  </si>
  <si>
    <t>18</t>
  </si>
  <si>
    <t>17</t>
  </si>
  <si>
    <t>K155-4</t>
  </si>
  <si>
    <t>BCV131 MASTER TO VSD03 STO</t>
  </si>
  <si>
    <t>BCV131CVS01</t>
  </si>
  <si>
    <t>PNOZs7.2</t>
  </si>
  <si>
    <t>BCV131BVS01-C4
2 PAIR</t>
  </si>
  <si>
    <t>15</t>
  </si>
  <si>
    <t>14</t>
  </si>
  <si>
    <t>13</t>
  </si>
  <si>
    <t>K155-3</t>
  </si>
  <si>
    <t>BCV131 MASTER TO VSD02 STO</t>
  </si>
  <si>
    <t>BCV131BVS01</t>
  </si>
  <si>
    <t>BCV131AVS01-C4
2 PAIR</t>
  </si>
  <si>
    <t>11</t>
  </si>
  <si>
    <t>10</t>
  </si>
  <si>
    <t>9</t>
  </si>
  <si>
    <t>K155-2</t>
  </si>
  <si>
    <t>BCV131 MASTER TO VSD01 STO</t>
  </si>
  <si>
    <t>BCV131AVS01</t>
  </si>
  <si>
    <t>NO CABLE?</t>
  </si>
  <si>
    <t>7</t>
  </si>
  <si>
    <t>6</t>
  </si>
  <si>
    <t>5</t>
  </si>
  <si>
    <t>BCV131 MASTER TO WN01</t>
  </si>
  <si>
    <t>BCV131WN01</t>
  </si>
  <si>
    <t>status to 2.1\0.9.11</t>
  </si>
  <si>
    <t>INTERNAL</t>
  </si>
  <si>
    <t>3</t>
  </si>
  <si>
    <t>2</t>
  </si>
  <si>
    <t>1</t>
  </si>
  <si>
    <t>F12</t>
  </si>
  <si>
    <t>K155-1</t>
  </si>
  <si>
    <t>BCV131 MASTER RELAY</t>
  </si>
  <si>
    <t>BCV131</t>
  </si>
  <si>
    <t>STATUS</t>
  </si>
  <si>
    <t>CABLE DX TO BUCKET</t>
  </si>
  <si>
    <t>MULTICORE IN</t>
  </si>
  <si>
    <t>Healthy Relay (Feedback)</t>
  </si>
  <si>
    <t>Feedback Channel 2A / 2B closed</t>
  </si>
  <si>
    <t>SIL02M</t>
  </si>
  <si>
    <t>SRMO</t>
  </si>
  <si>
    <t>Y3&gt;+ / Y4&gt;I6</t>
  </si>
  <si>
    <t>2M</t>
  </si>
  <si>
    <t>Healthy (Solid State Output)</t>
  </si>
  <si>
    <t>FLEXISOFT PWS Bus 1 Statutory immediate circuit 2</t>
  </si>
  <si>
    <t>SIL02C</t>
  </si>
  <si>
    <t>SSDO</t>
  </si>
  <si>
    <t>Y24</t>
  </si>
  <si>
    <t>2C</t>
  </si>
  <si>
    <t>monitored</t>
  </si>
  <si>
    <t>Healthy</t>
  </si>
  <si>
    <t>SIL02B</t>
  </si>
  <si>
    <t>SRO</t>
  </si>
  <si>
    <t>43 / 44</t>
  </si>
  <si>
    <t>2B</t>
  </si>
  <si>
    <t>wired to stat CCT</t>
  </si>
  <si>
    <t>SIL02A</t>
  </si>
  <si>
    <t>33 / 34</t>
  </si>
  <si>
    <t>2A</t>
  </si>
  <si>
    <t>Feedback Channel 1A / 1B closed</t>
  </si>
  <si>
    <t>SIL01M</t>
  </si>
  <si>
    <t>Y1&gt;+ / Y2&gt;I5</t>
  </si>
  <si>
    <t>1M</t>
  </si>
  <si>
    <t>FLEXISOFT PWS Bus 1 Statutory immediate circuit 1</t>
  </si>
  <si>
    <t>SIL01C</t>
  </si>
  <si>
    <t>Y14</t>
  </si>
  <si>
    <t>1C</t>
  </si>
  <si>
    <t>SIL01B</t>
  </si>
  <si>
    <t>23 / 24</t>
  </si>
  <si>
    <t>1B</t>
  </si>
  <si>
    <t>SIL01A</t>
  </si>
  <si>
    <t>4RO</t>
  </si>
  <si>
    <t>13 / 14</t>
  </si>
  <si>
    <t>1A</t>
  </si>
  <si>
    <t>SDO</t>
  </si>
  <si>
    <t>Q4 &gt; B2</t>
  </si>
  <si>
    <t>Q3 &gt; B1</t>
  </si>
  <si>
    <t>Safety Interlock B2 - immediate</t>
  </si>
  <si>
    <t>SIL02</t>
  </si>
  <si>
    <t>Q2 &gt; B2</t>
  </si>
  <si>
    <t>Safety Interlock B1 - immediate</t>
  </si>
  <si>
    <t>SIL01</t>
  </si>
  <si>
    <t>Q1 &gt; B1</t>
  </si>
  <si>
    <t>SDI</t>
  </si>
  <si>
    <t>I8</t>
  </si>
  <si>
    <t>I7</t>
  </si>
  <si>
    <t>Closed</t>
  </si>
  <si>
    <t>4RO module 6 Y3 / Y4 feedback</t>
  </si>
  <si>
    <t>CAX02</t>
  </si>
  <si>
    <t>I6 &lt; Y4</t>
  </si>
  <si>
    <t>4RO module 6 Y1 / Y2 feedback</t>
  </si>
  <si>
    <t>CAX01</t>
  </si>
  <si>
    <t xml:space="preserve">SN# </t>
  </si>
  <si>
    <t>I5 &lt; Y2</t>
  </si>
  <si>
    <t>Safety Relay 1 ChB</t>
  </si>
  <si>
    <t>SY01B</t>
  </si>
  <si>
    <t>I4</t>
  </si>
  <si>
    <t>BCV131BBN131</t>
  </si>
  <si>
    <t>Safety Relay 1 ChA</t>
  </si>
  <si>
    <t>SY01A</t>
  </si>
  <si>
    <t>I3</t>
  </si>
  <si>
    <t>enabled</t>
  </si>
  <si>
    <t>Start-up Warning Request (programmed not wired)</t>
  </si>
  <si>
    <t>YA01</t>
  </si>
  <si>
    <t>I2</t>
  </si>
  <si>
    <t>Emergency Stop Reset Request (programmed not wired)</t>
  </si>
  <si>
    <t>XE01</t>
  </si>
  <si>
    <t>IgnoreMUG</t>
  </si>
  <si>
    <t>I1</t>
  </si>
  <si>
    <t>SLC02</t>
  </si>
  <si>
    <t>SIO1</t>
  </si>
  <si>
    <t>DX01</t>
  </si>
  <si>
    <t>BSR132</t>
  </si>
  <si>
    <t>COMMS</t>
  </si>
  <si>
    <t xml:space="preserve">FlexiSoft Bus </t>
  </si>
  <si>
    <t xml:space="preserve">Type </t>
  </si>
  <si>
    <t>CPU SLC1</t>
  </si>
  <si>
    <t>BCV131SLC02 Flexisoft - Even AXs</t>
  </si>
  <si>
    <t xml:space="preserve">FLEXISOFT PWS Bus 1 Statutory immediate circuit 2 </t>
  </si>
  <si>
    <t>Lock Off Stop 1 ChB</t>
  </si>
  <si>
    <t>LOS01B</t>
  </si>
  <si>
    <t>BCV131WN01LOS01</t>
  </si>
  <si>
    <t>Lock Off Stop 1 ChA</t>
  </si>
  <si>
    <t>LOS01A</t>
  </si>
  <si>
    <t>SLC01</t>
  </si>
  <si>
    <t>Type 1</t>
  </si>
  <si>
    <t>DX01ES01</t>
  </si>
  <si>
    <t>BCV131SLC01 Flexisoft - Odd AXs</t>
  </si>
  <si>
    <t>A</t>
  </si>
  <si>
    <t>BR4-2150-E-00043</t>
  </si>
  <si>
    <t>Spare</t>
  </si>
  <si>
    <t>DO</t>
  </si>
  <si>
    <t>XCC 17/18</t>
  </si>
  <si>
    <t>SO8</t>
  </si>
  <si>
    <t>XCC 15/16</t>
  </si>
  <si>
    <t>SO7</t>
  </si>
  <si>
    <t>XCC 13/14</t>
  </si>
  <si>
    <t>SO6</t>
  </si>
  <si>
    <t>Activated</t>
  </si>
  <si>
    <t>VSD Precharge Start</t>
  </si>
  <si>
    <t>XS14</t>
  </si>
  <si>
    <t>XCC 11/12</t>
  </si>
  <si>
    <t>SO5</t>
  </si>
  <si>
    <t>Feeder Ready to Close (to VSD)</t>
  </si>
  <si>
    <t>XS13</t>
  </si>
  <si>
    <t>XCC 9/10</t>
  </si>
  <si>
    <t>SO4</t>
  </si>
  <si>
    <t>Open</t>
  </si>
  <si>
    <t>Earth Switch (Command)</t>
  </si>
  <si>
    <t>XS05B</t>
  </si>
  <si>
    <t>XCC 7/8</t>
  </si>
  <si>
    <t>SO3</t>
  </si>
  <si>
    <t>Close</t>
  </si>
  <si>
    <t>XS05A</t>
  </si>
  <si>
    <t>XCC 5/6</t>
  </si>
  <si>
    <t>SO2</t>
  </si>
  <si>
    <t>Release</t>
  </si>
  <si>
    <t>Circuit Breaker Closing (Blocking Command)</t>
  </si>
  <si>
    <t>XS11</t>
  </si>
  <si>
    <t>X2C 3/4</t>
  </si>
  <si>
    <t>SO1</t>
  </si>
  <si>
    <t>C</t>
  </si>
  <si>
    <t>DI</t>
  </si>
  <si>
    <t>X2C 1/2</t>
  </si>
  <si>
    <t>BI14</t>
  </si>
  <si>
    <t xml:space="preserve">Close Breaker (Permissive K3) </t>
  </si>
  <si>
    <t>XS09</t>
  </si>
  <si>
    <t>X1C 17/18</t>
  </si>
  <si>
    <t>BI13</t>
  </si>
  <si>
    <t>VSD Healthy</t>
  </si>
  <si>
    <t>XS12</t>
  </si>
  <si>
    <t>X1C 15/16</t>
  </si>
  <si>
    <t>BI12</t>
  </si>
  <si>
    <t xml:space="preserve">Inter Trip Signal form Shutdown Button </t>
  </si>
  <si>
    <t>TRP04</t>
  </si>
  <si>
    <t>X1C 14/16</t>
  </si>
  <si>
    <t>BI11</t>
  </si>
  <si>
    <t xml:space="preserve">Inter Trip from Upstream </t>
  </si>
  <si>
    <t>TRP03</t>
  </si>
  <si>
    <t>X1C 13/16</t>
  </si>
  <si>
    <t>BI10</t>
  </si>
  <si>
    <t>Ready to Precharge from VSD</t>
  </si>
  <si>
    <t>XS08</t>
  </si>
  <si>
    <t>X1C 11/12</t>
  </si>
  <si>
    <t>BI9</t>
  </si>
  <si>
    <t xml:space="preserve">Arc Fault </t>
  </si>
  <si>
    <t>XS07</t>
  </si>
  <si>
    <t>X1C 10/12</t>
  </si>
  <si>
    <t>BI8</t>
  </si>
  <si>
    <t>X1C 9/12</t>
  </si>
  <si>
    <t>BI7</t>
  </si>
  <si>
    <t>Voltage Transformer MCB</t>
  </si>
  <si>
    <t>CB04</t>
  </si>
  <si>
    <t>X1C 7/8</t>
  </si>
  <si>
    <t>BI6</t>
  </si>
  <si>
    <t>TPS Control Supply Switch</t>
  </si>
  <si>
    <t>SW03</t>
  </si>
  <si>
    <t>X1C 6/8</t>
  </si>
  <si>
    <t>BI5</t>
  </si>
  <si>
    <t>Circuit Breaker Spring Charge Control Supply Switch</t>
  </si>
  <si>
    <t>SW02</t>
  </si>
  <si>
    <t>X1C 5/8</t>
  </si>
  <si>
    <t>BI4</t>
  </si>
  <si>
    <t>Selected</t>
  </si>
  <si>
    <t>Remote Mode</t>
  </si>
  <si>
    <t>SW01B</t>
  </si>
  <si>
    <t>X1C 3/4</t>
  </si>
  <si>
    <t>BI3</t>
  </si>
  <si>
    <t>Local Mode</t>
  </si>
  <si>
    <t>SW01A</t>
  </si>
  <si>
    <t>X1C 2/4</t>
  </si>
  <si>
    <t>BI2</t>
  </si>
  <si>
    <t>Cable Side No Power</t>
  </si>
  <si>
    <t>XS06</t>
  </si>
  <si>
    <t>REX640 SLOT C</t>
  </si>
  <si>
    <t>X1C 1/4</t>
  </si>
  <si>
    <t>BI1</t>
  </si>
  <si>
    <t>X2B 17/18</t>
  </si>
  <si>
    <t>X2B 15/16</t>
  </si>
  <si>
    <t>X2B 13/14</t>
  </si>
  <si>
    <t>X2B 11/12</t>
  </si>
  <si>
    <t>X2B 9/10</t>
  </si>
  <si>
    <t>X2B 7/8</t>
  </si>
  <si>
    <t>X2B 5/6</t>
  </si>
  <si>
    <t>X2B 3/4</t>
  </si>
  <si>
    <t>B</t>
  </si>
  <si>
    <t>X2B 1/2</t>
  </si>
  <si>
    <t>X1B 17/18</t>
  </si>
  <si>
    <t>Motor Control Supply MCBs</t>
  </si>
  <si>
    <t>CB03</t>
  </si>
  <si>
    <t>X1B 15/16</t>
  </si>
  <si>
    <t>Control Supply MCBs</t>
  </si>
  <si>
    <t>CB02</t>
  </si>
  <si>
    <t>X1B 14/16</t>
  </si>
  <si>
    <t>Low</t>
  </si>
  <si>
    <t>Gas Pressure</t>
  </si>
  <si>
    <t>XS03C</t>
  </si>
  <si>
    <t>X1B 13/16</t>
  </si>
  <si>
    <t>High</t>
  </si>
  <si>
    <t>XS03B</t>
  </si>
  <si>
    <t>X1B 11/12</t>
  </si>
  <si>
    <t>XS03A</t>
  </si>
  <si>
    <t>X1B 10/12</t>
  </si>
  <si>
    <t xml:space="preserve">Earth Switch </t>
  </si>
  <si>
    <t>XS02B</t>
  </si>
  <si>
    <t>X1B 9/12</t>
  </si>
  <si>
    <t>XS02A</t>
  </si>
  <si>
    <t>X1B 7/8</t>
  </si>
  <si>
    <t xml:space="preserve">Disconnector </t>
  </si>
  <si>
    <t>XS01B</t>
  </si>
  <si>
    <t>X1B 6/8</t>
  </si>
  <si>
    <t>XS01A</t>
  </si>
  <si>
    <t>X1B 5/8</t>
  </si>
  <si>
    <t>Charged</t>
  </si>
  <si>
    <t>Circuit Breaker Spring</t>
  </si>
  <si>
    <t>XS04</t>
  </si>
  <si>
    <t>X1B 3/4</t>
  </si>
  <si>
    <t>Circuit Breaker</t>
  </si>
  <si>
    <t>CB01B</t>
  </si>
  <si>
    <t>X1B 2/4</t>
  </si>
  <si>
    <t>CB01A</t>
  </si>
  <si>
    <t>REX640 SLOT B</t>
  </si>
  <si>
    <t>X1B 1/4</t>
  </si>
  <si>
    <t>DIO</t>
  </si>
  <si>
    <t>X2G 14/16/21/17/18</t>
  </si>
  <si>
    <t>PODP3</t>
  </si>
  <si>
    <t>Tripped</t>
  </si>
  <si>
    <t>Arc Fault to Upstream</t>
  </si>
  <si>
    <t>TRP02</t>
  </si>
  <si>
    <t>X2G 9/10/11/12/13</t>
  </si>
  <si>
    <t>PODP2</t>
  </si>
  <si>
    <t>Protection Trip and Trip Circuit Supervision</t>
  </si>
  <si>
    <t>TRP01</t>
  </si>
  <si>
    <t>X2G 4/6/21/7/8</t>
  </si>
  <si>
    <t>PODP1</t>
  </si>
  <si>
    <t>X2G 1/2/3</t>
  </si>
  <si>
    <t>G</t>
  </si>
  <si>
    <t>Circuit Breaker (Command)</t>
  </si>
  <si>
    <t>XS09B</t>
  </si>
  <si>
    <t>X1G 17/18</t>
  </si>
  <si>
    <t>POSP2</t>
  </si>
  <si>
    <t>XS09A</t>
  </si>
  <si>
    <t>X1G 15/16</t>
  </si>
  <si>
    <t>POSP1</t>
  </si>
  <si>
    <t>X1G 13/14</t>
  </si>
  <si>
    <t>SSO2</t>
  </si>
  <si>
    <t>X1G 11/12</t>
  </si>
  <si>
    <t>SSO1</t>
  </si>
  <si>
    <t xml:space="preserve">Open </t>
  </si>
  <si>
    <t>Disconnector Switch (Command)</t>
  </si>
  <si>
    <t>XS08B</t>
  </si>
  <si>
    <t>X1G 9/10</t>
  </si>
  <si>
    <t>XS08A</t>
  </si>
  <si>
    <t>NEP01ES04</t>
  </si>
  <si>
    <t>X1G 6/7/8</t>
  </si>
  <si>
    <t>BMC1321FDR03</t>
  </si>
  <si>
    <t>Fault</t>
  </si>
  <si>
    <t>Relay Internal</t>
  </si>
  <si>
    <t>XS10</t>
  </si>
  <si>
    <t>REX640 SLOT G</t>
  </si>
  <si>
    <t>X1G 3/4/5</t>
  </si>
  <si>
    <t>RF</t>
  </si>
  <si>
    <t>PR4</t>
  </si>
  <si>
    <t>BR4-2150-E-00040</t>
  </si>
  <si>
    <t>BMC1321FDR02</t>
  </si>
  <si>
    <t>PR3</t>
  </si>
  <si>
    <t>BR4-2150-E-00037</t>
  </si>
  <si>
    <t>Inter Trip Signal form VSD</t>
  </si>
  <si>
    <t>VSD Arc Flash Trip</t>
  </si>
  <si>
    <t>BMC1321FDR01</t>
  </si>
  <si>
    <t>PR2</t>
  </si>
  <si>
    <t>BR4-2150-E-00034</t>
  </si>
  <si>
    <t xml:space="preserve">Inter Trip Signal from Fire Panel </t>
  </si>
  <si>
    <t>TRP05</t>
  </si>
  <si>
    <t>BMC1321INC01</t>
  </si>
  <si>
    <t>PR1</t>
  </si>
  <si>
    <t>BMC1321SHMI1</t>
  </si>
  <si>
    <t>X1</t>
  </si>
  <si>
    <t>SHMI1</t>
  </si>
  <si>
    <t>CUB RJ45</t>
  </si>
  <si>
    <t>PR</t>
  </si>
  <si>
    <t>Generator Incomer</t>
  </si>
  <si>
    <t>BR4-2150-E-00087</t>
  </si>
  <si>
    <t>BMC1322INC03</t>
  </si>
  <si>
    <t>MASTERPACT</t>
  </si>
  <si>
    <t>Essential Bus Incomer</t>
  </si>
  <si>
    <t>BR4-2150-E-00085</t>
  </si>
  <si>
    <t>BMC1322INC02</t>
  </si>
  <si>
    <t>VAMP RJ45</t>
  </si>
  <si>
    <t>Process Bus A Incomer</t>
  </si>
  <si>
    <t>BR4-2150-E-00083</t>
  </si>
  <si>
    <t>BMC1322INC01</t>
  </si>
  <si>
    <t>MASTERPACT_VAMP</t>
  </si>
  <si>
    <t>BR4-2150-E-00638</t>
  </si>
  <si>
    <t>BR4-2150-E-00052</t>
  </si>
  <si>
    <t>Fault Lock</t>
  </si>
  <si>
    <t>SR05</t>
  </si>
  <si>
    <t>DO-15</t>
  </si>
  <si>
    <t>VSD3</t>
  </si>
  <si>
    <t>Arc Flash Trip Reset</t>
  </si>
  <si>
    <t>SR04</t>
  </si>
  <si>
    <t>DO-14</t>
  </si>
  <si>
    <t>DO-13</t>
  </si>
  <si>
    <t>Blower 5 Control</t>
  </si>
  <si>
    <t>SR07</t>
  </si>
  <si>
    <t>DO-12</t>
  </si>
  <si>
    <t>Blower 4 Control</t>
  </si>
  <si>
    <t>SR06</t>
  </si>
  <si>
    <t>DO-11</t>
  </si>
  <si>
    <t>Blower 3 Control</t>
  </si>
  <si>
    <t>SR03</t>
  </si>
  <si>
    <t>DO-10</t>
  </si>
  <si>
    <t>Blower 2 Control</t>
  </si>
  <si>
    <t>SR02</t>
  </si>
  <si>
    <t>DO-9</t>
  </si>
  <si>
    <t>Blower 1 Control</t>
  </si>
  <si>
    <t>SR01</t>
  </si>
  <si>
    <t>DO-8</t>
  </si>
  <si>
    <t>BR4-2150-E-00637</t>
  </si>
  <si>
    <t>VSD Running Interlock</t>
  </si>
  <si>
    <t>DO-7</t>
  </si>
  <si>
    <t>DO-6</t>
  </si>
  <si>
    <t>DO-5</t>
  </si>
  <si>
    <r>
      <t xml:space="preserve">Drive </t>
    </r>
    <r>
      <rPr>
        <b/>
        <sz val="10"/>
        <rFont val="Arial"/>
        <family val="2"/>
      </rPr>
      <t>Fault</t>
    </r>
  </si>
  <si>
    <t>DO-4</t>
  </si>
  <si>
    <t xml:space="preserve">Drive Alarm </t>
  </si>
  <si>
    <t>DO-3</t>
  </si>
  <si>
    <t>Drive Running</t>
  </si>
  <si>
    <t>DO-2</t>
  </si>
  <si>
    <t>Drive Ready to Run</t>
  </si>
  <si>
    <t>XS05</t>
  </si>
  <si>
    <t>DO-1</t>
  </si>
  <si>
    <t>Speed Demand in Local at VFD</t>
  </si>
  <si>
    <t>DO-0</t>
  </si>
  <si>
    <t>BR4-2150-E-00640</t>
  </si>
  <si>
    <t>LFR Feedback</t>
  </si>
  <si>
    <t>TRP06</t>
  </si>
  <si>
    <t>DI-3E</t>
  </si>
  <si>
    <t>Output Disconnector</t>
  </si>
  <si>
    <t>XS03</t>
  </si>
  <si>
    <t>DI-2E</t>
  </si>
  <si>
    <t>Blower 5</t>
  </si>
  <si>
    <t>TRP09</t>
  </si>
  <si>
    <t>DI-1E</t>
  </si>
  <si>
    <t>Blower 4</t>
  </si>
  <si>
    <t>TRP08</t>
  </si>
  <si>
    <t>DI-0E</t>
  </si>
  <si>
    <t>BR4-2150-E-00639</t>
  </si>
  <si>
    <t>Blower 3</t>
  </si>
  <si>
    <t>DI-3D</t>
  </si>
  <si>
    <t>Blower 2</t>
  </si>
  <si>
    <t>DI-2D</t>
  </si>
  <si>
    <t>Blower 1</t>
  </si>
  <si>
    <t>DI-1D</t>
  </si>
  <si>
    <t>Transformer Cabinet Thermal Over Temp Trip</t>
  </si>
  <si>
    <t>TS02</t>
  </si>
  <si>
    <t>DI-0D</t>
  </si>
  <si>
    <t>Transformer Cabinet Thermal Over Temp Alarm</t>
  </si>
  <si>
    <t>TS01</t>
  </si>
  <si>
    <t>DI-3C</t>
  </si>
  <si>
    <t>PCVMR Trip</t>
  </si>
  <si>
    <t>TRP07</t>
  </si>
  <si>
    <t>DI-2C</t>
  </si>
  <si>
    <t>Arc Flash</t>
  </si>
  <si>
    <t>DI-1C</t>
  </si>
  <si>
    <t>Output Ground Switch</t>
  </si>
  <si>
    <t>XS01</t>
  </si>
  <si>
    <t>DI-0C</t>
  </si>
  <si>
    <t xml:space="preserve">Arc Flash Alarm </t>
  </si>
  <si>
    <t>XS02</t>
  </si>
  <si>
    <t>DI-3B</t>
  </si>
  <si>
    <t>DI-2B</t>
  </si>
  <si>
    <t>SEL SW-Remote</t>
  </si>
  <si>
    <t>SW04A</t>
  </si>
  <si>
    <t>DI-1B</t>
  </si>
  <si>
    <t>Sel SW-Off</t>
  </si>
  <si>
    <t>SW04B</t>
  </si>
  <si>
    <t>DI-0B</t>
  </si>
  <si>
    <t>Remot Fault Reset</t>
  </si>
  <si>
    <t>DI-3A</t>
  </si>
  <si>
    <t>Remote Stop</t>
  </si>
  <si>
    <t>SW02B</t>
  </si>
  <si>
    <t>DI-2A</t>
  </si>
  <si>
    <t>Remote Start</t>
  </si>
  <si>
    <t>SW02A</t>
  </si>
  <si>
    <t>DX2ES2</t>
  </si>
  <si>
    <t>DI-1A</t>
  </si>
  <si>
    <t xml:space="preserve">Remote Inhibit </t>
  </si>
  <si>
    <t>SW01</t>
  </si>
  <si>
    <t>NEP1ES5</t>
  </si>
  <si>
    <t>DI-0A</t>
  </si>
  <si>
    <t>G180 NXGpro+</t>
  </si>
  <si>
    <t>VS1</t>
  </si>
  <si>
    <t>BCV131C</t>
  </si>
  <si>
    <t>BR4-2150-E-00578</t>
  </si>
  <si>
    <t>BR4-2150-E-00049</t>
  </si>
  <si>
    <t>BR4-2150-E-00577</t>
  </si>
  <si>
    <t>BR4-2150-E-00580</t>
  </si>
  <si>
    <t>BR4-2150-E-00579</t>
  </si>
  <si>
    <t>NEP1ES4</t>
  </si>
  <si>
    <t>NEP1ES3</t>
  </si>
  <si>
    <t>BCV131B</t>
  </si>
  <si>
    <t>BR4-2150-E-00518</t>
  </si>
  <si>
    <t>BR4-2150-E-00046</t>
  </si>
  <si>
    <t>BR4-2150-E-00517</t>
  </si>
  <si>
    <t>BR4-2150-E-00520</t>
  </si>
  <si>
    <t>BR4-2150-E-00519</t>
  </si>
  <si>
    <t>NEP01ES03</t>
  </si>
  <si>
    <t>BCV131A</t>
  </si>
  <si>
    <t>BPP2105</t>
  </si>
  <si>
    <t>STO Relay</t>
  </si>
  <si>
    <t>VS01SY01</t>
  </si>
  <si>
    <t>STO</t>
  </si>
  <si>
    <t>XDI:6</t>
  </si>
  <si>
    <t>Drive Isolator</t>
  </si>
  <si>
    <t>IS01</t>
  </si>
  <si>
    <t>XDI:3</t>
  </si>
  <si>
    <t>XDI:2</t>
  </si>
  <si>
    <t>Run</t>
  </si>
  <si>
    <t>ENB01</t>
  </si>
  <si>
    <t>ACS880</t>
  </si>
  <si>
    <t>XDI:1</t>
  </si>
  <si>
    <t>BPP2104</t>
  </si>
  <si>
    <t>Q103</t>
  </si>
  <si>
    <t xml:space="preserve">Trip </t>
  </si>
  <si>
    <t>Drive Circuit Breaker</t>
  </si>
  <si>
    <t>95 / 96</t>
  </si>
  <si>
    <t>K161</t>
  </si>
  <si>
    <t xml:space="preserve">Shunt Trip </t>
  </si>
  <si>
    <t>SHT01</t>
  </si>
  <si>
    <t>K159</t>
  </si>
  <si>
    <t>Start Relay</t>
  </si>
  <si>
    <t>C / I6</t>
  </si>
  <si>
    <t>C / I5</t>
  </si>
  <si>
    <t>K165</t>
  </si>
  <si>
    <t>Safety Interlock Relay</t>
  </si>
  <si>
    <t>SY01</t>
  </si>
  <si>
    <t>C / I4</t>
  </si>
  <si>
    <t>K148</t>
  </si>
  <si>
    <t>Drive Contactor</t>
  </si>
  <si>
    <t>C / I3</t>
  </si>
  <si>
    <t>C / I2</t>
  </si>
  <si>
    <t>PART OF BSR130 REMOTE SWITCH</t>
  </si>
  <si>
    <t>BR4-2110-E-00219</t>
  </si>
  <si>
    <t>BCV131PP05</t>
  </si>
  <si>
    <t>CB01</t>
  </si>
  <si>
    <t>TeSysT</t>
  </si>
  <si>
    <t>C / I1</t>
  </si>
  <si>
    <t>BR4-2110-E-00218</t>
  </si>
  <si>
    <t>BCV131PP04</t>
  </si>
  <si>
    <t>BSR130 remote drop</t>
  </si>
  <si>
    <t>BR4-2150-E-00060</t>
  </si>
  <si>
    <t>BCV131CPP02</t>
  </si>
  <si>
    <t>BR4-2150-E-00095</t>
  </si>
  <si>
    <t>BCV131CFN03</t>
  </si>
  <si>
    <t>BR4-2150-E-00094</t>
  </si>
  <si>
    <t>BCV131CFN02</t>
  </si>
  <si>
    <t>BR4-2150-E-00098</t>
  </si>
  <si>
    <t>BCV131CFN01</t>
  </si>
  <si>
    <t>BR4-2150-E-00059</t>
  </si>
  <si>
    <t>BCV131BPP02</t>
  </si>
  <si>
    <t>BR4-2150-E-00093</t>
  </si>
  <si>
    <t>BCV131BFN03</t>
  </si>
  <si>
    <t>BR4-2150-E-00092</t>
  </si>
  <si>
    <t>BCV131BFN02</t>
  </si>
  <si>
    <t>BR4-2150-E-00097</t>
  </si>
  <si>
    <t>BCV131BFN01</t>
  </si>
  <si>
    <t>BR4-2150-E-00058</t>
  </si>
  <si>
    <t>BCV131APP02</t>
  </si>
  <si>
    <t>BR4-2150-E-00091</t>
  </si>
  <si>
    <t>BCV131AFN03</t>
  </si>
  <si>
    <t>BR4-2150-E-00090</t>
  </si>
  <si>
    <t>BCV131AFN02</t>
  </si>
  <si>
    <t>BR4-2150-E-00096</t>
  </si>
  <si>
    <t>BCV131AFN01</t>
  </si>
  <si>
    <t>BR4-2150-E-00106</t>
  </si>
  <si>
    <t>BDU131FN01</t>
  </si>
  <si>
    <t>BR4-2150-E-00104</t>
  </si>
  <si>
    <t>BR4-2150-E-00061</t>
  </si>
  <si>
    <t>BAF131PP04</t>
  </si>
  <si>
    <t>BR4-2150-E-00103</t>
  </si>
  <si>
    <t>BAF131PP02</t>
  </si>
  <si>
    <t>C / I10</t>
  </si>
  <si>
    <t>C / I9</t>
  </si>
  <si>
    <t>K146</t>
  </si>
  <si>
    <t>240 VAC Supply Relay</t>
  </si>
  <si>
    <t>VAC01</t>
  </si>
  <si>
    <t>C / I8</t>
  </si>
  <si>
    <t>C / I7</t>
  </si>
  <si>
    <t>BR4-2150-E-00099</t>
  </si>
  <si>
    <t>BAF131PP01</t>
  </si>
  <si>
    <t>BBD131PP01</t>
  </si>
  <si>
    <t>BR4-2150-E-00075</t>
  </si>
  <si>
    <t>BCV131PP03</t>
  </si>
  <si>
    <t>BR4-2150-E-00073</t>
  </si>
  <si>
    <t>BCV131PP02</t>
  </si>
  <si>
    <t>83</t>
  </si>
  <si>
    <t>BMXXEM010</t>
  </si>
  <si>
    <t>32</t>
  </si>
  <si>
    <t xml:space="preserve">BR4-2150-E-00114 </t>
  </si>
  <si>
    <t>BSR132DB01</t>
  </si>
  <si>
    <t>Lighting Control Relay</t>
  </si>
  <si>
    <t>28</t>
  </si>
  <si>
    <t>Drives interposing relay to bring in 3rd cap bank during conveyor starting</t>
  </si>
  <si>
    <t>Capacitor Bank Start Relay</t>
  </si>
  <si>
    <t>BSR132CAP0x</t>
  </si>
  <si>
    <t>24</t>
  </si>
  <si>
    <t>20</t>
  </si>
  <si>
    <t>16</t>
  </si>
  <si>
    <t>12</t>
  </si>
  <si>
    <t>8</t>
  </si>
  <si>
    <t>BR4-2150-E-00053</t>
  </si>
  <si>
    <t>VVVF STO Reset</t>
  </si>
  <si>
    <t>RST01</t>
  </si>
  <si>
    <t>BR4-2150-E-00050</t>
  </si>
  <si>
    <t>4</t>
  </si>
  <si>
    <t>BR4-2150-E-00105</t>
  </si>
  <si>
    <t>BAF131HT01</t>
  </si>
  <si>
    <t>F10</t>
  </si>
  <si>
    <t>BR4-2150-E-00047</t>
  </si>
  <si>
    <t>BMXDDO1602</t>
  </si>
  <si>
    <t>BMXFTB2010</t>
  </si>
  <si>
    <t>DIO1</t>
  </si>
  <si>
    <t>64</t>
  </si>
  <si>
    <t>60</t>
  </si>
  <si>
    <t>56</t>
  </si>
  <si>
    <t>BCV131CVS01PN01</t>
  </si>
  <si>
    <t>K91</t>
  </si>
  <si>
    <t>Safety Circuit Relay</t>
  </si>
  <si>
    <t>52</t>
  </si>
  <si>
    <t>SS</t>
  </si>
  <si>
    <t xml:space="preserve">Remote </t>
  </si>
  <si>
    <t>240VAC Supply Three Posn Switch Mode</t>
  </si>
  <si>
    <t>Local</t>
  </si>
  <si>
    <t>48</t>
  </si>
  <si>
    <t>BCV131BVS01PN01</t>
  </si>
  <si>
    <t>44</t>
  </si>
  <si>
    <t>40</t>
  </si>
  <si>
    <t>BCV131AVS01PN01</t>
  </si>
  <si>
    <t>36</t>
  </si>
  <si>
    <t>missing</t>
  </si>
  <si>
    <t>BBN131LS0x</t>
  </si>
  <si>
    <t>K232</t>
  </si>
  <si>
    <t>Safety SLC02 Circuit</t>
  </si>
  <si>
    <t>SLC02SY01</t>
  </si>
  <si>
    <t>K132</t>
  </si>
  <si>
    <t>Safety SLC01 Circuit</t>
  </si>
  <si>
    <t>SLC01SY01</t>
  </si>
  <si>
    <t>BCV131CGB01</t>
  </si>
  <si>
    <t>K485-1</t>
  </si>
  <si>
    <t>Safety Interlock Relay (K485-1)</t>
  </si>
  <si>
    <t>BCV131BGB01</t>
  </si>
  <si>
    <t>K470-1</t>
  </si>
  <si>
    <t>Safety Interlock Relay (K470-1)</t>
  </si>
  <si>
    <t>BCV131AGB01</t>
  </si>
  <si>
    <t>K455-1</t>
  </si>
  <si>
    <t>Safety Interlock Relay (K455-1)</t>
  </si>
  <si>
    <t>Safety Interlock Relay (K435-1)</t>
  </si>
  <si>
    <t>BAF131CFN02</t>
  </si>
  <si>
    <t>Safety Interlock Relay (K420-1)</t>
  </si>
  <si>
    <t>BAF131BFN02</t>
  </si>
  <si>
    <t>Safety Interlock Relay (K405-1)</t>
  </si>
  <si>
    <t>BAF131AFN02</t>
  </si>
  <si>
    <t>Safety Interlock Relay (K355-1)</t>
  </si>
  <si>
    <t>F9</t>
  </si>
  <si>
    <t>BMXDDI3202K</t>
  </si>
  <si>
    <t>BMXFCW303</t>
  </si>
  <si>
    <t>Q155</t>
  </si>
  <si>
    <t>24VDC Control Supply</t>
  </si>
  <si>
    <t>VDC01</t>
  </si>
  <si>
    <t>BR4-2150-E-00693</t>
  </si>
  <si>
    <t>2.1\0.8:27</t>
  </si>
  <si>
    <t>Trip</t>
  </si>
  <si>
    <t>Load Cell Overload</t>
  </si>
  <si>
    <t>2.1\0.8:26</t>
  </si>
  <si>
    <t xml:space="preserve">Load Cell 2 </t>
  </si>
  <si>
    <t>BCV131WN01WE02</t>
  </si>
  <si>
    <t>2.1\0.8:25</t>
  </si>
  <si>
    <t>Load Cell 2</t>
  </si>
  <si>
    <t>2.1\0.8:24</t>
  </si>
  <si>
    <t xml:space="preserve">Load Cell 1 </t>
  </si>
  <si>
    <t>BCV131WN01WE01</t>
  </si>
  <si>
    <t>2.1\0.8:23</t>
  </si>
  <si>
    <t>BR4-2150-E-00122</t>
  </si>
  <si>
    <t>BSR132DB04</t>
  </si>
  <si>
    <t>Main Circuit Breaker</t>
  </si>
  <si>
    <t>BCV131CVS01-C1
2 PAIR</t>
  </si>
  <si>
    <t>BR4-2150-E-00102</t>
  </si>
  <si>
    <t>BCV131BVS01-C1
2 PAIR</t>
  </si>
  <si>
    <t>BR4-2150-E-00101</t>
  </si>
  <si>
    <t>BCV131AVS01-C1
2 PAIR</t>
  </si>
  <si>
    <t>BR4-2150-E-00100</t>
  </si>
  <si>
    <t>BPP2105EM01-C1
4 PAIR - CHANGED TO 2 PAIR</t>
  </si>
  <si>
    <t>LOS01</t>
  </si>
  <si>
    <t>BPP2104EM01-C1
4 PAIR - CHANGED TO 2 PAIR</t>
  </si>
  <si>
    <t>BDU131CP01PN01-C1
2 PAIR</t>
  </si>
  <si>
    <t>BR4-2150-E-00107</t>
  </si>
  <si>
    <t>BDU131CP01</t>
  </si>
  <si>
    <t>F8</t>
  </si>
  <si>
    <t>BR4-2150-E-00124</t>
  </si>
  <si>
    <t>Q281</t>
  </si>
  <si>
    <t>VDC12</t>
  </si>
  <si>
    <t>Q278</t>
  </si>
  <si>
    <t>BPP2105VS01 24VDC Control Supply</t>
  </si>
  <si>
    <t>VDC11</t>
  </si>
  <si>
    <t>Q275</t>
  </si>
  <si>
    <t>BPP2104VS01 24VDC Control Supply</t>
  </si>
  <si>
    <t>VDC10</t>
  </si>
  <si>
    <t>Q272</t>
  </si>
  <si>
    <t>Safety PLC Circuit 2</t>
  </si>
  <si>
    <t>VDC09</t>
  </si>
  <si>
    <t>Q269</t>
  </si>
  <si>
    <t>Safety PLC Circuit 1</t>
  </si>
  <si>
    <t>VDC08</t>
  </si>
  <si>
    <t>Q266</t>
  </si>
  <si>
    <t>Misc Substation Alarms 24VDC Control Supply</t>
  </si>
  <si>
    <t>VDC07</t>
  </si>
  <si>
    <t>Q263</t>
  </si>
  <si>
    <t>BSR132UP01DB01 24VDC Control Supply</t>
  </si>
  <si>
    <t>VDC06</t>
  </si>
  <si>
    <t>BSR132UP01DB01</t>
  </si>
  <si>
    <t>Q260</t>
  </si>
  <si>
    <t>BSR132BC02 24VDC Control Supply</t>
  </si>
  <si>
    <t>VDC05</t>
  </si>
  <si>
    <t>BSR132BC02</t>
  </si>
  <si>
    <t>Q257</t>
  </si>
  <si>
    <t>BSR132BC01 24VDC Control Supply</t>
  </si>
  <si>
    <t>VDC04</t>
  </si>
  <si>
    <t>BSR132BC01</t>
  </si>
  <si>
    <t>Q254</t>
  </si>
  <si>
    <t>BSR132UP01 24VDC Control Supply</t>
  </si>
  <si>
    <t>VDC03</t>
  </si>
  <si>
    <t>BSR132UP01</t>
  </si>
  <si>
    <t>BR4-2150-E-00123</t>
  </si>
  <si>
    <t>Q181</t>
  </si>
  <si>
    <t>DX01 24VDC DIO1 Output Module Control Supply</t>
  </si>
  <si>
    <t>VDC02</t>
  </si>
  <si>
    <t>F7</t>
  </si>
  <si>
    <t>Q110</t>
  </si>
  <si>
    <t>DX01 24VDC Control Supply Healthy</t>
  </si>
  <si>
    <t>-IS1</t>
  </si>
  <si>
    <t xml:space="preserve">240VAC Supply Three Posn Switch Motor Isolator </t>
  </si>
  <si>
    <t>VAC02</t>
  </si>
  <si>
    <t>F5</t>
  </si>
  <si>
    <t xml:space="preserve">240VAC Control Supply </t>
  </si>
  <si>
    <t>Q290</t>
  </si>
  <si>
    <t>Q287</t>
  </si>
  <si>
    <t>Q284</t>
  </si>
  <si>
    <t>BPQE2106DB01-C1
2 PAIR</t>
  </si>
  <si>
    <t>BR4-2150-E-00082</t>
  </si>
  <si>
    <t>BPQE2106DB01</t>
  </si>
  <si>
    <t>BPQE2106PN01-C1
2 PAIR</t>
  </si>
  <si>
    <t>BR4-2150-E-00081</t>
  </si>
  <si>
    <t>BPQE2106PN01</t>
  </si>
  <si>
    <t>BSR132DB03-C1
2 PAIR</t>
  </si>
  <si>
    <t>BR4-2150-E-00080</t>
  </si>
  <si>
    <t>BSR132DB03</t>
  </si>
  <si>
    <t>BSR132DB02-C1
2 PAIR</t>
  </si>
  <si>
    <t>BR4-2150-E-00079</t>
  </si>
  <si>
    <t>BSR132DB02</t>
  </si>
  <si>
    <t>BSR132DB01-C1
2 PAIR</t>
  </si>
  <si>
    <t>BR4-2150-E-00072</t>
  </si>
  <si>
    <t>F6</t>
  </si>
  <si>
    <t>BAF131HP01HT01-C1
2 PAIR</t>
  </si>
  <si>
    <t>Auxilary Contactor</t>
  </si>
  <si>
    <t>BCV131WN01PN01-C1
2 PAIR</t>
  </si>
  <si>
    <t>BR4-2150-E-00089</t>
  </si>
  <si>
    <t>BCV131WN01PN01</t>
  </si>
  <si>
    <t>BSR132AC05-C1
2 PAIR</t>
  </si>
  <si>
    <t>BR4-2150-E-00070</t>
  </si>
  <si>
    <t>Spare2</t>
  </si>
  <si>
    <t>BSR132AC04-C1
2 PAIR</t>
  </si>
  <si>
    <t>BR4-2150-E-00069</t>
  </si>
  <si>
    <t>Spare1</t>
  </si>
  <si>
    <t>BSR132AC03-C1
2 PAIR</t>
  </si>
  <si>
    <t>BR4-2150-E-00068</t>
  </si>
  <si>
    <t>BSR132AC03</t>
  </si>
  <si>
    <t>BSR132AC02-C1
2 PAIR</t>
  </si>
  <si>
    <t>BR4-2150-E-00067</t>
  </si>
  <si>
    <t>BSR132AC02</t>
  </si>
  <si>
    <t>BSR132AC01-C1
2 PAIR</t>
  </si>
  <si>
    <t>BR4-2150-E-00066</t>
  </si>
  <si>
    <t>BSR132AC01</t>
  </si>
  <si>
    <t>BSR132UP01SW01-C1
2 PAIR</t>
  </si>
  <si>
    <t>BR4-2150-E-00071</t>
  </si>
  <si>
    <t>BSR132UP01SW01</t>
  </si>
  <si>
    <t>BSR132BC02-C1
2 PAIR</t>
  </si>
  <si>
    <t>BR4-2150-E-00065</t>
  </si>
  <si>
    <t>BSR132BC01-C1
2 PAIR</t>
  </si>
  <si>
    <t>BR4-2150-E-00064</t>
  </si>
  <si>
    <t>all via comms</t>
  </si>
  <si>
    <t>BMC1322INC03-C1 10 PAIR, ONLY NEED 6 PAIR MAKE 8 PAIR</t>
  </si>
  <si>
    <t>BR4-2150-E-00088</t>
  </si>
  <si>
    <t>Q215</t>
  </si>
  <si>
    <t>BMC1322INC03 110/24VDC Power Supply</t>
  </si>
  <si>
    <t>CB07</t>
  </si>
  <si>
    <t>Q258</t>
  </si>
  <si>
    <t>BMC1322INC03 Arc Flash Expansion Module 24VDC Supply</t>
  </si>
  <si>
    <t>CB06</t>
  </si>
  <si>
    <t>Q256</t>
  </si>
  <si>
    <t>BMC1322INC03 24VDC Cubicle Bus Supply</t>
  </si>
  <si>
    <t>CB05</t>
  </si>
  <si>
    <t>Q220</t>
  </si>
  <si>
    <t>BMC1322INC03 Trip Supply</t>
  </si>
  <si>
    <t>Q212</t>
  </si>
  <si>
    <t>BMC1322INC03 Spring Charge Supply</t>
  </si>
  <si>
    <t>F110</t>
  </si>
  <si>
    <t>BMC1322INC03 Arc Flash</t>
  </si>
  <si>
    <t>Q267</t>
  </si>
  <si>
    <t>BMC1322INC03 24VDC Control Supply</t>
  </si>
  <si>
    <t>BMC1322INC02-C1 8 PAIR, ONLY NEED 5 PAIR MAKE 8 PAIR</t>
  </si>
  <si>
    <t>BR4-2150-E-00086</t>
  </si>
  <si>
    <t>BMC1322 Essential Bus 110/24VDC Power Supply</t>
  </si>
  <si>
    <t>BMC1322 Essential Bus Surge Protection</t>
  </si>
  <si>
    <t>BMC1322 Essential Bus 24VDC Cubicle Bus Supply</t>
  </si>
  <si>
    <t>BMC1322 Essential Bus Trip Supply</t>
  </si>
  <si>
    <t>BMC1322 Essential Bus Spring Charge Supply</t>
  </si>
  <si>
    <t>BMC1322 Essential Bus 24VDC Control Supply</t>
  </si>
  <si>
    <t>BMC1322INC01-C1 12 PAIR, ONLY NEED 9 PAIR, MAKE 10 PAIR</t>
  </si>
  <si>
    <t xml:space="preserve"> BR4-2150-E-00084</t>
  </si>
  <si>
    <t>K294</t>
  </si>
  <si>
    <t>Active</t>
  </si>
  <si>
    <t>BMC1322INC01 Upstream Intertrip</t>
  </si>
  <si>
    <t>BMC1322INC01 110/24VDC Power Supply</t>
  </si>
  <si>
    <t>BMC1322INC01 Surge Protection</t>
  </si>
  <si>
    <t>BMC1322INC01 24VDC Cubicle Bus Supply</t>
  </si>
  <si>
    <t>BMC1322INC01 Trip Supply</t>
  </si>
  <si>
    <t>BMC1322INC01 Spring Charge Supply</t>
  </si>
  <si>
    <t>F113</t>
  </si>
  <si>
    <t>BMC1322INC01 Arc Flash Relay Self Supervision</t>
  </si>
  <si>
    <t>BMC1322INC01 Arc Flash</t>
  </si>
  <si>
    <t>Q204</t>
  </si>
  <si>
    <t xml:space="preserve">BMC1322INC01 Arc Flash Supply </t>
  </si>
  <si>
    <t>F4</t>
  </si>
  <si>
    <t>BMC1322INC01 24VDC Control Supply</t>
  </si>
  <si>
    <t>BR4-2150-E-00120</t>
  </si>
  <si>
    <t>BSR132PN01</t>
  </si>
  <si>
    <t>HV VSD Room Temperature Alarm</t>
  </si>
  <si>
    <t>TS03</t>
  </si>
  <si>
    <t>Air Conditioner 14 - Fixed Plant Room</t>
  </si>
  <si>
    <t>Air Conditioner 13 - Fixed Plant Room</t>
  </si>
  <si>
    <t>Air Conditioner 12 - Fixed Plant Room</t>
  </si>
  <si>
    <t>Air Conditioner 11 - Fixed Plant Room</t>
  </si>
  <si>
    <t>Air Conditioner 10 - Fixed Plant Room</t>
  </si>
  <si>
    <t>based on Robs list of HVAC panels email 20260410</t>
  </si>
  <si>
    <t>Air Conditioner 9 - Fixed Plant Room</t>
  </si>
  <si>
    <t xml:space="preserve">BSR132FIP01-C1 - Make 6 PAIR </t>
  </si>
  <si>
    <t xml:space="preserve"> BR4-2150-E-00120 </t>
  </si>
  <si>
    <t>BSR132FIP01</t>
  </si>
  <si>
    <t>Discharged</t>
  </si>
  <si>
    <t>Substation Gas</t>
  </si>
  <si>
    <t>NO CABLE? ONLY A 30 PAIR?</t>
  </si>
  <si>
    <t>SD106</t>
  </si>
  <si>
    <t>BSR132UP01DB01 Surge Protection</t>
  </si>
  <si>
    <t>BSR132DB01-C1</t>
  </si>
  <si>
    <t>BSR132DB01 Surge Protection</t>
  </si>
  <si>
    <t>NO CABLE, BSR132PN01-C2 CREATED 10 PAIR</t>
  </si>
  <si>
    <t>Air Conditioner 8 - Airlock</t>
  </si>
  <si>
    <t>Air Conditioner 7 - Airlock</t>
  </si>
  <si>
    <t>Air Conditioner 3 - HV VSD Room</t>
  </si>
  <si>
    <t>Air Conditioner 2 - HV VSD Room</t>
  </si>
  <si>
    <t>Air Conditioner 1 - HV VSD Room</t>
  </si>
  <si>
    <t>Blocked</t>
  </si>
  <si>
    <t>Air Conditioner Filter</t>
  </si>
  <si>
    <t>Air Conditioner</t>
  </si>
  <si>
    <t>Alarm</t>
  </si>
  <si>
    <t>Switchroom Pressurisation Fan Filter</t>
  </si>
  <si>
    <t>PS01</t>
  </si>
  <si>
    <t>Fixed Plant Room Temperature</t>
  </si>
  <si>
    <t>Airlock Temperature</t>
  </si>
  <si>
    <t>Fire Panel Alarm</t>
  </si>
  <si>
    <t>Fire Panel Isolator</t>
  </si>
  <si>
    <t>Fire Panel</t>
  </si>
  <si>
    <t>BSR132NEP02-C6 4 PAIR</t>
  </si>
  <si>
    <t>BSR132NEP01</t>
  </si>
  <si>
    <t>Q180</t>
  </si>
  <si>
    <t>BSR132NEP01 Secondary PDU Circuit Breaker</t>
  </si>
  <si>
    <t>Q130</t>
  </si>
  <si>
    <t>BSR132NEP01 Primary PDU Circuit Breaker</t>
  </si>
  <si>
    <t>INTERNAL WIRING</t>
  </si>
  <si>
    <t>U103B</t>
  </si>
  <si>
    <t>24VDC Power Supply 2</t>
  </si>
  <si>
    <t>U103A</t>
  </si>
  <si>
    <t xml:space="preserve">24VDC Power Supply 1 </t>
  </si>
  <si>
    <t>F3</t>
  </si>
  <si>
    <t>NO CABLE, BSR132PB01-C1 CREATED 1 PAIR</t>
  </si>
  <si>
    <t>Shutdown Pushbutton</t>
  </si>
  <si>
    <t>PB01</t>
  </si>
  <si>
    <t>BR4-2150-E-00119</t>
  </si>
  <si>
    <t>B10</t>
  </si>
  <si>
    <t>W10</t>
  </si>
  <si>
    <t>R10</t>
  </si>
  <si>
    <t>BSR132UP01DB01-C2</t>
  </si>
  <si>
    <t xml:space="preserve">BCV131CVS01 240VAC UPS Circuit Breaker </t>
  </si>
  <si>
    <t>B9</t>
  </si>
  <si>
    <t xml:space="preserve">BCV131BVS01 240VAC UPS Circuit Breaker </t>
  </si>
  <si>
    <t>W9</t>
  </si>
  <si>
    <t xml:space="preserve">BCV131AVS01 240VAC UPS Circuit Breaker </t>
  </si>
  <si>
    <t>R9</t>
  </si>
  <si>
    <t>B8</t>
  </si>
  <si>
    <t xml:space="preserve">BCV131 AX04-AX18 240VAC UPS Circuit Breaker </t>
  </si>
  <si>
    <t>W8</t>
  </si>
  <si>
    <t xml:space="preserve">BCV131 DX08/AX03-AX17 240VAC UPS Circuit Breaker </t>
  </si>
  <si>
    <t>R8</t>
  </si>
  <si>
    <t>B7</t>
  </si>
  <si>
    <t>BCV131FIS02 240VAC UPS Circuit Breaker</t>
  </si>
  <si>
    <t>W7</t>
  </si>
  <si>
    <t>BCV131FIS01 240VAC UPS Circuit Breaker</t>
  </si>
  <si>
    <t>R7</t>
  </si>
  <si>
    <t xml:space="preserve">BCV131AX02/DX07 240VAC UPS Circuit Breaker </t>
  </si>
  <si>
    <t>B6</t>
  </si>
  <si>
    <t xml:space="preserve">BCV131AX01/DX06 240VAC UPS Circuit Breaker </t>
  </si>
  <si>
    <t>W6</t>
  </si>
  <si>
    <t xml:space="preserve">BBD131DX05 240VAC UPS Circuit Breaker </t>
  </si>
  <si>
    <t>R6</t>
  </si>
  <si>
    <t xml:space="preserve">BCV131WN01 240VAC UPS Circuit Breaker </t>
  </si>
  <si>
    <t>B5</t>
  </si>
  <si>
    <t xml:space="preserve">BBD131CTV01 240VAC UPS Circuit Breaker </t>
  </si>
  <si>
    <t>W5</t>
  </si>
  <si>
    <t xml:space="preserve">BSR132FSS01PN01 Supression Control Panel Breaker </t>
  </si>
  <si>
    <t>R5</t>
  </si>
  <si>
    <t xml:space="preserve">BBD131DX04 240VAC UPS Circuit Breaker </t>
  </si>
  <si>
    <t>B4</t>
  </si>
  <si>
    <t xml:space="preserve">BBD131DX03 240VAC UPS Circuit Breaker </t>
  </si>
  <si>
    <t>W4</t>
  </si>
  <si>
    <t xml:space="preserve">BSR132ACS01 Cardax 240VAC UPS Circuit Breaker </t>
  </si>
  <si>
    <t>R4</t>
  </si>
  <si>
    <t xml:space="preserve">BSR132VES01 Vesda Fire Detection Panel Breaker </t>
  </si>
  <si>
    <t>B3</t>
  </si>
  <si>
    <t xml:space="preserve">BSR132FIP01 Fire Panel 240VAC UPS Circuit Breaker </t>
  </si>
  <si>
    <t>W3</t>
  </si>
  <si>
    <t xml:space="preserve">BSR132RIS01 FIC 240VAC UPS Circuit Breaker </t>
  </si>
  <si>
    <t>R3</t>
  </si>
  <si>
    <t xml:space="preserve">BSR132PN01 HVAC Panel 240VAC UPS Circuit Breaker </t>
  </si>
  <si>
    <t>B2</t>
  </si>
  <si>
    <t>W2</t>
  </si>
  <si>
    <t xml:space="preserve">BSR132NEP01 240VAC Secondary UPS Circuit Breaker </t>
  </si>
  <si>
    <t>R2</t>
  </si>
  <si>
    <t xml:space="preserve">BSR132NEP01 240VAC Primary UPS Circuit Breaker </t>
  </si>
  <si>
    <t>B1</t>
  </si>
  <si>
    <t xml:space="preserve">BSR132DX01 Secondary 240VAC UPS Circuit Breaker </t>
  </si>
  <si>
    <t>W1</t>
  </si>
  <si>
    <t xml:space="preserve">BSR132DX01 Primary 240VAC UPS Circuit Breaker </t>
  </si>
  <si>
    <t>R1</t>
  </si>
  <si>
    <t>F2</t>
  </si>
  <si>
    <t>BSR132UP01SW01-C2, UPDATED TO 4 PR, SCHEMATIC TO BE CREATED</t>
  </si>
  <si>
    <t>BR4-2150-E-00121</t>
  </si>
  <si>
    <t>UPS in Normal Mode</t>
  </si>
  <si>
    <t>ZS01</t>
  </si>
  <si>
    <t>UPS Bypassed / Test</t>
  </si>
  <si>
    <t>BSR132UP01SD01-C1</t>
  </si>
  <si>
    <t>Surge Filter</t>
  </si>
  <si>
    <t>BSR132BC02-C2</t>
  </si>
  <si>
    <t>BR4-2150-E-00063</t>
  </si>
  <si>
    <t xml:space="preserve">Spare </t>
  </si>
  <si>
    <t>CB12</t>
  </si>
  <si>
    <t>CB11</t>
  </si>
  <si>
    <t>Q138</t>
  </si>
  <si>
    <r>
      <t>BSR132RSP0</t>
    </r>
    <r>
      <rPr>
        <b/>
        <sz val="10"/>
        <color rgb="FF00B0F0"/>
        <rFont val="Arial"/>
        <family val="2"/>
      </rPr>
      <t xml:space="preserve">3 </t>
    </r>
    <r>
      <rPr>
        <sz val="10"/>
        <rFont val="Arial"/>
        <family val="2"/>
      </rPr>
      <t>110VDC Supply Circuit Breaker</t>
    </r>
  </si>
  <si>
    <t>CB10</t>
  </si>
  <si>
    <t>Q135</t>
  </si>
  <si>
    <t>BSR132RSP01 110VDC Supply Circuit Breaker</t>
  </si>
  <si>
    <t>CB09</t>
  </si>
  <si>
    <t>Q132</t>
  </si>
  <si>
    <t>BMC1321FDR03 110VDC FDR03 Tripping Supply Circuit Breaker</t>
  </si>
  <si>
    <t>CB08</t>
  </si>
  <si>
    <t>Q129</t>
  </si>
  <si>
    <t>BMC1321FDR02 110VDC FDR02 Tripping Supply Circuit Breaker</t>
  </si>
  <si>
    <t>Q126</t>
  </si>
  <si>
    <t>BMC1321FDR01 110VDC FDR01 Tripping Supply Circuit Breaker</t>
  </si>
  <si>
    <t>Q123</t>
  </si>
  <si>
    <t>BMC1321INC01 110VDC INC01 Tripping Supply Circuit Breaker</t>
  </si>
  <si>
    <t>Q120</t>
  </si>
  <si>
    <t>BMC1322INC03 110VDC INC03 Tripping Supply Circuit Breaker</t>
  </si>
  <si>
    <t>Q117</t>
  </si>
  <si>
    <t>BMC1322INC02 110VDC INC02 Tripping Supply Circuit Breaker</t>
  </si>
  <si>
    <t>Q114</t>
  </si>
  <si>
    <t>BMC1322INC01 110VDC INC01 Tripping Supply Circuit Breaker</t>
  </si>
  <si>
    <t>F1</t>
  </si>
  <si>
    <t>K112</t>
  </si>
  <si>
    <t>Battery Charger 110VDC Tripping Supply</t>
  </si>
  <si>
    <t>BMECRA31210</t>
  </si>
  <si>
    <t>Comms</t>
  </si>
  <si>
    <t>% spare</t>
  </si>
  <si>
    <t>spare</t>
  </si>
  <si>
    <t>total</t>
  </si>
  <si>
    <t>BMXCPS4022</t>
  </si>
  <si>
    <t xml:space="preserve">Power </t>
  </si>
  <si>
    <t>BMEXBP1200</t>
  </si>
  <si>
    <t>Chassis</t>
  </si>
  <si>
    <t>EIO node 1</t>
  </si>
  <si>
    <t>BMC1322</t>
  </si>
  <si>
    <t>Media Conv</t>
  </si>
  <si>
    <t>Spare - X</t>
  </si>
  <si>
    <t>Spare - E&amp;X</t>
  </si>
  <si>
    <t>I/O</t>
  </si>
  <si>
    <t>BMENOC0301</t>
  </si>
  <si>
    <t>HMI Comms</t>
  </si>
  <si>
    <t>N/C CAT6</t>
  </si>
  <si>
    <t>PLC Comms</t>
  </si>
  <si>
    <t>BMXRMS004GPF</t>
  </si>
  <si>
    <t>MEM</t>
  </si>
  <si>
    <t>0A</t>
  </si>
  <si>
    <t>BPL132</t>
  </si>
  <si>
    <t>BMEP586040</t>
  </si>
  <si>
    <t>CPU</t>
  </si>
  <si>
    <t>DIO0</t>
  </si>
  <si>
    <t>BSR130DX01</t>
  </si>
  <si>
    <t>Alm_CUSTOM8</t>
  </si>
  <si>
    <t>Alm_CUSTOM7</t>
  </si>
  <si>
    <t>Alm_CUSTOM6</t>
  </si>
  <si>
    <t>Alm_CUSTOM5</t>
  </si>
  <si>
    <t>Alm_CUSTOM4</t>
  </si>
  <si>
    <t>Alm_CUSTOM3</t>
  </si>
  <si>
    <t>Alm_CUSTOM2</t>
  </si>
  <si>
    <t>Alm_CUSTOM1</t>
  </si>
  <si>
    <t>Alm_CATEGORY</t>
  </si>
  <si>
    <t>Alm_HELP</t>
  </si>
  <si>
    <t>Alm_PRIV</t>
  </si>
  <si>
    <t>Alm_AREA</t>
  </si>
  <si>
    <t>T4</t>
  </si>
  <si>
    <t>T3</t>
  </si>
  <si>
    <t>T2</t>
  </si>
  <si>
    <t>T1</t>
  </si>
  <si>
    <t>TS</t>
  </si>
  <si>
    <t>Format</t>
  </si>
  <si>
    <t>Eng_Full</t>
  </si>
  <si>
    <t>Eng_Zero</t>
  </si>
  <si>
    <t>Raw_Full</t>
  </si>
  <si>
    <t>Raw_Zero</t>
  </si>
  <si>
    <t>SAT</t>
  </si>
  <si>
    <t>FAT</t>
  </si>
  <si>
    <t>Notes</t>
  </si>
  <si>
    <t>Rev</t>
  </si>
  <si>
    <t>Drawing</t>
  </si>
  <si>
    <t>Address</t>
  </si>
  <si>
    <t>Datatype</t>
  </si>
  <si>
    <t>Drive</t>
  </si>
  <si>
    <t>Location</t>
  </si>
  <si>
    <t>State</t>
  </si>
  <si>
    <t>Desc2</t>
  </si>
  <si>
    <t>Instrument List Description</t>
  </si>
  <si>
    <t>Device</t>
  </si>
  <si>
    <t>Instrument Tag</t>
  </si>
  <si>
    <t>CPP</t>
  </si>
  <si>
    <t>IO Type</t>
  </si>
  <si>
    <t>Node Type</t>
  </si>
  <si>
    <t>Terminal</t>
  </si>
  <si>
    <t>Ch</t>
  </si>
  <si>
    <t>Slot</t>
  </si>
  <si>
    <t>Rack</t>
  </si>
  <si>
    <t>Drop</t>
  </si>
  <si>
    <t>Bus</t>
  </si>
  <si>
    <t>PLC</t>
  </si>
  <si>
    <t>Node</t>
  </si>
  <si>
    <t>Box</t>
  </si>
  <si>
    <t>Item</t>
  </si>
  <si>
    <t>DX12</t>
  </si>
  <si>
    <t>S</t>
  </si>
  <si>
    <t>HSCI</t>
  </si>
  <si>
    <t>BR4-2150-E-00162</t>
  </si>
  <si>
    <t>Distance Pulse</t>
  </si>
  <si>
    <t>OVERLAND CONVEYOR</t>
  </si>
  <si>
    <t>ZQ01</t>
  </si>
  <si>
    <t>BCV131ZQ01</t>
  </si>
  <si>
    <t>Underspeed Pulse</t>
  </si>
  <si>
    <t>SS01</t>
  </si>
  <si>
    <t>BCV131SS01</t>
  </si>
  <si>
    <t>BMXEHC0800</t>
  </si>
  <si>
    <t>AI</t>
  </si>
  <si>
    <t>BR4-2150-E-00163</t>
  </si>
  <si>
    <t>BCV131 Dust Suppression</t>
  </si>
  <si>
    <t>BCV131 DUST SUPPRESSION</t>
  </si>
  <si>
    <t>FT02</t>
  </si>
  <si>
    <t>BCV131FIT02</t>
  </si>
  <si>
    <t>#.# EU</t>
  </si>
  <si>
    <t>REAL</t>
  </si>
  <si>
    <t>BTN130</t>
  </si>
  <si>
    <t>L/s</t>
  </si>
  <si>
    <t>Transfer Tower</t>
  </si>
  <si>
    <t>TRANSFER TOWER</t>
  </si>
  <si>
    <t>FT01</t>
  </si>
  <si>
    <t>BTN130FIT01</t>
  </si>
  <si>
    <t>BMEAHI0812</t>
  </si>
  <si>
    <t>BMXFTW301S</t>
  </si>
  <si>
    <t>Dump Solenoid</t>
  </si>
  <si>
    <t>Release Solenoid</t>
  </si>
  <si>
    <t>BCV131 Dust Spray - Tail End</t>
  </si>
  <si>
    <t>SV07</t>
  </si>
  <si>
    <t>BCV131SV07</t>
  </si>
  <si>
    <t xml:space="preserve">Removed - as per discussion with Steve, Remsafe wired directly so not required on IO list. </t>
  </si>
  <si>
    <t>BCV131BK02</t>
  </si>
  <si>
    <t>Dump</t>
  </si>
  <si>
    <t>BCV131 Tail Brake 2</t>
  </si>
  <si>
    <t>BCV131 TAIL BRAKE 2</t>
  </si>
  <si>
    <t>SV03</t>
  </si>
  <si>
    <t>BCV131BK02SV03</t>
  </si>
  <si>
    <t>SV01</t>
  </si>
  <si>
    <t>BCV131BK02SV01</t>
  </si>
  <si>
    <t>D</t>
  </si>
  <si>
    <t>BR4-2110-F-00005</t>
  </si>
  <si>
    <t>BCV131BK01</t>
  </si>
  <si>
    <t>BCV131 Tail Brake 1</t>
  </si>
  <si>
    <t>BCV131 TAIL BRAKE 1</t>
  </si>
  <si>
    <t>BCV131BK01SV03</t>
  </si>
  <si>
    <t>BCV131BK01SV01</t>
  </si>
  <si>
    <t>BCV131 Dust Suppression Flow Totaliser Pulse</t>
  </si>
  <si>
    <t>FQ02</t>
  </si>
  <si>
    <t>Transfer Tower Flow Totaliser Pulse</t>
  </si>
  <si>
    <t>FQ01</t>
  </si>
  <si>
    <t>Worn</t>
  </si>
  <si>
    <t>LHS Position Switch</t>
  </si>
  <si>
    <t>BCV131 TAIL BRAKE 2 CALIPER 2</t>
  </si>
  <si>
    <t>ZS04B</t>
  </si>
  <si>
    <t>BCV131BK02ZS04B</t>
  </si>
  <si>
    <t>Lifted</t>
  </si>
  <si>
    <t>ZS04A</t>
  </si>
  <si>
    <t>BCV131BK02ZS04A</t>
  </si>
  <si>
    <t>RHS Position Switch</t>
  </si>
  <si>
    <t>ZS03B</t>
  </si>
  <si>
    <t>BCV131BK02ZS03B</t>
  </si>
  <si>
    <t>ZS03A</t>
  </si>
  <si>
    <t>BCV131BK02ZS03A</t>
  </si>
  <si>
    <t>BCV131 TAIL BRAKE 2 CALIPER 1</t>
  </si>
  <si>
    <t>ZS02B</t>
  </si>
  <si>
    <t>BCV131BK02ZS02B</t>
  </si>
  <si>
    <t>ZS02A</t>
  </si>
  <si>
    <t>BCV131BK02ZS02A</t>
  </si>
  <si>
    <t>BCV131 TAIL BRAKE 1 CALIPER 2</t>
  </si>
  <si>
    <t>BCV131BK01ZS04B</t>
  </si>
  <si>
    <t>BCV131BK01ZS04A</t>
  </si>
  <si>
    <t>BCV131BK01ZS03B</t>
  </si>
  <si>
    <t>BCV131BK01ZS03A</t>
  </si>
  <si>
    <t>BCV131 TAIL BRAKE 1 CALIPER 1</t>
  </si>
  <si>
    <t>BCV131BK01ZS02B</t>
  </si>
  <si>
    <t>BCV131BK01ZS02A</t>
  </si>
  <si>
    <t xml:space="preserve">BCV131 Tail Brake Stop Pushbutton </t>
  </si>
  <si>
    <t>BCV131 TAIL BRAKE</t>
  </si>
  <si>
    <t>STP01</t>
  </si>
  <si>
    <t>BCV131BK02LCS01</t>
  </si>
  <si>
    <t>BCV131 Tail Brake Start Pushbutton</t>
  </si>
  <si>
    <t>STT01</t>
  </si>
  <si>
    <t>BCV131BK02UI01</t>
  </si>
  <si>
    <t>BCV131 Tail Brake 2 Temperature Switch</t>
  </si>
  <si>
    <t>BCV131 Tail Brake 2 Oil Level</t>
  </si>
  <si>
    <t>LS01</t>
  </si>
  <si>
    <t xml:space="preserve"> BR4-2150-E-00162</t>
  </si>
  <si>
    <t>BCV131 Tail Brake Pressure Switch</t>
  </si>
  <si>
    <t>PS02</t>
  </si>
  <si>
    <t>BCV131BK02PS02</t>
  </si>
  <si>
    <t>BCV131BK02PS01</t>
  </si>
  <si>
    <t>ZS01B</t>
  </si>
  <si>
    <t>BCV131BK02ZS02</t>
  </si>
  <si>
    <t>ZS01A</t>
  </si>
  <si>
    <t>BCV131BK02ZS01</t>
  </si>
  <si>
    <t>BCV131BK01LCS01</t>
  </si>
  <si>
    <t>BCV131BK01UI01</t>
  </si>
  <si>
    <t>BCV131 Tail Brake 1 Temperature Switch</t>
  </si>
  <si>
    <t>BCV131 Tail Brake 1 Oil Level</t>
  </si>
  <si>
    <t>BCV131 Tail Brake Pressure Switch 2</t>
  </si>
  <si>
    <t>BCV131BK01PS02</t>
  </si>
  <si>
    <t xml:space="preserve">BCV131 Tail Brake Pressure Switch 1 </t>
  </si>
  <si>
    <t>BCV131BK01PS01</t>
  </si>
  <si>
    <t>BCV131BK01ZS01B</t>
  </si>
  <si>
    <t>BCV131BK01ZS01A</t>
  </si>
  <si>
    <t>Local Stop Pushbutton - Overland Conveyor</t>
  </si>
  <si>
    <t>BCV131LCS04</t>
  </si>
  <si>
    <t>Local Start Pushbutton - Overland Conveyor</t>
  </si>
  <si>
    <t>Rip Detector Switch 3</t>
  </si>
  <si>
    <t>String</t>
  </si>
  <si>
    <t>BRS03</t>
  </si>
  <si>
    <t>BCV131BRS03</t>
  </si>
  <si>
    <t>Rip Detector Switch 2</t>
  </si>
  <si>
    <t>Pan</t>
  </si>
  <si>
    <t>BRS02</t>
  </si>
  <si>
    <t>BCV131BRS02</t>
  </si>
  <si>
    <t xml:space="preserve">Rip Detector Switch 1 </t>
  </si>
  <si>
    <t>BRS01</t>
  </si>
  <si>
    <t>BCV131BRS01</t>
  </si>
  <si>
    <t>Belt Drift Switch 22</t>
  </si>
  <si>
    <t>BDS22</t>
  </si>
  <si>
    <t>BCV131BDS22</t>
  </si>
  <si>
    <t>Belt Drift Switch 21</t>
  </si>
  <si>
    <t>BDS21</t>
  </si>
  <si>
    <t>BCV131BDS21</t>
  </si>
  <si>
    <t>Belt Drift Switch 20</t>
  </si>
  <si>
    <t>BDS20</t>
  </si>
  <si>
    <t>BCV131BDS20</t>
  </si>
  <si>
    <t>Belt Drift Switch 19</t>
  </si>
  <si>
    <t>BDS19</t>
  </si>
  <si>
    <t>BCV131BDS19</t>
  </si>
  <si>
    <t>BR4-2150-E-00161</t>
  </si>
  <si>
    <t>BCV131DX12</t>
  </si>
  <si>
    <t>Q196</t>
  </si>
  <si>
    <t>24VDC Spare Control Supply</t>
  </si>
  <si>
    <t>Q192</t>
  </si>
  <si>
    <t>Q188</t>
  </si>
  <si>
    <t>Q184</t>
  </si>
  <si>
    <t>24VDC BCV131BK02 Control Supply</t>
  </si>
  <si>
    <t>Q176</t>
  </si>
  <si>
    <t>24VDC BCV131BK01 Control Supply</t>
  </si>
  <si>
    <t>Q172</t>
  </si>
  <si>
    <t>24VDC BCV131DX12 Control Supply</t>
  </si>
  <si>
    <t>Q168</t>
  </si>
  <si>
    <t>24VDC Transmitter Supply</t>
  </si>
  <si>
    <t>Q164</t>
  </si>
  <si>
    <t>24VDC Instrument Supply</t>
  </si>
  <si>
    <t>Q157</t>
  </si>
  <si>
    <t>24VDC GW1 Control Supply</t>
  </si>
  <si>
    <t>Q143</t>
  </si>
  <si>
    <t>24VDC DIO1 Output Control Supply</t>
  </si>
  <si>
    <t>Q106</t>
  </si>
  <si>
    <t>240VAC Circuit Breaker - Spare</t>
  </si>
  <si>
    <t>I/O1</t>
  </si>
  <si>
    <t>EIO node #12</t>
  </si>
  <si>
    <t>BCV131DX12 - BCV131 - Tail End</t>
  </si>
  <si>
    <t>BR4-2150-E-00200</t>
  </si>
  <si>
    <t>Q4</t>
  </si>
  <si>
    <t>Q3</t>
  </si>
  <si>
    <t>Q2</t>
  </si>
  <si>
    <t>Q1</t>
  </si>
  <si>
    <t>Lock Off Stop 2 ChB</t>
  </si>
  <si>
    <t>I6</t>
  </si>
  <si>
    <t>Lock Off Stop 2 ChA</t>
  </si>
  <si>
    <t>I5</t>
  </si>
  <si>
    <t>Lock Off Stop 4 ChB</t>
  </si>
  <si>
    <t>LOS04B</t>
  </si>
  <si>
    <t>Lock Off Stop 4 ChA</t>
  </si>
  <si>
    <t>LOS04A</t>
  </si>
  <si>
    <t>Start Up Warning (Siren)</t>
  </si>
  <si>
    <t>YA68</t>
  </si>
  <si>
    <t>BCV131YA68</t>
  </si>
  <si>
    <t>YA67</t>
  </si>
  <si>
    <t>BCV131YA67</t>
  </si>
  <si>
    <t>Start Up Warning (Beacon)</t>
  </si>
  <si>
    <t>YL67</t>
  </si>
  <si>
    <t>Pullwire Switch 74 ChB</t>
  </si>
  <si>
    <t>PWS74B</t>
  </si>
  <si>
    <t>BCV131PWS74</t>
  </si>
  <si>
    <t>Pullwire Switch 74 ChA</t>
  </si>
  <si>
    <t>PWS74A</t>
  </si>
  <si>
    <t>Pullwire Switch 73 ChB</t>
  </si>
  <si>
    <t>PWS73B</t>
  </si>
  <si>
    <t>BCV131PWS73</t>
  </si>
  <si>
    <t>Pullwire Switch 73 ChA</t>
  </si>
  <si>
    <t>PWS73A</t>
  </si>
  <si>
    <t>Pullwire Switch 72 ChB</t>
  </si>
  <si>
    <t>PWS72B</t>
  </si>
  <si>
    <t>BCV131PWS72</t>
  </si>
  <si>
    <t>Pullwire Switch 72 ChA</t>
  </si>
  <si>
    <t>PWS72A</t>
  </si>
  <si>
    <t>Pullwire Switch 71 ChB</t>
  </si>
  <si>
    <t>PWS71B</t>
  </si>
  <si>
    <t>BCV131PWS71</t>
  </si>
  <si>
    <t>Pullwire Switch 71 ChA</t>
  </si>
  <si>
    <t>PWS71A</t>
  </si>
  <si>
    <t>Type 7</t>
  </si>
  <si>
    <t>AX34</t>
  </si>
  <si>
    <t>BCV131AX34 - BCV131 - 121m</t>
  </si>
  <si>
    <t>BR4-2150-E-00199</t>
  </si>
  <si>
    <t>YA66</t>
  </si>
  <si>
    <t>BCV131YA66</t>
  </si>
  <si>
    <t>YA65</t>
  </si>
  <si>
    <t>BCV131YA65</t>
  </si>
  <si>
    <t>YL65</t>
  </si>
  <si>
    <t>XTIO-Q</t>
  </si>
  <si>
    <t>Pullwire Switch 70 ChB</t>
  </si>
  <si>
    <t>PWS70B</t>
  </si>
  <si>
    <t>BCV131PWS70</t>
  </si>
  <si>
    <t>Pullwire Switch 70 ChA</t>
  </si>
  <si>
    <t>PWS70A</t>
  </si>
  <si>
    <t>Pullwire Switch 69 ChB</t>
  </si>
  <si>
    <t>PWS69B</t>
  </si>
  <si>
    <t>BCV131PWS69</t>
  </si>
  <si>
    <t>Pullwire Switch 69 ChA</t>
  </si>
  <si>
    <t>PWS69A</t>
  </si>
  <si>
    <t>Type 4</t>
  </si>
  <si>
    <t>AX33</t>
  </si>
  <si>
    <t>BCV131AX33 - BCV131 - 364m</t>
  </si>
  <si>
    <t>BR4-2150-E-00198</t>
  </si>
  <si>
    <t>YA64</t>
  </si>
  <si>
    <t>BCV131YA64</t>
  </si>
  <si>
    <t>YA63</t>
  </si>
  <si>
    <t>BCV131YA63</t>
  </si>
  <si>
    <t>YL63</t>
  </si>
  <si>
    <t>Pullwire Switch 68 ChB</t>
  </si>
  <si>
    <t>PWS68B</t>
  </si>
  <si>
    <t>BCV131PWS68</t>
  </si>
  <si>
    <t>Pullwire Switch 68 ChA</t>
  </si>
  <si>
    <t>PWS68A</t>
  </si>
  <si>
    <t>Pullwire Switch 67 ChB</t>
  </si>
  <si>
    <t>PWS67B</t>
  </si>
  <si>
    <t>BCV131PWS67</t>
  </si>
  <si>
    <t>Pullwire Switch 67 ChA</t>
  </si>
  <si>
    <t>PWS67A</t>
  </si>
  <si>
    <t>AX32</t>
  </si>
  <si>
    <t>BCV131AX32 - BCV131 - 607m</t>
  </si>
  <si>
    <t>BR4-2150-E-00197</t>
  </si>
  <si>
    <t>YA62</t>
  </si>
  <si>
    <t>BCV131YA62</t>
  </si>
  <si>
    <t>YA61</t>
  </si>
  <si>
    <t>BCV131YA61</t>
  </si>
  <si>
    <t>YL61</t>
  </si>
  <si>
    <t>Pullwire Switch 66 ChB</t>
  </si>
  <si>
    <t>PWS66B</t>
  </si>
  <si>
    <t>BCV131PWS66</t>
  </si>
  <si>
    <t>Pullwire Switch 66 ChA</t>
  </si>
  <si>
    <t>PWS66A</t>
  </si>
  <si>
    <t>Pullwire Switch 65 ChB</t>
  </si>
  <si>
    <t>PWS65B</t>
  </si>
  <si>
    <t>BCV131PWS65</t>
  </si>
  <si>
    <t>Pullwire Switch 65 ChA</t>
  </si>
  <si>
    <t>PWS65A</t>
  </si>
  <si>
    <t>AX31</t>
  </si>
  <si>
    <t>BCV131AX31 - BCV131 - 850m</t>
  </si>
  <si>
    <t>BR4-2150-E-00196</t>
  </si>
  <si>
    <t>YA60</t>
  </si>
  <si>
    <t>BCV131YA60</t>
  </si>
  <si>
    <t>YA59</t>
  </si>
  <si>
    <t>BCV131YA59</t>
  </si>
  <si>
    <t>YL59</t>
  </si>
  <si>
    <t>Pullwire Switch 64 ChB</t>
  </si>
  <si>
    <t>PWS64B</t>
  </si>
  <si>
    <t>BCV131PWS64</t>
  </si>
  <si>
    <t>Pullwire Switch 64 ChA</t>
  </si>
  <si>
    <t>PWS64A</t>
  </si>
  <si>
    <t>Pullwire Switch 63 ChB</t>
  </si>
  <si>
    <t>PWS63B</t>
  </si>
  <si>
    <t>BCV131PWS63</t>
  </si>
  <si>
    <t>Pullwire Switch 63 ChA</t>
  </si>
  <si>
    <t>PWS63A</t>
  </si>
  <si>
    <t>AX30</t>
  </si>
  <si>
    <t>BCV131AX30 - BCV131 - 1093m</t>
  </si>
  <si>
    <t>BR4-2150-E-00195</t>
  </si>
  <si>
    <t>YA58</t>
  </si>
  <si>
    <t>BCV131YA58</t>
  </si>
  <si>
    <t>YA57</t>
  </si>
  <si>
    <t>BCV131YA57</t>
  </si>
  <si>
    <t>YL57</t>
  </si>
  <si>
    <t>Pullwire Switch 62 ChB</t>
  </si>
  <si>
    <t>PWS62B</t>
  </si>
  <si>
    <t>BCV131PWS62</t>
  </si>
  <si>
    <t>Pullwire Switch 62 ChA</t>
  </si>
  <si>
    <t>PWS62A</t>
  </si>
  <si>
    <t>Pullwire Switch 61 ChB</t>
  </si>
  <si>
    <t>PWS61B</t>
  </si>
  <si>
    <t>BCV131PWS61</t>
  </si>
  <si>
    <t>Pullwire Switch 61 ChA</t>
  </si>
  <si>
    <t>PWS61A</t>
  </si>
  <si>
    <t>AX29</t>
  </si>
  <si>
    <t>BCV131AX29 - BCV131 - 1336m</t>
  </si>
  <si>
    <t>Earth</t>
  </si>
  <si>
    <t>DX11</t>
  </si>
  <si>
    <t>BR4-2150-E-00160</t>
  </si>
  <si>
    <t>Belt Drift Switch 18</t>
  </si>
  <si>
    <t>BDS18</t>
  </si>
  <si>
    <t>BCV131BDS18</t>
  </si>
  <si>
    <t>Belt Drift Switch 17</t>
  </si>
  <si>
    <t>BDS17</t>
  </si>
  <si>
    <t>BCV131BDS17</t>
  </si>
  <si>
    <t>Belt Drift Switch 16</t>
  </si>
  <si>
    <t>BDS16</t>
  </si>
  <si>
    <t>BCV131BDS16</t>
  </si>
  <si>
    <t>Belt Drift Switch 15</t>
  </si>
  <si>
    <t>BDS15</t>
  </si>
  <si>
    <t>BCV131BDS15</t>
  </si>
  <si>
    <t>BR4-2150-E-00159</t>
  </si>
  <si>
    <t>BCV131DX11</t>
  </si>
  <si>
    <t>24VDC BCV131DX11 PLC Control Supply</t>
  </si>
  <si>
    <t>BMXCPS2010</t>
  </si>
  <si>
    <t>BMEXBP0400</t>
  </si>
  <si>
    <t>EIO node #11</t>
  </si>
  <si>
    <t>BCV131DX11 - BCV131 - Prior to Horizontal Curve</t>
  </si>
  <si>
    <t>BR4-2150-E-00194</t>
  </si>
  <si>
    <t>YA56</t>
  </si>
  <si>
    <t>BCV131YA56</t>
  </si>
  <si>
    <t>YA55</t>
  </si>
  <si>
    <t>BCV131YA55</t>
  </si>
  <si>
    <t>YL55</t>
  </si>
  <si>
    <t>Pullwire Switch 60 ChB</t>
  </si>
  <si>
    <t>PWS60B</t>
  </si>
  <si>
    <t>BCV131PWS60</t>
  </si>
  <si>
    <t>Pullwire Switch 60 ChA</t>
  </si>
  <si>
    <t>PWS60A</t>
  </si>
  <si>
    <t>Pullwire Switch 59 ChB</t>
  </si>
  <si>
    <t>PWS59B</t>
  </si>
  <si>
    <t>BCV131PWS59</t>
  </si>
  <si>
    <t>Pullwire Switch 59 ChA</t>
  </si>
  <si>
    <t>PWS59A</t>
  </si>
  <si>
    <t>AX28</t>
  </si>
  <si>
    <t>BCV131AX28 - BCV131 - 1579m</t>
  </si>
  <si>
    <t>BR4-2150-E-00193</t>
  </si>
  <si>
    <t>YA54</t>
  </si>
  <si>
    <t>BCV131YA54</t>
  </si>
  <si>
    <t>YA53</t>
  </si>
  <si>
    <t>BCV131YA53</t>
  </si>
  <si>
    <t>YL53</t>
  </si>
  <si>
    <t>Pullwire Switch 58 ChB</t>
  </si>
  <si>
    <t>PWS58B</t>
  </si>
  <si>
    <t>BCV131PWS58</t>
  </si>
  <si>
    <t>Pullwire Switch 58 ChA</t>
  </si>
  <si>
    <t>PWS58A</t>
  </si>
  <si>
    <t>Pullwire Switch 57 ChB</t>
  </si>
  <si>
    <t>PWS57B</t>
  </si>
  <si>
    <t>BCV131PWS57</t>
  </si>
  <si>
    <t>Pullwire Switch 57 ChA</t>
  </si>
  <si>
    <t>PWS57A</t>
  </si>
  <si>
    <t>AX27</t>
  </si>
  <si>
    <t>BCV131AX27 - BCV131 - 1822m</t>
  </si>
  <si>
    <t>DX10</t>
  </si>
  <si>
    <t>BR4-2150-E-00158</t>
  </si>
  <si>
    <t>Belt Drift Switch 14</t>
  </si>
  <si>
    <t>BDS14</t>
  </si>
  <si>
    <t>BCV131BDS14</t>
  </si>
  <si>
    <t>Belt Drift Switch 13</t>
  </si>
  <si>
    <t>BDS13</t>
  </si>
  <si>
    <t>BCV131BDS13</t>
  </si>
  <si>
    <t>Belt Drift Switch 12</t>
  </si>
  <si>
    <t>BDS12</t>
  </si>
  <si>
    <t>BCV131BDS12</t>
  </si>
  <si>
    <t>Belt Drift Switch 11</t>
  </si>
  <si>
    <t>BDS11</t>
  </si>
  <si>
    <t>BCV131BDS11</t>
  </si>
  <si>
    <t>BR4-2150-E-00157</t>
  </si>
  <si>
    <t>BCV131DX10</t>
  </si>
  <si>
    <t>24VDC BCV131DX10 PLC Control Supply</t>
  </si>
  <si>
    <t>EIO node #10</t>
  </si>
  <si>
    <t>BCV131DX10 - BCV131 - Along Horizontal Curve</t>
  </si>
  <si>
    <t>BR4-2150-E-00192</t>
  </si>
  <si>
    <t>YA52</t>
  </si>
  <si>
    <t>BCV131YA52</t>
  </si>
  <si>
    <t>YA51</t>
  </si>
  <si>
    <t>BCV131YA51</t>
  </si>
  <si>
    <t>YL51</t>
  </si>
  <si>
    <t>Pullwire Switch 56 ChB</t>
  </si>
  <si>
    <t>PWS56B</t>
  </si>
  <si>
    <t>BCV131PWS56</t>
  </si>
  <si>
    <t>Pullwire Switch 56 ChA</t>
  </si>
  <si>
    <t>PWS56A</t>
  </si>
  <si>
    <t>Pullwire Switch 55 ChB</t>
  </si>
  <si>
    <t>PWS55B</t>
  </si>
  <si>
    <t>BCV131PWS55</t>
  </si>
  <si>
    <t>Pullwire Switch 55 ChA</t>
  </si>
  <si>
    <t>PWS55A</t>
  </si>
  <si>
    <t>AX26</t>
  </si>
  <si>
    <t>BCV131AX26 - BCV131 - 2065m</t>
  </si>
  <si>
    <t>BR4-2150-E-00191</t>
  </si>
  <si>
    <t>YA50</t>
  </si>
  <si>
    <t>BCV131YA50</t>
  </si>
  <si>
    <t>YA49</t>
  </si>
  <si>
    <t>BCV131YA49</t>
  </si>
  <si>
    <t>YL49</t>
  </si>
  <si>
    <t>Pullwire Switch 54 ChB</t>
  </si>
  <si>
    <t>PWS54B</t>
  </si>
  <si>
    <t>BCV131PWS54</t>
  </si>
  <si>
    <t>Pullwire Switch 54 ChA</t>
  </si>
  <si>
    <t>PWS54A</t>
  </si>
  <si>
    <t>Pullwire Switch 53 ChB</t>
  </si>
  <si>
    <t>PWS53B</t>
  </si>
  <si>
    <t>BCV131PWS53</t>
  </si>
  <si>
    <t>Pullwire Switch 53 ChA</t>
  </si>
  <si>
    <t>PWS53A</t>
  </si>
  <si>
    <t>AX25</t>
  </si>
  <si>
    <t>BCV131AX25 - BCV131 - 2308m</t>
  </si>
  <si>
    <t>BR4-2150-E-00190</t>
  </si>
  <si>
    <t>YA48</t>
  </si>
  <si>
    <t>BCV131YA48</t>
  </si>
  <si>
    <t>YA47</t>
  </si>
  <si>
    <t>BCV131YA47</t>
  </si>
  <si>
    <t>YL47</t>
  </si>
  <si>
    <t>Pullwire Switch 52 ChB</t>
  </si>
  <si>
    <t>PWS52B</t>
  </si>
  <si>
    <t>BCV131PWS52</t>
  </si>
  <si>
    <t>Pullwire Switch 52 ChA</t>
  </si>
  <si>
    <t>PWS52A</t>
  </si>
  <si>
    <t>Pullwire Switch 51 ChB</t>
  </si>
  <si>
    <t>PWS51B</t>
  </si>
  <si>
    <t>BCV131PWS51</t>
  </si>
  <si>
    <t>Pullwire Switch 51 ChA</t>
  </si>
  <si>
    <t>PWS51A</t>
  </si>
  <si>
    <t>AX24</t>
  </si>
  <si>
    <t>BCV131AX24 - BCV131 - 2551m</t>
  </si>
  <si>
    <t>DX09</t>
  </si>
  <si>
    <t>BR4-2150-E-00156</t>
  </si>
  <si>
    <t>Belt Drift Switch 10</t>
  </si>
  <si>
    <t>BDS10</t>
  </si>
  <si>
    <t>BCV131BDS10</t>
  </si>
  <si>
    <t>Belt Drift Switch 9</t>
  </si>
  <si>
    <t>BDS09</t>
  </si>
  <si>
    <t>BCV131BDS09</t>
  </si>
  <si>
    <t>Belt Drift Switch 8</t>
  </si>
  <si>
    <t>BDS08</t>
  </si>
  <si>
    <t>BCV131BDS08</t>
  </si>
  <si>
    <t>Belt Drift Switch 7</t>
  </si>
  <si>
    <t>BDS07</t>
  </si>
  <si>
    <t>BCV131BDS07</t>
  </si>
  <si>
    <t>BR4-2150-E-00155</t>
  </si>
  <si>
    <t>BCV131DX09</t>
  </si>
  <si>
    <t>24VDC PLC Inputs Control Supply</t>
  </si>
  <si>
    <t>EIO node #9</t>
  </si>
  <si>
    <t>BCV131DX09 - BCV131 - After Horizontal Curve</t>
  </si>
  <si>
    <t>BR4-2150-E-00189</t>
  </si>
  <si>
    <t>YA46</t>
  </si>
  <si>
    <t>BCV131YA46</t>
  </si>
  <si>
    <t>YA45</t>
  </si>
  <si>
    <t>BCV131YA45</t>
  </si>
  <si>
    <t>YL45</t>
  </si>
  <si>
    <t>Pullwire Switch 50 ChB</t>
  </si>
  <si>
    <t>PWS50B</t>
  </si>
  <si>
    <t>BCV131PWS50</t>
  </si>
  <si>
    <t>Pullwire Switch 50 ChA</t>
  </si>
  <si>
    <t>PWS50A</t>
  </si>
  <si>
    <t>Pullwire Switch 49 ChB</t>
  </si>
  <si>
    <t>PWS49B</t>
  </si>
  <si>
    <t>BCV131PWS49</t>
  </si>
  <si>
    <t>Pullwire Switch 49 ChA</t>
  </si>
  <si>
    <t>PWS49A</t>
  </si>
  <si>
    <t>AX23</t>
  </si>
  <si>
    <t>BCV131AX23 - BCV131 - 2794m</t>
  </si>
  <si>
    <t>BR4-2150-E-00188</t>
  </si>
  <si>
    <t>YA44</t>
  </si>
  <si>
    <t>BCV131YA44</t>
  </si>
  <si>
    <t>YA43</t>
  </si>
  <si>
    <t>BCV131YA43</t>
  </si>
  <si>
    <t>YL43</t>
  </si>
  <si>
    <t>Pullwire Switch 48 ChB</t>
  </si>
  <si>
    <t>PWS48B</t>
  </si>
  <si>
    <t>BCV131PWS48</t>
  </si>
  <si>
    <t>Pullwire Switch 48 ChA</t>
  </si>
  <si>
    <t>PWS48A</t>
  </si>
  <si>
    <t>Pullwire Switch 47 ChB</t>
  </si>
  <si>
    <t>PWS47B</t>
  </si>
  <si>
    <t>BCV131PWS47</t>
  </si>
  <si>
    <t>Pullwire Switch 47 ChA</t>
  </si>
  <si>
    <t>PWS47A</t>
  </si>
  <si>
    <t>AX20</t>
  </si>
  <si>
    <t>BCV131AX22 - BCV131 - 3037m</t>
  </si>
  <si>
    <t>BR4-2150-E-00187</t>
  </si>
  <si>
    <t>YA42</t>
  </si>
  <si>
    <t>BCV131YA42</t>
  </si>
  <si>
    <t>YA41</t>
  </si>
  <si>
    <t>BCV131YA41</t>
  </si>
  <si>
    <t>YL41</t>
  </si>
  <si>
    <t>Pullwire Switch 46 ChB</t>
  </si>
  <si>
    <t>PWS46B</t>
  </si>
  <si>
    <t>BCV131PWS46</t>
  </si>
  <si>
    <t>Pullwire Switch 46 ChA</t>
  </si>
  <si>
    <t>PWS46A</t>
  </si>
  <si>
    <t>Pullwire Switch 45 ChB</t>
  </si>
  <si>
    <t>PWS45B</t>
  </si>
  <si>
    <t>BCV131PWS45</t>
  </si>
  <si>
    <t>Pullwire Switch 45 ChA</t>
  </si>
  <si>
    <t>PWS45A</t>
  </si>
  <si>
    <t>AX19</t>
  </si>
  <si>
    <t>BCV131AX21 - BCV131 - 3280m</t>
  </si>
  <si>
    <t>BR4-2150-E-00186</t>
  </si>
  <si>
    <t>YA40</t>
  </si>
  <si>
    <t>BCV131YA40</t>
  </si>
  <si>
    <t>YA39</t>
  </si>
  <si>
    <t>BCV131YA39</t>
  </si>
  <si>
    <t>YL39</t>
  </si>
  <si>
    <t>Pullwire Switch 44 ChB</t>
  </si>
  <si>
    <t>PWS44B</t>
  </si>
  <si>
    <t>BCV131PWS44</t>
  </si>
  <si>
    <t>Pullwire Switch 44 ChA</t>
  </si>
  <si>
    <t>PWS44A</t>
  </si>
  <si>
    <t>Pullwire Switch 43 ChB</t>
  </si>
  <si>
    <t>PWS43B</t>
  </si>
  <si>
    <t>BCV131PWS43</t>
  </si>
  <si>
    <t>Pullwire Switch 43 ChA</t>
  </si>
  <si>
    <t>PWS43A</t>
  </si>
  <si>
    <t>BCV131AX20 - BCV131 - 3523m</t>
  </si>
  <si>
    <t>BR4-2150-E-00185</t>
  </si>
  <si>
    <t>YA38</t>
  </si>
  <si>
    <t>BCV131YA38</t>
  </si>
  <si>
    <t>YA37</t>
  </si>
  <si>
    <t>BCV131YA37</t>
  </si>
  <si>
    <t>YL37</t>
  </si>
  <si>
    <t>Pullwire Switch 42 ChB</t>
  </si>
  <si>
    <t>PWS42B</t>
  </si>
  <si>
    <t>BCV131PWS42</t>
  </si>
  <si>
    <t>Pullwire Switch 42 ChA</t>
  </si>
  <si>
    <t>PWS42A</t>
  </si>
  <si>
    <t>Pullwire Switch 41 ChB</t>
  </si>
  <si>
    <t>PWS41B</t>
  </si>
  <si>
    <t>BCV131PWS41</t>
  </si>
  <si>
    <t>Pullwire Switch 41 ChA</t>
  </si>
  <si>
    <t>PWS41A</t>
  </si>
  <si>
    <t>BCV131AX19 - BCV131 - 3766m</t>
  </si>
  <si>
    <t>BR4-2150-E-00184</t>
  </si>
  <si>
    <t>YA36</t>
  </si>
  <si>
    <t>BCV131YA36</t>
  </si>
  <si>
    <t>YA35</t>
  </si>
  <si>
    <t>BCV131YA35</t>
  </si>
  <si>
    <t>YL35</t>
  </si>
  <si>
    <t>Pullwire Switch 40 ChB</t>
  </si>
  <si>
    <t>PWS40B</t>
  </si>
  <si>
    <t>BCV131PWS40</t>
  </si>
  <si>
    <t>Pullwire Switch 40 ChA</t>
  </si>
  <si>
    <t>PWS40A</t>
  </si>
  <si>
    <t>Pullwire Switch 39 ChB</t>
  </si>
  <si>
    <t>PWS39B</t>
  </si>
  <si>
    <t>BCV131PWS39</t>
  </si>
  <si>
    <t>Pullwire Switch 39 ChA</t>
  </si>
  <si>
    <t>PWS39A</t>
  </si>
  <si>
    <t>AX18</t>
  </si>
  <si>
    <t>BCV131AX18 - BCV131 - 4009m</t>
  </si>
  <si>
    <t>BR4-2150-E-00183</t>
  </si>
  <si>
    <t>YA34</t>
  </si>
  <si>
    <t>BCV131YA34</t>
  </si>
  <si>
    <t>YA33</t>
  </si>
  <si>
    <t>BCV131YA33</t>
  </si>
  <si>
    <t>YL33</t>
  </si>
  <si>
    <t>Pullwire Switch 38 ChB</t>
  </si>
  <si>
    <t>PWS38B</t>
  </si>
  <si>
    <t>BCV131PWS38</t>
  </si>
  <si>
    <t>Pullwire Switch 38 ChA</t>
  </si>
  <si>
    <t>PWS38A</t>
  </si>
  <si>
    <t>Pullwire Switch 37 ChB</t>
  </si>
  <si>
    <t>PWS37B</t>
  </si>
  <si>
    <t>BCV131PWS37</t>
  </si>
  <si>
    <t>Pullwire Switch 37 ChA</t>
  </si>
  <si>
    <t>PWS37A</t>
  </si>
  <si>
    <t>AX17</t>
  </si>
  <si>
    <t>BCV131AX17 - BCV131 - 4252m</t>
  </si>
  <si>
    <t>BR4-2150-E-00182</t>
  </si>
  <si>
    <t>YA32</t>
  </si>
  <si>
    <t>BCV131YA32</t>
  </si>
  <si>
    <t>YA31</t>
  </si>
  <si>
    <t>BCV131YA31</t>
  </si>
  <si>
    <t>YL31</t>
  </si>
  <si>
    <t>Pullwire Switch 36 ChB</t>
  </si>
  <si>
    <t>PWS36B</t>
  </si>
  <si>
    <t>BCV131PWS36</t>
  </si>
  <si>
    <t>Pullwire Switch 36 ChA</t>
  </si>
  <si>
    <t>PWS36A</t>
  </si>
  <si>
    <t>Pullwire Switch 35 ChB</t>
  </si>
  <si>
    <t>PWS35B</t>
  </si>
  <si>
    <t>BCV131PWS35</t>
  </si>
  <si>
    <t>Pullwire Switch 35 ChA</t>
  </si>
  <si>
    <t>PWS35A</t>
  </si>
  <si>
    <t>AX16</t>
  </si>
  <si>
    <t>BCV131AX16 - BCV131 - 4495m</t>
  </si>
  <si>
    <t>BR4-2150-E-00181</t>
  </si>
  <si>
    <t>YA30</t>
  </si>
  <si>
    <t>BCV131YA30</t>
  </si>
  <si>
    <t>YA29</t>
  </si>
  <si>
    <t>BCV131YA29</t>
  </si>
  <si>
    <t>YL29</t>
  </si>
  <si>
    <t>Pullwire Switch 34 ChB</t>
  </si>
  <si>
    <t>PWS34B</t>
  </si>
  <si>
    <t>BCV131PWS34</t>
  </si>
  <si>
    <t>Pullwire Switch 34 ChA</t>
  </si>
  <si>
    <t>PWS34A</t>
  </si>
  <si>
    <t>Pullwire Switch 33 ChB</t>
  </si>
  <si>
    <t>PWS33B</t>
  </si>
  <si>
    <t>BCV131PWS33</t>
  </si>
  <si>
    <t>Pullwire Switch 33 ChA</t>
  </si>
  <si>
    <t>PWS33A</t>
  </si>
  <si>
    <t>AX15</t>
  </si>
  <si>
    <t>BCV131AX15 - BCV131 - 4738m</t>
  </si>
  <si>
    <t>BR4-2150-E-00180</t>
  </si>
  <si>
    <t>YA28</t>
  </si>
  <si>
    <t>BCV131YA28</t>
  </si>
  <si>
    <t>YA27</t>
  </si>
  <si>
    <t>BCV131YA27</t>
  </si>
  <si>
    <t>YL27</t>
  </si>
  <si>
    <t>Pullwire Switch 32 ChB</t>
  </si>
  <si>
    <t>PWS32B</t>
  </si>
  <si>
    <t>BCV131PWS32</t>
  </si>
  <si>
    <t>Pullwire Switch 32 ChA</t>
  </si>
  <si>
    <t>PWS32A</t>
  </si>
  <si>
    <t>Pullwire Switch 31 ChB</t>
  </si>
  <si>
    <t>PWS31B</t>
  </si>
  <si>
    <t>BCV131PWS31</t>
  </si>
  <si>
    <t>Pullwire Switch 31 ChA</t>
  </si>
  <si>
    <t>PWS31A</t>
  </si>
  <si>
    <t>AX14</t>
  </si>
  <si>
    <t>BCV131AX14 - BCV131 - 4981m</t>
  </si>
  <si>
    <t>BR4-2150-E-00179</t>
  </si>
  <si>
    <t>YA26</t>
  </si>
  <si>
    <t>BCV131YA26</t>
  </si>
  <si>
    <t>YA25</t>
  </si>
  <si>
    <t>BCV131YA25</t>
  </si>
  <si>
    <t>YL25</t>
  </si>
  <si>
    <t>Pullwire Switch 30 ChB</t>
  </si>
  <si>
    <t>PWS30B</t>
  </si>
  <si>
    <t>BCV131PWS30</t>
  </si>
  <si>
    <t>Pullwire Switch 30 ChA</t>
  </si>
  <si>
    <t>PWS30A</t>
  </si>
  <si>
    <t>Pullwire Switch 29 ChB</t>
  </si>
  <si>
    <t>PWS29B</t>
  </si>
  <si>
    <t>BCV131PWS29</t>
  </si>
  <si>
    <t>Pullwire Switch 29 ChA</t>
  </si>
  <si>
    <t>PWS29A</t>
  </si>
  <si>
    <t>AX13</t>
  </si>
  <si>
    <t>BCV131AX13 - BCV131 - 5224m</t>
  </si>
  <si>
    <t>BR4-2150-E-00178</t>
  </si>
  <si>
    <t>YA24</t>
  </si>
  <si>
    <t>BCV131YA24</t>
  </si>
  <si>
    <t>YA23</t>
  </si>
  <si>
    <t>BCV131YA23</t>
  </si>
  <si>
    <t>YL23</t>
  </si>
  <si>
    <t>Pullwire Switch 28 ChB</t>
  </si>
  <si>
    <t>PWS28B</t>
  </si>
  <si>
    <t>BCV131PWS28</t>
  </si>
  <si>
    <t>Pullwire Switch 28 ChA</t>
  </si>
  <si>
    <t>PWS28A</t>
  </si>
  <si>
    <t>Pullwire Switch 27 ChB</t>
  </si>
  <si>
    <t>PWS27B</t>
  </si>
  <si>
    <t>BCV131PWS27</t>
  </si>
  <si>
    <t>Pullwire Switch 27 ChA</t>
  </si>
  <si>
    <t>PWS27A</t>
  </si>
  <si>
    <t>AX12</t>
  </si>
  <si>
    <t>BCV131AX12 - BCV131 - 5467m</t>
  </si>
  <si>
    <t>BR4-2150-E-00177</t>
  </si>
  <si>
    <t>YA22</t>
  </si>
  <si>
    <t>BCV131YA22</t>
  </si>
  <si>
    <t>YA21</t>
  </si>
  <si>
    <t>BCV131YA21</t>
  </si>
  <si>
    <t>YL21</t>
  </si>
  <si>
    <t>Pullwire Switch 26 ChB</t>
  </si>
  <si>
    <t>PWS26B</t>
  </si>
  <si>
    <t>BCV131PWS26</t>
  </si>
  <si>
    <t>Pullwire Switch 26 ChA</t>
  </si>
  <si>
    <t>PWS26A</t>
  </si>
  <si>
    <t>Pullwire Switch 25 ChB</t>
  </si>
  <si>
    <t>PWS25B</t>
  </si>
  <si>
    <t>BCV131PWS25</t>
  </si>
  <si>
    <t>Pullwire Switch 25 ChA</t>
  </si>
  <si>
    <t>PWS25A</t>
  </si>
  <si>
    <t>AX11</t>
  </si>
  <si>
    <t>BCV131AX11 - BCV131 - 5710m</t>
  </si>
  <si>
    <t>BR4-2150-E-00176</t>
  </si>
  <si>
    <t>YA20</t>
  </si>
  <si>
    <t>BCV131YA20</t>
  </si>
  <si>
    <t>YA19</t>
  </si>
  <si>
    <t>BCV131YA19</t>
  </si>
  <si>
    <t>YL19</t>
  </si>
  <si>
    <t>Pullwire Switch 24 ChB</t>
  </si>
  <si>
    <t>PWS24B</t>
  </si>
  <si>
    <t>BCV131PWS24</t>
  </si>
  <si>
    <t>Pullwire Switch 24 ChA</t>
  </si>
  <si>
    <t>PWS24A</t>
  </si>
  <si>
    <t>Pullwire Switch 23 ChB</t>
  </si>
  <si>
    <t>PWS23B</t>
  </si>
  <si>
    <t>BCV131PWS23</t>
  </si>
  <si>
    <t>Pullwire Switch 23 ChA</t>
  </si>
  <si>
    <t>PWS23A</t>
  </si>
  <si>
    <t>AX10</t>
  </si>
  <si>
    <t>BCV131AX10 - BCV131 - 5953m</t>
  </si>
  <si>
    <t>BR4-2150-E-00175</t>
  </si>
  <si>
    <t>YA18</t>
  </si>
  <si>
    <t>BCV131YA18</t>
  </si>
  <si>
    <t>YA17</t>
  </si>
  <si>
    <t>BCV131YA17</t>
  </si>
  <si>
    <t>YL17</t>
  </si>
  <si>
    <t>Pullwire Switch 22 ChB</t>
  </si>
  <si>
    <t>PWS22B</t>
  </si>
  <si>
    <t>BCV131PWS22</t>
  </si>
  <si>
    <t>Pullwire Switch 22 ChA</t>
  </si>
  <si>
    <t>PWS22A</t>
  </si>
  <si>
    <t>Pullwire Switch 21 ChB</t>
  </si>
  <si>
    <t>PWS21B</t>
  </si>
  <si>
    <t>BCV131PWS21</t>
  </si>
  <si>
    <t>Pullwire Switch 21 ChA</t>
  </si>
  <si>
    <t>PWS21A</t>
  </si>
  <si>
    <t>AX09</t>
  </si>
  <si>
    <t>BCV131AX09 - BCV131 - 6143m</t>
  </si>
  <si>
    <t>BR4-2150-E-00174</t>
  </si>
  <si>
    <t>YA16</t>
  </si>
  <si>
    <t>BCV131YA16</t>
  </si>
  <si>
    <t>YA15</t>
  </si>
  <si>
    <t>BCV131YA15</t>
  </si>
  <si>
    <t>YL15</t>
  </si>
  <si>
    <t>Pullwire Switch 20 ChB</t>
  </si>
  <si>
    <t>PWS20B</t>
  </si>
  <si>
    <t>BCV131PWS20</t>
  </si>
  <si>
    <t>Pullwire Switch 20 ChA</t>
  </si>
  <si>
    <t>PWS20A</t>
  </si>
  <si>
    <t>Pullwire Switch 19 ChB</t>
  </si>
  <si>
    <t>PWS19B</t>
  </si>
  <si>
    <t>BCV131PWS19</t>
  </si>
  <si>
    <t>Pullwire Switch 19 ChA</t>
  </si>
  <si>
    <t>PWS19A</t>
  </si>
  <si>
    <t>AX08</t>
  </si>
  <si>
    <t>BCV131AX08 - BCV131 - 6333m</t>
  </si>
  <si>
    <t>BR4-2150-E-00173</t>
  </si>
  <si>
    <t>YA14</t>
  </si>
  <si>
    <t>BCV131YA14</t>
  </si>
  <si>
    <t>YA13</t>
  </si>
  <si>
    <t>BCV131YA13</t>
  </si>
  <si>
    <t>YL13</t>
  </si>
  <si>
    <t>Pullwire Switch 18 ChB</t>
  </si>
  <si>
    <t>PWS18B</t>
  </si>
  <si>
    <t>BCV131PWS18</t>
  </si>
  <si>
    <t>Pullwire Switch 18 ChA</t>
  </si>
  <si>
    <t>PWS18A</t>
  </si>
  <si>
    <t>Pullwire Switch 17 ChB</t>
  </si>
  <si>
    <t>PWS17B</t>
  </si>
  <si>
    <t>BCV131PWS17</t>
  </si>
  <si>
    <t>Pullwire Switch 17 ChA</t>
  </si>
  <si>
    <t>PWS17A</t>
  </si>
  <si>
    <t>AX07</t>
  </si>
  <si>
    <t>BCV131AX07 - BCV131 - 6523m</t>
  </si>
  <si>
    <t>BR4-2150-E-00172</t>
  </si>
  <si>
    <t>YA12</t>
  </si>
  <si>
    <t>BCV131YA12</t>
  </si>
  <si>
    <t>YA11</t>
  </si>
  <si>
    <t>BCV131YA11</t>
  </si>
  <si>
    <t>YL11</t>
  </si>
  <si>
    <t>Pullwire Switch 16 ChB</t>
  </si>
  <si>
    <t>PWS16B</t>
  </si>
  <si>
    <t>BCV131PWS16</t>
  </si>
  <si>
    <t>Pullwire Switch 16 ChA</t>
  </si>
  <si>
    <t>PWS16A</t>
  </si>
  <si>
    <t>Pullwire Switch 15 ChB</t>
  </si>
  <si>
    <t>PWS15B</t>
  </si>
  <si>
    <t>BCV131PWS15</t>
  </si>
  <si>
    <t>Pullwire Switch 15 ChA</t>
  </si>
  <si>
    <t>PWS15A</t>
  </si>
  <si>
    <t>AX06</t>
  </si>
  <si>
    <t>BCV131AX06 - BCV131 - 6734m</t>
  </si>
  <si>
    <t>BR4-2150-E-00171</t>
  </si>
  <si>
    <t>YA10</t>
  </si>
  <si>
    <t>BCV131YA10</t>
  </si>
  <si>
    <t>YA09</t>
  </si>
  <si>
    <t>BCV131YA09</t>
  </si>
  <si>
    <t>YL09</t>
  </si>
  <si>
    <t>Pullwire Switch 14 ChB</t>
  </si>
  <si>
    <t>PWS14B</t>
  </si>
  <si>
    <t>BCV131PWS14</t>
  </si>
  <si>
    <t>Pullwire Switch 14 ChA</t>
  </si>
  <si>
    <t>PWS14A</t>
  </si>
  <si>
    <t>Pullwire Switch 13 ChB</t>
  </si>
  <si>
    <t>PWS13B</t>
  </si>
  <si>
    <t>BCV131PWS13</t>
  </si>
  <si>
    <t>Pullwire Switch 13 ChA</t>
  </si>
  <si>
    <t>PWS13A</t>
  </si>
  <si>
    <t>AX05</t>
  </si>
  <si>
    <t>BCV131AX05 - BCV131 - 6977m</t>
  </si>
  <si>
    <t>BR4-2150-E-00170</t>
  </si>
  <si>
    <t>YA08</t>
  </si>
  <si>
    <t>BCV131YA08</t>
  </si>
  <si>
    <t>YA07</t>
  </si>
  <si>
    <t>BCV131YA07</t>
  </si>
  <si>
    <t>YL07</t>
  </si>
  <si>
    <t>Pullwire Switch 12 ChB</t>
  </si>
  <si>
    <t>PWS12B</t>
  </si>
  <si>
    <t>BCV131PWS12</t>
  </si>
  <si>
    <t>Pullwire Switch 12 ChA</t>
  </si>
  <si>
    <t>PWS12A</t>
  </si>
  <si>
    <t>Pullwire Switch 11 ChB</t>
  </si>
  <si>
    <t>PWS11B</t>
  </si>
  <si>
    <t>BCV131PWS11</t>
  </si>
  <si>
    <t>Pullwire Switch 11 ChA</t>
  </si>
  <si>
    <t>PWS11A</t>
  </si>
  <si>
    <t>AX04</t>
  </si>
  <si>
    <t>BCV131AX04 - BCV131 - 7220m</t>
  </si>
  <si>
    <t>BR4-2150-E-00169</t>
  </si>
  <si>
    <t>YA06</t>
  </si>
  <si>
    <t>BCV131YA06</t>
  </si>
  <si>
    <t>YA05</t>
  </si>
  <si>
    <t>BCV131YA05</t>
  </si>
  <si>
    <t>YL05</t>
  </si>
  <si>
    <t>Pullwire Switch 10 ChB</t>
  </si>
  <si>
    <t>PWS10B</t>
  </si>
  <si>
    <t>BCV131PWS10</t>
  </si>
  <si>
    <t>Pullwire Switch 10 ChA</t>
  </si>
  <si>
    <t>PWS10A</t>
  </si>
  <si>
    <t>Pullwire Switch 09 ChB</t>
  </si>
  <si>
    <t>PWS09B</t>
  </si>
  <si>
    <t>BCV131PWS09</t>
  </si>
  <si>
    <t>Pullwire Switch 09 ChA</t>
  </si>
  <si>
    <t>PWS09A</t>
  </si>
  <si>
    <t>AX03</t>
  </si>
  <si>
    <t>BCV131AX03 - BCV131 - 7463m</t>
  </si>
  <si>
    <t>DX08</t>
  </si>
  <si>
    <t>BR4-2150-E-00153</t>
  </si>
  <si>
    <t>Flow Indicating Transmitter</t>
  </si>
  <si>
    <t>BCV131 ORE CONDITIONING SPRAY BAR</t>
  </si>
  <si>
    <t>FT10</t>
  </si>
  <si>
    <t>BCV131FIT10</t>
  </si>
  <si>
    <t>Solenoid Valve 4</t>
  </si>
  <si>
    <t>BCV131 ORE CONDITIONING SPRAY BAR (4 NOZZLES)</t>
  </si>
  <si>
    <t>SV04</t>
  </si>
  <si>
    <t>BCV131SV04</t>
  </si>
  <si>
    <t>Solenoid Valve 3</t>
  </si>
  <si>
    <t>BCV131 ORE CONDITIONING SPRAY BAR (1 NOZZLE)</t>
  </si>
  <si>
    <t>BCV131SV03</t>
  </si>
  <si>
    <t>Solenoid Valve 2</t>
  </si>
  <si>
    <t>BCV131 ORE CONDITIONING SPRAY BAR (2 NOZZLES)</t>
  </si>
  <si>
    <t>SV02</t>
  </si>
  <si>
    <t>BCV131SV02</t>
  </si>
  <si>
    <t>Flow Pulse</t>
  </si>
  <si>
    <t>FQ10</t>
  </si>
  <si>
    <t>BR4-2150-E-00152</t>
  </si>
  <si>
    <t>BCV131DX08</t>
  </si>
  <si>
    <t>24VDC FT01 Control Supply</t>
  </si>
  <si>
    <t>24VDC BCV131DX08 Control Supply</t>
  </si>
  <si>
    <t>LLM1144</t>
  </si>
  <si>
    <t>EIO node #8</t>
  </si>
  <si>
    <t>BCV131DX08 - BCV131 - Ore Conditioning</t>
  </si>
  <si>
    <t>BR4-2150-E-00165</t>
  </si>
  <si>
    <t>LOS02B</t>
  </si>
  <si>
    <t>BCV131LCS02</t>
  </si>
  <si>
    <t>LOS02A</t>
  </si>
  <si>
    <t>BCV131LCS01</t>
  </si>
  <si>
    <t>YA02</t>
  </si>
  <si>
    <t>BCV131YA02</t>
  </si>
  <si>
    <t>BCV131YA01</t>
  </si>
  <si>
    <t>YL01</t>
  </si>
  <si>
    <t>Pullwire Switch 8 ChB</t>
  </si>
  <si>
    <t>PWS08B</t>
  </si>
  <si>
    <t>BCV131PWS08</t>
  </si>
  <si>
    <t>Pullwire Switch 8 ChA</t>
  </si>
  <si>
    <t>PWS08A</t>
  </si>
  <si>
    <t>Pullwire Switch 7 ChB</t>
  </si>
  <si>
    <t>PWS07B</t>
  </si>
  <si>
    <t>BCV131PWS07</t>
  </si>
  <si>
    <t>Pullwire Switch 7 ChA</t>
  </si>
  <si>
    <t>PWS07A</t>
  </si>
  <si>
    <t>Pullwire Switch 6 ChB</t>
  </si>
  <si>
    <t>PWS06B</t>
  </si>
  <si>
    <t>BCV131PWS06</t>
  </si>
  <si>
    <t>Pullwire Switch 6 ChA</t>
  </si>
  <si>
    <t>PWS06A</t>
  </si>
  <si>
    <t>Pullwire Switch 5 ChB</t>
  </si>
  <si>
    <t>PWS05B</t>
  </si>
  <si>
    <t>BCV131PWS05</t>
  </si>
  <si>
    <t>Pullwire Switch 5 ChA</t>
  </si>
  <si>
    <t>PWS05A</t>
  </si>
  <si>
    <t>Type 6</t>
  </si>
  <si>
    <t>AX01</t>
  </si>
  <si>
    <t>BCV131AX01 - BCV131 - Drive Station A&amp;B</t>
  </si>
  <si>
    <t xml:space="preserve">SUB LINK </t>
  </si>
  <si>
    <t xml:space="preserve">BCV131CFN02/03 Field LOS To Swrm DX Panel Relay </t>
  </si>
  <si>
    <t>BCV131CGB01 Field LOS To Swrm DX Panel/Bucket</t>
  </si>
  <si>
    <r>
      <t>BCV131C</t>
    </r>
    <r>
      <rPr>
        <sz val="11"/>
        <color rgb="FF00B0F0"/>
        <rFont val="Calibri"/>
        <family val="2"/>
        <scheme val="minor"/>
      </rPr>
      <t>GB01</t>
    </r>
    <r>
      <rPr>
        <sz val="11"/>
        <rFont val="Calibri"/>
        <family val="2"/>
        <scheme val="minor"/>
      </rPr>
      <t>LCS01</t>
    </r>
  </si>
  <si>
    <t>BCV131PP03 Field LOS To Swrm DX Panel/Bucket</t>
  </si>
  <si>
    <t>DX07</t>
  </si>
  <si>
    <t>RTDI</t>
  </si>
  <si>
    <t># EU</t>
  </si>
  <si>
    <t>BR4-2150-E-00149</t>
  </si>
  <si>
    <t>BCV131CGB01RTD02</t>
  </si>
  <si>
    <t>Gearbox 3 Oil Temperature</t>
  </si>
  <si>
    <t>CONVEYOR DRIVE ASSEMBLY 3</t>
  </si>
  <si>
    <t>RTD02</t>
  </si>
  <si>
    <t>BCV131CGB01RTD01</t>
  </si>
  <si>
    <t>Gearbox 3 Drive End Bearing Temperature</t>
  </si>
  <si>
    <t>RTD01</t>
  </si>
  <si>
    <t>BMXFCW301S</t>
  </si>
  <si>
    <t>Motor 3 Air Inlet Ambient Temperature</t>
  </si>
  <si>
    <t>RTD09</t>
  </si>
  <si>
    <t>BCV131CRTD09</t>
  </si>
  <si>
    <t>BMXART0814</t>
  </si>
  <si>
    <t>Motor 3 Drive End Bearing Temperature</t>
  </si>
  <si>
    <t>RTD08</t>
  </si>
  <si>
    <t>BCV131CRTD08</t>
  </si>
  <si>
    <t>Motor 3 Non Drive End Bearing Temperature</t>
  </si>
  <si>
    <t>RTD07</t>
  </si>
  <si>
    <t>BCV131CRTD07</t>
  </si>
  <si>
    <t>Motor 3 Blue Winding 2 Temperature</t>
  </si>
  <si>
    <t>RTD06</t>
  </si>
  <si>
    <t>BCV131CRTD06</t>
  </si>
  <si>
    <t>Motor 3 White Winding 2 Temperature</t>
  </si>
  <si>
    <t>RTD05</t>
  </si>
  <si>
    <t>BCV131CRTD05</t>
  </si>
  <si>
    <t>Motor 3 Red Winding 2 Temperature</t>
  </si>
  <si>
    <t>RTD04</t>
  </si>
  <si>
    <t>BCV131CRTD04</t>
  </si>
  <si>
    <t>Motor 3 Blue Winding 1 Temperature</t>
  </si>
  <si>
    <t>RTD03</t>
  </si>
  <si>
    <t>BCV131CRTD03</t>
  </si>
  <si>
    <t>Motor 3 White Winding 1 Temperature</t>
  </si>
  <si>
    <t>BCV131CRTD02</t>
  </si>
  <si>
    <t>Motor 3 Red Winding 1 Temperature</t>
  </si>
  <si>
    <t>BCV131CRTD01</t>
  </si>
  <si>
    <t xml:space="preserve">To be added to BR4-2150-E-00263 next rev. 0-100 used as per brownfileds scaling used on BCV210. </t>
  </si>
  <si>
    <t>BR4-2150-E-00263</t>
  </si>
  <si>
    <t>L/min</t>
  </si>
  <si>
    <t>OIL FLOW TRANSMITTER</t>
  </si>
  <si>
    <t>BCV131 DRIVE C GEARBOX  LUBRICATION</t>
  </si>
  <si>
    <t>BCV131CPP02FT01</t>
  </si>
  <si>
    <t>BR4-2150-E-00148</t>
  </si>
  <si>
    <t>BCV131SM02</t>
  </si>
  <si>
    <t>%</t>
  </si>
  <si>
    <t>Water Level</t>
  </si>
  <si>
    <t>CONVEYOR DRIVE STATION SUMP 2</t>
  </si>
  <si>
    <t>LIT02</t>
  </si>
  <si>
    <t>BCV131SM02LIT02</t>
  </si>
  <si>
    <t>Agitator Solenoid Valve</t>
  </si>
  <si>
    <t>BCV131 Drive Station SUMP 2 PUMP</t>
  </si>
  <si>
    <t>BCV131PP03SV01</t>
  </si>
  <si>
    <t>Field Isolator</t>
  </si>
  <si>
    <t>Local Stop Pushbutton</t>
  </si>
  <si>
    <t>Local Start Pushbutton</t>
  </si>
  <si>
    <t>Tag changed to STP02 to avoid duplicate</t>
  </si>
  <si>
    <t>Stop Pushbutton - GB Pump</t>
  </si>
  <si>
    <t>CONVEYOR DRIVE 1 REDUCER LUBRICATION PUMP</t>
  </si>
  <si>
    <t>STP02</t>
  </si>
  <si>
    <t>Tag changed to STT02 to avoid duplicate</t>
  </si>
  <si>
    <t>Start Pushbutton - GB Pump</t>
  </si>
  <si>
    <t>STT02</t>
  </si>
  <si>
    <t>K220</t>
  </si>
  <si>
    <t>Take Up Trolley Inner Limit</t>
  </si>
  <si>
    <t>BCV131 LIMIT SWITCH IN</t>
  </si>
  <si>
    <t>ZS02</t>
  </si>
  <si>
    <t>BCV131ZS02</t>
  </si>
  <si>
    <t>K218</t>
  </si>
  <si>
    <t>Take Up Trolley Outer Limit</t>
  </si>
  <si>
    <t>BCV131 LIMIT SWITCH OUT</t>
  </si>
  <si>
    <t>BCV131ZS01</t>
  </si>
  <si>
    <t>Belt Drift Switch 6</t>
  </si>
  <si>
    <t>BDS06</t>
  </si>
  <si>
    <t>BCV131BDS06</t>
  </si>
  <si>
    <t>Belt Drift Switch 5</t>
  </si>
  <si>
    <t>BDS05</t>
  </si>
  <si>
    <t>BCV131BDS05</t>
  </si>
  <si>
    <t>Stop Pushbutton - Motor Fan</t>
  </si>
  <si>
    <t>CONVEYOR DRIVE 3 MOTOR LUBRICATION PUMP BCV131CPP01</t>
  </si>
  <si>
    <t>Start Pushbutton - Motor Fan</t>
  </si>
  <si>
    <t>Stop Pushbutton - GB Fan</t>
  </si>
  <si>
    <t>CONVEYOR DRIVE 3 REDUCER COOLING FAN BCV131CFN01</t>
  </si>
  <si>
    <t>Start Pushbutton - GB Fan</t>
  </si>
  <si>
    <t>Stop Pushbutton</t>
  </si>
  <si>
    <t>BCV131LCS03</t>
  </si>
  <si>
    <t xml:space="preserve">Start Pushbutton </t>
  </si>
  <si>
    <t>BR4-2150-E-00147</t>
  </si>
  <si>
    <t>24VDC BCV131C Control Supply</t>
  </si>
  <si>
    <t>24VDC BCV131DX07 Control Supply</t>
  </si>
  <si>
    <t>CV702</t>
  </si>
  <si>
    <t>EIO node #7</t>
  </si>
  <si>
    <t>BCV131DX07 - BCV131 - Head End Drive Station C</t>
  </si>
  <si>
    <t>BR4-2150-E-00167</t>
  </si>
  <si>
    <t>Lock Off Stop 3 ChB</t>
  </si>
  <si>
    <t>LOS03B</t>
  </si>
  <si>
    <t>Lock Off Stop 3 ChA</t>
  </si>
  <si>
    <t>LOS03A</t>
  </si>
  <si>
    <t>YA04</t>
  </si>
  <si>
    <t>BCV131YA04</t>
  </si>
  <si>
    <t>YA03</t>
  </si>
  <si>
    <t>BCV131YA03</t>
  </si>
  <si>
    <t>YL03</t>
  </si>
  <si>
    <t>Pullwire Switch 4 ChB</t>
  </si>
  <si>
    <t>PWS04B</t>
  </si>
  <si>
    <t>BCV131PWS04</t>
  </si>
  <si>
    <t>Pullwire Switch 4 ChA</t>
  </si>
  <si>
    <t>PWS04A</t>
  </si>
  <si>
    <t>Pullwire Switch 3 ChB</t>
  </si>
  <si>
    <t>PWS03B</t>
  </si>
  <si>
    <t>BCV131PWS03</t>
  </si>
  <si>
    <t>Pullwire Switch 3 ChA</t>
  </si>
  <si>
    <t>PWS03A</t>
  </si>
  <si>
    <t>Pullwire Switch 2 ChB</t>
  </si>
  <si>
    <t>PWS02B</t>
  </si>
  <si>
    <t>BCV131PWS02</t>
  </si>
  <si>
    <t>Pullwire Switch 2 ChA</t>
  </si>
  <si>
    <t>PWS02A</t>
  </si>
  <si>
    <t>Pullwire Switch 1 ChB</t>
  </si>
  <si>
    <t>PWS01B</t>
  </si>
  <si>
    <t>BCV131PWS01</t>
  </si>
  <si>
    <t>Pullwire Switch 1 ChA</t>
  </si>
  <si>
    <t>PWS01A</t>
  </si>
  <si>
    <t>Type 5</t>
  </si>
  <si>
    <t>AX02</t>
  </si>
  <si>
    <t>BCV131AX02 - BCV131 - Drive Station C</t>
  </si>
  <si>
    <t xml:space="preserve">BCV131BFN02/03 Field LOS To Swrm DX Panel Relay </t>
  </si>
  <si>
    <t>BCV131BGB01 Field LOS To Swrm DX Panel/Bucket</t>
  </si>
  <si>
    <r>
      <t>BCV131B</t>
    </r>
    <r>
      <rPr>
        <sz val="11"/>
        <color rgb="FF00B0F0"/>
        <rFont val="Calibri"/>
        <family val="2"/>
        <scheme val="minor"/>
      </rPr>
      <t>GB01</t>
    </r>
    <r>
      <rPr>
        <sz val="11"/>
        <rFont val="Calibri"/>
        <family val="2"/>
        <scheme val="minor"/>
      </rPr>
      <t>LCS01</t>
    </r>
  </si>
  <si>
    <t xml:space="preserve">BCV131AFN02/03 Field LOS To Swrm DX Panel Relay </t>
  </si>
  <si>
    <t>BCV131AGB01 Field LOS To Swrm DX Panel/Bucket</t>
  </si>
  <si>
    <r>
      <t>BCV131A</t>
    </r>
    <r>
      <rPr>
        <sz val="11"/>
        <color rgb="FF00B0F0"/>
        <rFont val="Calibri"/>
        <family val="2"/>
        <scheme val="minor"/>
      </rPr>
      <t>GB01</t>
    </r>
    <r>
      <rPr>
        <sz val="11"/>
        <rFont val="Calibri"/>
        <family val="2"/>
        <scheme val="minor"/>
      </rPr>
      <t>LCS01</t>
    </r>
  </si>
  <si>
    <t>BCV131PP02 Field LOS To Swrm DX Panel/Bucket</t>
  </si>
  <si>
    <t>DX06</t>
  </si>
  <si>
    <t>BR4-2150-E-00142</t>
  </si>
  <si>
    <t>ZQ02</t>
  </si>
  <si>
    <t>BCV131ZQ02</t>
  </si>
  <si>
    <t>SS02</t>
  </si>
  <si>
    <t>BCV131SS02</t>
  </si>
  <si>
    <t>BR4-2150-E-00144</t>
  </si>
  <si>
    <t>Gearbox 2 Oil Temperature</t>
  </si>
  <si>
    <t>CONVEYOR DRIVE ASSEMBLY 2</t>
  </si>
  <si>
    <t>BCV131BGB01RTD02</t>
  </si>
  <si>
    <t>Gearbox 2 Drive End Bearing Temperature</t>
  </si>
  <si>
    <t>BCV131BGB01RTD01</t>
  </si>
  <si>
    <t>Motor 2 Air Inlet Ambient Temperature</t>
  </si>
  <si>
    <t>BCV131BRTD09</t>
  </si>
  <si>
    <t>Motor 2 Drive End Bearing Temperature</t>
  </si>
  <si>
    <t>BCV131BRTD08</t>
  </si>
  <si>
    <t>Motor 2 Non Drive End Bearing Temperature</t>
  </si>
  <si>
    <t>BCV131BRTD07</t>
  </si>
  <si>
    <t>Motor 2 Blue Winding 2 Temperature</t>
  </si>
  <si>
    <t>BCV131BRTD06</t>
  </si>
  <si>
    <t>Motor 2 White Winding 2 Temperature</t>
  </si>
  <si>
    <t>BCV131BRTD05</t>
  </si>
  <si>
    <t>Motor 2 Red Winding 2 Temperature</t>
  </si>
  <si>
    <t>BCV131BRTD04</t>
  </si>
  <si>
    <t>Motor 2 Blue Winding 1 Temperature</t>
  </si>
  <si>
    <t>BCV131BRTD03</t>
  </si>
  <si>
    <t>Motor 2 White Winding 1 Temperature</t>
  </si>
  <si>
    <t>BCV131BRTD02</t>
  </si>
  <si>
    <t>Motor 2 Red Winding 1 Temperature</t>
  </si>
  <si>
    <t>BCV131BRTD01</t>
  </si>
  <si>
    <t>BR4-2150-E-00143</t>
  </si>
  <si>
    <t>Gearbox 1 Oil Temperature</t>
  </si>
  <si>
    <t>CONVEYOR DRIVE ASSEMBLY 1</t>
  </si>
  <si>
    <t>BCV131AGB01RTD02</t>
  </si>
  <si>
    <t>Gearbox 1 Drive End Bearing Temperature</t>
  </si>
  <si>
    <t>BCV131AGB01RTD01</t>
  </si>
  <si>
    <t>Motor 1 Air Inlet Ambient Temperature</t>
  </si>
  <si>
    <t>BCV131ARTD09</t>
  </si>
  <si>
    <t>Motor 1 Drive End Bearing Temperature</t>
  </si>
  <si>
    <t>BCV131ARTD08</t>
  </si>
  <si>
    <t>Motor 1 Non Drive End Bearing Temperature</t>
  </si>
  <si>
    <t>BCV131ARTD07</t>
  </si>
  <si>
    <t>Motor 1 Blue Winding 2 Temperature</t>
  </si>
  <si>
    <t>BCV131ARTD06</t>
  </si>
  <si>
    <t>Motor 1 White Winding 2 Temperature</t>
  </si>
  <si>
    <t>BCV131ARTD05</t>
  </si>
  <si>
    <t>Motor 1 Red Winding 2 Temperature</t>
  </si>
  <si>
    <t>BCV131ARTD04</t>
  </si>
  <si>
    <t>Motor 1 Blue Winding 1 Temperature</t>
  </si>
  <si>
    <t>BCV131ARTD03</t>
  </si>
  <si>
    <t>Motor 1 White Winding 1 Temperature</t>
  </si>
  <si>
    <t>BCV131ARTD02</t>
  </si>
  <si>
    <t>Motor 1 Red Winding 1 Temperature</t>
  </si>
  <si>
    <t>BCV131ARTD01</t>
  </si>
  <si>
    <t xml:space="preserve">0-100 used as per brownfileds scaling used on BCV210. </t>
  </si>
  <si>
    <t>BR4-2150-E-00259</t>
  </si>
  <si>
    <t>Oil Flow Transmitter</t>
  </si>
  <si>
    <t>BCV131 DRIVE B GEARBOX  LUBRICATION</t>
  </si>
  <si>
    <t>BCV131BPP02FT01</t>
  </si>
  <si>
    <t>BCV131 DRIVE A GEARBOX  LUBRICATION</t>
  </si>
  <si>
    <t>BCV131APP02FT01</t>
  </si>
  <si>
    <t>BCV131SM01</t>
  </si>
  <si>
    <t>Level Indicating Transmitter -  Level</t>
  </si>
  <si>
    <t>BCV131 Drive Station SUMP 1</t>
  </si>
  <si>
    <t>LIT01</t>
  </si>
  <si>
    <t>BCV131SM01LIT01</t>
  </si>
  <si>
    <t>BR4-2150-E-00114</t>
  </si>
  <si>
    <t>K353</t>
  </si>
  <si>
    <t>BSR132DB02 Light Contactor</t>
  </si>
  <si>
    <t>BCV131 Drive Station SUMP 1 PUMP</t>
  </si>
  <si>
    <t>BCV131PP02SV01</t>
  </si>
  <si>
    <t xml:space="preserve">Tag changed to STP02 to avoid duplicate. </t>
  </si>
  <si>
    <t>CONVEYOR DRIVE 2 REDUCER LUBRICATION PUMP</t>
  </si>
  <si>
    <t xml:space="preserve">Tag changed to STT02 to avoid duplicate. </t>
  </si>
  <si>
    <t>Belt Drift Switch 4</t>
  </si>
  <si>
    <t>BDS04</t>
  </si>
  <si>
    <t>BCV131BDS04</t>
  </si>
  <si>
    <t>Belt Drift Switch 3</t>
  </si>
  <si>
    <t>BDS03</t>
  </si>
  <si>
    <t>BCV131BDS03</t>
  </si>
  <si>
    <t>Belt Drift Switch 2</t>
  </si>
  <si>
    <t>BDS02</t>
  </si>
  <si>
    <t>BCV131BDS02</t>
  </si>
  <si>
    <t>Belt Drift Switch 1</t>
  </si>
  <si>
    <t>BDS01</t>
  </si>
  <si>
    <t>BCV131BDS01</t>
  </si>
  <si>
    <t>CONVEYOR DRIVE 2 MOTOR COOLING FAN</t>
  </si>
  <si>
    <t>CONVEYOR DRIVE 2 REDUCER COOLING FAN</t>
  </si>
  <si>
    <t>CONVEYOR DRIVE 1 MOTOR COOLING FAN</t>
  </si>
  <si>
    <t>CONVEYOR DRIVE 1 REDUCER COOLING FAN</t>
  </si>
  <si>
    <t>BR4-2150-E-00141</t>
  </si>
  <si>
    <t>24VDC BCV131 Control Supply</t>
  </si>
  <si>
    <t>24VDC BCV131DX06 Control Supply</t>
  </si>
  <si>
    <t>240VAC Circuit  - Spare</t>
  </si>
  <si>
    <t>mm</t>
  </si>
  <si>
    <t xml:space="preserve">there's enough room for 40 terminals including earthss </t>
  </si>
  <si>
    <t>EIO node #6</t>
  </si>
  <si>
    <t>BCV131DX06 - BCV131 - Head End Drive Station A&amp;B</t>
  </si>
  <si>
    <t>Sub Link</t>
  </si>
  <si>
    <t>BPP2105 Field LOS To Swrm DX</t>
  </si>
  <si>
    <t>DX05</t>
  </si>
  <si>
    <t>BPP2104 Field LOS To Swrm DX</t>
  </si>
  <si>
    <t>AO</t>
  </si>
  <si>
    <t>BMEAHO0412</t>
  </si>
  <si>
    <t>BR4-2150-E-00140</t>
  </si>
  <si>
    <t>BR4-2150-E-00139</t>
  </si>
  <si>
    <t>BPP2104FV01</t>
  </si>
  <si>
    <t>Flow Control Valve Position Setpoint</t>
  </si>
  <si>
    <t>SURGE BIN FACILITY PROCESS WATER RECYCLE</t>
  </si>
  <si>
    <t>ZC01</t>
  </si>
  <si>
    <t>BTK2105FV01</t>
  </si>
  <si>
    <t>SURGE BIN FACILITY RAW/FIRE WATER TANK 2</t>
  </si>
  <si>
    <t>BTK2104FV01</t>
  </si>
  <si>
    <t>SURGE BIN FACILITY RAW/FIRE WATER TANK 1</t>
  </si>
  <si>
    <t>BBD131</t>
  </si>
  <si>
    <t>m3/h</t>
  </si>
  <si>
    <t>Flow Rate</t>
  </si>
  <si>
    <t>SURPLUS WATER BROCKMAN 4 BOOLGEEDA</t>
  </si>
  <si>
    <t>FT03</t>
  </si>
  <si>
    <t>BBD131FIT03</t>
  </si>
  <si>
    <t>BR4-2150-E-00137</t>
  </si>
  <si>
    <t>kPag</t>
  </si>
  <si>
    <t>Discharge Pressure</t>
  </si>
  <si>
    <t>SURGE BIN FACILITY PROCESS WATER PUMP 4 (STANDBY)</t>
  </si>
  <si>
    <t>PT04</t>
  </si>
  <si>
    <t>BPP2104PIT04</t>
  </si>
  <si>
    <t>SURGE BIN FACILITY PROCESS WATER PUMP 3 (DUTY)</t>
  </si>
  <si>
    <t>PT03</t>
  </si>
  <si>
    <t>BPP2104PIT03</t>
  </si>
  <si>
    <t>BR4-2150-E-00138</t>
  </si>
  <si>
    <t>SURGE BIN FACILITY PROCESS WATER</t>
  </si>
  <si>
    <t>FT05</t>
  </si>
  <si>
    <t>BPP2104FIT05</t>
  </si>
  <si>
    <t>FT06</t>
  </si>
  <si>
    <t>BPP2104FIT06</t>
  </si>
  <si>
    <t>SURGE BIN FACILITY PROCESS WATER PUMP 4</t>
  </si>
  <si>
    <t>PT02</t>
  </si>
  <si>
    <t>BPP2105PT02</t>
  </si>
  <si>
    <t>PT01</t>
  </si>
  <si>
    <t>BPP2104PT01</t>
  </si>
  <si>
    <t>Valve Position Feedback</t>
  </si>
  <si>
    <t>ZT01</t>
  </si>
  <si>
    <t>BTK2105</t>
  </si>
  <si>
    <t>Tank Level</t>
  </si>
  <si>
    <t>LT01</t>
  </si>
  <si>
    <t>BTK2105LT01</t>
  </si>
  <si>
    <t>BTK2105FT01</t>
  </si>
  <si>
    <t>BTK2104</t>
  </si>
  <si>
    <t>BTK2104LT01</t>
  </si>
  <si>
    <t>BTK2104FT01</t>
  </si>
  <si>
    <t>BR4-2150-E-00254</t>
  </si>
  <si>
    <t>BBD131DB04</t>
  </si>
  <si>
    <t>BBD131DB04 Lighting Relay</t>
  </si>
  <si>
    <t>DB04 Lighting Relay</t>
  </si>
  <si>
    <t>Q457</t>
  </si>
  <si>
    <t>BPP2104FV01 240VAC Circuit Breaker</t>
  </si>
  <si>
    <t>Valve Fault</t>
  </si>
  <si>
    <t>Valve Closed Feedback</t>
  </si>
  <si>
    <t>Valve Open Feedback</t>
  </si>
  <si>
    <t>Q429</t>
  </si>
  <si>
    <t>BTK2105FV01 240VAC Circuit Breaker</t>
  </si>
  <si>
    <t xml:space="preserve">Instrument removed in rev 0 of BR4-2150-E-00140. Therefore, removed from IO list. </t>
  </si>
  <si>
    <t>JIMMY Removed 6/8/2026. Hardwired signals no longer required. Will be sent to ESO and read by SCADA via modbus comms</t>
  </si>
  <si>
    <t>BTK2104FIP01</t>
  </si>
  <si>
    <t>Fire Alarm</t>
  </si>
  <si>
    <t>FIRE WATER PUMP SKID</t>
  </si>
  <si>
    <t>Fire Panel Isolated</t>
  </si>
  <si>
    <t>Fire Panel Fault</t>
  </si>
  <si>
    <t xml:space="preserve"> </t>
  </si>
  <si>
    <t>Flow Totaliser Pulse</t>
  </si>
  <si>
    <t>FQ03</t>
  </si>
  <si>
    <t>FQ06</t>
  </si>
  <si>
    <t>FQ05</t>
  </si>
  <si>
    <t>BTK2105FIT01</t>
  </si>
  <si>
    <t>BTK2104FIT01</t>
  </si>
  <si>
    <t>Flow Switch</t>
  </si>
  <si>
    <t>FS02</t>
  </si>
  <si>
    <t>BPP2105FS02</t>
  </si>
  <si>
    <t>FS01</t>
  </si>
  <si>
    <t>BPP2104FS01</t>
  </si>
  <si>
    <t>Q407</t>
  </si>
  <si>
    <t>BTK2104FV01 240VAC Circuit Breaker</t>
  </si>
  <si>
    <t>To be added to drawings</t>
  </si>
  <si>
    <t>BR4-2150-E-00253</t>
  </si>
  <si>
    <t>Level Switch Low-Low</t>
  </si>
  <si>
    <t>LS02</t>
  </si>
  <si>
    <t>BTK2105LS02</t>
  </si>
  <si>
    <t>BTK2104LS02</t>
  </si>
  <si>
    <t xml:space="preserve"> BR4-2150-E-00109</t>
  </si>
  <si>
    <t>Start Pushbutton</t>
  </si>
  <si>
    <t xml:space="preserve"> BR4-2150-E-00108</t>
  </si>
  <si>
    <t>K190</t>
  </si>
  <si>
    <t>BPP2105EM01 Thermistor Relay</t>
  </si>
  <si>
    <t>THR01</t>
  </si>
  <si>
    <t>BPP2105THR01</t>
  </si>
  <si>
    <t>BPP2104EM01 Thermistor Relay</t>
  </si>
  <si>
    <t>BPP2104THR01</t>
  </si>
  <si>
    <t>BR4-2150-E-00136</t>
  </si>
  <si>
    <t>24VDC BBD131DX05 Control Supply</t>
  </si>
  <si>
    <t>240VAC Circuit Breaker</t>
  </si>
  <si>
    <t>EIO node #5</t>
  </si>
  <si>
    <t>BBD131DX05 - Surge Bin Facility  - Pump Station</t>
  </si>
  <si>
    <t>BR4-2150-E-00132</t>
  </si>
  <si>
    <t>K264</t>
  </si>
  <si>
    <t>BAF131PWS02 To Field DX Relay</t>
  </si>
  <si>
    <t>PWS02</t>
  </si>
  <si>
    <t>BAF131PWS02</t>
  </si>
  <si>
    <t>DX04</t>
  </si>
  <si>
    <t>K253</t>
  </si>
  <si>
    <t>BAF131PWS01 To Field DX Relay</t>
  </si>
  <si>
    <t>PWS01</t>
  </si>
  <si>
    <t>BAF131PWS01</t>
  </si>
  <si>
    <t>K276</t>
  </si>
  <si>
    <t>BAF131LCS01 To Field DX Relay</t>
  </si>
  <si>
    <t>BAF131LCS01</t>
  </si>
  <si>
    <t>BAF131HP01</t>
  </si>
  <si>
    <t>KXXX</t>
  </si>
  <si>
    <t>BAF131HP01LCS01To Field DX Relay</t>
  </si>
  <si>
    <t>BAF131HP01LCS01</t>
  </si>
  <si>
    <t>SUB LINK</t>
  </si>
  <si>
    <t>BBD131PP01 Field LOS To Swrm DX Panel/Bucket</t>
  </si>
  <si>
    <t>BAF131FN01 Field LOS To Swrm DX Panel/Bucket</t>
  </si>
  <si>
    <t>BAF131FN01LCS01</t>
  </si>
  <si>
    <t xml:space="preserve">BAF131Field LOS To Swrm DX Panel Master Relay </t>
  </si>
  <si>
    <t>BAF131PP02 Field LOS To Swrm DX Panel/Bucket</t>
  </si>
  <si>
    <t>BAF131PP02LCS01</t>
  </si>
  <si>
    <t>SURGE BIN APRON FEEDER</t>
  </si>
  <si>
    <t>BAF131SS01</t>
  </si>
  <si>
    <t>MISSING - needs addition to schematic &amp; termination</t>
  </si>
  <si>
    <t>BR4-2150-E-00374/BR4-2150-E-00250</t>
  </si>
  <si>
    <t>Oil Cooler Outlet Temperature</t>
  </si>
  <si>
    <t>SURGE BIN APRON FEEDER HPU</t>
  </si>
  <si>
    <t>TT03</t>
  </si>
  <si>
    <t>BAF131HP01TT03</t>
  </si>
  <si>
    <t>Oil Cooler Inlet Temperature</t>
  </si>
  <si>
    <t>TT02</t>
  </si>
  <si>
    <t>BAF131HP01TT02</t>
  </si>
  <si>
    <t xml:space="preserve">To be added to drawing BR4-2150-E-00134. </t>
  </si>
  <si>
    <t>BR4-2150-E-00134</t>
  </si>
  <si>
    <t>BCV210 DUST SUPPRESSION SPRAY</t>
  </si>
  <si>
    <t>BBD131FIT02</t>
  </si>
  <si>
    <t>kPa</t>
  </si>
  <si>
    <t>Pressure</t>
  </si>
  <si>
    <t>SURGE BIN DUST COLLECTOR AIR COMPRESSOR</t>
  </si>
  <si>
    <t>BDU131CP01PIT01</t>
  </si>
  <si>
    <t>BBD131SM01</t>
  </si>
  <si>
    <t>Sump Level</t>
  </si>
  <si>
    <t>SURGE BIN FACILITY SUMP</t>
  </si>
  <si>
    <t>BBD131SM01LIT01</t>
  </si>
  <si>
    <t>BAF131LU01</t>
  </si>
  <si>
    <t>Grease Level Transducer</t>
  </si>
  <si>
    <t>SURGE BIN APRON FEEDER Lube Unit</t>
  </si>
  <si>
    <t>BAF131LU01LT01</t>
  </si>
  <si>
    <t>PSI</t>
  </si>
  <si>
    <t>Pump Line 2 Pressure Transducer</t>
  </si>
  <si>
    <t>PT05</t>
  </si>
  <si>
    <t>BAF131LU01PT05</t>
  </si>
  <si>
    <t>Pump Line 1 Pressure Transducer</t>
  </si>
  <si>
    <t>BAF131LU01PT04</t>
  </si>
  <si>
    <t>Oil Pressure Transducer</t>
  </si>
  <si>
    <t>BAF131LU01PT03</t>
  </si>
  <si>
    <t>End Of Line 2 Pressure Transducer</t>
  </si>
  <si>
    <t>BAF131LU01PT02</t>
  </si>
  <si>
    <t>End Of Line 1 Pressure Transducer</t>
  </si>
  <si>
    <t>BAF131LU01PT01</t>
  </si>
  <si>
    <t>BR4-2150-E-00133</t>
  </si>
  <si>
    <r>
      <t xml:space="preserve">Grease End Of Line 2 </t>
    </r>
    <r>
      <rPr>
        <sz val="10"/>
        <color rgb="FFFF0000"/>
        <rFont val="Arial"/>
        <family val="2"/>
      </rPr>
      <t>Cycle Complete Lamp</t>
    </r>
  </si>
  <si>
    <t>YL02</t>
  </si>
  <si>
    <t>BAF131LU01YL02</t>
  </si>
  <si>
    <r>
      <t>Grease End Of Line 1</t>
    </r>
    <r>
      <rPr>
        <sz val="10"/>
        <color rgb="FFFF0000"/>
        <rFont val="Arial"/>
        <family val="2"/>
      </rPr>
      <t xml:space="preserve"> Cycle Complete Lamp</t>
    </r>
  </si>
  <si>
    <t>BAF131LU01YL01</t>
  </si>
  <si>
    <t>Oil Direction Control Valve on dwg</t>
  </si>
  <si>
    <t>Oil Pump Solenoid Valve</t>
  </si>
  <si>
    <t>BAF131LU01SV01</t>
  </si>
  <si>
    <t>Grease Inlet Shut Off Valve</t>
  </si>
  <si>
    <t>BAF131LU01SV04</t>
  </si>
  <si>
    <t>Grease Reversing Valve Line 2 on dwg</t>
  </si>
  <si>
    <t>Grease Line 2 Solenoid Valve</t>
  </si>
  <si>
    <t>BAF131LU01SV03</t>
  </si>
  <si>
    <t>Grease Reversing Valve Line 1 on dwg</t>
  </si>
  <si>
    <t>Grease Line 1 Solenoid Valve</t>
  </si>
  <si>
    <t>BAF131LU01SV02</t>
  </si>
  <si>
    <t>Start Up Warning Siren</t>
  </si>
  <si>
    <t>BAF131YA01</t>
  </si>
  <si>
    <t>red pen MU on 133_0</t>
  </si>
  <si>
    <t>Stop Interlock</t>
  </si>
  <si>
    <t>Pump 1 Run Relay</t>
  </si>
  <si>
    <t>BR4-2150-E-00117</t>
  </si>
  <si>
    <t>BSR132DB03 Lighting Relay</t>
  </si>
  <si>
    <t>BCV210 Dust Suppression Spray</t>
  </si>
  <si>
    <t>BBD131SV02</t>
  </si>
  <si>
    <t>Air Compressor Run</t>
  </si>
  <si>
    <t>SURGE BIN DUST COLLECTOR</t>
  </si>
  <si>
    <t>Sump Pump Solenoid Valve</t>
  </si>
  <si>
    <t>Surge Bin Facility Sump Pump</t>
  </si>
  <si>
    <t>BBD131PP01SV01</t>
  </si>
  <si>
    <t>BCV210AIT01</t>
  </si>
  <si>
    <t>IN POSITION</t>
  </si>
  <si>
    <t xml:space="preserve"> POSITION SWITCH</t>
  </si>
  <si>
    <t>BELT PROFILE SCANNER POSITION SWITCH</t>
  </si>
  <si>
    <t>Pan Deflection Switch 2</t>
  </si>
  <si>
    <t>ZS06</t>
  </si>
  <si>
    <t>BAF131ZS06</t>
  </si>
  <si>
    <t>Pan Deflection Switch 1</t>
  </si>
  <si>
    <t>ZS05</t>
  </si>
  <si>
    <t>BAF131ZS05</t>
  </si>
  <si>
    <t>Cycled</t>
  </si>
  <si>
    <t>End Of Line Proximity Switch 2</t>
  </si>
  <si>
    <t>BAF131LU01ZS02</t>
  </si>
  <si>
    <t>End Of Line Proximity Switch 1</t>
  </si>
  <si>
    <t>BAF131LU01ZS01</t>
  </si>
  <si>
    <t>Grease Pulse Meter</t>
  </si>
  <si>
    <t>BAF131LU01FS01</t>
  </si>
  <si>
    <t>Oil Tank Level Switch</t>
  </si>
  <si>
    <t>BAF13LU01LS01</t>
  </si>
  <si>
    <t xml:space="preserve">Grease Pump Outlet Filter </t>
  </si>
  <si>
    <t>BAF131LU01PS02</t>
  </si>
  <si>
    <t xml:space="preserve">Grease Tank Inlet Filter </t>
  </si>
  <si>
    <t>BAF131LU01PS01</t>
  </si>
  <si>
    <t>Chain Locking Fwd. Maintenance Proximity Switch</t>
  </si>
  <si>
    <t>SURGE BIN APRON FEEDER LASHING LUG FWD. MAINTENACE</t>
  </si>
  <si>
    <t>ZS04</t>
  </si>
  <si>
    <t>BAF131ZS04</t>
  </si>
  <si>
    <t>Chain Locking Aft. Maintenance Proximity Switch</t>
  </si>
  <si>
    <t>ZS03</t>
  </si>
  <si>
    <t>BAF131ZS03</t>
  </si>
  <si>
    <t>BAF131ZS02</t>
  </si>
  <si>
    <t>BAF131ZS01</t>
  </si>
  <si>
    <t>Surge Bin Apron Fdr Lube Unit Hyd Pump</t>
  </si>
  <si>
    <t>K233</t>
  </si>
  <si>
    <t>BAF131HP01LCS01 Safety Relay</t>
  </si>
  <si>
    <t>BAF131HP01LCS01 SAFTEY RELAY</t>
  </si>
  <si>
    <t>BAF131LCS01 Safety Relay</t>
  </si>
  <si>
    <t>BAF131LCS01 SAFTEY RELAY</t>
  </si>
  <si>
    <t>K185</t>
  </si>
  <si>
    <t>BAF131PP01EM01 Thermistor</t>
  </si>
  <si>
    <t>BAF131PP01THR01</t>
  </si>
  <si>
    <t>Pullwire Switch Safety Relay</t>
  </si>
  <si>
    <t>BAF131FN01 Stop Pushbutton</t>
  </si>
  <si>
    <t>SURGE BIN APRON FEEDER HPU OIL COOLER FAN</t>
  </si>
  <si>
    <t>BAF131FN01 Start Pushbutton</t>
  </si>
  <si>
    <t>BAF131PP04 Stop Pushbutton</t>
  </si>
  <si>
    <t>SURGE BIN APRON FEEDER HPU AUX. PUMP</t>
  </si>
  <si>
    <t>BAF131PP04 Start Pushbutton</t>
  </si>
  <si>
    <t>BAF131PP01 Stop Pushbutton</t>
  </si>
  <si>
    <t>SURGE BIN APRON FEEDER HPU PUMP 1</t>
  </si>
  <si>
    <t>BAF131PP01 Start Pushbutton</t>
  </si>
  <si>
    <t>Rev Pushbutton</t>
  </si>
  <si>
    <t>REV01</t>
  </si>
  <si>
    <t>red pen MU on 134_0</t>
  </si>
  <si>
    <t>BR4-2150-E-00374</t>
  </si>
  <si>
    <t>HIGH</t>
  </si>
  <si>
    <t>FIRE DETECTION TEMPERATURE SWITCH</t>
  </si>
  <si>
    <t>BAF131HP01TS03</t>
  </si>
  <si>
    <t>Fire Suppression Flow Switch</t>
  </si>
  <si>
    <t>BAF131HP01FS01</t>
  </si>
  <si>
    <t>Duplicate of 2:11</t>
  </si>
  <si>
    <t>BR4-2150-E-00373</t>
  </si>
  <si>
    <t>Spider Interlock</t>
  </si>
  <si>
    <t>BAF131HP01XS01</t>
  </si>
  <si>
    <t>AUXILIARY PUMP START INTERLOCK</t>
  </si>
  <si>
    <t>BAF131HP01XS02</t>
  </si>
  <si>
    <t xml:space="preserve">To be added to drawing as per markup. </t>
  </si>
  <si>
    <t>Air Compressor Supply</t>
  </si>
  <si>
    <t>Air Compressor</t>
  </si>
  <si>
    <t>BDU131DY01</t>
  </si>
  <si>
    <t>Air Dryer</t>
  </si>
  <si>
    <r>
      <t>SURGE BIN DUST COLLECTOR</t>
    </r>
    <r>
      <rPr>
        <sz val="11"/>
        <color rgb="FFFF0000"/>
        <rFont val="Calibri"/>
        <family val="2"/>
        <scheme val="minor"/>
      </rPr>
      <t xml:space="preserve"> </t>
    </r>
  </si>
  <si>
    <t>BAF131CH01</t>
  </si>
  <si>
    <t>Blocked Chute Switch 2</t>
  </si>
  <si>
    <t>SURGE BIN APRON FEEDER DISCHARGE CHUTE</t>
  </si>
  <si>
    <t>BCS02</t>
  </si>
  <si>
    <t>BAF131CH01BCS02</t>
  </si>
  <si>
    <t>Blocked Chute Switch 1</t>
  </si>
  <si>
    <t>BCS01</t>
  </si>
  <si>
    <t>BAF131CH01BCS01</t>
  </si>
  <si>
    <t>SURGE BIN SUMP PUMP</t>
  </si>
  <si>
    <t>BR4-2150-E-00131</t>
  </si>
  <si>
    <t>24VDC BDU131DY01PN01 Control Supply</t>
  </si>
  <si>
    <t>24VDC BCV210AIT01 Control Supply</t>
  </si>
  <si>
    <t>24VDC BCV210WM01PN01 Control Panel</t>
  </si>
  <si>
    <t>24VDC BAF131HP01PN01 Spider Control Panel</t>
  </si>
  <si>
    <t>24VDC BAF131LU01 Apron Feeder Lube Control Supply</t>
  </si>
  <si>
    <t>24VDC BAF131 Apron Feeder Control Supply</t>
  </si>
  <si>
    <t>24VDC BBD131DX04 Control Supply</t>
  </si>
  <si>
    <t>EIO node #4</t>
  </si>
  <si>
    <t>BBD131DX04 - Surge Bin Facility - Apron Feeder</t>
  </si>
  <si>
    <t>BR4-2150-E-00129</t>
  </si>
  <si>
    <t>BBN131</t>
  </si>
  <si>
    <t>K216</t>
  </si>
  <si>
    <t>BBN131LS02 To Field DX Relay</t>
  </si>
  <si>
    <t>BBN131LS02</t>
  </si>
  <si>
    <t>DX03</t>
  </si>
  <si>
    <t>K203</t>
  </si>
  <si>
    <t>BBN131LS01 To Field DX Relay</t>
  </si>
  <si>
    <t>BBN131LS01</t>
  </si>
  <si>
    <t>BBN131LS Field DX Panel Relay To Swrm DX</t>
  </si>
  <si>
    <t>BDU131FN01 Field LOS To Swrm DX/Bucket</t>
  </si>
  <si>
    <t>BDU131FN01LCS01</t>
  </si>
  <si>
    <t>BDU131PN01</t>
  </si>
  <si>
    <t>Filter Bag Pressure Differential</t>
  </si>
  <si>
    <t>SURGE BIN DUST COLLECTOR FAN</t>
  </si>
  <si>
    <t>PDT01</t>
  </si>
  <si>
    <t>BDU131PN01PDT01</t>
  </si>
  <si>
    <t>Bin Level</t>
  </si>
  <si>
    <t>SURGE BIN</t>
  </si>
  <si>
    <t>BBN131LIT02</t>
  </si>
  <si>
    <t>BBN131LIT01</t>
  </si>
  <si>
    <t>BCV131CH01</t>
  </si>
  <si>
    <t>Blocked Chute Switch</t>
  </si>
  <si>
    <t>BCV131 HEAD CHUTE</t>
  </si>
  <si>
    <t>BCV131CH01BCS01</t>
  </si>
  <si>
    <t>Surge Bin Level Switch HiHi</t>
  </si>
  <si>
    <t>LEVEL SWITCH HIGH-HIGH</t>
  </si>
  <si>
    <t>BR4-2150-E-00128</t>
  </si>
  <si>
    <t>24VDC BBD131DX03 Control Supply</t>
  </si>
  <si>
    <t>240VAC Circuit Breaker - TO BDU131PN01</t>
  </si>
  <si>
    <t>EIO node #3</t>
  </si>
  <si>
    <t>BBD131DX03 - Surge Bin Facility - Top Floor</t>
  </si>
  <si>
    <t>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</si>
</sst>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4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color indexed="8"/>
      <name val="Cambria"/>
      <family val="1"/>
    </font>
    <font>
      <sz val="10"/>
      <color indexed="8"/>
      <name val="Arial"/>
      <family val="2"/>
    </font>
    <font>
      <sz val="10"/>
      <name val="Cambria"/>
      <family val="1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4"/>
      <name val="Arial"/>
      <family val="2"/>
    </font>
    <font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0"/>
      <name val="Arial"/>
      <family val="2"/>
    </font>
    <font>
      <b/>
      <strike/>
      <sz val="10"/>
      <name val="Arial"/>
      <family val="2"/>
    </font>
    <font>
      <b/>
      <sz val="12"/>
      <name val="Arial"/>
      <family val="2"/>
    </font>
    <font>
      <strike/>
      <sz val="10"/>
      <name val="Calibri"/>
      <family val="2"/>
    </font>
    <font>
      <sz val="8"/>
      <name val="Arial"/>
      <family val="2"/>
    </font>
    <font>
      <b/>
      <sz val="10"/>
      <name val="Calibri"/>
      <family val="2"/>
    </font>
    <font>
      <sz val="10"/>
      <color rgb="FFFF0000"/>
      <name val="Arial"/>
      <family val="2"/>
    </font>
    <font>
      <strike/>
      <sz val="10"/>
      <name val="Cambria"/>
      <family val="1"/>
    </font>
    <font>
      <b/>
      <strike/>
      <sz val="10"/>
      <color rgb="FF00B0F0"/>
      <name val="Arial"/>
      <family val="2"/>
    </font>
    <font>
      <strike/>
      <sz val="10"/>
      <color indexed="8"/>
      <name val="Arial"/>
      <family val="2"/>
    </font>
    <font>
      <b/>
      <sz val="10"/>
      <color indexed="8"/>
      <name val="Arial"/>
      <family val="2"/>
    </font>
    <font>
      <b/>
      <strike/>
      <sz val="11"/>
      <name val="Calibri"/>
      <family val="2"/>
      <scheme val="minor"/>
    </font>
    <font>
      <sz val="10"/>
      <color theme="4"/>
      <name val="Arial"/>
      <family val="2"/>
    </font>
    <font>
      <b/>
      <i/>
      <sz val="11"/>
      <color theme="4" tint="-0.249977111117893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b/>
      <sz val="10"/>
      <color rgb="FF00B0F0"/>
      <name val="Arial"/>
      <family val="2"/>
    </font>
    <font>
      <sz val="10"/>
      <color indexed="10"/>
      <name val="Arial"/>
      <family val="2"/>
    </font>
    <font>
      <b/>
      <sz val="10"/>
      <name val="Cambria"/>
      <family val="1"/>
    </font>
    <font>
      <sz val="10"/>
      <color theme="1"/>
      <name val="Arial"/>
      <family val="2"/>
    </font>
    <font>
      <strike/>
      <sz val="10"/>
      <color theme="3" tint="0.39997558519241921"/>
      <name val="Arial"/>
      <family val="2"/>
    </font>
    <font>
      <sz val="10"/>
      <color rgb="FF00B050"/>
      <name val="Arial"/>
      <family val="2"/>
    </font>
    <font>
      <sz val="11"/>
      <color rgb="FF00B0F0"/>
      <name val="Calibri"/>
      <family val="2"/>
      <scheme val="minor"/>
    </font>
    <font>
      <strike/>
      <sz val="11"/>
      <color rgb="FF0070C0"/>
      <name val="Calibri"/>
      <family val="2"/>
      <scheme val="minor"/>
    </font>
    <font>
      <b/>
      <strike/>
      <sz val="10"/>
      <color rgb="FF0070C0"/>
      <name val="Arial"/>
      <family val="2"/>
    </font>
    <font>
      <sz val="10"/>
      <color rgb="FF00B0F0"/>
      <name val="Arial"/>
      <family val="2"/>
    </font>
    <font>
      <strike/>
      <sz val="10"/>
      <color rgb="FF0070C0"/>
      <name val="Arial"/>
      <family val="2"/>
    </font>
    <font>
      <b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342">
    <xf numFmtId="0" fontId="0" fillId="0" borderId="0" xfId="0"/>
    <xf numFmtId="0" fontId="4" fillId="2" borderId="0" xfId="1" applyFont="1" applyFill="1"/>
    <xf numFmtId="0" fontId="3" fillId="2" borderId="0" xfId="1" applyFill="1"/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wrapText="1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0" fontId="6" fillId="2" borderId="0" xfId="1" applyFont="1" applyFill="1"/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8" fillId="2" borderId="0" xfId="1" applyFont="1" applyFill="1"/>
    <xf numFmtId="0" fontId="9" fillId="2" borderId="0" xfId="1" applyFont="1" applyFill="1"/>
    <xf numFmtId="0" fontId="10" fillId="2" borderId="0" xfId="1" applyFont="1" applyFill="1"/>
    <xf numFmtId="0" fontId="4" fillId="2" borderId="0" xfId="2" applyFill="1"/>
    <xf numFmtId="0" fontId="4" fillId="2" borderId="0" xfId="1" applyFont="1" applyFill="1" applyAlignment="1">
      <alignment horizontal="left"/>
    </xf>
    <xf numFmtId="0" fontId="10" fillId="2" borderId="0" xfId="2" applyFont="1" applyFill="1"/>
    <xf numFmtId="0" fontId="4" fillId="0" borderId="0" xfId="1" applyFont="1"/>
    <xf numFmtId="0" fontId="3" fillId="0" borderId="0" xfId="1"/>
    <xf numFmtId="0" fontId="4" fillId="0" borderId="0" xfId="1" applyFont="1" applyAlignment="1">
      <alignment wrapText="1"/>
    </xf>
    <xf numFmtId="0" fontId="4" fillId="0" borderId="0" xfId="2"/>
    <xf numFmtId="0" fontId="8" fillId="0" borderId="0" xfId="3" applyFont="1"/>
    <xf numFmtId="49" fontId="4" fillId="3" borderId="0" xfId="1" applyNumberFormat="1" applyFont="1" applyFill="1"/>
    <xf numFmtId="0" fontId="4" fillId="3" borderId="0" xfId="1" applyFont="1" applyFill="1" applyAlignment="1">
      <alignment horizontal="left"/>
    </xf>
    <xf numFmtId="0" fontId="3" fillId="4" borderId="0" xfId="1" applyFill="1"/>
    <xf numFmtId="0" fontId="11" fillId="0" borderId="0" xfId="1" applyFont="1" applyAlignment="1">
      <alignment vertical="top" wrapText="1"/>
    </xf>
    <xf numFmtId="0" fontId="12" fillId="0" borderId="0" xfId="1" applyFont="1"/>
    <xf numFmtId="0" fontId="3" fillId="5" borderId="0" xfId="1" applyFill="1"/>
    <xf numFmtId="0" fontId="13" fillId="0" borderId="0" xfId="1" applyFont="1" applyAlignment="1">
      <alignment horizontal="center" vertical="center"/>
    </xf>
    <xf numFmtId="49" fontId="4" fillId="6" borderId="0" xfId="1" applyNumberFormat="1" applyFont="1" applyFill="1"/>
    <xf numFmtId="0" fontId="4" fillId="7" borderId="0" xfId="1" applyFont="1" applyFill="1" applyAlignment="1">
      <alignment horizontal="left"/>
    </xf>
    <xf numFmtId="0" fontId="13" fillId="8" borderId="0" xfId="1" applyFont="1" applyFill="1" applyAlignment="1">
      <alignment vertical="top" wrapText="1"/>
    </xf>
    <xf numFmtId="0" fontId="13" fillId="0" borderId="0" xfId="1" applyFont="1"/>
    <xf numFmtId="0" fontId="5" fillId="0" borderId="0" xfId="1" applyFont="1"/>
    <xf numFmtId="0" fontId="3" fillId="9" borderId="1" xfId="1" applyFill="1" applyBorder="1"/>
    <xf numFmtId="0" fontId="3" fillId="0" borderId="1" xfId="1" applyBorder="1"/>
    <xf numFmtId="49" fontId="14" fillId="0" borderId="0" xfId="1" applyNumberFormat="1" applyFont="1"/>
    <xf numFmtId="49" fontId="4" fillId="10" borderId="0" xfId="1" applyNumberFormat="1" applyFont="1" applyFill="1"/>
    <xf numFmtId="0" fontId="13" fillId="0" borderId="0" xfId="1" applyFont="1" applyAlignment="1">
      <alignment vertical="top" wrapText="1"/>
    </xf>
    <xf numFmtId="49" fontId="4" fillId="0" borderId="0" xfId="1" applyNumberFormat="1" applyFont="1"/>
    <xf numFmtId="0" fontId="13" fillId="0" borderId="0" xfId="1" applyFont="1" applyAlignment="1">
      <alignment horizontal="center" vertical="center" wrapText="1"/>
    </xf>
    <xf numFmtId="0" fontId="3" fillId="0" borderId="0" xfId="1" applyAlignment="1">
      <alignment vertical="top" wrapText="1"/>
    </xf>
    <xf numFmtId="49" fontId="14" fillId="0" borderId="0" xfId="1" applyNumberFormat="1" applyFont="1" applyAlignment="1">
      <alignment horizontal="center" vertical="center"/>
    </xf>
    <xf numFmtId="49" fontId="14" fillId="0" borderId="0" xfId="1" applyNumberFormat="1" applyFont="1" applyAlignment="1">
      <alignment horizontal="center" vertical="center" wrapText="1"/>
    </xf>
    <xf numFmtId="49" fontId="15" fillId="0" borderId="0" xfId="1" applyNumberFormat="1" applyFont="1"/>
    <xf numFmtId="49" fontId="14" fillId="0" borderId="0" xfId="1" applyNumberFormat="1" applyFont="1" applyAlignment="1">
      <alignment horizontal="center" vertical="center" wrapText="1"/>
    </xf>
    <xf numFmtId="0" fontId="10" fillId="0" borderId="0" xfId="2" applyFont="1"/>
    <xf numFmtId="0" fontId="16" fillId="4" borderId="0" xfId="1" applyFont="1" applyFill="1"/>
    <xf numFmtId="0" fontId="16" fillId="0" borderId="0" xfId="1" applyFont="1"/>
    <xf numFmtId="0" fontId="4" fillId="6" borderId="0" xfId="1" applyFont="1" applyFill="1" applyAlignment="1">
      <alignment horizontal="left"/>
    </xf>
    <xf numFmtId="0" fontId="4" fillId="10" borderId="0" xfId="1" applyFont="1" applyFill="1" applyAlignment="1">
      <alignment horizontal="left"/>
    </xf>
    <xf numFmtId="0" fontId="13" fillId="11" borderId="0" xfId="1" applyFont="1" applyFill="1" applyAlignment="1">
      <alignment vertical="top" wrapText="1"/>
    </xf>
    <xf numFmtId="0" fontId="13" fillId="12" borderId="0" xfId="1" applyFont="1" applyFill="1"/>
    <xf numFmtId="0" fontId="3" fillId="11" borderId="0" xfId="1" applyFill="1" applyAlignment="1">
      <alignment vertical="top" wrapText="1"/>
    </xf>
    <xf numFmtId="0" fontId="12" fillId="13" borderId="0" xfId="1" applyFont="1" applyFill="1" applyAlignment="1">
      <alignment vertical="top" wrapText="1"/>
    </xf>
    <xf numFmtId="0" fontId="17" fillId="0" borderId="0" xfId="1" applyFont="1"/>
    <xf numFmtId="0" fontId="17" fillId="12" borderId="0" xfId="1" applyFont="1" applyFill="1"/>
    <xf numFmtId="0" fontId="13" fillId="13" borderId="0" xfId="1" applyFont="1" applyFill="1" applyAlignment="1">
      <alignment vertical="top" wrapText="1"/>
    </xf>
    <xf numFmtId="0" fontId="3" fillId="12" borderId="0" xfId="1" applyFill="1"/>
    <xf numFmtId="0" fontId="11" fillId="0" borderId="0" xfId="1" applyFont="1"/>
    <xf numFmtId="49" fontId="14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8" fillId="0" borderId="0" xfId="1" applyFont="1"/>
    <xf numFmtId="0" fontId="4" fillId="0" borderId="0" xfId="1" applyFont="1" applyAlignment="1">
      <alignment horizontal="left"/>
    </xf>
    <xf numFmtId="0" fontId="3" fillId="0" borderId="0" xfId="1" applyAlignment="1">
      <alignment horizontal="center"/>
    </xf>
    <xf numFmtId="0" fontId="9" fillId="0" borderId="0" xfId="1" applyFont="1" applyAlignment="1">
      <alignment horizontal="center"/>
    </xf>
    <xf numFmtId="0" fontId="6" fillId="0" borderId="0" xfId="1" applyFont="1"/>
    <xf numFmtId="0" fontId="4" fillId="0" borderId="0" xfId="3"/>
    <xf numFmtId="0" fontId="5" fillId="0" borderId="0" xfId="3" applyFont="1"/>
    <xf numFmtId="0" fontId="4" fillId="14" borderId="2" xfId="1" quotePrefix="1" applyFont="1" applyFill="1" applyBorder="1" applyAlignment="1">
      <alignment horizontal="center"/>
    </xf>
    <xf numFmtId="0" fontId="3" fillId="0" borderId="3" xfId="1" applyBorder="1" applyAlignment="1">
      <alignment horizontal="center"/>
    </xf>
    <xf numFmtId="1" fontId="4" fillId="15" borderId="0" xfId="3" quotePrefix="1" applyNumberFormat="1" applyFill="1" applyAlignment="1">
      <alignment horizontal="center"/>
    </xf>
    <xf numFmtId="0" fontId="4" fillId="0" borderId="0" xfId="4"/>
    <xf numFmtId="0" fontId="4" fillId="14" borderId="4" xfId="1" quotePrefix="1" applyFont="1" applyFill="1" applyBorder="1" applyAlignment="1">
      <alignment horizontal="center"/>
    </xf>
    <xf numFmtId="0" fontId="3" fillId="0" borderId="5" xfId="1" applyBorder="1" applyAlignment="1">
      <alignment horizontal="center"/>
    </xf>
    <xf numFmtId="0" fontId="4" fillId="14" borderId="6" xfId="1" quotePrefix="1" applyFont="1" applyFill="1" applyBorder="1" applyAlignment="1">
      <alignment horizontal="center"/>
    </xf>
    <xf numFmtId="0" fontId="3" fillId="0" borderId="7" xfId="1" applyBorder="1" applyAlignment="1">
      <alignment horizontal="center"/>
    </xf>
    <xf numFmtId="0" fontId="18" fillId="0" borderId="0" xfId="1" applyFont="1"/>
    <xf numFmtId="0" fontId="3" fillId="0" borderId="0" xfId="1" applyAlignment="1">
      <alignment horizontal="left"/>
    </xf>
    <xf numFmtId="0" fontId="6" fillId="0" borderId="0" xfId="3" applyFont="1"/>
    <xf numFmtId="0" fontId="4" fillId="14" borderId="8" xfId="1" quotePrefix="1" applyFont="1" applyFill="1" applyBorder="1" applyAlignment="1">
      <alignment horizontal="center"/>
    </xf>
    <xf numFmtId="0" fontId="4" fillId="6" borderId="0" xfId="1" applyFont="1" applyFill="1" applyAlignment="1">
      <alignment horizontal="center" vertical="center"/>
    </xf>
    <xf numFmtId="0" fontId="10" fillId="0" borderId="0" xfId="1" applyFont="1"/>
    <xf numFmtId="0" fontId="4" fillId="0" borderId="0" xfId="1" applyFont="1" applyAlignment="1">
      <alignment horizontal="center"/>
    </xf>
    <xf numFmtId="0" fontId="3" fillId="0" borderId="0" xfId="1" applyAlignment="1">
      <alignment horizontal="center" vertical="center"/>
    </xf>
    <xf numFmtId="0" fontId="8" fillId="6" borderId="0" xfId="1" applyFont="1" applyFill="1"/>
    <xf numFmtId="0" fontId="4" fillId="0" borderId="6" xfId="3" applyBorder="1" applyAlignment="1">
      <alignment horizontal="center"/>
    </xf>
    <xf numFmtId="0" fontId="4" fillId="0" borderId="9" xfId="3" applyBorder="1" applyAlignment="1">
      <alignment horizontal="center"/>
    </xf>
    <xf numFmtId="0" fontId="4" fillId="15" borderId="0" xfId="3" applyFill="1" applyAlignment="1">
      <alignment horizontal="center"/>
    </xf>
    <xf numFmtId="0" fontId="10" fillId="0" borderId="0" xfId="3" applyFont="1"/>
    <xf numFmtId="0" fontId="4" fillId="6" borderId="0" xfId="1" applyFont="1" applyFill="1"/>
    <xf numFmtId="0" fontId="10" fillId="0" borderId="0" xfId="1" applyFont="1" applyAlignment="1">
      <alignment horizontal="left"/>
    </xf>
    <xf numFmtId="0" fontId="10" fillId="0" borderId="0" xfId="3" applyFont="1" applyAlignment="1">
      <alignment horizontal="left"/>
    </xf>
    <xf numFmtId="0" fontId="10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20" fillId="16" borderId="0" xfId="1" applyFont="1" applyFill="1" applyAlignment="1">
      <alignment horizontal="left"/>
    </xf>
    <xf numFmtId="0" fontId="4" fillId="0" borderId="0" xfId="5"/>
    <xf numFmtId="0" fontId="5" fillId="0" borderId="0" xfId="1" applyFont="1" applyAlignment="1">
      <alignment horizontal="center"/>
    </xf>
    <xf numFmtId="0" fontId="4" fillId="10" borderId="0" xfId="1" applyFont="1" applyFill="1" applyAlignment="1">
      <alignment horizontal="center" vertical="center"/>
    </xf>
    <xf numFmtId="0" fontId="9" fillId="0" borderId="0" xfId="1" applyFont="1"/>
    <xf numFmtId="0" fontId="21" fillId="0" borderId="0" xfId="1" applyFont="1"/>
    <xf numFmtId="0" fontId="4" fillId="0" borderId="0" xfId="6" applyAlignment="1">
      <alignment horizontal="left"/>
    </xf>
    <xf numFmtId="0" fontId="4" fillId="0" borderId="0" xfId="5" applyAlignment="1">
      <alignment horizontal="left"/>
    </xf>
    <xf numFmtId="0" fontId="4" fillId="17" borderId="2" xfId="5" applyFill="1" applyBorder="1"/>
    <xf numFmtId="0" fontId="22" fillId="0" borderId="10" xfId="5" applyFont="1" applyBorder="1"/>
    <xf numFmtId="0" fontId="4" fillId="0" borderId="0" xfId="7"/>
    <xf numFmtId="0" fontId="4" fillId="17" borderId="4" xfId="5" applyFill="1" applyBorder="1"/>
    <xf numFmtId="0" fontId="22" fillId="0" borderId="11" xfId="5" applyFont="1" applyBorder="1"/>
    <xf numFmtId="0" fontId="10" fillId="0" borderId="0" xfId="6" applyFont="1" applyAlignment="1">
      <alignment horizontal="left"/>
    </xf>
    <xf numFmtId="0" fontId="23" fillId="0" borderId="0" xfId="1" applyFont="1"/>
    <xf numFmtId="0" fontId="4" fillId="17" borderId="6" xfId="5" applyFill="1" applyBorder="1"/>
    <xf numFmtId="0" fontId="22" fillId="0" borderId="9" xfId="5" applyFont="1" applyBorder="1"/>
    <xf numFmtId="0" fontId="18" fillId="0" borderId="0" xfId="1" applyFont="1" applyAlignment="1">
      <alignment horizontal="left"/>
    </xf>
    <xf numFmtId="0" fontId="18" fillId="0" borderId="0" xfId="6" applyFont="1" applyAlignment="1">
      <alignment horizontal="left"/>
    </xf>
    <xf numFmtId="0" fontId="24" fillId="0" borderId="0" xfId="6" applyFont="1" applyAlignment="1">
      <alignment horizontal="left"/>
    </xf>
    <xf numFmtId="0" fontId="18" fillId="0" borderId="12" xfId="1" applyFont="1" applyBorder="1"/>
    <xf numFmtId="0" fontId="25" fillId="0" borderId="0" xfId="1" applyFont="1"/>
    <xf numFmtId="0" fontId="21" fillId="0" borderId="13" xfId="1" applyFont="1" applyBorder="1"/>
    <xf numFmtId="0" fontId="18" fillId="0" borderId="0" xfId="5" applyFont="1"/>
    <xf numFmtId="0" fontId="26" fillId="0" borderId="0" xfId="6" applyFont="1" applyAlignment="1">
      <alignment horizontal="left"/>
    </xf>
    <xf numFmtId="0" fontId="26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4" fillId="17" borderId="14" xfId="5" applyFill="1" applyBorder="1"/>
    <xf numFmtId="0" fontId="22" fillId="0" borderId="15" xfId="5" applyFont="1" applyBorder="1"/>
    <xf numFmtId="0" fontId="4" fillId="0" borderId="10" xfId="5" applyBorder="1"/>
    <xf numFmtId="0" fontId="4" fillId="0" borderId="0" xfId="8"/>
    <xf numFmtId="0" fontId="4" fillId="0" borderId="0" xfId="1" applyFont="1" applyAlignment="1">
      <alignment horizontal="center" vertical="center"/>
    </xf>
    <xf numFmtId="0" fontId="4" fillId="0" borderId="11" xfId="5" applyBorder="1"/>
    <xf numFmtId="0" fontId="4" fillId="0" borderId="0" xfId="5" applyAlignment="1">
      <alignment horizontal="center"/>
    </xf>
    <xf numFmtId="0" fontId="4" fillId="0" borderId="9" xfId="5" applyBorder="1"/>
    <xf numFmtId="0" fontId="4" fillId="18" borderId="2" xfId="1" applyFont="1" applyFill="1" applyBorder="1" applyAlignment="1">
      <alignment horizontal="center"/>
    </xf>
    <xf numFmtId="0" fontId="3" fillId="0" borderId="10" xfId="1" applyBorder="1"/>
    <xf numFmtId="0" fontId="6" fillId="0" borderId="0" xfId="1" applyFont="1" applyAlignment="1">
      <alignment horizontal="center"/>
    </xf>
    <xf numFmtId="0" fontId="4" fillId="18" borderId="4" xfId="1" applyFont="1" applyFill="1" applyBorder="1" applyAlignment="1">
      <alignment horizontal="center"/>
    </xf>
    <xf numFmtId="0" fontId="3" fillId="0" borderId="11" xfId="1" applyBorder="1"/>
    <xf numFmtId="0" fontId="4" fillId="19" borderId="0" xfId="1" applyFont="1" applyFill="1" applyAlignment="1">
      <alignment horizontal="center" vertical="center"/>
    </xf>
    <xf numFmtId="0" fontId="4" fillId="18" borderId="6" xfId="1" applyFont="1" applyFill="1" applyBorder="1" applyAlignment="1">
      <alignment horizontal="center"/>
    </xf>
    <xf numFmtId="0" fontId="3" fillId="0" borderId="9" xfId="1" applyBorder="1"/>
    <xf numFmtId="0" fontId="4" fillId="0" borderId="0" xfId="3" applyAlignment="1">
      <alignment horizontal="left"/>
    </xf>
    <xf numFmtId="0" fontId="4" fillId="0" borderId="10" xfId="1" applyFont="1" applyBorder="1" applyAlignment="1">
      <alignment horizontal="center"/>
    </xf>
    <xf numFmtId="0" fontId="18" fillId="0" borderId="0" xfId="1" applyFont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3" fillId="15" borderId="0" xfId="1" applyFill="1" applyAlignment="1">
      <alignment horizontal="center"/>
    </xf>
    <xf numFmtId="0" fontId="18" fillId="0" borderId="16" xfId="1" applyFont="1" applyBorder="1" applyAlignment="1">
      <alignment wrapText="1"/>
    </xf>
    <xf numFmtId="0" fontId="18" fillId="0" borderId="17" xfId="1" applyFont="1" applyBorder="1"/>
    <xf numFmtId="0" fontId="21" fillId="0" borderId="17" xfId="1" applyFont="1" applyBorder="1"/>
    <xf numFmtId="0" fontId="18" fillId="0" borderId="17" xfId="3" applyFont="1" applyBorder="1"/>
    <xf numFmtId="0" fontId="27" fillId="0" borderId="17" xfId="1" applyFont="1" applyBorder="1"/>
    <xf numFmtId="0" fontId="18" fillId="0" borderId="17" xfId="1" applyFont="1" applyBorder="1" applyAlignment="1">
      <alignment horizontal="left"/>
    </xf>
    <xf numFmtId="0" fontId="18" fillId="0" borderId="17" xfId="1" applyFont="1" applyBorder="1" applyAlignment="1">
      <alignment horizontal="center"/>
    </xf>
    <xf numFmtId="49" fontId="18" fillId="0" borderId="17" xfId="1" applyNumberFormat="1" applyFont="1" applyBorder="1" applyAlignment="1">
      <alignment horizontal="center"/>
    </xf>
    <xf numFmtId="0" fontId="21" fillId="0" borderId="18" xfId="1" applyFont="1" applyBorder="1"/>
    <xf numFmtId="0" fontId="3" fillId="0" borderId="12" xfId="1" applyBorder="1"/>
    <xf numFmtId="0" fontId="5" fillId="0" borderId="13" xfId="1" applyFont="1" applyBorder="1"/>
    <xf numFmtId="0" fontId="10" fillId="0" borderId="0" xfId="1" applyFont="1" applyAlignment="1">
      <alignment vertical="top"/>
    </xf>
    <xf numFmtId="0" fontId="10" fillId="0" borderId="0" xfId="4" applyFont="1" applyAlignment="1">
      <alignment horizontal="left"/>
    </xf>
    <xf numFmtId="49" fontId="4" fillId="20" borderId="2" xfId="1" applyNumberFormat="1" applyFont="1" applyFill="1" applyBorder="1" applyAlignment="1">
      <alignment horizontal="center"/>
    </xf>
    <xf numFmtId="0" fontId="3" fillId="0" borderId="10" xfId="1" applyBorder="1" applyAlignment="1">
      <alignment horizontal="center"/>
    </xf>
    <xf numFmtId="49" fontId="4" fillId="20" borderId="4" xfId="1" applyNumberFormat="1" applyFont="1" applyFill="1" applyBorder="1" applyAlignment="1">
      <alignment horizontal="center"/>
    </xf>
    <xf numFmtId="0" fontId="3" fillId="0" borderId="11" xfId="1" applyBorder="1" applyAlignment="1">
      <alignment horizontal="center"/>
    </xf>
    <xf numFmtId="0" fontId="28" fillId="0" borderId="0" xfId="1" applyFont="1"/>
    <xf numFmtId="0" fontId="4" fillId="0" borderId="0" xfId="4" applyAlignment="1">
      <alignment horizontal="left"/>
    </xf>
    <xf numFmtId="0" fontId="4" fillId="20" borderId="4" xfId="1" applyFont="1" applyFill="1" applyBorder="1" applyAlignment="1">
      <alignment horizontal="center"/>
    </xf>
    <xf numFmtId="0" fontId="3" fillId="0" borderId="0" xfId="1" applyAlignment="1">
      <alignment vertical="top"/>
    </xf>
    <xf numFmtId="0" fontId="4" fillId="20" borderId="6" xfId="1" applyFont="1" applyFill="1" applyBorder="1" applyAlignment="1">
      <alignment horizontal="center"/>
    </xf>
    <xf numFmtId="0" fontId="3" fillId="0" borderId="9" xfId="1" applyBorder="1" applyAlignment="1">
      <alignment horizontal="center"/>
    </xf>
    <xf numFmtId="0" fontId="3" fillId="0" borderId="16" xfId="1" applyBorder="1" applyAlignment="1">
      <alignment wrapText="1"/>
    </xf>
    <xf numFmtId="0" fontId="3" fillId="0" borderId="17" xfId="1" applyBorder="1"/>
    <xf numFmtId="0" fontId="5" fillId="0" borderId="17" xfId="1" applyFont="1" applyBorder="1"/>
    <xf numFmtId="0" fontId="0" fillId="0" borderId="17" xfId="3" applyFont="1" applyBorder="1"/>
    <xf numFmtId="0" fontId="8" fillId="0" borderId="17" xfId="1" applyFont="1" applyBorder="1"/>
    <xf numFmtId="0" fontId="3" fillId="0" borderId="17" xfId="1" applyBorder="1" applyAlignment="1">
      <alignment horizontal="left"/>
    </xf>
    <xf numFmtId="0" fontId="3" fillId="0" borderId="17" xfId="1" applyBorder="1" applyAlignment="1">
      <alignment horizontal="center"/>
    </xf>
    <xf numFmtId="49" fontId="3" fillId="0" borderId="17" xfId="1" applyNumberFormat="1" applyBorder="1" applyAlignment="1">
      <alignment horizontal="center"/>
    </xf>
    <xf numFmtId="0" fontId="5" fillId="6" borderId="17" xfId="1" applyFont="1" applyFill="1" applyBorder="1"/>
    <xf numFmtId="0" fontId="5" fillId="6" borderId="18" xfId="1" applyFont="1" applyFill="1" applyBorder="1"/>
    <xf numFmtId="0" fontId="3" fillId="0" borderId="0" xfId="1" applyAlignment="1">
      <alignment wrapText="1"/>
    </xf>
    <xf numFmtId="0" fontId="4" fillId="0" borderId="0" xfId="1" applyFont="1" applyAlignment="1">
      <alignment vertical="top"/>
    </xf>
    <xf numFmtId="0" fontId="19" fillId="0" borderId="0" xfId="1" applyFont="1" applyAlignment="1">
      <alignment vertical="top"/>
    </xf>
    <xf numFmtId="0" fontId="18" fillId="0" borderId="0" xfId="4" applyFont="1" applyAlignment="1">
      <alignment horizontal="left"/>
    </xf>
    <xf numFmtId="0" fontId="19" fillId="0" borderId="0" xfId="1" applyFont="1" applyAlignment="1">
      <alignment horizontal="left"/>
    </xf>
    <xf numFmtId="0" fontId="4" fillId="0" borderId="0" xfId="3" applyAlignment="1">
      <alignment horizontal="center"/>
    </xf>
    <xf numFmtId="0" fontId="9" fillId="0" borderId="0" xfId="3" applyFont="1" applyAlignment="1">
      <alignment horizontal="center"/>
    </xf>
    <xf numFmtId="0" fontId="7" fillId="0" borderId="0" xfId="1" applyFont="1" applyAlignment="1">
      <alignment horizontal="center"/>
    </xf>
    <xf numFmtId="1" fontId="4" fillId="0" borderId="0" xfId="1" applyNumberFormat="1" applyFont="1" applyAlignment="1">
      <alignment horizontal="center"/>
    </xf>
    <xf numFmtId="1" fontId="4" fillId="0" borderId="5" xfId="1" applyNumberFormat="1" applyFont="1" applyBorder="1" applyAlignment="1">
      <alignment horizontal="center"/>
    </xf>
    <xf numFmtId="1" fontId="4" fillId="0" borderId="7" xfId="1" applyNumberFormat="1" applyFont="1" applyBorder="1" applyAlignment="1">
      <alignment horizontal="center"/>
    </xf>
    <xf numFmtId="1" fontId="4" fillId="19" borderId="0" xfId="1" quotePrefix="1" applyNumberFormat="1" applyFont="1" applyFill="1" applyAlignment="1">
      <alignment horizontal="center"/>
    </xf>
    <xf numFmtId="164" fontId="4" fillId="21" borderId="3" xfId="1" quotePrefix="1" applyNumberFormat="1" applyFont="1" applyFill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0" fontId="29" fillId="0" borderId="0" xfId="1" applyFont="1" applyAlignment="1">
      <alignment vertical="top"/>
    </xf>
    <xf numFmtId="164" fontId="4" fillId="21" borderId="5" xfId="1" quotePrefix="1" applyNumberFormat="1" applyFont="1" applyFill="1" applyBorder="1" applyAlignment="1">
      <alignment horizontal="center"/>
    </xf>
    <xf numFmtId="0" fontId="12" fillId="0" borderId="0" xfId="1" applyFont="1" applyAlignment="1">
      <alignment vertical="top"/>
    </xf>
    <xf numFmtId="0" fontId="9" fillId="0" borderId="0" xfId="2" applyFont="1"/>
    <xf numFmtId="0" fontId="10" fillId="0" borderId="0" xfId="5" applyFont="1" applyAlignment="1">
      <alignment horizontal="left"/>
    </xf>
    <xf numFmtId="0" fontId="3" fillId="6" borderId="0" xfId="1" applyFill="1"/>
    <xf numFmtId="0" fontId="4" fillId="6" borderId="0" xfId="5" applyFill="1"/>
    <xf numFmtId="0" fontId="30" fillId="6" borderId="0" xfId="5" applyFont="1" applyFill="1"/>
    <xf numFmtId="1" fontId="4" fillId="0" borderId="0" xfId="1" quotePrefix="1" applyNumberFormat="1" applyFont="1" applyAlignment="1">
      <alignment horizontal="center"/>
    </xf>
    <xf numFmtId="164" fontId="4" fillId="21" borderId="7" xfId="1" quotePrefix="1" applyNumberFormat="1" applyFont="1" applyFill="1" applyBorder="1" applyAlignment="1">
      <alignment horizontal="center"/>
    </xf>
    <xf numFmtId="1" fontId="4" fillId="22" borderId="0" xfId="1" quotePrefix="1" applyNumberFormat="1" applyFont="1" applyFill="1" applyAlignment="1">
      <alignment horizontal="center"/>
    </xf>
    <xf numFmtId="164" fontId="4" fillId="23" borderId="3" xfId="1" applyNumberFormat="1" applyFont="1" applyFill="1" applyBorder="1" applyAlignment="1">
      <alignment horizontal="center"/>
    </xf>
    <xf numFmtId="0" fontId="31" fillId="0" borderId="0" xfId="1" applyFont="1"/>
    <xf numFmtId="164" fontId="4" fillId="23" borderId="5" xfId="1" applyNumberFormat="1" applyFont="1" applyFill="1" applyBorder="1" applyAlignment="1">
      <alignment horizontal="center"/>
    </xf>
    <xf numFmtId="0" fontId="4" fillId="0" borderId="0" xfId="9"/>
    <xf numFmtId="0" fontId="10" fillId="0" borderId="0" xfId="9" applyFont="1"/>
    <xf numFmtId="0" fontId="18" fillId="0" borderId="0" xfId="5" applyFont="1" applyAlignment="1">
      <alignment horizontal="left"/>
    </xf>
    <xf numFmtId="0" fontId="19" fillId="0" borderId="0" xfId="3" applyFont="1"/>
    <xf numFmtId="0" fontId="19" fillId="0" borderId="0" xfId="10" applyFont="1"/>
    <xf numFmtId="0" fontId="18" fillId="0" borderId="0" xfId="3" applyFont="1"/>
    <xf numFmtId="49" fontId="4" fillId="0" borderId="0" xfId="1" applyNumberFormat="1" applyFont="1" applyAlignment="1">
      <alignment horizontal="center"/>
    </xf>
    <xf numFmtId="0" fontId="32" fillId="0" borderId="0" xfId="1" applyFont="1"/>
    <xf numFmtId="1" fontId="4" fillId="15" borderId="0" xfId="1" quotePrefix="1" applyNumberFormat="1" applyFont="1" applyFill="1" applyAlignment="1">
      <alignment horizontal="center"/>
    </xf>
    <xf numFmtId="0" fontId="33" fillId="0" borderId="0" xfId="1" applyFont="1"/>
    <xf numFmtId="0" fontId="10" fillId="0" borderId="0" xfId="5" applyFont="1"/>
    <xf numFmtId="0" fontId="11" fillId="0" borderId="0" xfId="1" applyFont="1" applyAlignment="1">
      <alignment vertical="top"/>
    </xf>
    <xf numFmtId="0" fontId="4" fillId="4" borderId="0" xfId="1" applyFont="1" applyFill="1"/>
    <xf numFmtId="0" fontId="34" fillId="0" borderId="0" xfId="1" applyFont="1"/>
    <xf numFmtId="0" fontId="35" fillId="0" borderId="0" xfId="1" quotePrefix="1" applyFont="1"/>
    <xf numFmtId="0" fontId="35" fillId="0" borderId="0" xfId="1" applyFont="1"/>
    <xf numFmtId="0" fontId="1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35" fillId="0" borderId="0" xfId="5" applyFont="1"/>
    <xf numFmtId="0" fontId="11" fillId="0" borderId="0" xfId="1" applyFont="1" applyAlignment="1">
      <alignment vertical="center"/>
    </xf>
    <xf numFmtId="0" fontId="32" fillId="0" borderId="0" xfId="1" applyFont="1" applyAlignment="1">
      <alignment vertical="top"/>
    </xf>
    <xf numFmtId="0" fontId="36" fillId="0" borderId="0" xfId="5" applyFont="1"/>
    <xf numFmtId="0" fontId="4" fillId="22" borderId="0" xfId="1" applyFont="1" applyFill="1"/>
    <xf numFmtId="0" fontId="35" fillId="22" borderId="0" xfId="1" applyFont="1" applyFill="1"/>
    <xf numFmtId="0" fontId="11" fillId="22" borderId="0" xfId="1" applyFont="1" applyFill="1" applyAlignment="1">
      <alignment vertical="top"/>
    </xf>
    <xf numFmtId="0" fontId="4" fillId="22" borderId="0" xfId="5" applyFill="1"/>
    <xf numFmtId="0" fontId="37" fillId="0" borderId="0" xfId="5" applyFont="1"/>
    <xf numFmtId="0" fontId="3" fillId="24" borderId="0" xfId="1" applyFill="1"/>
    <xf numFmtId="0" fontId="18" fillId="24" borderId="0" xfId="3" applyFont="1" applyFill="1"/>
    <xf numFmtId="0" fontId="4" fillId="24" borderId="0" xfId="5" applyFill="1"/>
    <xf numFmtId="0" fontId="4" fillId="24" borderId="0" xfId="1" applyFont="1" applyFill="1"/>
    <xf numFmtId="0" fontId="4" fillId="0" borderId="0" xfId="2" applyAlignment="1">
      <alignment wrapText="1"/>
    </xf>
    <xf numFmtId="0" fontId="38" fillId="0" borderId="0" xfId="2" applyFont="1"/>
    <xf numFmtId="0" fontId="3" fillId="25" borderId="0" xfId="1" applyFill="1"/>
    <xf numFmtId="0" fontId="19" fillId="0" borderId="0" xfId="1" applyFont="1"/>
    <xf numFmtId="9" fontId="4" fillId="4" borderId="0" xfId="1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0" fontId="4" fillId="8" borderId="0" xfId="1" applyFont="1" applyFill="1" applyAlignment="1">
      <alignment horizontal="center" vertical="center"/>
    </xf>
    <xf numFmtId="0" fontId="3" fillId="0" borderId="14" xfId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5" fillId="26" borderId="0" xfId="1" applyFont="1" applyFill="1"/>
    <xf numFmtId="9" fontId="10" fillId="0" borderId="0" xfId="11" applyFont="1" applyAlignment="1">
      <alignment horizontal="left"/>
    </xf>
    <xf numFmtId="0" fontId="4" fillId="0" borderId="14" xfId="3" applyBorder="1" applyAlignment="1">
      <alignment horizontal="center"/>
    </xf>
    <xf numFmtId="0" fontId="4" fillId="0" borderId="15" xfId="3" applyBorder="1" applyAlignment="1">
      <alignment horizontal="center"/>
    </xf>
    <xf numFmtId="9" fontId="10" fillId="0" borderId="0" xfId="11" applyFont="1" applyFill="1" applyAlignment="1">
      <alignment horizontal="left"/>
    </xf>
    <xf numFmtId="0" fontId="4" fillId="3" borderId="0" xfId="1" applyFont="1" applyFill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9" fillId="0" borderId="0" xfId="1" applyFont="1" applyAlignment="1">
      <alignment horizontal="center"/>
    </xf>
    <xf numFmtId="0" fontId="8" fillId="16" borderId="0" xfId="1" applyFont="1" applyFill="1" applyAlignment="1">
      <alignment horizontal="center" vertical="top"/>
    </xf>
    <xf numFmtId="0" fontId="8" fillId="16" borderId="0" xfId="1" applyFont="1" applyFill="1" applyAlignment="1">
      <alignment horizontal="left" vertical="top"/>
    </xf>
    <xf numFmtId="0" fontId="10" fillId="3" borderId="0" xfId="1" applyFont="1" applyFill="1"/>
    <xf numFmtId="0" fontId="10" fillId="0" borderId="0" xfId="2" applyFont="1" applyAlignment="1">
      <alignment horizontal="center"/>
    </xf>
    <xf numFmtId="0" fontId="39" fillId="0" borderId="0" xfId="1" applyFont="1" applyAlignment="1">
      <alignment horizontal="left"/>
    </xf>
    <xf numFmtId="2" fontId="4" fillId="2" borderId="0" xfId="1" applyNumberFormat="1" applyFont="1" applyFill="1"/>
    <xf numFmtId="0" fontId="40" fillId="2" borderId="0" xfId="1" applyFont="1" applyFill="1"/>
    <xf numFmtId="0" fontId="4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/>
    </xf>
    <xf numFmtId="2" fontId="4" fillId="0" borderId="0" xfId="1" applyNumberFormat="1" applyFont="1"/>
    <xf numFmtId="0" fontId="4" fillId="0" borderId="3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8" fillId="19" borderId="0" xfId="1" applyFont="1" applyFill="1"/>
    <xf numFmtId="0" fontId="3" fillId="27" borderId="2" xfId="1" applyFill="1" applyBorder="1" applyAlignment="1">
      <alignment horizontal="center"/>
    </xf>
    <xf numFmtId="0" fontId="3" fillId="27" borderId="4" xfId="1" applyFill="1" applyBorder="1" applyAlignment="1">
      <alignment horizontal="center"/>
    </xf>
    <xf numFmtId="0" fontId="4" fillId="19" borderId="0" xfId="1" applyFont="1" applyFill="1"/>
    <xf numFmtId="0" fontId="30" fillId="0" borderId="0" xfId="1" applyFont="1"/>
    <xf numFmtId="0" fontId="3" fillId="27" borderId="6" xfId="1" applyFill="1" applyBorder="1" applyAlignment="1">
      <alignment horizontal="center"/>
    </xf>
    <xf numFmtId="164" fontId="4" fillId="28" borderId="19" xfId="1" applyNumberFormat="1" applyFont="1" applyFill="1" applyBorder="1" applyAlignment="1">
      <alignment horizontal="center"/>
    </xf>
    <xf numFmtId="164" fontId="4" fillId="28" borderId="5" xfId="1" applyNumberFormat="1" applyFont="1" applyFill="1" applyBorder="1" applyAlignment="1">
      <alignment horizontal="center"/>
    </xf>
    <xf numFmtId="164" fontId="4" fillId="28" borderId="7" xfId="1" applyNumberFormat="1" applyFont="1" applyFill="1" applyBorder="1" applyAlignment="1">
      <alignment horizontal="center"/>
    </xf>
    <xf numFmtId="0" fontId="18" fillId="29" borderId="0" xfId="1" applyFont="1" applyFill="1"/>
    <xf numFmtId="0" fontId="41" fillId="0" borderId="0" xfId="1" applyFont="1"/>
    <xf numFmtId="164" fontId="4" fillId="23" borderId="7" xfId="1" applyNumberFormat="1" applyFont="1" applyFill="1" applyBorder="1" applyAlignment="1">
      <alignment horizontal="center"/>
    </xf>
    <xf numFmtId="0" fontId="4" fillId="0" borderId="0" xfId="10"/>
    <xf numFmtId="0" fontId="4" fillId="0" borderId="0" xfId="12"/>
    <xf numFmtId="2" fontId="4" fillId="0" borderId="0" xfId="1" applyNumberFormat="1" applyFont="1" applyAlignment="1">
      <alignment wrapText="1"/>
    </xf>
    <xf numFmtId="0" fontId="4" fillId="0" borderId="0" xfId="5" applyAlignment="1">
      <alignment wrapText="1"/>
    </xf>
    <xf numFmtId="2" fontId="10" fillId="0" borderId="0" xfId="1" applyNumberFormat="1" applyFont="1"/>
    <xf numFmtId="49" fontId="10" fillId="0" borderId="0" xfId="1" applyNumberFormat="1" applyFont="1"/>
    <xf numFmtId="0" fontId="20" fillId="0" borderId="0" xfId="1" applyFont="1" applyAlignment="1">
      <alignment horizontal="left"/>
    </xf>
    <xf numFmtId="0" fontId="8" fillId="0" borderId="0" xfId="1" applyFont="1" applyAlignment="1">
      <alignment horizontal="left" vertical="top"/>
    </xf>
    <xf numFmtId="0" fontId="8" fillId="0" borderId="0" xfId="1" applyFont="1" applyAlignment="1">
      <alignment horizontal="center"/>
    </xf>
    <xf numFmtId="0" fontId="37" fillId="0" borderId="0" xfId="1" applyFont="1"/>
    <xf numFmtId="0" fontId="8" fillId="0" borderId="0" xfId="1" applyFont="1" applyAlignment="1">
      <alignment horizontal="center" vertical="center"/>
    </xf>
    <xf numFmtId="0" fontId="4" fillId="0" borderId="0" xfId="13"/>
    <xf numFmtId="0" fontId="3" fillId="6" borderId="0" xfId="1" applyFill="1" applyAlignment="1">
      <alignment horizontal="center" vertical="center"/>
    </xf>
    <xf numFmtId="0" fontId="4" fillId="6" borderId="14" xfId="3" applyFill="1" applyBorder="1" applyAlignment="1">
      <alignment horizontal="center"/>
    </xf>
    <xf numFmtId="0" fontId="4" fillId="6" borderId="15" xfId="3" applyFill="1" applyBorder="1" applyAlignment="1">
      <alignment horizontal="center"/>
    </xf>
    <xf numFmtId="0" fontId="4" fillId="0" borderId="0" xfId="3" applyAlignment="1">
      <alignment horizontal="center" vertical="center"/>
    </xf>
    <xf numFmtId="0" fontId="4" fillId="0" borderId="0" xfId="14"/>
    <xf numFmtId="0" fontId="8" fillId="4" borderId="0" xfId="1" applyFont="1" applyFill="1"/>
    <xf numFmtId="0" fontId="11" fillId="3" borderId="0" xfId="1" applyFont="1" applyFill="1" applyAlignment="1">
      <alignment horizontal="center"/>
    </xf>
    <xf numFmtId="0" fontId="42" fillId="0" borderId="0" xfId="1" applyFont="1"/>
    <xf numFmtId="0" fontId="1" fillId="0" borderId="0" xfId="1" applyFont="1"/>
    <xf numFmtId="0" fontId="11" fillId="6" borderId="0" xfId="1" applyFont="1" applyFill="1" applyAlignment="1">
      <alignment horizontal="center"/>
    </xf>
    <xf numFmtId="0" fontId="4" fillId="30" borderId="3" xfId="1" applyFont="1" applyFill="1" applyBorder="1" applyAlignment="1">
      <alignment horizontal="center"/>
    </xf>
    <xf numFmtId="0" fontId="4" fillId="30" borderId="5" xfId="1" applyFont="1" applyFill="1" applyBorder="1" applyAlignment="1">
      <alignment horizontal="center"/>
    </xf>
    <xf numFmtId="1" fontId="4" fillId="15" borderId="0" xfId="1" applyNumberFormat="1" applyFont="1" applyFill="1" applyAlignment="1">
      <alignment horizontal="center"/>
    </xf>
    <xf numFmtId="0" fontId="11" fillId="0" borderId="0" xfId="1" applyFont="1" applyAlignment="1">
      <alignment vertical="center" wrapText="1"/>
    </xf>
    <xf numFmtId="0" fontId="44" fillId="0" borderId="0" xfId="1" applyFont="1"/>
    <xf numFmtId="0" fontId="4" fillId="5" borderId="0" xfId="1" applyFont="1" applyFill="1" applyAlignment="1">
      <alignment horizontal="left"/>
    </xf>
    <xf numFmtId="0" fontId="1" fillId="0" borderId="0" xfId="1" applyFont="1" applyAlignment="1">
      <alignment vertical="top"/>
    </xf>
    <xf numFmtId="0" fontId="1" fillId="0" borderId="0" xfId="1" applyFont="1" applyAlignment="1">
      <alignment vertical="center" wrapText="1"/>
    </xf>
    <xf numFmtId="0" fontId="34" fillId="0" borderId="0" xfId="1" applyFont="1" applyAlignment="1">
      <alignment horizontal="left" vertical="center" wrapText="1"/>
    </xf>
    <xf numFmtId="0" fontId="18" fillId="0" borderId="0" xfId="10" applyFont="1"/>
    <xf numFmtId="0" fontId="4" fillId="0" borderId="0" xfId="1" quotePrefix="1" applyFont="1" applyAlignment="1">
      <alignment horizontal="center"/>
    </xf>
    <xf numFmtId="0" fontId="3" fillId="0" borderId="0" xfId="1" quotePrefix="1"/>
    <xf numFmtId="0" fontId="4" fillId="31" borderId="3" xfId="1" applyFont="1" applyFill="1" applyBorder="1" applyAlignment="1">
      <alignment horizontal="center"/>
    </xf>
    <xf numFmtId="1" fontId="4" fillId="0" borderId="11" xfId="1" applyNumberFormat="1" applyFont="1" applyBorder="1" applyAlignment="1">
      <alignment horizontal="center"/>
    </xf>
    <xf numFmtId="0" fontId="4" fillId="31" borderId="5" xfId="1" applyFont="1" applyFill="1" applyBorder="1" applyAlignment="1">
      <alignment horizontal="center"/>
    </xf>
    <xf numFmtId="0" fontId="4" fillId="31" borderId="7" xfId="1" applyFont="1" applyFill="1" applyBorder="1" applyAlignment="1">
      <alignment horizontal="center"/>
    </xf>
    <xf numFmtId="1" fontId="4" fillId="0" borderId="9" xfId="1" applyNumberFormat="1" applyFont="1" applyBorder="1" applyAlignment="1">
      <alignment horizontal="center"/>
    </xf>
    <xf numFmtId="0" fontId="3" fillId="19" borderId="0" xfId="1" applyFill="1"/>
    <xf numFmtId="0" fontId="30" fillId="19" borderId="0" xfId="1" applyFont="1" applyFill="1"/>
    <xf numFmtId="0" fontId="2" fillId="0" borderId="0" xfId="1" applyFont="1"/>
    <xf numFmtId="0" fontId="45" fillId="0" borderId="0" xfId="1" applyFont="1"/>
    <xf numFmtId="0" fontId="28" fillId="19" borderId="0" xfId="1" applyFont="1" applyFill="1"/>
    <xf numFmtId="16" fontId="4" fillId="14" borderId="14" xfId="1" quotePrefix="1" applyNumberFormat="1" applyFont="1" applyFill="1" applyBorder="1" applyAlignment="1">
      <alignment horizontal="center"/>
    </xf>
    <xf numFmtId="0" fontId="3" fillId="0" borderId="15" xfId="1" applyBorder="1" applyAlignment="1">
      <alignment horizontal="center"/>
    </xf>
    <xf numFmtId="164" fontId="4" fillId="0" borderId="0" xfId="1" applyNumberFormat="1" applyFont="1"/>
    <xf numFmtId="0" fontId="11" fillId="0" borderId="0" xfId="1" applyFont="1" applyAlignment="1">
      <alignment horizontal="center"/>
    </xf>
    <xf numFmtId="0" fontId="40" fillId="3" borderId="0" xfId="1" applyFont="1" applyFill="1"/>
    <xf numFmtId="0" fontId="4" fillId="3" borderId="0" xfId="1" applyFont="1" applyFill="1"/>
    <xf numFmtId="0" fontId="11" fillId="3" borderId="0" xfId="1" applyFont="1" applyFill="1"/>
    <xf numFmtId="0" fontId="3" fillId="3" borderId="0" xfId="1" applyFill="1"/>
    <xf numFmtId="0" fontId="24" fillId="0" borderId="0" xfId="1" applyFont="1"/>
    <xf numFmtId="0" fontId="24" fillId="0" borderId="0" xfId="2" applyFont="1"/>
    <xf numFmtId="0" fontId="46" fillId="0" borderId="0" xfId="1" applyFont="1"/>
    <xf numFmtId="0" fontId="24" fillId="0" borderId="0" xfId="3" applyFont="1"/>
    <xf numFmtId="0" fontId="47" fillId="6" borderId="0" xfId="1" applyFont="1" applyFill="1"/>
    <xf numFmtId="0" fontId="47" fillId="6" borderId="0" xfId="10" applyFont="1" applyFill="1"/>
    <xf numFmtId="0" fontId="47" fillId="6" borderId="0" xfId="9" applyFont="1" applyFill="1"/>
    <xf numFmtId="0" fontId="33" fillId="0" borderId="0" xfId="1" applyFont="1" applyAlignment="1">
      <alignment horizontal="center"/>
    </xf>
    <xf numFmtId="0" fontId="48" fillId="0" borderId="0" xfId="2" applyFont="1"/>
    <xf numFmtId="0" fontId="2" fillId="0" borderId="0" xfId="1" applyFont="1" applyAlignment="1">
      <alignment horizontal="left"/>
    </xf>
  </cellXfs>
  <cellStyles count="15">
    <cellStyle name="Normal" xfId="0" builtinId="0"/>
    <cellStyle name="Normal 10 10 2 2" xfId="5" xr:uid="{B5374C36-548F-4BDB-9FA0-E5CDC713624A}"/>
    <cellStyle name="Normal 10 11" xfId="4" xr:uid="{E5E521C6-8379-4A5C-A380-80F173301536}"/>
    <cellStyle name="Normal 2" xfId="1" xr:uid="{EF3D13DE-2A7D-434A-ADFB-22D358E2CE45}"/>
    <cellStyle name="Normal 2 10 2 2" xfId="2" xr:uid="{7A07B505-F391-4484-9257-B841D0AA28BD}"/>
    <cellStyle name="Normal 2 2 5 2" xfId="3" xr:uid="{4388BBA6-F050-4BA7-8854-6BAE61673B4A}"/>
    <cellStyle name="Normal 218" xfId="7" xr:uid="{CC9CAA8E-6206-4FA2-9CEB-2D0C185624F6}"/>
    <cellStyle name="Normal 219" xfId="8" xr:uid="{90F4E63F-8752-44EB-8C0A-A75779006605}"/>
    <cellStyle name="Normal 220" xfId="6" xr:uid="{34EA8A7E-E8BE-4BF9-AC81-F6A157CA7B40}"/>
    <cellStyle name="Normal 230" xfId="13" xr:uid="{293992DE-F92B-4F0B-80F4-EC3943340F12}"/>
    <cellStyle name="Normal 232" xfId="14" xr:uid="{1AF73775-DA12-44F4-B962-BA51A927CCEF}"/>
    <cellStyle name="Normal 72 2" xfId="12" xr:uid="{7F75DDFD-7ACD-4D7F-A251-227229D49AAE}"/>
    <cellStyle name="Normal 76 2" xfId="9" xr:uid="{6463C63B-506D-411F-B699-4F88607D98F8}"/>
    <cellStyle name="Normal 88 2" xfId="10" xr:uid="{AB3FDE49-F49D-48F7-8A06-A780A3D5FCA6}"/>
    <cellStyle name="Percent 2 2 2 2" xfId="11" xr:uid="{CB5A5444-B7D5-4F63-AFD3-5AF6AE21A500}"/>
  </cellStyles>
  <dxfs count="34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BS1\Engineering\05-Inst%20&amp;%20Controls\02%20Control%20Systems\01%20PCS\01%20IO%20lists\Latest\IO%20List%202153%20Overland%20Conveyor%20Switchroom%20BSR132_rev8_SwitchroomFAT.xlsm" TargetMode="External"/><Relationship Id="rId1" Type="http://schemas.openxmlformats.org/officeDocument/2006/relationships/externalLinkPath" Target="file:///X:\BS1\Engineering\05-Inst%20&amp;%20Controls\02%20Control%20Systems\01%20PCS\01%20IO%20lists\Latest\IO%20List%202153%20Overland%20Conveyor%20Switchroom%20BSR132_rev8_SwitchroomF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log"/>
      <sheetName val="Hardware Templates"/>
      <sheetName val="Config"/>
      <sheetName val="Main"/>
      <sheetName val="Templates"/>
      <sheetName val="Layout"/>
      <sheetName val="BOM"/>
      <sheetName val="dropdowns"/>
      <sheetName val="parameters"/>
      <sheetName val="ValveList"/>
      <sheetName val="DriveList"/>
      <sheetName val="PLCList"/>
      <sheetName val="Outcasts"/>
      <sheetName val="Exclusions"/>
      <sheetName val="NEP Patch Cable BOM"/>
      <sheetName val="IOSplit"/>
      <sheetName val="IO Unallocated"/>
      <sheetName val="IO Dump"/>
      <sheetName val="IO Allocated"/>
      <sheetName val="IO Desc"/>
      <sheetName val="EquipTagGen"/>
      <sheetName val="PLMTypes"/>
      <sheetName val="IOTagGen"/>
      <sheetName val="IOTagSim"/>
      <sheetName val="StdTagAbb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C10" t="str">
            <v>Arc_Flash</v>
          </cell>
          <cell r="D10" t="str">
            <v>test1</v>
          </cell>
          <cell r="E10" t="str">
            <v>WT</v>
          </cell>
        </row>
        <row r="28">
          <cell r="C28" t="str">
            <v>LV_DOL</v>
          </cell>
          <cell r="D28" t="str">
            <v>HV_DOL</v>
          </cell>
          <cell r="E28" t="str">
            <v>LV_VSD</v>
          </cell>
          <cell r="F28" t="str">
            <v>HV_VSD</v>
          </cell>
          <cell r="G28" t="str">
            <v>Hydraulic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wood, Brian (RTIO-WORLEYPARSONS)" id="{F5712BAD-BDD4-4087-BE00-66D4DE1BF347}" userId="S::Brian.Harwood@riotinto.com::a96d040c-cbc4-4dbd-851c-cafb0796da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77" dT="2025-09-30T08:28:04.13" personId="{F5712BAD-BDD4-4087-BE00-66D4DE1BF347}" id="{689959A5-F4E9-4BEC-A092-51EBA15C65B6}">
    <text>SHOULD THESE GO TO THE FIRE PANEL</text>
  </threadedComment>
  <threadedComment ref="P278" dT="2025-09-30T08:28:52.14" personId="{F5712BAD-BDD4-4087-BE00-66D4DE1BF347}" id="{594CD4B9-AD3E-47D6-825D-3788371271EF}">
    <text>SHOULD THESE GO TO THE FIRE PANEL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668A-E1AD-48EF-A230-753B68A83323}">
  <sheetPr codeName="Sheet9">
    <pageSetUpPr fitToPage="1"/>
  </sheetPr>
  <dimension ref="A1:BA1832"/>
  <sheetViews>
    <sheetView topLeftCell="E1" zoomScale="70" zoomScaleNormal="70" workbookViewId="0">
      <pane ySplit="1" topLeftCell="A2" activePane="bottomLeft" state="frozen"/>
      <selection activeCell="P32" sqref="P32"/>
      <selection pane="bottomLeft" activeCell="P32" sqref="P32"/>
    </sheetView>
  </sheetViews>
  <sheetFormatPr defaultColWidth="9.1796875" defaultRowHeight="13" x14ac:dyDescent="0.3"/>
  <cols>
    <col min="1" max="1" width="13.54296875" style="11" customWidth="1"/>
    <col min="2" max="2" width="16.1796875" style="8" bestFit="1" customWidth="1"/>
    <col min="3" max="3" width="8.54296875" style="8" bestFit="1" customWidth="1"/>
    <col min="4" max="4" width="7.54296875" style="9" bestFit="1" customWidth="1"/>
    <col min="5" max="5" width="7" style="10" bestFit="1" customWidth="1"/>
    <col min="6" max="7" width="8.1796875" style="9" bestFit="1" customWidth="1"/>
    <col min="8" max="8" width="7.453125" style="8" bestFit="1" customWidth="1"/>
    <col min="9" max="9" width="6.453125" style="8" bestFit="1" customWidth="1"/>
    <col min="10" max="10" width="12.26953125" style="8" bestFit="1" customWidth="1"/>
    <col min="11" max="11" width="20.26953125" style="5" bestFit="1" customWidth="1"/>
    <col min="12" max="12" width="10.7265625" style="7" bestFit="1" customWidth="1"/>
    <col min="13" max="13" width="7.54296875" style="7" bestFit="1" customWidth="1"/>
    <col min="14" max="14" width="7.1796875" style="5" bestFit="1" customWidth="1"/>
    <col min="15" max="15" width="18.26953125" style="5" bestFit="1" customWidth="1"/>
    <col min="16" max="16" width="13.7265625" style="1" bestFit="1" customWidth="1"/>
    <col min="17" max="17" width="30" style="1" bestFit="1" customWidth="1"/>
    <col min="18" max="18" width="56.26953125" style="1" bestFit="1" customWidth="1"/>
    <col min="19" max="19" width="24.7265625" style="1" bestFit="1" customWidth="1"/>
    <col min="20" max="20" width="11.7265625" style="1" bestFit="1" customWidth="1"/>
    <col min="21" max="21" width="18.453125" style="1" customWidth="1"/>
    <col min="22" max="22" width="11.7265625" style="1" bestFit="1" customWidth="1"/>
    <col min="23" max="23" width="17.54296875" style="1" bestFit="1" customWidth="1"/>
    <col min="24" max="24" width="20.7265625" style="5" bestFit="1" customWidth="1"/>
    <col min="25" max="25" width="9.81640625" style="6" bestFit="1" customWidth="1"/>
    <col min="26" max="26" width="42.81640625" style="5" bestFit="1" customWidth="1"/>
    <col min="27" max="27" width="8" style="1" bestFit="1" customWidth="1"/>
    <col min="28" max="28" width="8.1796875" style="1" bestFit="1" customWidth="1"/>
    <col min="29" max="29" width="13.1796875" style="4" bestFit="1" customWidth="1"/>
    <col min="30" max="30" width="11.81640625" style="1" bestFit="1" customWidth="1"/>
    <col min="31" max="31" width="12.54296875" style="1" bestFit="1" customWidth="1"/>
    <col min="32" max="32" width="11.453125" style="1" bestFit="1" customWidth="1"/>
    <col min="33" max="33" width="10.453125" style="1" bestFit="1" customWidth="1"/>
    <col min="34" max="34" width="8.81640625" style="3" bestFit="1" customWidth="1"/>
    <col min="35" max="38" width="4.1796875" style="3" bestFit="1" customWidth="1"/>
    <col min="39" max="39" width="17.1796875" style="1" bestFit="1" customWidth="1"/>
    <col min="40" max="40" width="19.81640625" style="1" bestFit="1" customWidth="1"/>
    <col min="41" max="41" width="18.26953125" style="1" bestFit="1" customWidth="1"/>
    <col min="42" max="42" width="10.7265625" style="2" bestFit="1" customWidth="1"/>
    <col min="43" max="43" width="10" style="2" bestFit="1" customWidth="1"/>
    <col min="44" max="44" width="10.453125" style="2" bestFit="1" customWidth="1"/>
    <col min="45" max="45" width="16" style="2" bestFit="1" customWidth="1"/>
    <col min="46" max="53" width="15" style="2" bestFit="1" customWidth="1"/>
    <col min="54" max="16384" width="9.1796875" style="1"/>
  </cols>
  <sheetData>
    <row r="1" spans="1:53" s="83" customFormat="1" x14ac:dyDescent="0.3">
      <c r="A1" s="92" t="s">
        <v>1157</v>
      </c>
      <c r="B1" s="92" t="s">
        <v>1156</v>
      </c>
      <c r="C1" s="92" t="s">
        <v>1155</v>
      </c>
      <c r="D1" s="92" t="s">
        <v>1154</v>
      </c>
      <c r="E1" s="259" t="s">
        <v>1153</v>
      </c>
      <c r="F1" s="92" t="s">
        <v>1152</v>
      </c>
      <c r="G1" s="92" t="s">
        <v>1151</v>
      </c>
      <c r="H1" s="92" t="s">
        <v>1150</v>
      </c>
      <c r="I1" s="92" t="s">
        <v>1149</v>
      </c>
      <c r="J1" s="92" t="s">
        <v>1148</v>
      </c>
      <c r="K1" s="83" t="s">
        <v>1147</v>
      </c>
      <c r="L1" s="92" t="s">
        <v>1146</v>
      </c>
      <c r="M1" s="92" t="s">
        <v>1145</v>
      </c>
      <c r="N1" s="83" t="s">
        <v>1134</v>
      </c>
      <c r="O1" s="83" t="s">
        <v>1144</v>
      </c>
      <c r="P1" s="83" t="s">
        <v>1143</v>
      </c>
      <c r="Q1" s="83" t="s">
        <v>1142</v>
      </c>
      <c r="R1" s="83" t="s">
        <v>1141</v>
      </c>
      <c r="S1" s="83" t="s">
        <v>1140</v>
      </c>
      <c r="T1" s="83" t="s">
        <v>1139</v>
      </c>
      <c r="U1" s="83" t="s">
        <v>1138</v>
      </c>
      <c r="V1" s="83" t="s">
        <v>1137</v>
      </c>
      <c r="W1" s="83" t="s">
        <v>1136</v>
      </c>
      <c r="X1" s="83" t="s">
        <v>1135</v>
      </c>
      <c r="Y1" s="94" t="s">
        <v>1134</v>
      </c>
      <c r="Z1" s="83" t="s">
        <v>1133</v>
      </c>
      <c r="AA1" s="46" t="s">
        <v>1132</v>
      </c>
      <c r="AB1" s="46" t="s">
        <v>1131</v>
      </c>
      <c r="AC1" s="46" t="s">
        <v>1130</v>
      </c>
      <c r="AD1" s="46" t="s">
        <v>1129</v>
      </c>
      <c r="AE1" s="46" t="s">
        <v>1128</v>
      </c>
      <c r="AF1" s="46" t="s">
        <v>1127</v>
      </c>
      <c r="AG1" s="46" t="s">
        <v>1126</v>
      </c>
      <c r="AH1" s="258" t="s">
        <v>1125</v>
      </c>
      <c r="AI1" s="258" t="s">
        <v>1124</v>
      </c>
      <c r="AJ1" s="258" t="s">
        <v>1123</v>
      </c>
      <c r="AK1" s="258" t="s">
        <v>1122</v>
      </c>
      <c r="AL1" s="258" t="s">
        <v>1121</v>
      </c>
      <c r="AM1" s="46"/>
      <c r="AN1" s="46"/>
      <c r="AO1" s="46"/>
      <c r="AP1" s="257" t="s">
        <v>1120</v>
      </c>
      <c r="AQ1" s="257" t="s">
        <v>1119</v>
      </c>
      <c r="AR1" s="257" t="s">
        <v>1118</v>
      </c>
      <c r="AS1" s="257" t="s">
        <v>1117</v>
      </c>
      <c r="AT1" s="257" t="s">
        <v>1116</v>
      </c>
      <c r="AU1" s="257" t="s">
        <v>1115</v>
      </c>
      <c r="AV1" s="257" t="s">
        <v>1114</v>
      </c>
      <c r="AW1" s="257" t="s">
        <v>1113</v>
      </c>
      <c r="AX1" s="257" t="s">
        <v>1112</v>
      </c>
      <c r="AY1" s="257" t="s">
        <v>1111</v>
      </c>
      <c r="AZ1" s="257" t="s">
        <v>1110</v>
      </c>
      <c r="BA1" s="257" t="s">
        <v>1109</v>
      </c>
    </row>
    <row r="2" spans="1:53" s="17" customFormat="1" x14ac:dyDescent="0.3">
      <c r="A2" s="83"/>
      <c r="B2" s="83"/>
      <c r="C2" s="83"/>
      <c r="E2" s="254"/>
      <c r="F2" s="94"/>
      <c r="G2" s="94"/>
      <c r="H2" s="83"/>
      <c r="I2" s="83"/>
      <c r="J2" s="83"/>
      <c r="K2" s="83"/>
      <c r="L2" s="92"/>
      <c r="M2" s="92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94"/>
      <c r="Z2" s="83"/>
      <c r="AA2" s="46"/>
      <c r="AB2" s="46"/>
      <c r="AC2" s="19"/>
      <c r="AH2" s="84"/>
      <c r="AI2" s="84"/>
      <c r="AJ2" s="84"/>
      <c r="AK2" s="84"/>
      <c r="AL2" s="84"/>
      <c r="AP2" s="18"/>
      <c r="AQ2" s="18"/>
      <c r="AR2" s="18"/>
      <c r="AS2" s="18"/>
      <c r="AT2" s="18"/>
      <c r="AW2" s="18"/>
    </row>
    <row r="3" spans="1:53" s="17" customFormat="1" ht="15.5" x14ac:dyDescent="0.35">
      <c r="A3" s="256"/>
      <c r="B3" s="96" t="s">
        <v>1108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5"/>
      <c r="Z3" s="83"/>
      <c r="AA3" s="83"/>
      <c r="AB3" s="83"/>
      <c r="AC3" s="19"/>
      <c r="AH3" s="84"/>
      <c r="AI3" s="84"/>
      <c r="AJ3" s="84"/>
      <c r="AK3" s="84"/>
      <c r="AL3" s="84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</row>
    <row r="4" spans="1:53" s="17" customFormat="1" ht="13.5" thickBot="1" x14ac:dyDescent="0.35">
      <c r="A4" s="247" t="s">
        <v>1092</v>
      </c>
      <c r="B4" s="83"/>
      <c r="C4" s="83"/>
      <c r="D4" s="94"/>
      <c r="E4" s="254"/>
      <c r="F4" s="94"/>
      <c r="G4" s="94"/>
      <c r="H4" s="83"/>
      <c r="I4" s="83"/>
      <c r="J4" s="90"/>
      <c r="K4" s="90"/>
      <c r="L4" s="93"/>
      <c r="M4" s="248"/>
      <c r="N4" s="90"/>
      <c r="O4" s="90"/>
      <c r="P4" s="90"/>
      <c r="Q4" s="90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19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3" s="17" customFormat="1" ht="13.5" thickBot="1" x14ac:dyDescent="0.35">
      <c r="A5" s="86" t="s">
        <v>273</v>
      </c>
      <c r="B5" s="68" t="s">
        <v>272</v>
      </c>
      <c r="C5" s="68" t="s">
        <v>1107</v>
      </c>
      <c r="D5" s="84">
        <v>132</v>
      </c>
      <c r="E5" s="84">
        <v>0</v>
      </c>
      <c r="F5" s="84">
        <v>0</v>
      </c>
      <c r="G5" s="84">
        <v>0</v>
      </c>
      <c r="H5" s="65"/>
      <c r="I5" s="250" t="s">
        <v>1090</v>
      </c>
      <c r="J5" s="249"/>
      <c r="K5" s="68" t="s">
        <v>1089</v>
      </c>
      <c r="L5" s="92"/>
      <c r="M5" s="248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C5" s="19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</row>
    <row r="6" spans="1:53" s="17" customFormat="1" ht="13.5" thickBot="1" x14ac:dyDescent="0.35">
      <c r="A6" s="63" t="str">
        <f>A5</f>
        <v>BSR132</v>
      </c>
      <c r="B6" s="68" t="str">
        <f>+B5</f>
        <v>DX01</v>
      </c>
      <c r="C6" s="68" t="str">
        <f>+C5</f>
        <v>DIO0</v>
      </c>
      <c r="D6" s="84">
        <f>+D5</f>
        <v>132</v>
      </c>
      <c r="E6" s="84">
        <v>0</v>
      </c>
      <c r="F6" s="84">
        <v>0</v>
      </c>
      <c r="G6" s="84">
        <v>0</v>
      </c>
      <c r="H6" s="65"/>
      <c r="I6" s="250" t="s">
        <v>1088</v>
      </c>
      <c r="J6" s="87"/>
      <c r="K6" s="68" t="s">
        <v>1087</v>
      </c>
      <c r="L6" s="92"/>
      <c r="M6" s="251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C6" s="19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</row>
    <row r="7" spans="1:53" s="17" customFormat="1" ht="13.5" thickBot="1" x14ac:dyDescent="0.35">
      <c r="A7" s="63" t="str">
        <f>A6</f>
        <v>BSR132</v>
      </c>
      <c r="B7" s="68" t="str">
        <f>+B6</f>
        <v>DX01</v>
      </c>
      <c r="C7" s="68" t="str">
        <f>+C6</f>
        <v>DIO0</v>
      </c>
      <c r="D7" s="84">
        <f>+D6</f>
        <v>132</v>
      </c>
      <c r="E7" s="84">
        <v>0</v>
      </c>
      <c r="F7" s="84">
        <v>0</v>
      </c>
      <c r="G7" s="84">
        <v>0</v>
      </c>
      <c r="H7" s="89">
        <v>0</v>
      </c>
      <c r="I7" s="250" t="s">
        <v>1106</v>
      </c>
      <c r="J7" s="249"/>
      <c r="K7" s="68" t="s">
        <v>1105</v>
      </c>
      <c r="L7" s="99" t="s">
        <v>287</v>
      </c>
      <c r="M7" s="251"/>
      <c r="P7" s="90"/>
      <c r="Q7" s="90"/>
      <c r="R7" s="83" t="s">
        <v>1104</v>
      </c>
      <c r="S7" s="90"/>
      <c r="T7" s="90"/>
      <c r="U7" s="90"/>
      <c r="V7" s="90"/>
      <c r="X7" s="90"/>
      <c r="Y7" s="90"/>
      <c r="Z7" s="90"/>
      <c r="AC7" s="19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</row>
    <row r="8" spans="1:53" s="17" customFormat="1" ht="13.5" thickBot="1" x14ac:dyDescent="0.35">
      <c r="A8" s="63" t="str">
        <f>A7</f>
        <v>BSR132</v>
      </c>
      <c r="B8" s="68" t="str">
        <f>+B7</f>
        <v>DX01</v>
      </c>
      <c r="C8" s="68" t="str">
        <f>+C7</f>
        <v>DIO0</v>
      </c>
      <c r="D8" s="84">
        <f>+D7</f>
        <v>132</v>
      </c>
      <c r="E8" s="84">
        <v>0</v>
      </c>
      <c r="F8" s="84">
        <v>0</v>
      </c>
      <c r="G8" s="84">
        <v>0</v>
      </c>
      <c r="H8" s="89" t="s">
        <v>1103</v>
      </c>
      <c r="I8" s="250" t="s">
        <v>1102</v>
      </c>
      <c r="J8" s="249"/>
      <c r="K8" s="68" t="s">
        <v>1101</v>
      </c>
      <c r="L8" s="253"/>
      <c r="M8" s="251"/>
      <c r="P8" s="90"/>
      <c r="Q8" s="90"/>
      <c r="R8" s="90"/>
      <c r="S8" s="90"/>
      <c r="T8" s="90"/>
      <c r="U8" s="90"/>
      <c r="V8" s="90"/>
      <c r="X8" s="90"/>
      <c r="Y8" s="90"/>
      <c r="Z8" s="90"/>
      <c r="AC8" s="19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</row>
    <row r="9" spans="1:53" s="17" customFormat="1" ht="13.5" thickBot="1" x14ac:dyDescent="0.35">
      <c r="A9" s="63" t="str">
        <f>A8</f>
        <v>BSR132</v>
      </c>
      <c r="B9" s="68" t="str">
        <f>+B8</f>
        <v>DX01</v>
      </c>
      <c r="C9" s="68" t="str">
        <f>+C8</f>
        <v>DIO0</v>
      </c>
      <c r="D9" s="84">
        <f>+D8</f>
        <v>132</v>
      </c>
      <c r="E9" s="84">
        <v>0</v>
      </c>
      <c r="F9" s="84">
        <v>0</v>
      </c>
      <c r="G9" s="84">
        <v>0</v>
      </c>
      <c r="H9" s="72">
        <v>2</v>
      </c>
      <c r="I9" s="250" t="s">
        <v>1094</v>
      </c>
      <c r="J9" s="249"/>
      <c r="K9" s="68" t="s">
        <v>698</v>
      </c>
      <c r="L9" s="90"/>
      <c r="M9" s="251"/>
      <c r="P9" s="90"/>
      <c r="Q9" s="90"/>
      <c r="R9" s="90"/>
      <c r="S9" s="90"/>
      <c r="T9" s="90"/>
      <c r="U9" s="90"/>
      <c r="V9" s="90"/>
      <c r="X9" s="90"/>
      <c r="Y9" s="90"/>
      <c r="Z9" s="90"/>
      <c r="AC9" s="19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</row>
    <row r="10" spans="1:53" s="17" customFormat="1" ht="13.5" thickBot="1" x14ac:dyDescent="0.35">
      <c r="A10" s="63" t="str">
        <f>A9</f>
        <v>BSR132</v>
      </c>
      <c r="B10" s="68" t="str">
        <f>+B9</f>
        <v>DX01</v>
      </c>
      <c r="C10" s="68" t="str">
        <f>+C9</f>
        <v>DIO0</v>
      </c>
      <c r="D10" s="84">
        <f>+D9</f>
        <v>132</v>
      </c>
      <c r="E10" s="84">
        <v>0</v>
      </c>
      <c r="F10" s="84">
        <v>0</v>
      </c>
      <c r="G10" s="84">
        <v>0</v>
      </c>
      <c r="H10" s="72">
        <f>+H9+1</f>
        <v>3</v>
      </c>
      <c r="I10" s="250" t="s">
        <v>1083</v>
      </c>
      <c r="J10" s="249"/>
      <c r="K10" s="68" t="s">
        <v>1097</v>
      </c>
      <c r="L10" s="252" t="s">
        <v>322</v>
      </c>
      <c r="M10" s="251"/>
      <c r="P10" s="90"/>
      <c r="Q10" s="90"/>
      <c r="R10" s="90" t="s">
        <v>1100</v>
      </c>
      <c r="S10" s="90"/>
      <c r="T10" s="90"/>
      <c r="U10" s="90"/>
      <c r="V10" s="90"/>
      <c r="X10" s="90"/>
      <c r="Y10" s="90"/>
      <c r="Z10" s="90"/>
      <c r="AC10" s="19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</row>
    <row r="11" spans="1:53" s="17" customFormat="1" ht="13.5" thickBot="1" x14ac:dyDescent="0.35">
      <c r="A11" s="63" t="str">
        <f>A10</f>
        <v>BSR132</v>
      </c>
      <c r="B11" s="68" t="str">
        <f>+B10</f>
        <v>DX01</v>
      </c>
      <c r="C11" s="68" t="str">
        <f>+C10</f>
        <v>DIO0</v>
      </c>
      <c r="D11" s="84">
        <f>+D10</f>
        <v>132</v>
      </c>
      <c r="E11" s="84">
        <v>0</v>
      </c>
      <c r="F11" s="84">
        <v>0</v>
      </c>
      <c r="G11" s="84">
        <v>0</v>
      </c>
      <c r="H11" s="72">
        <f>+H10+1</f>
        <v>4</v>
      </c>
      <c r="I11" s="250" t="s">
        <v>1083</v>
      </c>
      <c r="J11" s="249"/>
      <c r="K11" s="68" t="s">
        <v>1097</v>
      </c>
      <c r="L11" s="136" t="s">
        <v>1099</v>
      </c>
      <c r="M11" s="251"/>
      <c r="P11" s="90"/>
      <c r="Q11" s="90"/>
      <c r="R11" s="90" t="s">
        <v>1098</v>
      </c>
      <c r="S11" s="90"/>
      <c r="T11" s="90"/>
      <c r="U11" s="90"/>
      <c r="V11" s="90"/>
      <c r="X11" s="90"/>
      <c r="Y11" s="90"/>
      <c r="Z11" s="90"/>
      <c r="AC11" s="19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</row>
    <row r="12" spans="1:53" s="17" customFormat="1" ht="13.5" thickBot="1" x14ac:dyDescent="0.35">
      <c r="A12" s="63" t="str">
        <f>A11</f>
        <v>BSR132</v>
      </c>
      <c r="B12" s="68" t="str">
        <f>+B11</f>
        <v>DX01</v>
      </c>
      <c r="C12" s="68" t="str">
        <f>+C11</f>
        <v>DIO0</v>
      </c>
      <c r="D12" s="84">
        <f>+D11</f>
        <v>132</v>
      </c>
      <c r="E12" s="84">
        <v>0</v>
      </c>
      <c r="F12" s="84">
        <v>0</v>
      </c>
      <c r="G12" s="84">
        <v>0</v>
      </c>
      <c r="H12" s="72">
        <v>5</v>
      </c>
      <c r="I12" s="250" t="s">
        <v>1083</v>
      </c>
      <c r="J12" s="249"/>
      <c r="K12" s="68" t="s">
        <v>1097</v>
      </c>
      <c r="L12" s="99" t="s">
        <v>287</v>
      </c>
      <c r="M12" s="251"/>
      <c r="P12" s="90"/>
      <c r="Q12" s="90"/>
      <c r="R12" s="90" t="s">
        <v>1096</v>
      </c>
      <c r="S12" s="90"/>
      <c r="T12" s="90"/>
      <c r="U12" s="90"/>
      <c r="V12" s="90"/>
      <c r="X12" s="90"/>
      <c r="Y12" s="90"/>
      <c r="Z12" s="90"/>
      <c r="AC12" s="19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</row>
    <row r="13" spans="1:53" s="17" customFormat="1" ht="13.5" thickBot="1" x14ac:dyDescent="0.35">
      <c r="A13" s="63" t="str">
        <f>A12</f>
        <v>BSR132</v>
      </c>
      <c r="B13" s="68" t="str">
        <f>+B12</f>
        <v>DX01</v>
      </c>
      <c r="C13" s="68" t="str">
        <f>+C12</f>
        <v>DIO0</v>
      </c>
      <c r="D13" s="84">
        <f>+D12</f>
        <v>132</v>
      </c>
      <c r="E13" s="84">
        <v>0</v>
      </c>
      <c r="F13" s="84">
        <v>0</v>
      </c>
      <c r="G13" s="84">
        <v>0</v>
      </c>
      <c r="H13" s="72">
        <f>+H12+1</f>
        <v>6</v>
      </c>
      <c r="I13" s="250" t="s">
        <v>1095</v>
      </c>
      <c r="J13" s="249"/>
      <c r="K13" s="68" t="s">
        <v>698</v>
      </c>
      <c r="L13" s="92"/>
      <c r="M13" s="248"/>
      <c r="P13" s="90"/>
      <c r="Q13" s="90"/>
      <c r="R13" s="90"/>
      <c r="S13" s="90"/>
      <c r="T13" s="90"/>
      <c r="U13" s="90"/>
      <c r="V13" s="90"/>
      <c r="X13" s="90"/>
      <c r="Y13" s="90"/>
      <c r="Z13" s="90"/>
      <c r="AC13" s="19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</row>
    <row r="14" spans="1:53" s="17" customFormat="1" ht="13.5" thickBot="1" x14ac:dyDescent="0.35">
      <c r="A14" s="63" t="str">
        <f>A13</f>
        <v>BSR132</v>
      </c>
      <c r="B14" s="68" t="str">
        <f>+B13</f>
        <v>DX01</v>
      </c>
      <c r="C14" s="68" t="str">
        <f>+C13</f>
        <v>DIO0</v>
      </c>
      <c r="D14" s="84">
        <f>+D13</f>
        <v>132</v>
      </c>
      <c r="E14" s="84">
        <v>0</v>
      </c>
      <c r="F14" s="84">
        <v>0</v>
      </c>
      <c r="G14" s="84">
        <v>0</v>
      </c>
      <c r="H14" s="72">
        <f>+H13+1</f>
        <v>7</v>
      </c>
      <c r="I14" s="250" t="s">
        <v>1095</v>
      </c>
      <c r="J14" s="249"/>
      <c r="K14" s="68" t="s">
        <v>698</v>
      </c>
      <c r="L14" s="92"/>
      <c r="M14" s="248"/>
      <c r="P14" s="90"/>
      <c r="Q14" s="90"/>
      <c r="R14" s="90"/>
      <c r="S14" s="90"/>
      <c r="T14" s="90"/>
      <c r="U14" s="90"/>
      <c r="V14" s="90"/>
      <c r="X14" s="90"/>
      <c r="Y14" s="90"/>
      <c r="Z14" s="90"/>
      <c r="AC14" s="19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</row>
    <row r="15" spans="1:53" s="17" customFormat="1" ht="13.5" thickBot="1" x14ac:dyDescent="0.35">
      <c r="A15" s="63" t="str">
        <f>A14</f>
        <v>BSR132</v>
      </c>
      <c r="B15" s="68" t="str">
        <f>+B14</f>
        <v>DX01</v>
      </c>
      <c r="C15" s="68" t="str">
        <f>+C14</f>
        <v>DIO0</v>
      </c>
      <c r="D15" s="84">
        <f>+D14</f>
        <v>132</v>
      </c>
      <c r="E15" s="84">
        <v>0</v>
      </c>
      <c r="F15" s="84">
        <v>0</v>
      </c>
      <c r="G15" s="84">
        <v>0</v>
      </c>
      <c r="H15" s="72">
        <f>+H14+1</f>
        <v>8</v>
      </c>
      <c r="I15" s="250" t="s">
        <v>1094</v>
      </c>
      <c r="J15" s="249"/>
      <c r="K15" s="68" t="s">
        <v>698</v>
      </c>
      <c r="L15" s="92"/>
      <c r="M15" s="248"/>
      <c r="P15" s="90"/>
      <c r="Q15" s="90"/>
      <c r="R15" s="90"/>
      <c r="S15" s="90"/>
      <c r="T15" s="90"/>
      <c r="U15" s="90"/>
      <c r="V15" s="90"/>
      <c r="X15" s="90"/>
      <c r="Y15" s="90"/>
      <c r="Z15" s="90"/>
      <c r="AC15" s="19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</row>
    <row r="16" spans="1:53" s="17" customFormat="1" ht="13.5" thickBot="1" x14ac:dyDescent="0.35">
      <c r="A16" s="63" t="str">
        <f>A15</f>
        <v>BSR132</v>
      </c>
      <c r="B16" s="68" t="str">
        <f>+B15</f>
        <v>DX01</v>
      </c>
      <c r="C16" s="68" t="str">
        <f>+C15</f>
        <v>DIO0</v>
      </c>
      <c r="D16" s="84">
        <f>+D15</f>
        <v>132</v>
      </c>
      <c r="E16" s="84">
        <v>0</v>
      </c>
      <c r="F16" s="84">
        <v>0</v>
      </c>
      <c r="G16" s="84">
        <v>0</v>
      </c>
      <c r="H16" s="72">
        <f>+H15+1</f>
        <v>9</v>
      </c>
      <c r="I16" s="250" t="s">
        <v>1095</v>
      </c>
      <c r="J16" s="249"/>
      <c r="K16" s="68" t="s">
        <v>698</v>
      </c>
      <c r="L16" s="92"/>
      <c r="M16" s="248"/>
      <c r="P16" s="90"/>
      <c r="Q16" s="90"/>
      <c r="R16" s="90"/>
      <c r="S16" s="90"/>
      <c r="T16" s="90"/>
      <c r="U16" s="90"/>
      <c r="V16" s="90"/>
      <c r="X16" s="90"/>
      <c r="Y16" s="90"/>
      <c r="Z16" s="90"/>
      <c r="AC16" s="19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</row>
    <row r="17" spans="1:53" s="17" customFormat="1" ht="13.5" thickBot="1" x14ac:dyDescent="0.35">
      <c r="A17" s="63" t="str">
        <f>A16</f>
        <v>BSR132</v>
      </c>
      <c r="B17" s="68" t="str">
        <f>+B16</f>
        <v>DX01</v>
      </c>
      <c r="C17" s="68" t="str">
        <f>+C16</f>
        <v>DIO0</v>
      </c>
      <c r="D17" s="84">
        <f>+D16</f>
        <v>132</v>
      </c>
      <c r="E17" s="84">
        <v>0</v>
      </c>
      <c r="F17" s="84">
        <v>0</v>
      </c>
      <c r="G17" s="84">
        <v>0</v>
      </c>
      <c r="H17" s="72">
        <f>+H16+1</f>
        <v>10</v>
      </c>
      <c r="I17" s="250" t="s">
        <v>1094</v>
      </c>
      <c r="J17" s="249"/>
      <c r="K17" s="68" t="s">
        <v>698</v>
      </c>
      <c r="L17" s="92"/>
      <c r="M17" s="248"/>
      <c r="P17" s="90"/>
      <c r="Q17" s="90"/>
      <c r="R17" s="90"/>
      <c r="S17" s="90"/>
      <c r="T17" s="90"/>
      <c r="U17" s="90"/>
      <c r="V17" s="90"/>
      <c r="X17" s="90"/>
      <c r="Y17" s="90"/>
      <c r="Z17" s="90"/>
      <c r="AC17" s="19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</row>
    <row r="18" spans="1:53" s="17" customFormat="1" ht="13.5" thickBot="1" x14ac:dyDescent="0.35">
      <c r="A18" s="63" t="str">
        <f>A17</f>
        <v>BSR132</v>
      </c>
      <c r="B18" s="68" t="str">
        <f>+B13</f>
        <v>DX01</v>
      </c>
      <c r="C18" s="68" t="str">
        <f>+C13</f>
        <v>DIO0</v>
      </c>
      <c r="D18" s="84">
        <f>+D17</f>
        <v>132</v>
      </c>
      <c r="E18" s="84">
        <v>0</v>
      </c>
      <c r="F18" s="84">
        <v>0</v>
      </c>
      <c r="G18" s="84">
        <v>0</v>
      </c>
      <c r="H18" s="72">
        <f>+H17+1</f>
        <v>11</v>
      </c>
      <c r="I18" s="245" t="s">
        <v>1093</v>
      </c>
      <c r="J18" s="244"/>
      <c r="K18" s="68" t="s">
        <v>698</v>
      </c>
      <c r="L18" s="127"/>
      <c r="M18" s="248"/>
      <c r="P18" s="90"/>
      <c r="Q18" s="90"/>
      <c r="R18" s="90"/>
      <c r="S18" s="90"/>
      <c r="T18" s="90"/>
      <c r="U18" s="90"/>
      <c r="V18" s="90"/>
      <c r="X18" s="90"/>
      <c r="Y18" s="90"/>
      <c r="Z18" s="90"/>
      <c r="AC18" s="19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</row>
    <row r="19" spans="1:53" s="17" customFormat="1" x14ac:dyDescent="0.3">
      <c r="A19" s="83"/>
      <c r="B19" s="83"/>
      <c r="C19" s="83"/>
      <c r="D19" s="94"/>
      <c r="E19" s="94"/>
      <c r="F19" s="94"/>
      <c r="G19" s="94"/>
      <c r="H19" s="83"/>
      <c r="I19" s="83"/>
      <c r="J19" s="83"/>
      <c r="K19" s="83"/>
      <c r="L19" s="92"/>
      <c r="M19" s="248"/>
      <c r="N19" s="83"/>
      <c r="O19" s="83"/>
      <c r="P19" s="83"/>
      <c r="Q19" s="83"/>
      <c r="R19" s="83"/>
      <c r="S19" s="83"/>
      <c r="T19" s="83"/>
      <c r="U19" s="83"/>
      <c r="V19" s="83"/>
      <c r="X19" s="83"/>
      <c r="Y19" s="83"/>
      <c r="Z19" s="83"/>
      <c r="AC19" s="19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</row>
    <row r="20" spans="1:53" s="17" customFormat="1" x14ac:dyDescent="0.3">
      <c r="A20" s="83"/>
      <c r="B20" s="83"/>
      <c r="C20" s="83"/>
      <c r="D20" s="94"/>
      <c r="E20" s="94"/>
      <c r="F20" s="94"/>
      <c r="G20" s="94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237"/>
      <c r="S20" s="83"/>
      <c r="T20" s="83"/>
      <c r="U20" s="83"/>
      <c r="V20" s="83"/>
      <c r="X20" s="83"/>
      <c r="Y20" s="83"/>
      <c r="Z20" s="83"/>
      <c r="AC20" s="19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</row>
    <row r="21" spans="1:53" s="17" customFormat="1" x14ac:dyDescent="0.3">
      <c r="A21" s="247" t="s">
        <v>1092</v>
      </c>
      <c r="B21" s="83"/>
      <c r="C21" s="83"/>
      <c r="D21" s="94"/>
      <c r="E21" s="94"/>
      <c r="F21" s="94"/>
      <c r="G21" s="94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97"/>
      <c r="S21" s="83"/>
      <c r="T21" s="83"/>
      <c r="U21" s="83"/>
      <c r="V21" s="83"/>
      <c r="X21" s="83"/>
      <c r="Y21" s="83"/>
      <c r="Z21" s="83"/>
      <c r="AC21" s="19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</row>
    <row r="22" spans="1:53" s="17" customFormat="1" ht="13.5" thickBot="1" x14ac:dyDescent="0.35">
      <c r="A22" s="162" t="s">
        <v>1091</v>
      </c>
      <c r="B22" s="83"/>
      <c r="C22" s="83"/>
      <c r="D22" s="94"/>
      <c r="E22" s="94"/>
      <c r="F22" s="94"/>
      <c r="G22" s="94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237"/>
      <c r="S22" s="83"/>
      <c r="T22" s="83"/>
      <c r="U22" s="83"/>
      <c r="V22" s="83"/>
      <c r="X22" s="83"/>
      <c r="Y22" s="83"/>
      <c r="Z22" s="83"/>
      <c r="AC22" s="19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</row>
    <row r="23" spans="1:53" s="17" customFormat="1" ht="13.5" thickBot="1" x14ac:dyDescent="0.35">
      <c r="A23" s="86" t="s">
        <v>273</v>
      </c>
      <c r="B23" s="17" t="s">
        <v>272</v>
      </c>
      <c r="C23" s="18" t="s">
        <v>723</v>
      </c>
      <c r="D23" s="84">
        <f>+D5</f>
        <v>132</v>
      </c>
      <c r="E23" s="84">
        <v>2</v>
      </c>
      <c r="F23" s="84">
        <v>1</v>
      </c>
      <c r="G23" s="84">
        <v>0</v>
      </c>
      <c r="H23" s="65">
        <v>0</v>
      </c>
      <c r="I23" s="245" t="s">
        <v>1090</v>
      </c>
      <c r="J23" s="246"/>
      <c r="K23" s="18" t="s">
        <v>1089</v>
      </c>
      <c r="L23" s="83"/>
      <c r="M23" s="83"/>
      <c r="N23" s="83"/>
      <c r="O23" s="83"/>
      <c r="P23" s="83"/>
      <c r="Q23" s="83"/>
      <c r="R23" s="237"/>
      <c r="S23" s="83"/>
      <c r="T23" s="83"/>
      <c r="U23" s="83"/>
      <c r="V23" s="83"/>
      <c r="X23" s="83"/>
      <c r="Y23" s="83"/>
      <c r="Z23" s="83"/>
      <c r="AA23" s="46"/>
      <c r="AB23" s="46"/>
      <c r="AC23" s="19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</row>
    <row r="24" spans="1:53" s="17" customFormat="1" ht="13.5" thickBot="1" x14ac:dyDescent="0.35">
      <c r="A24" s="63" t="str">
        <f>A23</f>
        <v>BSR132</v>
      </c>
      <c r="B24" s="18" t="str">
        <f>+B23</f>
        <v>DX01</v>
      </c>
      <c r="C24" s="18" t="str">
        <f>+C23</f>
        <v>DIO1</v>
      </c>
      <c r="D24" s="84">
        <f>+D23</f>
        <v>132</v>
      </c>
      <c r="E24" s="84">
        <v>2</v>
      </c>
      <c r="F24" s="84">
        <f>+F23</f>
        <v>1</v>
      </c>
      <c r="G24" s="84">
        <v>0</v>
      </c>
      <c r="H24" s="65">
        <v>0</v>
      </c>
      <c r="I24" s="245" t="s">
        <v>1088</v>
      </c>
      <c r="J24" s="246"/>
      <c r="K24" s="18" t="s">
        <v>1087</v>
      </c>
      <c r="L24" s="92"/>
      <c r="M24" s="92"/>
      <c r="N24" s="242" t="s">
        <v>1086</v>
      </c>
      <c r="O24" s="84"/>
      <c r="P24" s="242" t="s">
        <v>1085</v>
      </c>
      <c r="Q24" s="84"/>
      <c r="R24" s="242" t="s">
        <v>1084</v>
      </c>
      <c r="S24" s="83"/>
      <c r="T24" s="83"/>
      <c r="U24" s="83"/>
      <c r="V24" s="83"/>
      <c r="X24" s="83"/>
      <c r="Y24" s="83"/>
      <c r="Z24" s="83"/>
      <c r="AA24" s="46"/>
      <c r="AB24" s="46"/>
      <c r="AC24" s="19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</row>
    <row r="25" spans="1:53" s="17" customFormat="1" ht="13.5" thickBot="1" x14ac:dyDescent="0.35">
      <c r="A25" s="63" t="str">
        <f>A24</f>
        <v>BSR132</v>
      </c>
      <c r="B25" s="18" t="str">
        <f>+B24</f>
        <v>DX01</v>
      </c>
      <c r="C25" s="18" t="str">
        <f>+C24</f>
        <v>DIO1</v>
      </c>
      <c r="D25" s="84">
        <f>+D24</f>
        <v>132</v>
      </c>
      <c r="E25" s="84">
        <v>2</v>
      </c>
      <c r="F25" s="84">
        <f>+F24</f>
        <v>1</v>
      </c>
      <c r="G25" s="84">
        <v>0</v>
      </c>
      <c r="H25" s="65">
        <v>0</v>
      </c>
      <c r="I25" s="245" t="s">
        <v>1083</v>
      </c>
      <c r="J25" s="244"/>
      <c r="K25" s="17" t="s">
        <v>1082</v>
      </c>
      <c r="L25" s="99" t="s">
        <v>287</v>
      </c>
      <c r="M25" s="243"/>
      <c r="N25" s="242">
        <f>+COUNTA(L26:L333)</f>
        <v>304</v>
      </c>
      <c r="O25" s="84"/>
      <c r="P25" s="242">
        <f>N25-COUNTA(P26:P333)</f>
        <v>67</v>
      </c>
      <c r="Q25" s="84"/>
      <c r="R25" s="241">
        <f>+P25/N25</f>
        <v>0.22039473684210525</v>
      </c>
      <c r="S25" s="83"/>
      <c r="T25" s="240"/>
      <c r="U25" s="83"/>
      <c r="V25" s="83"/>
      <c r="W25" s="17" t="str">
        <f>+CONCATENATE(E25,".",F25,"\",G25,".",H25,":",I25)</f>
        <v>2.1\0.0:Comms</v>
      </c>
      <c r="X25" s="83"/>
      <c r="Y25" s="83"/>
      <c r="Z25" s="83"/>
      <c r="AA25" s="83"/>
      <c r="AB25" s="83"/>
      <c r="AC25" s="19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</row>
    <row r="26" spans="1:53" s="17" customFormat="1" ht="14.5" x14ac:dyDescent="0.3">
      <c r="A26" s="63" t="str">
        <f>A25</f>
        <v>BSR132</v>
      </c>
      <c r="B26" s="18" t="str">
        <f>+B25</f>
        <v>DX01</v>
      </c>
      <c r="C26" s="18" t="str">
        <f>+C25</f>
        <v>DIO1</v>
      </c>
      <c r="D26" s="84">
        <f>+D25</f>
        <v>132</v>
      </c>
      <c r="E26" s="84">
        <v>2</v>
      </c>
      <c r="F26" s="84">
        <f>+F25</f>
        <v>1</v>
      </c>
      <c r="G26" s="84">
        <v>0</v>
      </c>
      <c r="H26" s="214">
        <f>+H25+1</f>
        <v>1</v>
      </c>
      <c r="I26" s="188">
        <v>0</v>
      </c>
      <c r="J26" s="205" t="s">
        <v>767</v>
      </c>
      <c r="K26" s="18" t="s">
        <v>766</v>
      </c>
      <c r="L26" s="17" t="s">
        <v>323</v>
      </c>
      <c r="N26" s="17">
        <v>3</v>
      </c>
      <c r="O26" s="217" t="s">
        <v>825</v>
      </c>
      <c r="P26" s="18" t="s">
        <v>837</v>
      </c>
      <c r="Q26" s="18"/>
      <c r="R26" s="17" t="s">
        <v>1081</v>
      </c>
      <c r="S26" s="18" t="s">
        <v>211</v>
      </c>
      <c r="T26" s="18" t="s">
        <v>1080</v>
      </c>
      <c r="U26" s="18" t="s">
        <v>825</v>
      </c>
      <c r="W26" s="17" t="str">
        <f>+CONCATENATE(E26,".",F26,"\",G26,".",H26,":",I26)</f>
        <v>2.1\0.1:0</v>
      </c>
      <c r="X26" s="17" t="s">
        <v>1054</v>
      </c>
      <c r="Y26" s="17" t="s">
        <v>289</v>
      </c>
      <c r="Z26" s="18" t="s">
        <v>1053</v>
      </c>
      <c r="AA26" s="83"/>
      <c r="AB26" s="83"/>
      <c r="AC26" s="19"/>
      <c r="AH26" s="64" t="s">
        <v>1079</v>
      </c>
      <c r="AI26" s="39">
        <v>1</v>
      </c>
      <c r="AJ26" s="39">
        <v>2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</row>
    <row r="27" spans="1:53" s="17" customFormat="1" ht="14.5" x14ac:dyDescent="0.3">
      <c r="A27" s="63" t="str">
        <f>A26</f>
        <v>BSR132</v>
      </c>
      <c r="B27" s="18" t="str">
        <f>+B26</f>
        <v>DX01</v>
      </c>
      <c r="C27" s="18" t="str">
        <f>+C26</f>
        <v>DIO1</v>
      </c>
      <c r="D27" s="84">
        <f>+D26</f>
        <v>132</v>
      </c>
      <c r="E27" s="84">
        <v>2</v>
      </c>
      <c r="F27" s="84">
        <f>+F26</f>
        <v>1</v>
      </c>
      <c r="G27" s="84">
        <v>0</v>
      </c>
      <c r="H27" s="200">
        <f>H26</f>
        <v>1</v>
      </c>
      <c r="I27" s="187">
        <f>+I26+1</f>
        <v>1</v>
      </c>
      <c r="J27" s="205"/>
      <c r="L27" s="17" t="s">
        <v>323</v>
      </c>
      <c r="N27" s="17">
        <v>3</v>
      </c>
      <c r="O27" s="217" t="s">
        <v>825</v>
      </c>
      <c r="P27" s="18" t="s">
        <v>393</v>
      </c>
      <c r="Q27" s="18"/>
      <c r="R27" s="17" t="s">
        <v>1078</v>
      </c>
      <c r="S27" s="18" t="s">
        <v>247</v>
      </c>
      <c r="T27" s="18" t="s">
        <v>1077</v>
      </c>
      <c r="U27" s="18" t="s">
        <v>825</v>
      </c>
      <c r="W27" s="17" t="str">
        <f>+CONCATENATE(E27,".",F27,"\",G27,".",H27,":",I27)</f>
        <v>2.1\0.1:1</v>
      </c>
      <c r="X27" s="17" t="s">
        <v>1054</v>
      </c>
      <c r="Y27" s="17" t="s">
        <v>289</v>
      </c>
      <c r="Z27" s="18" t="s">
        <v>1053</v>
      </c>
      <c r="AA27" s="83"/>
      <c r="AB27" s="83"/>
      <c r="AC27" s="19"/>
      <c r="AH27" s="64" t="str">
        <f>+AH26</f>
        <v>F1</v>
      </c>
      <c r="AI27" s="39">
        <v>3</v>
      </c>
      <c r="AJ27" s="39">
        <v>4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</row>
    <row r="28" spans="1:53" s="17" customFormat="1" ht="14.5" x14ac:dyDescent="0.3">
      <c r="A28" s="63" t="str">
        <f>A27</f>
        <v>BSR132</v>
      </c>
      <c r="B28" s="18" t="str">
        <f>+B27</f>
        <v>DX01</v>
      </c>
      <c r="C28" s="18" t="str">
        <f>+C27</f>
        <v>DIO1</v>
      </c>
      <c r="D28" s="84">
        <f>+D27</f>
        <v>132</v>
      </c>
      <c r="E28" s="84">
        <v>2</v>
      </c>
      <c r="F28" s="84">
        <f>+F27</f>
        <v>1</v>
      </c>
      <c r="G28" s="84">
        <v>0</v>
      </c>
      <c r="H28" s="200">
        <f>H26</f>
        <v>1</v>
      </c>
      <c r="I28" s="187">
        <f>+I27+1</f>
        <v>2</v>
      </c>
      <c r="J28" s="205"/>
      <c r="K28" s="79"/>
      <c r="L28" s="17" t="s">
        <v>323</v>
      </c>
      <c r="N28" s="17">
        <v>3</v>
      </c>
      <c r="O28" s="217" t="s">
        <v>825</v>
      </c>
      <c r="P28" s="18" t="s">
        <v>390</v>
      </c>
      <c r="Q28" s="18"/>
      <c r="R28" s="17" t="s">
        <v>1076</v>
      </c>
      <c r="S28" s="18" t="s">
        <v>247</v>
      </c>
      <c r="T28" s="18" t="s">
        <v>1075</v>
      </c>
      <c r="U28" s="18" t="s">
        <v>825</v>
      </c>
      <c r="W28" s="17" t="str">
        <f>+CONCATENATE(E28,".",F28,"\",G28,".",H28,":",I28)</f>
        <v>2.1\0.1:2</v>
      </c>
      <c r="X28" s="17" t="s">
        <v>1054</v>
      </c>
      <c r="Y28" s="17" t="s">
        <v>289</v>
      </c>
      <c r="Z28" s="18" t="s">
        <v>1053</v>
      </c>
      <c r="AA28" s="83"/>
      <c r="AB28" s="83"/>
      <c r="AC28" s="19"/>
      <c r="AH28" s="64" t="str">
        <f>+AH27</f>
        <v>F1</v>
      </c>
      <c r="AI28" s="39">
        <v>5</v>
      </c>
      <c r="AJ28" s="39">
        <v>6</v>
      </c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</row>
    <row r="29" spans="1:53" s="17" customFormat="1" ht="14.5" x14ac:dyDescent="0.3">
      <c r="A29" s="63" t="str">
        <f>A28</f>
        <v>BSR132</v>
      </c>
      <c r="B29" s="18" t="str">
        <f>+B28</f>
        <v>DX01</v>
      </c>
      <c r="C29" s="18" t="str">
        <f>+C28</f>
        <v>DIO1</v>
      </c>
      <c r="D29" s="84">
        <f>+D28</f>
        <v>132</v>
      </c>
      <c r="E29" s="84">
        <v>2</v>
      </c>
      <c r="F29" s="84">
        <f>+F28</f>
        <v>1</v>
      </c>
      <c r="G29" s="84">
        <v>0</v>
      </c>
      <c r="H29" s="200">
        <f>H26</f>
        <v>1</v>
      </c>
      <c r="I29" s="187">
        <f>+I28+1</f>
        <v>3</v>
      </c>
      <c r="J29" s="205"/>
      <c r="K29" s="79"/>
      <c r="L29" s="17" t="s">
        <v>323</v>
      </c>
      <c r="N29" s="17">
        <v>3</v>
      </c>
      <c r="O29" s="217" t="s">
        <v>825</v>
      </c>
      <c r="P29" s="18" t="s">
        <v>353</v>
      </c>
      <c r="Q29" s="18"/>
      <c r="R29" s="17" t="s">
        <v>1074</v>
      </c>
      <c r="S29" s="18" t="s">
        <v>247</v>
      </c>
      <c r="T29" s="18" t="s">
        <v>1073</v>
      </c>
      <c r="U29" s="18" t="s">
        <v>825</v>
      </c>
      <c r="W29" s="17" t="str">
        <f>+CONCATENATE(E29,".",F29,"\",G29,".",H29,":",I29)</f>
        <v>2.1\0.1:3</v>
      </c>
      <c r="X29" s="17" t="s">
        <v>1054</v>
      </c>
      <c r="Y29" s="17" t="s">
        <v>289</v>
      </c>
      <c r="Z29" s="18" t="s">
        <v>1053</v>
      </c>
      <c r="AA29" s="83"/>
      <c r="AB29" s="83"/>
      <c r="AC29" s="19"/>
      <c r="AH29" s="64" t="str">
        <f>+AH28</f>
        <v>F1</v>
      </c>
      <c r="AI29" s="39">
        <v>7</v>
      </c>
      <c r="AJ29" s="39">
        <v>8</v>
      </c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</row>
    <row r="30" spans="1:53" s="17" customFormat="1" ht="14.5" x14ac:dyDescent="0.3">
      <c r="A30" s="63" t="str">
        <f>A29</f>
        <v>BSR132</v>
      </c>
      <c r="B30" s="18" t="str">
        <f>+B29</f>
        <v>DX01</v>
      </c>
      <c r="C30" s="18" t="str">
        <f>+C29</f>
        <v>DIO1</v>
      </c>
      <c r="D30" s="84">
        <f>+D29</f>
        <v>132</v>
      </c>
      <c r="E30" s="84">
        <v>2</v>
      </c>
      <c r="F30" s="84">
        <f>+F29</f>
        <v>1</v>
      </c>
      <c r="G30" s="84">
        <v>0</v>
      </c>
      <c r="H30" s="200">
        <f>H27</f>
        <v>1</v>
      </c>
      <c r="I30" s="187">
        <f>+I29+1</f>
        <v>4</v>
      </c>
      <c r="J30" s="205"/>
      <c r="K30" s="79"/>
      <c r="L30" s="17" t="s">
        <v>323</v>
      </c>
      <c r="N30" s="17">
        <v>3</v>
      </c>
      <c r="O30" s="217" t="s">
        <v>825</v>
      </c>
      <c r="P30" s="18" t="s">
        <v>902</v>
      </c>
      <c r="Q30" s="18"/>
      <c r="R30" s="17" t="s">
        <v>1072</v>
      </c>
      <c r="S30" s="18" t="s">
        <v>247</v>
      </c>
      <c r="T30" s="18" t="s">
        <v>1071</v>
      </c>
      <c r="U30" s="18" t="s">
        <v>825</v>
      </c>
      <c r="W30" s="17" t="str">
        <f>+CONCATENATE(E30,".",F30,"\",G30,".",H30,":",I30)</f>
        <v>2.1\0.1:4</v>
      </c>
      <c r="X30" s="17" t="s">
        <v>1054</v>
      </c>
      <c r="Y30" s="17" t="s">
        <v>289</v>
      </c>
      <c r="Z30" s="18" t="s">
        <v>1053</v>
      </c>
      <c r="AA30" s="83"/>
      <c r="AB30" s="83"/>
      <c r="AC30" s="19"/>
      <c r="AH30" s="64" t="str">
        <f>+AH29</f>
        <v>F1</v>
      </c>
      <c r="AI30" s="39">
        <v>9</v>
      </c>
      <c r="AJ30" s="39">
        <v>10</v>
      </c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</row>
    <row r="31" spans="1:53" s="17" customFormat="1" ht="14.5" x14ac:dyDescent="0.3">
      <c r="A31" s="63" t="str">
        <f>A30</f>
        <v>BSR132</v>
      </c>
      <c r="B31" s="18" t="str">
        <f>+B30</f>
        <v>DX01</v>
      </c>
      <c r="C31" s="18" t="str">
        <f>+C30</f>
        <v>DIO1</v>
      </c>
      <c r="D31" s="84">
        <f>+D30</f>
        <v>132</v>
      </c>
      <c r="E31" s="84">
        <v>2</v>
      </c>
      <c r="F31" s="84">
        <f>+F30</f>
        <v>1</v>
      </c>
      <c r="G31" s="84">
        <v>0</v>
      </c>
      <c r="H31" s="200">
        <f>H28</f>
        <v>1</v>
      </c>
      <c r="I31" s="187">
        <f>+I30+1</f>
        <v>5</v>
      </c>
      <c r="J31" s="205"/>
      <c r="K31" s="79"/>
      <c r="L31" s="17" t="s">
        <v>323</v>
      </c>
      <c r="N31" s="17">
        <v>3</v>
      </c>
      <c r="O31" s="217" t="s">
        <v>825</v>
      </c>
      <c r="P31" s="18" t="s">
        <v>899</v>
      </c>
      <c r="Q31" s="18"/>
      <c r="R31" s="18" t="s">
        <v>1070</v>
      </c>
      <c r="S31" s="18" t="s">
        <v>247</v>
      </c>
      <c r="T31" s="17" t="s">
        <v>1069</v>
      </c>
      <c r="U31" s="18" t="s">
        <v>825</v>
      </c>
      <c r="V31" s="119"/>
      <c r="W31" s="17" t="str">
        <f>+CONCATENATE(E31,".",F31,"\",G31,".",H31,":",I31)</f>
        <v>2.1\0.1:5</v>
      </c>
      <c r="X31" s="17" t="s">
        <v>1054</v>
      </c>
      <c r="Y31" s="17" t="s">
        <v>289</v>
      </c>
      <c r="Z31" s="18" t="s">
        <v>1053</v>
      </c>
      <c r="AA31" s="83"/>
      <c r="AB31" s="83"/>
      <c r="AC31" s="19"/>
      <c r="AH31" s="64" t="str">
        <f>+AH30</f>
        <v>F1</v>
      </c>
      <c r="AI31" s="39">
        <v>11</v>
      </c>
      <c r="AJ31" s="39">
        <v>12</v>
      </c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</row>
    <row r="32" spans="1:53" s="17" customFormat="1" ht="14.5" x14ac:dyDescent="0.3">
      <c r="A32" s="63" t="str">
        <f>A31</f>
        <v>BSR132</v>
      </c>
      <c r="B32" s="18" t="str">
        <f>+B31</f>
        <v>DX01</v>
      </c>
      <c r="C32" s="18" t="str">
        <f>+C31</f>
        <v>DIO1</v>
      </c>
      <c r="D32" s="84">
        <f>+D31</f>
        <v>132</v>
      </c>
      <c r="E32" s="84">
        <v>2</v>
      </c>
      <c r="F32" s="84">
        <f>+F31</f>
        <v>1</v>
      </c>
      <c r="G32" s="84">
        <v>0</v>
      </c>
      <c r="H32" s="200">
        <f>H29</f>
        <v>1</v>
      </c>
      <c r="I32" s="187">
        <f>+I31+1</f>
        <v>6</v>
      </c>
      <c r="J32" s="205"/>
      <c r="K32" s="79"/>
      <c r="L32" s="17" t="s">
        <v>323</v>
      </c>
      <c r="N32" s="17">
        <v>3</v>
      </c>
      <c r="O32" s="217" t="s">
        <v>825</v>
      </c>
      <c r="P32" s="18" t="s">
        <v>896</v>
      </c>
      <c r="Q32" s="18"/>
      <c r="R32" s="18" t="s">
        <v>1068</v>
      </c>
      <c r="S32" s="18" t="s">
        <v>247</v>
      </c>
      <c r="T32" s="18" t="s">
        <v>1067</v>
      </c>
      <c r="U32" s="18" t="s">
        <v>825</v>
      </c>
      <c r="V32" s="119"/>
      <c r="W32" s="17" t="str">
        <f>+CONCATENATE(E32,".",F32,"\",G32,".",H32,":",I32)</f>
        <v>2.1\0.1:6</v>
      </c>
      <c r="X32" s="17" t="s">
        <v>1054</v>
      </c>
      <c r="Y32" s="17" t="s">
        <v>289</v>
      </c>
      <c r="Z32" s="18" t="s">
        <v>1053</v>
      </c>
      <c r="AA32" s="83"/>
      <c r="AB32" s="83"/>
      <c r="AC32" s="19"/>
      <c r="AH32" s="64" t="str">
        <f>+AH31</f>
        <v>F1</v>
      </c>
      <c r="AI32" s="39">
        <v>13</v>
      </c>
      <c r="AJ32" s="39">
        <v>14</v>
      </c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</row>
    <row r="33" spans="1:53" s="17" customFormat="1" ht="14.5" x14ac:dyDescent="0.3">
      <c r="A33" s="63" t="str">
        <f>A32</f>
        <v>BSR132</v>
      </c>
      <c r="B33" s="18" t="str">
        <f>+B32</f>
        <v>DX01</v>
      </c>
      <c r="C33" s="18" t="str">
        <f>+C32</f>
        <v>DIO1</v>
      </c>
      <c r="D33" s="84">
        <f>+D32</f>
        <v>132</v>
      </c>
      <c r="E33" s="84">
        <v>2</v>
      </c>
      <c r="F33" s="84">
        <f>+F32</f>
        <v>1</v>
      </c>
      <c r="G33" s="84">
        <v>0</v>
      </c>
      <c r="H33" s="200">
        <f>H30</f>
        <v>1</v>
      </c>
      <c r="I33" s="187">
        <f>+I32+1</f>
        <v>7</v>
      </c>
      <c r="J33" s="205"/>
      <c r="K33" s="79"/>
      <c r="L33" s="17" t="s">
        <v>323</v>
      </c>
      <c r="N33" s="17">
        <v>3</v>
      </c>
      <c r="O33" s="217" t="s">
        <v>825</v>
      </c>
      <c r="P33" s="18" t="s">
        <v>1066</v>
      </c>
      <c r="Q33" s="18"/>
      <c r="R33" s="18" t="s">
        <v>1065</v>
      </c>
      <c r="S33" s="18" t="s">
        <v>247</v>
      </c>
      <c r="T33" s="18" t="s">
        <v>1064</v>
      </c>
      <c r="U33" s="18" t="s">
        <v>825</v>
      </c>
      <c r="V33" s="119"/>
      <c r="W33" s="17" t="str">
        <f>+CONCATENATE(E33,".",F33,"\",G33,".",H33,":",I33)</f>
        <v>2.1\0.1:7</v>
      </c>
      <c r="X33" s="17" t="s">
        <v>1054</v>
      </c>
      <c r="Y33" s="17" t="s">
        <v>289</v>
      </c>
      <c r="Z33" s="18" t="s">
        <v>1053</v>
      </c>
      <c r="AA33" s="83"/>
      <c r="AB33" s="83"/>
      <c r="AC33" s="19"/>
      <c r="AH33" s="64" t="str">
        <f>+AH32</f>
        <v>F1</v>
      </c>
      <c r="AI33" s="39">
        <v>15</v>
      </c>
      <c r="AJ33" s="39">
        <v>16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</row>
    <row r="34" spans="1:53" s="17" customFormat="1" ht="14.5" x14ac:dyDescent="0.3">
      <c r="A34" s="63" t="str">
        <f>A33</f>
        <v>BSR132</v>
      </c>
      <c r="B34" s="18" t="str">
        <f>+B33</f>
        <v>DX01</v>
      </c>
      <c r="C34" s="18" t="str">
        <f>+C33</f>
        <v>DIO1</v>
      </c>
      <c r="D34" s="84">
        <f>+D33</f>
        <v>132</v>
      </c>
      <c r="E34" s="84">
        <v>2</v>
      </c>
      <c r="F34" s="84">
        <f>+F33</f>
        <v>1</v>
      </c>
      <c r="G34" s="84">
        <v>0</v>
      </c>
      <c r="H34" s="200">
        <f>H31</f>
        <v>1</v>
      </c>
      <c r="I34" s="187">
        <f>+I33+1</f>
        <v>8</v>
      </c>
      <c r="J34" s="205"/>
      <c r="K34" s="79"/>
      <c r="L34" s="17" t="s">
        <v>323</v>
      </c>
      <c r="N34" s="17">
        <v>3</v>
      </c>
      <c r="O34" s="217" t="s">
        <v>825</v>
      </c>
      <c r="P34" s="18" t="s">
        <v>1063</v>
      </c>
      <c r="Q34" s="18"/>
      <c r="R34" s="18" t="s">
        <v>1062</v>
      </c>
      <c r="S34" s="18" t="s">
        <v>247</v>
      </c>
      <c r="T34" s="18" t="s">
        <v>1061</v>
      </c>
      <c r="U34" s="18" t="s">
        <v>825</v>
      </c>
      <c r="V34" s="119"/>
      <c r="W34" s="17" t="str">
        <f>+CONCATENATE(E34,".",F34,"\",G34,".",H34,":",I34)</f>
        <v>2.1\0.1:8</v>
      </c>
      <c r="X34" s="17" t="s">
        <v>1054</v>
      </c>
      <c r="Y34" s="17" t="s">
        <v>289</v>
      </c>
      <c r="Z34" s="18" t="s">
        <v>1053</v>
      </c>
      <c r="AA34" s="83"/>
      <c r="AB34" s="83"/>
      <c r="AC34" s="19"/>
      <c r="AH34" s="64" t="str">
        <f>+AH33</f>
        <v>F1</v>
      </c>
      <c r="AI34" s="39">
        <v>17</v>
      </c>
      <c r="AJ34" s="39">
        <v>18</v>
      </c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</row>
    <row r="35" spans="1:53" s="17" customFormat="1" ht="14.5" x14ac:dyDescent="0.3">
      <c r="A35" s="63" t="str">
        <f>A34</f>
        <v>BSR132</v>
      </c>
      <c r="B35" s="18" t="str">
        <f>+B34</f>
        <v>DX01</v>
      </c>
      <c r="C35" s="18" t="str">
        <f>+C34</f>
        <v>DIO1</v>
      </c>
      <c r="D35" s="84">
        <f>+D34</f>
        <v>132</v>
      </c>
      <c r="E35" s="84">
        <v>2</v>
      </c>
      <c r="F35" s="84">
        <f>+F34</f>
        <v>1</v>
      </c>
      <c r="G35" s="84">
        <v>0</v>
      </c>
      <c r="H35" s="200">
        <f>H32</f>
        <v>1</v>
      </c>
      <c r="I35" s="187">
        <f>+I34+1</f>
        <v>9</v>
      </c>
      <c r="J35" s="205"/>
      <c r="K35" s="79"/>
      <c r="L35" s="17" t="s">
        <v>323</v>
      </c>
      <c r="N35" s="17">
        <v>3</v>
      </c>
      <c r="O35" s="217" t="s">
        <v>825</v>
      </c>
      <c r="P35" s="18" t="s">
        <v>1060</v>
      </c>
      <c r="Q35" s="18"/>
      <c r="R35" s="17" t="s">
        <v>1059</v>
      </c>
      <c r="S35" s="18" t="s">
        <v>247</v>
      </c>
      <c r="T35" s="18" t="s">
        <v>1058</v>
      </c>
      <c r="U35" s="18" t="s">
        <v>825</v>
      </c>
      <c r="V35" s="119"/>
      <c r="W35" s="17" t="str">
        <f>+CONCATENATE(E35,".",F35,"\",G35,".",H35,":",I35)</f>
        <v>2.1\0.1:9</v>
      </c>
      <c r="X35" s="17" t="s">
        <v>1054</v>
      </c>
      <c r="Y35" s="17" t="s">
        <v>289</v>
      </c>
      <c r="Z35" s="18" t="s">
        <v>1053</v>
      </c>
      <c r="AA35" s="83"/>
      <c r="AB35" s="83"/>
      <c r="AC35" s="19"/>
      <c r="AH35" s="64" t="str">
        <f>+AH34</f>
        <v>F1</v>
      </c>
      <c r="AI35" s="39">
        <v>19</v>
      </c>
      <c r="AJ35" s="39">
        <v>20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</row>
    <row r="36" spans="1:53" s="17" customFormat="1" ht="14.5" x14ac:dyDescent="0.3">
      <c r="A36" s="63" t="str">
        <f>A35</f>
        <v>BSR132</v>
      </c>
      <c r="B36" s="18" t="str">
        <f>+B35</f>
        <v>DX01</v>
      </c>
      <c r="C36" s="18" t="str">
        <f>+C35</f>
        <v>DIO1</v>
      </c>
      <c r="D36" s="84">
        <f>+D35</f>
        <v>132</v>
      </c>
      <c r="E36" s="84">
        <v>2</v>
      </c>
      <c r="F36" s="84">
        <f>+F35</f>
        <v>1</v>
      </c>
      <c r="G36" s="84">
        <v>0</v>
      </c>
      <c r="H36" s="200">
        <f>H33</f>
        <v>1</v>
      </c>
      <c r="I36" s="187">
        <f>+I35+1</f>
        <v>10</v>
      </c>
      <c r="J36" s="205"/>
      <c r="K36" s="79"/>
      <c r="L36" s="17" t="s">
        <v>323</v>
      </c>
      <c r="N36" s="17">
        <v>3</v>
      </c>
      <c r="O36" s="217" t="s">
        <v>825</v>
      </c>
      <c r="P36" s="18" t="s">
        <v>1057</v>
      </c>
      <c r="Q36" s="18"/>
      <c r="R36" s="18" t="s">
        <v>1055</v>
      </c>
      <c r="S36" s="18" t="s">
        <v>247</v>
      </c>
      <c r="T36" s="233"/>
      <c r="U36" s="18" t="s">
        <v>825</v>
      </c>
      <c r="V36" s="83"/>
      <c r="W36" s="17" t="str">
        <f>+CONCATENATE(E36,".",F36,"\",G36,".",H36,":",I36)</f>
        <v>2.1\0.1:10</v>
      </c>
      <c r="X36" s="17" t="s">
        <v>1054</v>
      </c>
      <c r="Y36" s="17" t="s">
        <v>289</v>
      </c>
      <c r="Z36" s="18" t="s">
        <v>1053</v>
      </c>
      <c r="AA36" s="83"/>
      <c r="AB36" s="83"/>
      <c r="AC36" s="19"/>
      <c r="AH36" s="64" t="str">
        <f>+AH35</f>
        <v>F1</v>
      </c>
      <c r="AI36" s="39">
        <v>21</v>
      </c>
      <c r="AJ36" s="39">
        <v>22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</row>
    <row r="37" spans="1:53" s="17" customFormat="1" ht="14.5" x14ac:dyDescent="0.3">
      <c r="A37" s="63" t="str">
        <f>A36</f>
        <v>BSR132</v>
      </c>
      <c r="B37" s="18" t="str">
        <f>+B36</f>
        <v>DX01</v>
      </c>
      <c r="C37" s="18" t="str">
        <f>+C36</f>
        <v>DIO1</v>
      </c>
      <c r="D37" s="84">
        <f>+D36</f>
        <v>132</v>
      </c>
      <c r="E37" s="84">
        <v>2</v>
      </c>
      <c r="F37" s="84">
        <f>+F36</f>
        <v>1</v>
      </c>
      <c r="G37" s="84">
        <v>0</v>
      </c>
      <c r="H37" s="200">
        <f>H34</f>
        <v>1</v>
      </c>
      <c r="I37" s="187">
        <f>+I36+1</f>
        <v>11</v>
      </c>
      <c r="J37" s="205"/>
      <c r="K37" s="79"/>
      <c r="L37" s="17" t="s">
        <v>323</v>
      </c>
      <c r="N37" s="17">
        <v>3</v>
      </c>
      <c r="O37" s="217" t="s">
        <v>825</v>
      </c>
      <c r="P37" s="18" t="s">
        <v>1056</v>
      </c>
      <c r="Q37" s="18"/>
      <c r="R37" s="18" t="s">
        <v>1055</v>
      </c>
      <c r="S37" s="18" t="s">
        <v>247</v>
      </c>
      <c r="T37" s="233"/>
      <c r="U37" s="17" t="s">
        <v>825</v>
      </c>
      <c r="V37" s="83"/>
      <c r="W37" s="17" t="str">
        <f>+CONCATENATE(E37,".",F37,"\",G37,".",H37,":",I37)</f>
        <v>2.1\0.1:11</v>
      </c>
      <c r="X37" s="17" t="s">
        <v>1054</v>
      </c>
      <c r="Y37" s="17" t="s">
        <v>289</v>
      </c>
      <c r="Z37" s="18" t="s">
        <v>1053</v>
      </c>
      <c r="AA37" s="83"/>
      <c r="AB37" s="83"/>
      <c r="AC37" s="19"/>
      <c r="AH37" s="64" t="str">
        <f>+AH36</f>
        <v>F1</v>
      </c>
      <c r="AI37" s="39">
        <v>23</v>
      </c>
      <c r="AJ37" s="39">
        <v>24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</row>
    <row r="38" spans="1:53" s="17" customFormat="1" x14ac:dyDescent="0.3">
      <c r="A38" s="63" t="str">
        <f>A37</f>
        <v>BSR132</v>
      </c>
      <c r="B38" s="18" t="str">
        <f>+B37</f>
        <v>DX01</v>
      </c>
      <c r="C38" s="18" t="str">
        <f>+C37</f>
        <v>DIO1</v>
      </c>
      <c r="D38" s="84">
        <f>+D37</f>
        <v>132</v>
      </c>
      <c r="E38" s="84">
        <v>2</v>
      </c>
      <c r="F38" s="84">
        <f>+F37</f>
        <v>1</v>
      </c>
      <c r="G38" s="84">
        <v>0</v>
      </c>
      <c r="H38" s="200">
        <f>H35</f>
        <v>1</v>
      </c>
      <c r="I38" s="187">
        <f>+I37+1</f>
        <v>12</v>
      </c>
      <c r="J38" s="205"/>
      <c r="K38" s="79"/>
      <c r="L38" s="17" t="s">
        <v>323</v>
      </c>
      <c r="O38" s="18"/>
      <c r="P38" s="18"/>
      <c r="Q38" s="18"/>
      <c r="R38" s="97"/>
      <c r="S38" s="97"/>
      <c r="T38" s="97"/>
      <c r="U38" s="103"/>
      <c r="V38" s="18"/>
      <c r="W38" s="17" t="str">
        <f>+CONCATENATE(E38,".",F38,"\",G38,".",H38,":",I38)</f>
        <v>2.1\0.1:12</v>
      </c>
      <c r="Z38" s="18"/>
      <c r="AA38" s="83"/>
      <c r="AB38" s="83"/>
      <c r="AC38" s="19"/>
      <c r="AH38" s="64" t="str">
        <f>+AH37</f>
        <v>F1</v>
      </c>
      <c r="AI38" s="39">
        <v>25</v>
      </c>
      <c r="AJ38" s="39">
        <v>26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</row>
    <row r="39" spans="1:53" s="17" customFormat="1" x14ac:dyDescent="0.3">
      <c r="A39" s="63" t="str">
        <f>A38</f>
        <v>BSR132</v>
      </c>
      <c r="B39" s="18" t="str">
        <f>+B38</f>
        <v>DX01</v>
      </c>
      <c r="C39" s="18" t="str">
        <f>+C38</f>
        <v>DIO1</v>
      </c>
      <c r="D39" s="84">
        <f>+D38</f>
        <v>132</v>
      </c>
      <c r="E39" s="84">
        <v>2</v>
      </c>
      <c r="F39" s="84">
        <f>+F38</f>
        <v>1</v>
      </c>
      <c r="G39" s="84">
        <v>0</v>
      </c>
      <c r="H39" s="200">
        <f>H36</f>
        <v>1</v>
      </c>
      <c r="I39" s="187">
        <f>+I38+1</f>
        <v>13</v>
      </c>
      <c r="J39" s="205"/>
      <c r="K39" s="79"/>
      <c r="L39" s="17" t="s">
        <v>323</v>
      </c>
      <c r="O39" s="18"/>
      <c r="P39" s="97"/>
      <c r="Q39" s="97"/>
      <c r="R39" s="97"/>
      <c r="S39" s="97"/>
      <c r="T39" s="97"/>
      <c r="U39" s="103"/>
      <c r="V39" s="18"/>
      <c r="W39" s="17" t="str">
        <f>+CONCATENATE(E39,".",F39,"\",G39,".",H39,":",I39)</f>
        <v>2.1\0.1:13</v>
      </c>
      <c r="Z39" s="18"/>
      <c r="AA39" s="83"/>
      <c r="AB39" s="83"/>
      <c r="AC39" s="19"/>
      <c r="AH39" s="64" t="str">
        <f>+AH38</f>
        <v>F1</v>
      </c>
      <c r="AI39" s="39">
        <v>27</v>
      </c>
      <c r="AJ39" s="39">
        <v>28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</row>
    <row r="40" spans="1:53" s="17" customFormat="1" x14ac:dyDescent="0.3">
      <c r="A40" s="63" t="str">
        <f>A39</f>
        <v>BSR132</v>
      </c>
      <c r="B40" s="18" t="str">
        <f>+B39</f>
        <v>DX01</v>
      </c>
      <c r="C40" s="18" t="str">
        <f>+C39</f>
        <v>DIO1</v>
      </c>
      <c r="D40" s="84">
        <f>+D39</f>
        <v>132</v>
      </c>
      <c r="E40" s="84">
        <v>2</v>
      </c>
      <c r="F40" s="84">
        <f>+F39</f>
        <v>1</v>
      </c>
      <c r="G40" s="84">
        <v>0</v>
      </c>
      <c r="H40" s="200">
        <f>H37</f>
        <v>1</v>
      </c>
      <c r="I40" s="187">
        <f>+I39+1</f>
        <v>14</v>
      </c>
      <c r="J40" s="205"/>
      <c r="K40" s="79"/>
      <c r="L40" s="17" t="s">
        <v>323</v>
      </c>
      <c r="O40" s="18"/>
      <c r="P40" s="18"/>
      <c r="Q40" s="18"/>
      <c r="U40" s="18"/>
      <c r="V40" s="18"/>
      <c r="W40" s="17" t="str">
        <f>+CONCATENATE(E40,".",F40,"\",G40,".",H40,":",I40)</f>
        <v>2.1\0.1:14</v>
      </c>
      <c r="Y40" s="33"/>
      <c r="Z40" s="18"/>
      <c r="AA40" s="83"/>
      <c r="AB40" s="83"/>
      <c r="AC40" s="19"/>
      <c r="AH40" s="64" t="str">
        <f>+AH39</f>
        <v>F1</v>
      </c>
      <c r="AI40" s="39">
        <v>29</v>
      </c>
      <c r="AJ40" s="39">
        <v>30</v>
      </c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</row>
    <row r="41" spans="1:53" s="17" customFormat="1" x14ac:dyDescent="0.3">
      <c r="A41" s="63" t="str">
        <f>A40</f>
        <v>BSR132</v>
      </c>
      <c r="B41" s="18" t="str">
        <f>+B40</f>
        <v>DX01</v>
      </c>
      <c r="C41" s="18" t="str">
        <f>+C40</f>
        <v>DIO1</v>
      </c>
      <c r="D41" s="84">
        <f>+D40</f>
        <v>132</v>
      </c>
      <c r="E41" s="84">
        <v>2</v>
      </c>
      <c r="F41" s="84">
        <f>+F40</f>
        <v>1</v>
      </c>
      <c r="G41" s="84">
        <v>0</v>
      </c>
      <c r="H41" s="200">
        <f>H37</f>
        <v>1</v>
      </c>
      <c r="I41" s="187">
        <f>+I40+1</f>
        <v>15</v>
      </c>
      <c r="J41" s="205"/>
      <c r="K41" s="79"/>
      <c r="L41" s="17" t="s">
        <v>323</v>
      </c>
      <c r="O41" s="18"/>
      <c r="U41" s="18"/>
      <c r="V41" s="83"/>
      <c r="W41" s="17" t="str">
        <f>+CONCATENATE(E41,".",F41,"\",G41,".",H41,":",I41)</f>
        <v>2.1\0.1:15</v>
      </c>
      <c r="Y41" s="33"/>
      <c r="Z41" s="18"/>
      <c r="AA41" s="83"/>
      <c r="AB41" s="83"/>
      <c r="AC41" s="19"/>
      <c r="AH41" s="64" t="str">
        <f>+AH40</f>
        <v>F1</v>
      </c>
      <c r="AI41" s="39">
        <v>31</v>
      </c>
      <c r="AJ41" s="39">
        <v>32</v>
      </c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</row>
    <row r="42" spans="1:53" s="17" customFormat="1" x14ac:dyDescent="0.3">
      <c r="A42" s="63" t="str">
        <f>A41</f>
        <v>BSR132</v>
      </c>
      <c r="B42" s="18" t="str">
        <f>+B41</f>
        <v>DX01</v>
      </c>
      <c r="C42" s="18" t="str">
        <f>+C41</f>
        <v>DIO1</v>
      </c>
      <c r="D42" s="84">
        <f>+D41</f>
        <v>132</v>
      </c>
      <c r="E42" s="84">
        <v>2</v>
      </c>
      <c r="F42" s="84">
        <f>+F41</f>
        <v>1</v>
      </c>
      <c r="G42" s="84">
        <v>0</v>
      </c>
      <c r="H42" s="200">
        <f>H38</f>
        <v>1</v>
      </c>
      <c r="I42" s="187">
        <f>+I41+1</f>
        <v>16</v>
      </c>
      <c r="J42" s="205"/>
      <c r="K42" s="18"/>
      <c r="L42" s="17" t="s">
        <v>323</v>
      </c>
      <c r="O42" s="18"/>
      <c r="P42" s="20"/>
      <c r="Q42" s="20"/>
      <c r="U42" s="18"/>
      <c r="V42" s="83"/>
      <c r="W42" s="17" t="str">
        <f>+CONCATENATE(E42,".",F42,"\",G42,".",H42,":",I42)</f>
        <v>2.1\0.1:16</v>
      </c>
      <c r="Y42" s="33"/>
      <c r="Z42" s="18"/>
      <c r="AA42" s="83"/>
      <c r="AB42" s="83"/>
      <c r="AC42" s="19"/>
      <c r="AH42" s="64" t="str">
        <f>+AH41</f>
        <v>F1</v>
      </c>
      <c r="AI42" s="39">
        <v>33</v>
      </c>
      <c r="AJ42" s="39">
        <v>34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</row>
    <row r="43" spans="1:53" s="17" customFormat="1" x14ac:dyDescent="0.3">
      <c r="A43" s="63" t="str">
        <f>A42</f>
        <v>BSR132</v>
      </c>
      <c r="B43" s="18" t="str">
        <f>+B42</f>
        <v>DX01</v>
      </c>
      <c r="C43" s="18" t="str">
        <f>+C42</f>
        <v>DIO1</v>
      </c>
      <c r="D43" s="84">
        <f>+D42</f>
        <v>132</v>
      </c>
      <c r="E43" s="84">
        <v>2</v>
      </c>
      <c r="F43" s="84">
        <f>+F42</f>
        <v>1</v>
      </c>
      <c r="G43" s="84">
        <v>0</v>
      </c>
      <c r="H43" s="200">
        <f>H39</f>
        <v>1</v>
      </c>
      <c r="I43" s="187">
        <f>+I42+1</f>
        <v>17</v>
      </c>
      <c r="J43" s="205"/>
      <c r="K43" s="79"/>
      <c r="L43" s="17" t="s">
        <v>323</v>
      </c>
      <c r="O43" s="165"/>
      <c r="W43" s="17" t="str">
        <f>+CONCATENATE(E43,".",F43,"\",G43,".",H43,":",I43)</f>
        <v>2.1\0.1:17</v>
      </c>
      <c r="Y43" s="33"/>
      <c r="Z43" s="18"/>
      <c r="AA43" s="83"/>
      <c r="AB43" s="83"/>
      <c r="AC43" s="19"/>
      <c r="AH43" s="64" t="str">
        <f>+AH42</f>
        <v>F1</v>
      </c>
      <c r="AI43" s="39">
        <v>35</v>
      </c>
      <c r="AJ43" s="39">
        <v>36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</row>
    <row r="44" spans="1:53" s="17" customFormat="1" x14ac:dyDescent="0.3">
      <c r="A44" s="63" t="str">
        <f>A43</f>
        <v>BSR132</v>
      </c>
      <c r="B44" s="18" t="str">
        <f>+B43</f>
        <v>DX01</v>
      </c>
      <c r="C44" s="18" t="str">
        <f>+C43</f>
        <v>DIO1</v>
      </c>
      <c r="D44" s="84">
        <f>+D43</f>
        <v>132</v>
      </c>
      <c r="E44" s="84">
        <v>2</v>
      </c>
      <c r="F44" s="84">
        <f>+F43</f>
        <v>1</v>
      </c>
      <c r="G44" s="84">
        <v>0</v>
      </c>
      <c r="H44" s="200">
        <f>H40</f>
        <v>1</v>
      </c>
      <c r="I44" s="187">
        <f>+I43+1</f>
        <v>18</v>
      </c>
      <c r="J44" s="205"/>
      <c r="K44" s="79"/>
      <c r="L44" s="17" t="s">
        <v>323</v>
      </c>
      <c r="O44" s="165"/>
      <c r="W44" s="17" t="str">
        <f>+CONCATENATE(E44,".",F44,"\",G44,".",H44,":",I44)</f>
        <v>2.1\0.1:18</v>
      </c>
      <c r="Y44" s="33"/>
      <c r="Z44" s="18"/>
      <c r="AA44" s="83"/>
      <c r="AB44" s="83"/>
      <c r="AC44" s="19"/>
      <c r="AH44" s="64" t="str">
        <f>+AH43</f>
        <v>F1</v>
      </c>
      <c r="AI44" s="39">
        <v>37</v>
      </c>
      <c r="AJ44" s="39">
        <v>38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</row>
    <row r="45" spans="1:53" s="17" customFormat="1" x14ac:dyDescent="0.3">
      <c r="A45" s="63" t="str">
        <f>A44</f>
        <v>BSR132</v>
      </c>
      <c r="B45" s="18" t="str">
        <f>+B44</f>
        <v>DX01</v>
      </c>
      <c r="C45" s="18" t="str">
        <f>+C44</f>
        <v>DIO1</v>
      </c>
      <c r="D45" s="84">
        <f>+D44</f>
        <v>132</v>
      </c>
      <c r="E45" s="84">
        <v>2</v>
      </c>
      <c r="F45" s="84">
        <f>+F44</f>
        <v>1</v>
      </c>
      <c r="G45" s="84">
        <v>0</v>
      </c>
      <c r="H45" s="200">
        <f>H41</f>
        <v>1</v>
      </c>
      <c r="I45" s="187">
        <f>+I44+1</f>
        <v>19</v>
      </c>
      <c r="J45" s="205"/>
      <c r="K45" s="79"/>
      <c r="L45" s="17" t="s">
        <v>323</v>
      </c>
      <c r="O45" s="165"/>
      <c r="W45" s="17" t="str">
        <f>+CONCATENATE(E45,".",F45,"\",G45,".",H45,":",I45)</f>
        <v>2.1\0.1:19</v>
      </c>
      <c r="Y45" s="33"/>
      <c r="Z45" s="18"/>
      <c r="AA45" s="83"/>
      <c r="AB45" s="83"/>
      <c r="AC45" s="19"/>
      <c r="AH45" s="64" t="str">
        <f>+AH44</f>
        <v>F1</v>
      </c>
      <c r="AI45" s="39">
        <v>39</v>
      </c>
      <c r="AJ45" s="39">
        <v>40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</row>
    <row r="46" spans="1:53" s="17" customFormat="1" ht="14.5" x14ac:dyDescent="0.35">
      <c r="A46" s="63" t="str">
        <f>A45</f>
        <v>BSR132</v>
      </c>
      <c r="B46" s="18" t="str">
        <f>+B45</f>
        <v>DX01</v>
      </c>
      <c r="C46" s="18" t="str">
        <f>+C45</f>
        <v>DIO1</v>
      </c>
      <c r="D46" s="84">
        <f>+D45</f>
        <v>132</v>
      </c>
      <c r="E46" s="84">
        <v>2</v>
      </c>
      <c r="F46" s="84">
        <f>+F45</f>
        <v>1</v>
      </c>
      <c r="G46" s="84">
        <v>0</v>
      </c>
      <c r="H46" s="200">
        <f>H42</f>
        <v>1</v>
      </c>
      <c r="I46" s="187">
        <f>+I45+1</f>
        <v>20</v>
      </c>
      <c r="J46" s="205"/>
      <c r="K46" s="79"/>
      <c r="L46" s="17" t="s">
        <v>323</v>
      </c>
      <c r="N46" s="17">
        <v>1</v>
      </c>
      <c r="O46" s="59" t="s">
        <v>886</v>
      </c>
      <c r="P46" s="17" t="s">
        <v>567</v>
      </c>
      <c r="R46" s="17" t="s">
        <v>1052</v>
      </c>
      <c r="S46" s="17" t="s">
        <v>211</v>
      </c>
      <c r="U46" s="239" t="s">
        <v>833</v>
      </c>
      <c r="W46" s="17" t="str">
        <f>+CONCATENATE(E46,".",F46,"\",G46,".",H46,":",I46)</f>
        <v>2.1\0.1:20</v>
      </c>
      <c r="X46" s="17" t="s">
        <v>1047</v>
      </c>
      <c r="Y46" s="33" t="s">
        <v>289</v>
      </c>
      <c r="Z46" s="18" t="s">
        <v>1051</v>
      </c>
      <c r="AA46" s="83"/>
      <c r="AB46" s="83"/>
      <c r="AC46" s="19"/>
      <c r="AH46" s="64" t="str">
        <f>+AH45</f>
        <v>F1</v>
      </c>
      <c r="AI46" s="39">
        <v>41</v>
      </c>
      <c r="AJ46" s="39">
        <v>42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</row>
    <row r="47" spans="1:53" s="17" customFormat="1" ht="14.5" x14ac:dyDescent="0.35">
      <c r="A47" s="63" t="str">
        <f>A46</f>
        <v>BSR132</v>
      </c>
      <c r="B47" s="18" t="str">
        <f>+B46</f>
        <v>DX01</v>
      </c>
      <c r="C47" s="18" t="str">
        <f>+C46</f>
        <v>DIO1</v>
      </c>
      <c r="D47" s="84">
        <f>+D46</f>
        <v>132</v>
      </c>
      <c r="E47" s="84">
        <v>2</v>
      </c>
      <c r="F47" s="84">
        <f>+F46</f>
        <v>1</v>
      </c>
      <c r="G47" s="84">
        <v>0</v>
      </c>
      <c r="H47" s="200">
        <f>H43</f>
        <v>1</v>
      </c>
      <c r="I47" s="187">
        <f>+I46+1</f>
        <v>21</v>
      </c>
      <c r="J47" s="205"/>
      <c r="K47" s="79"/>
      <c r="L47" s="17" t="s">
        <v>323</v>
      </c>
      <c r="N47" s="17">
        <v>3</v>
      </c>
      <c r="O47" s="59" t="s">
        <v>886</v>
      </c>
      <c r="P47" s="17" t="s">
        <v>589</v>
      </c>
      <c r="R47" s="17" t="s">
        <v>1050</v>
      </c>
      <c r="S47" s="18" t="s">
        <v>922</v>
      </c>
      <c r="T47" s="18"/>
      <c r="U47" s="239" t="s">
        <v>833</v>
      </c>
      <c r="W47" s="17" t="str">
        <f>+CONCATENATE(E47,".",F47,"\",G47,".",H47,":",I47)</f>
        <v>2.1\0.1:21</v>
      </c>
      <c r="X47" s="17" t="s">
        <v>1047</v>
      </c>
      <c r="Y47" s="33" t="s">
        <v>289</v>
      </c>
      <c r="Z47" s="18" t="s">
        <v>1046</v>
      </c>
      <c r="AA47" s="83"/>
      <c r="AB47" s="83"/>
      <c r="AC47" s="19"/>
      <c r="AH47" s="64" t="str">
        <f>+AH46</f>
        <v>F1</v>
      </c>
      <c r="AI47" s="39">
        <v>43</v>
      </c>
      <c r="AJ47" s="39">
        <v>44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</row>
    <row r="48" spans="1:53" s="17" customFormat="1" ht="14.5" x14ac:dyDescent="0.35">
      <c r="A48" s="63" t="str">
        <f>A47</f>
        <v>BSR132</v>
      </c>
      <c r="B48" s="18" t="str">
        <f>+B47</f>
        <v>DX01</v>
      </c>
      <c r="C48" s="18" t="str">
        <f>+C47</f>
        <v>DIO1</v>
      </c>
      <c r="D48" s="84">
        <f>+D47</f>
        <v>132</v>
      </c>
      <c r="E48" s="84">
        <v>2</v>
      </c>
      <c r="F48" s="84">
        <f>+F47</f>
        <v>1</v>
      </c>
      <c r="G48" s="84">
        <v>0</v>
      </c>
      <c r="H48" s="200">
        <f>H44</f>
        <v>1</v>
      </c>
      <c r="I48" s="187">
        <f>+I47+1</f>
        <v>22</v>
      </c>
      <c r="J48" s="205"/>
      <c r="K48" s="79"/>
      <c r="L48" s="17" t="s">
        <v>323</v>
      </c>
      <c r="O48" s="59"/>
      <c r="P48" s="18"/>
      <c r="Q48" s="18"/>
      <c r="R48" s="18"/>
      <c r="S48" s="18"/>
      <c r="T48" s="18"/>
      <c r="U48" s="239"/>
      <c r="W48" s="17" t="str">
        <f>+CONCATENATE(E48,".",F48,"\",G48,".",H48,":",I48)</f>
        <v>2.1\0.1:22</v>
      </c>
      <c r="X48" s="17" t="s">
        <v>1047</v>
      </c>
      <c r="Y48" s="33" t="s">
        <v>289</v>
      </c>
      <c r="Z48" s="18" t="s">
        <v>1046</v>
      </c>
      <c r="AA48" s="83"/>
      <c r="AB48" s="83"/>
      <c r="AC48" s="19"/>
      <c r="AH48" s="64" t="str">
        <f>+AH47</f>
        <v>F1</v>
      </c>
      <c r="AI48" s="39">
        <v>45</v>
      </c>
      <c r="AJ48" s="39">
        <v>46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</row>
    <row r="49" spans="1:53" s="17" customFormat="1" ht="14.5" x14ac:dyDescent="0.35">
      <c r="A49" s="63" t="str">
        <f>A48</f>
        <v>BSR132</v>
      </c>
      <c r="B49" s="18" t="str">
        <f>+B48</f>
        <v>DX01</v>
      </c>
      <c r="C49" s="18" t="str">
        <f>+C48</f>
        <v>DIO1</v>
      </c>
      <c r="D49" s="84">
        <f>+D48</f>
        <v>132</v>
      </c>
      <c r="E49" s="84">
        <v>2</v>
      </c>
      <c r="F49" s="84">
        <f>+F48</f>
        <v>1</v>
      </c>
      <c r="G49" s="84">
        <v>0</v>
      </c>
      <c r="H49" s="200">
        <f>H45</f>
        <v>1</v>
      </c>
      <c r="I49" s="187">
        <f>+I48+1</f>
        <v>23</v>
      </c>
      <c r="J49" s="205"/>
      <c r="K49" s="79"/>
      <c r="L49" s="17" t="s">
        <v>323</v>
      </c>
      <c r="N49" s="17">
        <v>1</v>
      </c>
      <c r="O49" s="59" t="s">
        <v>886</v>
      </c>
      <c r="P49" s="18" t="s">
        <v>1049</v>
      </c>
      <c r="Q49" s="18"/>
      <c r="R49" s="17" t="s">
        <v>1048</v>
      </c>
      <c r="S49" s="18" t="s">
        <v>922</v>
      </c>
      <c r="T49" s="18"/>
      <c r="U49" s="239" t="s">
        <v>833</v>
      </c>
      <c r="W49" s="17" t="str">
        <f>+CONCATENATE(E49,".",F49,"\",G49,".",H49,":",I49)</f>
        <v>2.1\0.1:23</v>
      </c>
      <c r="X49" s="17" t="s">
        <v>1047</v>
      </c>
      <c r="Y49" s="33" t="s">
        <v>289</v>
      </c>
      <c r="Z49" s="18" t="s">
        <v>1046</v>
      </c>
      <c r="AA49" s="83"/>
      <c r="AB49" s="83"/>
      <c r="AC49" s="19"/>
      <c r="AH49" s="64" t="str">
        <f>+AH48</f>
        <v>F1</v>
      </c>
      <c r="AI49" s="39">
        <v>47</v>
      </c>
      <c r="AJ49" s="39">
        <v>48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</row>
    <row r="50" spans="1:53" s="17" customFormat="1" ht="14.5" x14ac:dyDescent="0.35">
      <c r="A50" s="63" t="str">
        <f>A49</f>
        <v>BSR132</v>
      </c>
      <c r="B50" s="18" t="str">
        <f>+B49</f>
        <v>DX01</v>
      </c>
      <c r="C50" s="18" t="str">
        <f>+C49</f>
        <v>DIO1</v>
      </c>
      <c r="D50" s="84">
        <f>+D49</f>
        <v>132</v>
      </c>
      <c r="E50" s="84">
        <v>2</v>
      </c>
      <c r="F50" s="84">
        <f>+F49</f>
        <v>1</v>
      </c>
      <c r="G50" s="84">
        <v>0</v>
      </c>
      <c r="H50" s="200">
        <f>H46</f>
        <v>1</v>
      </c>
      <c r="I50" s="187">
        <f>+I49+1</f>
        <v>24</v>
      </c>
      <c r="J50" s="205"/>
      <c r="K50" s="79"/>
      <c r="L50" s="17" t="s">
        <v>323</v>
      </c>
      <c r="O50" s="59"/>
      <c r="P50" s="18"/>
      <c r="Q50" s="18"/>
      <c r="R50" s="18"/>
      <c r="S50" s="18"/>
      <c r="T50" s="18"/>
      <c r="U50" s="239"/>
      <c r="V50" s="18"/>
      <c r="W50" s="17" t="str">
        <f>+CONCATENATE(E50,".",F50,"\",G50,".",H50,":",I50)</f>
        <v>2.1\0.1:24</v>
      </c>
      <c r="X50" s="17" t="s">
        <v>1047</v>
      </c>
      <c r="Y50" s="33" t="s">
        <v>289</v>
      </c>
      <c r="Z50" s="18" t="s">
        <v>1046</v>
      </c>
      <c r="AA50" s="83"/>
      <c r="AB50" s="83"/>
      <c r="AC50" s="19"/>
      <c r="AH50" s="64" t="str">
        <f>+AH49</f>
        <v>F1</v>
      </c>
      <c r="AI50" s="39">
        <v>49</v>
      </c>
      <c r="AJ50" s="39">
        <v>50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</row>
    <row r="51" spans="1:53" s="17" customFormat="1" x14ac:dyDescent="0.3">
      <c r="A51" s="63" t="str">
        <f>A50</f>
        <v>BSR132</v>
      </c>
      <c r="B51" s="18" t="str">
        <f>+B50</f>
        <v>DX01</v>
      </c>
      <c r="C51" s="18" t="str">
        <f>+C50</f>
        <v>DIO1</v>
      </c>
      <c r="D51" s="84">
        <f>+D50</f>
        <v>132</v>
      </c>
      <c r="E51" s="84">
        <v>2</v>
      </c>
      <c r="F51" s="84">
        <f>+F50</f>
        <v>1</v>
      </c>
      <c r="G51" s="84">
        <v>0</v>
      </c>
      <c r="H51" s="200">
        <f>H47</f>
        <v>1</v>
      </c>
      <c r="I51" s="187">
        <f>+I50+1</f>
        <v>25</v>
      </c>
      <c r="J51" s="205"/>
      <c r="K51" s="79"/>
      <c r="L51" s="17" t="s">
        <v>323</v>
      </c>
      <c r="N51" s="18"/>
      <c r="O51" s="18"/>
      <c r="P51" s="18"/>
      <c r="Q51" s="18"/>
      <c r="R51" s="18"/>
      <c r="S51" s="18"/>
      <c r="T51" s="18"/>
      <c r="U51" s="18"/>
      <c r="V51" s="18"/>
      <c r="W51" s="17" t="str">
        <f>+CONCATENATE(E51,".",F51,"\",G51,".",H51,":",I51)</f>
        <v>2.1\0.1:25</v>
      </c>
      <c r="Y51" s="33"/>
      <c r="Z51" s="18"/>
      <c r="AA51" s="46"/>
      <c r="AB51" s="46"/>
      <c r="AC51" s="19"/>
      <c r="AH51" s="64" t="str">
        <f>+AH50</f>
        <v>F1</v>
      </c>
      <c r="AI51" s="39">
        <v>51</v>
      </c>
      <c r="AJ51" s="39">
        <v>52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</row>
    <row r="52" spans="1:53" s="17" customFormat="1" x14ac:dyDescent="0.3">
      <c r="A52" s="63" t="str">
        <f>A51</f>
        <v>BSR132</v>
      </c>
      <c r="B52" s="18" t="str">
        <f>+B51</f>
        <v>DX01</v>
      </c>
      <c r="C52" s="18" t="str">
        <f>+C51</f>
        <v>DIO1</v>
      </c>
      <c r="D52" s="84">
        <f>+D51</f>
        <v>132</v>
      </c>
      <c r="E52" s="84">
        <v>2</v>
      </c>
      <c r="F52" s="84">
        <f>+F51</f>
        <v>1</v>
      </c>
      <c r="G52" s="84">
        <v>0</v>
      </c>
      <c r="H52" s="200">
        <f>H48</f>
        <v>1</v>
      </c>
      <c r="I52" s="187">
        <f>+I51+1</f>
        <v>26</v>
      </c>
      <c r="J52" s="205"/>
      <c r="K52" s="79"/>
      <c r="L52" s="17" t="s">
        <v>323</v>
      </c>
      <c r="N52" s="18"/>
      <c r="O52" s="18"/>
      <c r="P52" s="18"/>
      <c r="Q52" s="18"/>
      <c r="R52" s="18"/>
      <c r="S52" s="18"/>
      <c r="T52" s="18"/>
      <c r="U52" s="18"/>
      <c r="V52" s="18"/>
      <c r="W52" s="17" t="str">
        <f>+CONCATENATE(E52,".",F52,"\",G52,".",H52,":",I52)</f>
        <v>2.1\0.1:26</v>
      </c>
      <c r="Y52" s="33"/>
      <c r="Z52" s="18"/>
      <c r="AA52" s="46"/>
      <c r="AB52" s="20"/>
      <c r="AC52" s="19"/>
      <c r="AH52" s="64" t="str">
        <f>+AH51</f>
        <v>F1</v>
      </c>
      <c r="AI52" s="39">
        <v>53</v>
      </c>
      <c r="AJ52" s="39">
        <v>54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</row>
    <row r="53" spans="1:53" s="17" customFormat="1" x14ac:dyDescent="0.3">
      <c r="A53" s="63" t="str">
        <f>A52</f>
        <v>BSR132</v>
      </c>
      <c r="B53" s="18" t="str">
        <f>+B52</f>
        <v>DX01</v>
      </c>
      <c r="C53" s="18" t="str">
        <f>+C52</f>
        <v>DIO1</v>
      </c>
      <c r="D53" s="84">
        <f>+D52</f>
        <v>132</v>
      </c>
      <c r="E53" s="84">
        <v>2</v>
      </c>
      <c r="F53" s="84">
        <f>+F52</f>
        <v>1</v>
      </c>
      <c r="G53" s="84">
        <v>0</v>
      </c>
      <c r="H53" s="200">
        <f>H49</f>
        <v>1</v>
      </c>
      <c r="I53" s="187">
        <f>+I52+1</f>
        <v>27</v>
      </c>
      <c r="J53" s="205"/>
      <c r="K53" s="79"/>
      <c r="L53" s="17" t="s">
        <v>323</v>
      </c>
      <c r="N53" s="18"/>
      <c r="O53" s="18"/>
      <c r="P53" s="18"/>
      <c r="Q53" s="18"/>
      <c r="R53" s="18"/>
      <c r="S53" s="18"/>
      <c r="T53" s="18"/>
      <c r="U53" s="18"/>
      <c r="V53" s="18"/>
      <c r="W53" s="17" t="str">
        <f>+CONCATENATE(E53,".",F53,"\",G53,".",H53,":",I53)</f>
        <v>2.1\0.1:27</v>
      </c>
      <c r="Y53" s="33"/>
      <c r="Z53" s="18"/>
      <c r="AA53" s="46"/>
      <c r="AB53" s="20"/>
      <c r="AC53" s="19"/>
      <c r="AH53" s="64" t="str">
        <f>+AH52</f>
        <v>F1</v>
      </c>
      <c r="AI53" s="39">
        <v>55</v>
      </c>
      <c r="AJ53" s="39">
        <v>56</v>
      </c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</row>
    <row r="54" spans="1:53" s="17" customFormat="1" x14ac:dyDescent="0.3">
      <c r="A54" s="63" t="str">
        <f>A53</f>
        <v>BSR132</v>
      </c>
      <c r="B54" s="18" t="str">
        <f>+B53</f>
        <v>DX01</v>
      </c>
      <c r="C54" s="18" t="str">
        <f>+C53</f>
        <v>DIO1</v>
      </c>
      <c r="D54" s="84">
        <f>+D53</f>
        <v>132</v>
      </c>
      <c r="E54" s="84">
        <v>2</v>
      </c>
      <c r="F54" s="84">
        <f>+F53</f>
        <v>1</v>
      </c>
      <c r="G54" s="84">
        <v>0</v>
      </c>
      <c r="H54" s="200">
        <f>H50</f>
        <v>1</v>
      </c>
      <c r="I54" s="187">
        <f>+I53+1</f>
        <v>28</v>
      </c>
      <c r="J54" s="205"/>
      <c r="K54" s="79"/>
      <c r="L54" s="17" t="s">
        <v>323</v>
      </c>
      <c r="N54" s="18"/>
      <c r="O54" s="18"/>
      <c r="P54" s="18"/>
      <c r="Q54" s="18"/>
      <c r="R54" s="18"/>
      <c r="S54" s="18"/>
      <c r="T54" s="18"/>
      <c r="U54" s="18"/>
      <c r="V54" s="18"/>
      <c r="W54" s="17" t="str">
        <f>+CONCATENATE(E54,".",F54,"\",G54,".",H54,":",I54)</f>
        <v>2.1\0.1:28</v>
      </c>
      <c r="Y54" s="33"/>
      <c r="Z54" s="18"/>
      <c r="AA54" s="46"/>
      <c r="AB54" s="20"/>
      <c r="AC54" s="19"/>
      <c r="AH54" s="64" t="str">
        <f>+AH53</f>
        <v>F1</v>
      </c>
      <c r="AI54" s="39">
        <v>57</v>
      </c>
      <c r="AJ54" s="39">
        <v>58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</row>
    <row r="55" spans="1:53" s="17" customFormat="1" x14ac:dyDescent="0.3">
      <c r="A55" s="63" t="str">
        <f>A54</f>
        <v>BSR132</v>
      </c>
      <c r="B55" s="18" t="str">
        <f>+B54</f>
        <v>DX01</v>
      </c>
      <c r="C55" s="18" t="str">
        <f>+C54</f>
        <v>DIO1</v>
      </c>
      <c r="D55" s="84">
        <f>+D54</f>
        <v>132</v>
      </c>
      <c r="E55" s="84">
        <v>2</v>
      </c>
      <c r="F55" s="84">
        <f>+F54</f>
        <v>1</v>
      </c>
      <c r="G55" s="84">
        <v>0</v>
      </c>
      <c r="H55" s="200">
        <f>H51</f>
        <v>1</v>
      </c>
      <c r="I55" s="187">
        <f>+I54+1</f>
        <v>29</v>
      </c>
      <c r="J55" s="205"/>
      <c r="K55" s="79"/>
      <c r="L55" s="17" t="s">
        <v>323</v>
      </c>
      <c r="N55" s="18"/>
      <c r="O55" s="18"/>
      <c r="P55" s="18"/>
      <c r="Q55" s="18"/>
      <c r="R55" s="18"/>
      <c r="S55" s="18"/>
      <c r="T55" s="18"/>
      <c r="U55" s="18"/>
      <c r="V55" s="18"/>
      <c r="W55" s="17" t="str">
        <f>+CONCATENATE(E55,".",F55,"\",G55,".",H55,":",I55)</f>
        <v>2.1\0.1:29</v>
      </c>
      <c r="Y55" s="33"/>
      <c r="Z55" s="18"/>
      <c r="AA55" s="46"/>
      <c r="AB55" s="20"/>
      <c r="AC55" s="19"/>
      <c r="AH55" s="64" t="str">
        <f>+AH54</f>
        <v>F1</v>
      </c>
      <c r="AI55" s="39">
        <v>59</v>
      </c>
      <c r="AJ55" s="39">
        <v>60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</row>
    <row r="56" spans="1:53" s="17" customFormat="1" x14ac:dyDescent="0.3">
      <c r="A56" s="63" t="str">
        <f>A55</f>
        <v>BSR132</v>
      </c>
      <c r="B56" s="18" t="str">
        <f>+B55</f>
        <v>DX01</v>
      </c>
      <c r="C56" s="18" t="str">
        <f>+C55</f>
        <v>DIO1</v>
      </c>
      <c r="D56" s="84">
        <f>+D55</f>
        <v>132</v>
      </c>
      <c r="E56" s="84">
        <v>2</v>
      </c>
      <c r="F56" s="84">
        <f>+F55</f>
        <v>1</v>
      </c>
      <c r="G56" s="84">
        <v>0</v>
      </c>
      <c r="H56" s="200">
        <f>H52</f>
        <v>1</v>
      </c>
      <c r="I56" s="187">
        <f>+I55+1</f>
        <v>30</v>
      </c>
      <c r="J56" s="205"/>
      <c r="K56" s="79"/>
      <c r="L56" s="17" t="s">
        <v>323</v>
      </c>
      <c r="N56" s="18"/>
      <c r="O56" s="18"/>
      <c r="P56" s="18"/>
      <c r="Q56" s="18"/>
      <c r="R56" s="18"/>
      <c r="S56" s="18"/>
      <c r="T56" s="18"/>
      <c r="U56" s="18"/>
      <c r="V56" s="83"/>
      <c r="W56" s="17" t="str">
        <f>+CONCATENATE(E56,".",F56,"\",G56,".",H56,":",I56)</f>
        <v>2.1\0.1:30</v>
      </c>
      <c r="Y56" s="33"/>
      <c r="Z56" s="18"/>
      <c r="AA56" s="46"/>
      <c r="AB56" s="20"/>
      <c r="AC56" s="19"/>
      <c r="AH56" s="64" t="str">
        <f>+AH55</f>
        <v>F1</v>
      </c>
      <c r="AI56" s="39">
        <v>61</v>
      </c>
      <c r="AJ56" s="39">
        <v>62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</row>
    <row r="57" spans="1:53" s="17" customFormat="1" ht="13.5" thickBot="1" x14ac:dyDescent="0.35">
      <c r="A57" s="63" t="str">
        <f>A56</f>
        <v>BSR132</v>
      </c>
      <c r="B57" s="18" t="str">
        <f>+B56</f>
        <v>DX01</v>
      </c>
      <c r="C57" s="18" t="str">
        <f>+C56</f>
        <v>DIO1</v>
      </c>
      <c r="D57" s="84">
        <f>+D56</f>
        <v>132</v>
      </c>
      <c r="E57" s="84">
        <v>2</v>
      </c>
      <c r="F57" s="84">
        <f>+F56</f>
        <v>1</v>
      </c>
      <c r="G57" s="84">
        <v>0</v>
      </c>
      <c r="H57" s="200">
        <f>H53</f>
        <v>1</v>
      </c>
      <c r="I57" s="191">
        <f>+I56+1</f>
        <v>31</v>
      </c>
      <c r="J57" s="203"/>
      <c r="K57" s="79"/>
      <c r="L57" s="17" t="s">
        <v>323</v>
      </c>
      <c r="N57" s="18"/>
      <c r="O57" s="18"/>
      <c r="P57" s="18"/>
      <c r="Q57" s="18"/>
      <c r="R57" s="18"/>
      <c r="S57" s="18"/>
      <c r="T57" s="18"/>
      <c r="U57" s="18"/>
      <c r="V57" s="83"/>
      <c r="W57" s="17" t="str">
        <f>+CONCATENATE(E57,".",F57,"\",G57,".",H57,":",I57)</f>
        <v>2.1\0.1:31</v>
      </c>
      <c r="Y57" s="33"/>
      <c r="Z57" s="18"/>
      <c r="AA57" s="46"/>
      <c r="AB57" s="20"/>
      <c r="AC57" s="19"/>
      <c r="AH57" s="64" t="str">
        <f>+AH56</f>
        <v>F1</v>
      </c>
      <c r="AI57" s="39">
        <v>63</v>
      </c>
      <c r="AJ57" s="39">
        <v>64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</row>
    <row r="58" spans="1:53" s="17" customFormat="1" x14ac:dyDescent="0.3">
      <c r="A58" s="86" t="s">
        <v>273</v>
      </c>
      <c r="B58" s="18" t="str">
        <f>+B57</f>
        <v>DX01</v>
      </c>
      <c r="C58" s="18" t="str">
        <f>+C57</f>
        <v>DIO1</v>
      </c>
      <c r="D58" s="84">
        <f>+D57</f>
        <v>132</v>
      </c>
      <c r="E58" s="84">
        <v>2</v>
      </c>
      <c r="F58" s="84">
        <f>+F57</f>
        <v>1</v>
      </c>
      <c r="G58" s="84">
        <v>0</v>
      </c>
      <c r="H58" s="202">
        <f>+H57+1</f>
        <v>2</v>
      </c>
      <c r="I58" s="188">
        <v>0</v>
      </c>
      <c r="J58" s="205" t="s">
        <v>767</v>
      </c>
      <c r="K58" s="18" t="s">
        <v>766</v>
      </c>
      <c r="L58" s="17" t="s">
        <v>323</v>
      </c>
      <c r="O58" s="165"/>
      <c r="R58" s="97"/>
      <c r="V58" s="18"/>
      <c r="W58" s="17" t="str">
        <f>+CONCATENATE(E58,".",F58,"\",G58,".",H58,":",I58)</f>
        <v>2.1\0.2:0</v>
      </c>
      <c r="Y58" s="33"/>
      <c r="Z58" s="18"/>
      <c r="AA58" s="46"/>
      <c r="AB58" s="20"/>
      <c r="AC58" s="19"/>
      <c r="AH58" s="64" t="s">
        <v>1045</v>
      </c>
      <c r="AI58" s="39">
        <v>1</v>
      </c>
      <c r="AJ58" s="39">
        <v>2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</row>
    <row r="59" spans="1:53" s="17" customFormat="1" ht="14.5" x14ac:dyDescent="0.3">
      <c r="A59" s="63" t="str">
        <f>A58</f>
        <v>BSR132</v>
      </c>
      <c r="B59" s="18" t="str">
        <f>+B58</f>
        <v>DX01</v>
      </c>
      <c r="C59" s="18" t="str">
        <f>+C58</f>
        <v>DIO1</v>
      </c>
      <c r="D59" s="84">
        <f>+D58</f>
        <v>132</v>
      </c>
      <c r="E59" s="84">
        <v>2</v>
      </c>
      <c r="F59" s="84">
        <f>+F58</f>
        <v>1</v>
      </c>
      <c r="G59" s="84">
        <v>0</v>
      </c>
      <c r="H59" s="200">
        <f>H58</f>
        <v>2</v>
      </c>
      <c r="I59" s="187">
        <f>+I58+1</f>
        <v>1</v>
      </c>
      <c r="J59" s="205"/>
      <c r="L59" s="17" t="s">
        <v>323</v>
      </c>
      <c r="N59" s="17">
        <v>1</v>
      </c>
      <c r="O59" s="225" t="s">
        <v>821</v>
      </c>
      <c r="P59" s="97" t="s">
        <v>1044</v>
      </c>
      <c r="Q59" s="97"/>
      <c r="R59" s="97" t="s">
        <v>1043</v>
      </c>
      <c r="S59" s="97" t="s">
        <v>247</v>
      </c>
      <c r="T59" s="97"/>
      <c r="U59" s="17" t="s">
        <v>821</v>
      </c>
      <c r="V59" s="18"/>
      <c r="W59" s="17" t="str">
        <f>+CONCATENATE(E59,".",F59,"\",G59,".",H59,":",I59)</f>
        <v>2.1\0.2:1</v>
      </c>
      <c r="X59" s="17" t="s">
        <v>989</v>
      </c>
      <c r="Y59" s="33" t="s">
        <v>289</v>
      </c>
      <c r="Z59" s="18" t="s">
        <v>993</v>
      </c>
      <c r="AA59" s="46"/>
      <c r="AB59" s="20"/>
      <c r="AC59" s="19"/>
      <c r="AH59" s="64" t="str">
        <f>+AH58</f>
        <v>F2</v>
      </c>
      <c r="AI59" s="39">
        <v>3</v>
      </c>
      <c r="AJ59" s="39">
        <v>4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</row>
    <row r="60" spans="1:53" s="17" customFormat="1" ht="14.5" x14ac:dyDescent="0.3">
      <c r="A60" s="63" t="str">
        <f>A59</f>
        <v>BSR132</v>
      </c>
      <c r="B60" s="18" t="str">
        <f>+B59</f>
        <v>DX01</v>
      </c>
      <c r="C60" s="18" t="str">
        <f>+C59</f>
        <v>DIO1</v>
      </c>
      <c r="D60" s="84">
        <f>+D59</f>
        <v>132</v>
      </c>
      <c r="E60" s="84">
        <v>2</v>
      </c>
      <c r="F60" s="84">
        <f>+F59</f>
        <v>1</v>
      </c>
      <c r="G60" s="84">
        <v>0</v>
      </c>
      <c r="H60" s="200">
        <f>H58</f>
        <v>2</v>
      </c>
      <c r="I60" s="187">
        <f>+I59+1</f>
        <v>2</v>
      </c>
      <c r="J60" s="205"/>
      <c r="K60" s="79"/>
      <c r="L60" s="17" t="s">
        <v>323</v>
      </c>
      <c r="N60" s="17">
        <v>1</v>
      </c>
      <c r="O60" s="225" t="s">
        <v>821</v>
      </c>
      <c r="P60" s="97" t="s">
        <v>1042</v>
      </c>
      <c r="Q60" s="97"/>
      <c r="R60" s="20" t="s">
        <v>1041</v>
      </c>
      <c r="S60" s="20" t="s">
        <v>247</v>
      </c>
      <c r="T60" s="238"/>
      <c r="U60" s="17" t="s">
        <v>821</v>
      </c>
      <c r="V60" s="18"/>
      <c r="W60" s="17" t="str">
        <f>+CONCATENATE(E60,".",F60,"\",G60,".",H60,":",I60)</f>
        <v>2.1\0.2:2</v>
      </c>
      <c r="X60" s="17" t="s">
        <v>989</v>
      </c>
      <c r="Y60" s="33" t="s">
        <v>289</v>
      </c>
      <c r="Z60" s="18" t="s">
        <v>993</v>
      </c>
      <c r="AA60" s="46"/>
      <c r="AB60" s="20"/>
      <c r="AC60" s="19"/>
      <c r="AH60" s="64" t="str">
        <f>+AH59</f>
        <v>F2</v>
      </c>
      <c r="AI60" s="39">
        <v>5</v>
      </c>
      <c r="AJ60" s="39">
        <v>6</v>
      </c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</row>
    <row r="61" spans="1:53" s="17" customFormat="1" ht="14.5" x14ac:dyDescent="0.3">
      <c r="A61" s="63" t="str">
        <f>A60</f>
        <v>BSR132</v>
      </c>
      <c r="B61" s="18" t="str">
        <f>+B60</f>
        <v>DX01</v>
      </c>
      <c r="C61" s="18" t="str">
        <f>+C60</f>
        <v>DIO1</v>
      </c>
      <c r="D61" s="84">
        <f>+D60</f>
        <v>132</v>
      </c>
      <c r="E61" s="84">
        <v>2</v>
      </c>
      <c r="F61" s="84">
        <f>+F60</f>
        <v>1</v>
      </c>
      <c r="G61" s="84">
        <v>0</v>
      </c>
      <c r="H61" s="200">
        <f>H58</f>
        <v>2</v>
      </c>
      <c r="I61" s="187">
        <f>+I60+1</f>
        <v>3</v>
      </c>
      <c r="J61" s="205"/>
      <c r="K61" s="79"/>
      <c r="L61" s="17" t="s">
        <v>323</v>
      </c>
      <c r="N61" s="17">
        <v>3</v>
      </c>
      <c r="O61" s="225" t="s">
        <v>821</v>
      </c>
      <c r="P61" s="97" t="s">
        <v>1040</v>
      </c>
      <c r="Q61" s="97"/>
      <c r="R61" s="20" t="s">
        <v>1039</v>
      </c>
      <c r="S61" s="97" t="s">
        <v>247</v>
      </c>
      <c r="T61" s="97"/>
      <c r="U61" s="17" t="s">
        <v>821</v>
      </c>
      <c r="V61" s="18"/>
      <c r="W61" s="17" t="str">
        <f>+CONCATENATE(E61,".",F61,"\",G61,".",H61,":",I61)</f>
        <v>2.1\0.2:3</v>
      </c>
      <c r="X61" s="17" t="s">
        <v>989</v>
      </c>
      <c r="Y61" s="33" t="s">
        <v>289</v>
      </c>
      <c r="Z61" s="18" t="s">
        <v>993</v>
      </c>
      <c r="AA61" s="46"/>
      <c r="AB61" s="20"/>
      <c r="AC61" s="19"/>
      <c r="AH61" s="64" t="str">
        <f>+AH60</f>
        <v>F2</v>
      </c>
      <c r="AI61" s="39">
        <v>7</v>
      </c>
      <c r="AJ61" s="39">
        <v>8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</row>
    <row r="62" spans="1:53" s="17" customFormat="1" ht="14.5" x14ac:dyDescent="0.3">
      <c r="A62" s="63" t="str">
        <f>A61</f>
        <v>BSR132</v>
      </c>
      <c r="B62" s="18" t="str">
        <f>+B61</f>
        <v>DX01</v>
      </c>
      <c r="C62" s="18" t="str">
        <f>+C61</f>
        <v>DIO1</v>
      </c>
      <c r="D62" s="84">
        <f>+D61</f>
        <v>132</v>
      </c>
      <c r="E62" s="84">
        <v>2</v>
      </c>
      <c r="F62" s="84">
        <f>+F61</f>
        <v>1</v>
      </c>
      <c r="G62" s="84">
        <v>0</v>
      </c>
      <c r="H62" s="200">
        <f>H59</f>
        <v>2</v>
      </c>
      <c r="I62" s="187">
        <f>+I61+1</f>
        <v>4</v>
      </c>
      <c r="J62" s="205"/>
      <c r="K62" s="79"/>
      <c r="L62" s="17" t="s">
        <v>323</v>
      </c>
      <c r="N62" s="17">
        <v>3</v>
      </c>
      <c r="O62" s="225" t="s">
        <v>821</v>
      </c>
      <c r="P62" s="97" t="s">
        <v>1038</v>
      </c>
      <c r="Q62" s="97"/>
      <c r="R62" s="97" t="s">
        <v>1037</v>
      </c>
      <c r="S62" s="20" t="s">
        <v>247</v>
      </c>
      <c r="T62" s="238"/>
      <c r="U62" s="17" t="s">
        <v>821</v>
      </c>
      <c r="V62" s="18"/>
      <c r="W62" s="17" t="str">
        <f>+CONCATENATE(E62,".",F62,"\",G62,".",H62,":",I62)</f>
        <v>2.1\0.2:4</v>
      </c>
      <c r="X62" s="17" t="s">
        <v>989</v>
      </c>
      <c r="Y62" s="33" t="s">
        <v>289</v>
      </c>
      <c r="Z62" s="18" t="s">
        <v>993</v>
      </c>
      <c r="AA62" s="46"/>
      <c r="AB62" s="20"/>
      <c r="AC62" s="19"/>
      <c r="AH62" s="64" t="str">
        <f>+AH61</f>
        <v>F2</v>
      </c>
      <c r="AI62" s="39">
        <v>9</v>
      </c>
      <c r="AJ62" s="39">
        <v>10</v>
      </c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</row>
    <row r="63" spans="1:53" s="17" customFormat="1" ht="14.5" x14ac:dyDescent="0.3">
      <c r="A63" s="63" t="str">
        <f>A62</f>
        <v>BSR132</v>
      </c>
      <c r="B63" s="18" t="str">
        <f>+B62</f>
        <v>DX01</v>
      </c>
      <c r="C63" s="18" t="str">
        <f>+C62</f>
        <v>DIO1</v>
      </c>
      <c r="D63" s="84">
        <f>+D62</f>
        <v>132</v>
      </c>
      <c r="E63" s="84">
        <v>2</v>
      </c>
      <c r="F63" s="84">
        <f>+F62</f>
        <v>1</v>
      </c>
      <c r="G63" s="84">
        <v>0</v>
      </c>
      <c r="H63" s="200">
        <f>H60</f>
        <v>2</v>
      </c>
      <c r="I63" s="187">
        <f>+I62+1</f>
        <v>5</v>
      </c>
      <c r="J63" s="205"/>
      <c r="K63" s="79"/>
      <c r="L63" s="17" t="s">
        <v>323</v>
      </c>
      <c r="N63" s="17">
        <v>1</v>
      </c>
      <c r="O63" s="225" t="s">
        <v>821</v>
      </c>
      <c r="P63" s="97" t="s">
        <v>1036</v>
      </c>
      <c r="Q63" s="97"/>
      <c r="R63" s="97" t="s">
        <v>291</v>
      </c>
      <c r="S63" s="97" t="s">
        <v>247</v>
      </c>
      <c r="U63" s="17" t="s">
        <v>821</v>
      </c>
      <c r="V63" s="18"/>
      <c r="W63" s="17" t="str">
        <f>+CONCATENATE(E63,".",F63,"\",G63,".",H63,":",I63)</f>
        <v>2.1\0.2:5</v>
      </c>
      <c r="X63" s="17" t="s">
        <v>989</v>
      </c>
      <c r="Y63" s="33" t="s">
        <v>289</v>
      </c>
      <c r="Z63" s="18" t="s">
        <v>993</v>
      </c>
      <c r="AA63" s="46"/>
      <c r="AB63" s="20"/>
      <c r="AC63" s="19"/>
      <c r="AH63" s="64" t="str">
        <f>+AH62</f>
        <v>F2</v>
      </c>
      <c r="AI63" s="39">
        <v>11</v>
      </c>
      <c r="AJ63" s="39">
        <v>12</v>
      </c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</row>
    <row r="64" spans="1:53" s="17" customFormat="1" ht="14.5" x14ac:dyDescent="0.3">
      <c r="A64" s="63" t="str">
        <f>A63</f>
        <v>BSR132</v>
      </c>
      <c r="B64" s="18" t="str">
        <f>+B63</f>
        <v>DX01</v>
      </c>
      <c r="C64" s="18" t="str">
        <f>+C63</f>
        <v>DIO1</v>
      </c>
      <c r="D64" s="84">
        <f>+D63</f>
        <v>132</v>
      </c>
      <c r="E64" s="84">
        <v>2</v>
      </c>
      <c r="F64" s="84">
        <f>+F63</f>
        <v>1</v>
      </c>
      <c r="G64" s="84">
        <v>0</v>
      </c>
      <c r="H64" s="200">
        <f>H61</f>
        <v>2</v>
      </c>
      <c r="I64" s="187">
        <f>+I63+1</f>
        <v>6</v>
      </c>
      <c r="J64" s="205"/>
      <c r="K64" s="79"/>
      <c r="L64" s="17" t="s">
        <v>323</v>
      </c>
      <c r="N64" s="17">
        <v>3</v>
      </c>
      <c r="O64" s="225" t="s">
        <v>821</v>
      </c>
      <c r="P64" s="97" t="s">
        <v>1035</v>
      </c>
      <c r="Q64" s="97"/>
      <c r="R64" s="97" t="s">
        <v>1034</v>
      </c>
      <c r="S64" s="20" t="s">
        <v>247</v>
      </c>
      <c r="T64" s="238"/>
      <c r="U64" s="17" t="s">
        <v>821</v>
      </c>
      <c r="V64" s="18"/>
      <c r="W64" s="17" t="str">
        <f>+CONCATENATE(E64,".",F64,"\",G64,".",H64,":",I64)</f>
        <v>2.1\0.2:6</v>
      </c>
      <c r="X64" s="17" t="s">
        <v>989</v>
      </c>
      <c r="Y64" s="33" t="s">
        <v>289</v>
      </c>
      <c r="Z64" s="18" t="s">
        <v>993</v>
      </c>
      <c r="AA64" s="46"/>
      <c r="AB64" s="20"/>
      <c r="AC64" s="19"/>
      <c r="AH64" s="64" t="str">
        <f>+AH63</f>
        <v>F2</v>
      </c>
      <c r="AI64" s="39">
        <v>13</v>
      </c>
      <c r="AJ64" s="39">
        <v>14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</row>
    <row r="65" spans="1:53" s="17" customFormat="1" ht="14.5" x14ac:dyDescent="0.3">
      <c r="A65" s="63" t="str">
        <f>A64</f>
        <v>BSR132</v>
      </c>
      <c r="B65" s="18" t="str">
        <f>+B64</f>
        <v>DX01</v>
      </c>
      <c r="C65" s="18" t="str">
        <f>+C64</f>
        <v>DIO1</v>
      </c>
      <c r="D65" s="84">
        <f>+D64</f>
        <v>132</v>
      </c>
      <c r="E65" s="84">
        <v>2</v>
      </c>
      <c r="F65" s="84">
        <f>+F64</f>
        <v>1</v>
      </c>
      <c r="G65" s="84">
        <v>0</v>
      </c>
      <c r="H65" s="200">
        <f>H62</f>
        <v>2</v>
      </c>
      <c r="I65" s="187">
        <f>+I64+1</f>
        <v>7</v>
      </c>
      <c r="J65" s="205"/>
      <c r="K65" s="79"/>
      <c r="L65" s="17" t="s">
        <v>323</v>
      </c>
      <c r="N65" s="17">
        <v>1</v>
      </c>
      <c r="O65" s="225" t="s">
        <v>821</v>
      </c>
      <c r="P65" s="97" t="s">
        <v>1033</v>
      </c>
      <c r="Q65" s="97"/>
      <c r="R65" s="97" t="s">
        <v>1032</v>
      </c>
      <c r="S65" s="97" t="s">
        <v>247</v>
      </c>
      <c r="T65" s="97"/>
      <c r="U65" s="17" t="s">
        <v>821</v>
      </c>
      <c r="V65" s="18"/>
      <c r="W65" s="17" t="str">
        <f>+CONCATENATE(E65,".",F65,"\",G65,".",H65,":",I65)</f>
        <v>2.1\0.2:7</v>
      </c>
      <c r="X65" s="17" t="s">
        <v>989</v>
      </c>
      <c r="Y65" s="33" t="s">
        <v>289</v>
      </c>
      <c r="Z65" s="18" t="s">
        <v>993</v>
      </c>
      <c r="AA65" s="46"/>
      <c r="AB65" s="20"/>
      <c r="AC65" s="19"/>
      <c r="AH65" s="64" t="str">
        <f>+AH64</f>
        <v>F2</v>
      </c>
      <c r="AI65" s="39">
        <v>15</v>
      </c>
      <c r="AJ65" s="39">
        <v>16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</row>
    <row r="66" spans="1:53" s="17" customFormat="1" ht="14.5" x14ac:dyDescent="0.3">
      <c r="A66" s="63" t="str">
        <f>A65</f>
        <v>BSR132</v>
      </c>
      <c r="B66" s="18" t="str">
        <f>+B65</f>
        <v>DX01</v>
      </c>
      <c r="C66" s="18" t="str">
        <f>+C65</f>
        <v>DIO1</v>
      </c>
      <c r="D66" s="84">
        <f>+D65</f>
        <v>132</v>
      </c>
      <c r="E66" s="84">
        <v>2</v>
      </c>
      <c r="F66" s="84">
        <f>+F65</f>
        <v>1</v>
      </c>
      <c r="G66" s="84">
        <v>0</v>
      </c>
      <c r="H66" s="200">
        <f>H63</f>
        <v>2</v>
      </c>
      <c r="I66" s="187">
        <f>+I65+1</f>
        <v>8</v>
      </c>
      <c r="J66" s="205"/>
      <c r="K66" s="79"/>
      <c r="L66" s="17" t="s">
        <v>323</v>
      </c>
      <c r="N66" s="17">
        <v>1</v>
      </c>
      <c r="O66" s="225" t="s">
        <v>821</v>
      </c>
      <c r="P66" s="97" t="s">
        <v>1031</v>
      </c>
      <c r="Q66" s="97"/>
      <c r="R66" s="97" t="s">
        <v>1030</v>
      </c>
      <c r="S66" s="20" t="s">
        <v>247</v>
      </c>
      <c r="T66" s="238"/>
      <c r="U66" s="17" t="s">
        <v>821</v>
      </c>
      <c r="V66" s="18"/>
      <c r="W66" s="17" t="str">
        <f>+CONCATENATE(E66,".",F66,"\",G66,".",H66,":",I66)</f>
        <v>2.1\0.2:8</v>
      </c>
      <c r="X66" s="17" t="s">
        <v>989</v>
      </c>
      <c r="Y66" s="33" t="s">
        <v>289</v>
      </c>
      <c r="Z66" s="18" t="s">
        <v>993</v>
      </c>
      <c r="AA66" s="46"/>
      <c r="AB66" s="20"/>
      <c r="AC66" s="19"/>
      <c r="AH66" s="64" t="str">
        <f>+AH65</f>
        <v>F2</v>
      </c>
      <c r="AI66" s="39">
        <v>17</v>
      </c>
      <c r="AJ66" s="39">
        <v>18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</row>
    <row r="67" spans="1:53" s="17" customFormat="1" ht="14.5" x14ac:dyDescent="0.3">
      <c r="A67" s="63" t="str">
        <f>A66</f>
        <v>BSR132</v>
      </c>
      <c r="B67" s="18" t="str">
        <f>+B66</f>
        <v>DX01</v>
      </c>
      <c r="C67" s="18" t="str">
        <f>+C66</f>
        <v>DIO1</v>
      </c>
      <c r="D67" s="84">
        <f>+D66</f>
        <v>132</v>
      </c>
      <c r="E67" s="84">
        <v>2</v>
      </c>
      <c r="F67" s="84">
        <f>+F66</f>
        <v>1</v>
      </c>
      <c r="G67" s="84">
        <v>0</v>
      </c>
      <c r="H67" s="200">
        <f>H64</f>
        <v>2</v>
      </c>
      <c r="I67" s="187">
        <f>+I66+1</f>
        <v>9</v>
      </c>
      <c r="J67" s="205"/>
      <c r="K67" s="79"/>
      <c r="L67" s="17" t="s">
        <v>323</v>
      </c>
      <c r="N67" s="17">
        <v>1</v>
      </c>
      <c r="O67" s="225" t="s">
        <v>821</v>
      </c>
      <c r="P67" s="97" t="s">
        <v>1029</v>
      </c>
      <c r="Q67" s="97"/>
      <c r="R67" s="97" t="s">
        <v>1028</v>
      </c>
      <c r="S67" s="97" t="s">
        <v>247</v>
      </c>
      <c r="T67" s="238"/>
      <c r="U67" s="17" t="s">
        <v>821</v>
      </c>
      <c r="V67" s="18"/>
      <c r="W67" s="17" t="str">
        <f>+CONCATENATE(E67,".",F67,"\",G67,".",H67,":",I67)</f>
        <v>2.1\0.2:9</v>
      </c>
      <c r="X67" s="17" t="s">
        <v>989</v>
      </c>
      <c r="Y67" s="33" t="s">
        <v>289</v>
      </c>
      <c r="Z67" s="18" t="s">
        <v>993</v>
      </c>
      <c r="AA67" s="46"/>
      <c r="AB67" s="20"/>
      <c r="AC67" s="19"/>
      <c r="AH67" s="64" t="str">
        <f>+AH66</f>
        <v>F2</v>
      </c>
      <c r="AI67" s="39">
        <v>19</v>
      </c>
      <c r="AJ67" s="39">
        <v>20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</row>
    <row r="68" spans="1:53" s="17" customFormat="1" ht="14.5" x14ac:dyDescent="0.3">
      <c r="A68" s="63" t="str">
        <f>A67</f>
        <v>BSR132</v>
      </c>
      <c r="B68" s="18" t="str">
        <f>+B67</f>
        <v>DX01</v>
      </c>
      <c r="C68" s="18" t="str">
        <f>+C67</f>
        <v>DIO1</v>
      </c>
      <c r="D68" s="84">
        <f>+D67</f>
        <v>132</v>
      </c>
      <c r="E68" s="84">
        <v>2</v>
      </c>
      <c r="F68" s="84">
        <f>+F67</f>
        <v>1</v>
      </c>
      <c r="G68" s="84">
        <v>0</v>
      </c>
      <c r="H68" s="200">
        <f>H65</f>
        <v>2</v>
      </c>
      <c r="I68" s="187">
        <f>+I67+1</f>
        <v>10</v>
      </c>
      <c r="J68" s="205"/>
      <c r="K68" s="79"/>
      <c r="L68" s="17" t="s">
        <v>323</v>
      </c>
      <c r="N68" s="17">
        <v>3</v>
      </c>
      <c r="O68" s="225" t="s">
        <v>821</v>
      </c>
      <c r="P68" s="97" t="s">
        <v>1027</v>
      </c>
      <c r="Q68" s="97"/>
      <c r="R68" s="97" t="s">
        <v>1026</v>
      </c>
      <c r="S68" s="20" t="s">
        <v>247</v>
      </c>
      <c r="T68" s="238"/>
      <c r="U68" s="17" t="s">
        <v>821</v>
      </c>
      <c r="V68" s="18"/>
      <c r="W68" s="17" t="str">
        <f>+CONCATENATE(E68,".",F68,"\",G68,".",H68,":",I68)</f>
        <v>2.1\0.2:10</v>
      </c>
      <c r="X68" s="17" t="s">
        <v>989</v>
      </c>
      <c r="Y68" s="33" t="s">
        <v>289</v>
      </c>
      <c r="Z68" s="18" t="s">
        <v>993</v>
      </c>
      <c r="AA68" s="46"/>
      <c r="AB68" s="20"/>
      <c r="AC68" s="19"/>
      <c r="AH68" s="64" t="str">
        <f>+AH67</f>
        <v>F2</v>
      </c>
      <c r="AI68" s="39">
        <v>21</v>
      </c>
      <c r="AJ68" s="39">
        <v>22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</row>
    <row r="69" spans="1:53" s="17" customFormat="1" ht="14.5" x14ac:dyDescent="0.3">
      <c r="A69" s="63" t="str">
        <f>A68</f>
        <v>BSR132</v>
      </c>
      <c r="B69" s="18" t="str">
        <f>+B68</f>
        <v>DX01</v>
      </c>
      <c r="C69" s="18" t="str">
        <f>+C68</f>
        <v>DIO1</v>
      </c>
      <c r="D69" s="84">
        <f>+D68</f>
        <v>132</v>
      </c>
      <c r="E69" s="84">
        <v>2</v>
      </c>
      <c r="F69" s="84">
        <f>+F68</f>
        <v>1</v>
      </c>
      <c r="G69" s="84">
        <v>0</v>
      </c>
      <c r="H69" s="200">
        <f>H66</f>
        <v>2</v>
      </c>
      <c r="I69" s="187">
        <f>+I68+1</f>
        <v>11</v>
      </c>
      <c r="J69" s="205"/>
      <c r="K69" s="79"/>
      <c r="L69" s="17" t="s">
        <v>323</v>
      </c>
      <c r="N69" s="17">
        <v>1</v>
      </c>
      <c r="O69" s="225" t="s">
        <v>821</v>
      </c>
      <c r="P69" s="97" t="s">
        <v>1025</v>
      </c>
      <c r="Q69" s="97"/>
      <c r="R69" s="97" t="s">
        <v>1024</v>
      </c>
      <c r="S69" s="97" t="s">
        <v>247</v>
      </c>
      <c r="T69" s="238"/>
      <c r="U69" s="17" t="s">
        <v>821</v>
      </c>
      <c r="V69" s="18"/>
      <c r="W69" s="17" t="str">
        <f>+CONCATENATE(E69,".",F69,"\",G69,".",H69,":",I69)</f>
        <v>2.1\0.2:11</v>
      </c>
      <c r="X69" s="17" t="s">
        <v>989</v>
      </c>
      <c r="Y69" s="33" t="s">
        <v>289</v>
      </c>
      <c r="Z69" s="18" t="s">
        <v>993</v>
      </c>
      <c r="AA69" s="46"/>
      <c r="AB69" s="20"/>
      <c r="AC69" s="19"/>
      <c r="AH69" s="64" t="str">
        <f>+AH68</f>
        <v>F2</v>
      </c>
      <c r="AI69" s="39">
        <v>23</v>
      </c>
      <c r="AJ69" s="39">
        <v>24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</row>
    <row r="70" spans="1:53" s="17" customFormat="1" ht="14.5" x14ac:dyDescent="0.3">
      <c r="A70" s="63" t="str">
        <f>A69</f>
        <v>BSR132</v>
      </c>
      <c r="B70" s="18" t="str">
        <f>+B69</f>
        <v>DX01</v>
      </c>
      <c r="C70" s="18" t="str">
        <f>+C69</f>
        <v>DIO1</v>
      </c>
      <c r="D70" s="84">
        <f>+D69</f>
        <v>132</v>
      </c>
      <c r="E70" s="84">
        <v>2</v>
      </c>
      <c r="F70" s="84">
        <f>+F69</f>
        <v>1</v>
      </c>
      <c r="G70" s="84">
        <v>0</v>
      </c>
      <c r="H70" s="200">
        <f>H67</f>
        <v>2</v>
      </c>
      <c r="I70" s="187">
        <f>+I69+1</f>
        <v>12</v>
      </c>
      <c r="J70" s="205"/>
      <c r="K70" s="79"/>
      <c r="L70" s="17" t="s">
        <v>323</v>
      </c>
      <c r="N70" s="17">
        <v>1</v>
      </c>
      <c r="O70" s="225" t="s">
        <v>821</v>
      </c>
      <c r="P70" s="97" t="s">
        <v>1023</v>
      </c>
      <c r="Q70" s="97"/>
      <c r="R70" s="237" t="s">
        <v>1022</v>
      </c>
      <c r="S70" s="20" t="s">
        <v>247</v>
      </c>
      <c r="T70" s="238"/>
      <c r="U70" s="17" t="s">
        <v>821</v>
      </c>
      <c r="V70" s="18"/>
      <c r="W70" s="17" t="str">
        <f>+CONCATENATE(E70,".",F70,"\",G70,".",H70,":",I70)</f>
        <v>2.1\0.2:12</v>
      </c>
      <c r="X70" s="17" t="s">
        <v>989</v>
      </c>
      <c r="Y70" s="33" t="s">
        <v>289</v>
      </c>
      <c r="Z70" s="18" t="s">
        <v>993</v>
      </c>
      <c r="AA70" s="46"/>
      <c r="AB70" s="20"/>
      <c r="AC70" s="19"/>
      <c r="AH70" s="64" t="str">
        <f>+AH69</f>
        <v>F2</v>
      </c>
      <c r="AI70" s="39">
        <v>25</v>
      </c>
      <c r="AJ70" s="39">
        <v>26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</row>
    <row r="71" spans="1:53" s="17" customFormat="1" ht="14.5" x14ac:dyDescent="0.3">
      <c r="A71" s="63" t="str">
        <f>A70</f>
        <v>BSR132</v>
      </c>
      <c r="B71" s="18" t="str">
        <f>+B70</f>
        <v>DX01</v>
      </c>
      <c r="C71" s="18" t="str">
        <f>+C70</f>
        <v>DIO1</v>
      </c>
      <c r="D71" s="84">
        <f>+D70</f>
        <v>132</v>
      </c>
      <c r="E71" s="84">
        <v>2</v>
      </c>
      <c r="F71" s="84">
        <f>+F70</f>
        <v>1</v>
      </c>
      <c r="G71" s="84">
        <v>0</v>
      </c>
      <c r="H71" s="200">
        <f>H68</f>
        <v>2</v>
      </c>
      <c r="I71" s="187">
        <f>+I70+1</f>
        <v>13</v>
      </c>
      <c r="J71" s="205"/>
      <c r="K71" s="79"/>
      <c r="L71" s="17" t="s">
        <v>323</v>
      </c>
      <c r="N71" s="17">
        <v>1</v>
      </c>
      <c r="O71" s="225" t="s">
        <v>821</v>
      </c>
      <c r="P71" s="97" t="s">
        <v>1021</v>
      </c>
      <c r="Q71" s="97"/>
      <c r="R71" s="97" t="s">
        <v>1020</v>
      </c>
      <c r="S71" s="97" t="s">
        <v>247</v>
      </c>
      <c r="U71" s="17" t="s">
        <v>821</v>
      </c>
      <c r="V71" s="18"/>
      <c r="W71" s="17" t="str">
        <f>+CONCATENATE(E71,".",F71,"\",G71,".",H71,":",I71)</f>
        <v>2.1\0.2:13</v>
      </c>
      <c r="X71" s="17" t="s">
        <v>989</v>
      </c>
      <c r="Y71" s="33" t="s">
        <v>289</v>
      </c>
      <c r="Z71" s="18" t="s">
        <v>993</v>
      </c>
      <c r="AA71" s="46"/>
      <c r="AB71" s="20"/>
      <c r="AC71" s="19"/>
      <c r="AH71" s="64" t="str">
        <f>+AH70</f>
        <v>F2</v>
      </c>
      <c r="AI71" s="39">
        <v>27</v>
      </c>
      <c r="AJ71" s="39">
        <v>28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</row>
    <row r="72" spans="1:53" s="17" customFormat="1" ht="14.5" x14ac:dyDescent="0.3">
      <c r="A72" s="63" t="str">
        <f>A71</f>
        <v>BSR132</v>
      </c>
      <c r="B72" s="18" t="str">
        <f>+B71</f>
        <v>DX01</v>
      </c>
      <c r="C72" s="18" t="str">
        <f>+C71</f>
        <v>DIO1</v>
      </c>
      <c r="D72" s="84">
        <f>+D71</f>
        <v>132</v>
      </c>
      <c r="E72" s="84">
        <v>2</v>
      </c>
      <c r="F72" s="84">
        <f>+F71</f>
        <v>1</v>
      </c>
      <c r="G72" s="84">
        <v>0</v>
      </c>
      <c r="H72" s="200">
        <f>H69</f>
        <v>2</v>
      </c>
      <c r="I72" s="187">
        <f>+I71+1</f>
        <v>14</v>
      </c>
      <c r="J72" s="205"/>
      <c r="K72" s="79"/>
      <c r="L72" s="17" t="s">
        <v>323</v>
      </c>
      <c r="N72" s="17">
        <v>1</v>
      </c>
      <c r="O72" s="225" t="s">
        <v>821</v>
      </c>
      <c r="P72" s="97" t="s">
        <v>1019</v>
      </c>
      <c r="Q72" s="97"/>
      <c r="R72" s="97" t="s">
        <v>1018</v>
      </c>
      <c r="S72" s="20" t="s">
        <v>247</v>
      </c>
      <c r="T72" s="20"/>
      <c r="U72" s="17" t="s">
        <v>821</v>
      </c>
      <c r="V72" s="18"/>
      <c r="W72" s="17" t="str">
        <f>+CONCATENATE(E72,".",F72,"\",G72,".",H72,":",I72)</f>
        <v>2.1\0.2:14</v>
      </c>
      <c r="X72" s="17" t="s">
        <v>989</v>
      </c>
      <c r="Y72" s="33" t="s">
        <v>289</v>
      </c>
      <c r="Z72" s="18" t="s">
        <v>993</v>
      </c>
      <c r="AA72" s="46"/>
      <c r="AB72" s="20"/>
      <c r="AC72" s="19"/>
      <c r="AH72" s="64" t="str">
        <f>+AH71</f>
        <v>F2</v>
      </c>
      <c r="AI72" s="39">
        <v>29</v>
      </c>
      <c r="AJ72" s="39">
        <v>30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</row>
    <row r="73" spans="1:53" s="17" customFormat="1" ht="14.5" x14ac:dyDescent="0.3">
      <c r="A73" s="63" t="str">
        <f>A72</f>
        <v>BSR132</v>
      </c>
      <c r="B73" s="18" t="str">
        <f>+B72</f>
        <v>DX01</v>
      </c>
      <c r="C73" s="18" t="str">
        <f>+C72</f>
        <v>DIO1</v>
      </c>
      <c r="D73" s="84">
        <f>+D72</f>
        <v>132</v>
      </c>
      <c r="E73" s="84">
        <v>2</v>
      </c>
      <c r="F73" s="84">
        <f>+F72</f>
        <v>1</v>
      </c>
      <c r="G73" s="84">
        <v>0</v>
      </c>
      <c r="H73" s="200">
        <f>H69</f>
        <v>2</v>
      </c>
      <c r="I73" s="187">
        <f>+I72+1</f>
        <v>15</v>
      </c>
      <c r="J73" s="205"/>
      <c r="K73" s="79"/>
      <c r="L73" s="17" t="s">
        <v>323</v>
      </c>
      <c r="N73" s="17">
        <v>1</v>
      </c>
      <c r="O73" s="225" t="s">
        <v>821</v>
      </c>
      <c r="P73" s="97" t="s">
        <v>1017</v>
      </c>
      <c r="Q73" s="97"/>
      <c r="R73" s="97" t="s">
        <v>1016</v>
      </c>
      <c r="S73" s="97" t="s">
        <v>247</v>
      </c>
      <c r="U73" s="17" t="s">
        <v>821</v>
      </c>
      <c r="W73" s="17" t="str">
        <f>+CONCATENATE(E73,".",F73,"\",G73,".",H73,":",I73)</f>
        <v>2.1\0.2:15</v>
      </c>
      <c r="X73" s="17" t="s">
        <v>989</v>
      </c>
      <c r="Y73" s="33" t="s">
        <v>289</v>
      </c>
      <c r="Z73" s="18" t="s">
        <v>993</v>
      </c>
      <c r="AA73" s="46"/>
      <c r="AB73" s="20"/>
      <c r="AC73" s="19"/>
      <c r="AH73" s="64" t="str">
        <f>+AH72</f>
        <v>F2</v>
      </c>
      <c r="AI73" s="39">
        <v>31</v>
      </c>
      <c r="AJ73" s="39">
        <v>32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</row>
    <row r="74" spans="1:53" s="17" customFormat="1" ht="14.5" x14ac:dyDescent="0.3">
      <c r="A74" s="63" t="str">
        <f>A73</f>
        <v>BSR132</v>
      </c>
      <c r="B74" s="18" t="str">
        <f>+B73</f>
        <v>DX01</v>
      </c>
      <c r="C74" s="18" t="str">
        <f>+C73</f>
        <v>DIO1</v>
      </c>
      <c r="D74" s="84">
        <f>+D73</f>
        <v>132</v>
      </c>
      <c r="E74" s="84">
        <v>2</v>
      </c>
      <c r="F74" s="84">
        <f>+F73</f>
        <v>1</v>
      </c>
      <c r="G74" s="84">
        <v>0</v>
      </c>
      <c r="H74" s="200">
        <f>H70</f>
        <v>2</v>
      </c>
      <c r="I74" s="187">
        <f>+I73+1</f>
        <v>16</v>
      </c>
      <c r="J74" s="205"/>
      <c r="K74" s="18"/>
      <c r="L74" s="17" t="s">
        <v>323</v>
      </c>
      <c r="N74" s="17">
        <v>1</v>
      </c>
      <c r="O74" s="225" t="s">
        <v>821</v>
      </c>
      <c r="P74" s="97" t="s">
        <v>1015</v>
      </c>
      <c r="Q74" s="97"/>
      <c r="R74" s="97" t="s">
        <v>1014</v>
      </c>
      <c r="S74" s="20" t="s">
        <v>247</v>
      </c>
      <c r="T74" s="20"/>
      <c r="U74" s="17" t="s">
        <v>821</v>
      </c>
      <c r="W74" s="17" t="str">
        <f>+CONCATENATE(E74,".",F74,"\",G74,".",H74,":",I74)</f>
        <v>2.1\0.2:16</v>
      </c>
      <c r="X74" s="17" t="s">
        <v>989</v>
      </c>
      <c r="Y74" s="33" t="s">
        <v>289</v>
      </c>
      <c r="Z74" s="18" t="s">
        <v>993</v>
      </c>
      <c r="AA74" s="46"/>
      <c r="AB74" s="20"/>
      <c r="AC74" s="19"/>
      <c r="AH74" s="64" t="str">
        <f>+AH73</f>
        <v>F2</v>
      </c>
      <c r="AI74" s="39">
        <v>33</v>
      </c>
      <c r="AJ74" s="39">
        <v>34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</row>
    <row r="75" spans="1:53" s="17" customFormat="1" ht="14.5" x14ac:dyDescent="0.3">
      <c r="A75" s="63" t="str">
        <f>A74</f>
        <v>BSR132</v>
      </c>
      <c r="B75" s="18" t="str">
        <f>+B74</f>
        <v>DX01</v>
      </c>
      <c r="C75" s="18" t="str">
        <f>+C74</f>
        <v>DIO1</v>
      </c>
      <c r="D75" s="84">
        <f>+D74</f>
        <v>132</v>
      </c>
      <c r="E75" s="84">
        <v>2</v>
      </c>
      <c r="F75" s="84">
        <f>+F74</f>
        <v>1</v>
      </c>
      <c r="G75" s="84">
        <v>0</v>
      </c>
      <c r="H75" s="200">
        <f>H71</f>
        <v>2</v>
      </c>
      <c r="I75" s="187">
        <f>+I74+1</f>
        <v>17</v>
      </c>
      <c r="J75" s="205"/>
      <c r="K75" s="79"/>
      <c r="L75" s="17" t="s">
        <v>323</v>
      </c>
      <c r="N75" s="17">
        <v>3</v>
      </c>
      <c r="O75" s="225" t="s">
        <v>821</v>
      </c>
      <c r="P75" s="97" t="s">
        <v>1013</v>
      </c>
      <c r="Q75" s="97"/>
      <c r="R75" s="17" t="s">
        <v>1012</v>
      </c>
      <c r="S75" s="97" t="s">
        <v>247</v>
      </c>
      <c r="T75" s="20"/>
      <c r="U75" s="17" t="s">
        <v>821</v>
      </c>
      <c r="W75" s="17" t="str">
        <f>+CONCATENATE(E75,".",F75,"\",G75,".",H75,":",I75)</f>
        <v>2.1\0.2:17</v>
      </c>
      <c r="X75" s="17" t="s">
        <v>989</v>
      </c>
      <c r="Y75" s="33" t="s">
        <v>289</v>
      </c>
      <c r="Z75" s="18" t="s">
        <v>993</v>
      </c>
      <c r="AA75" s="46"/>
      <c r="AB75" s="20"/>
      <c r="AC75" s="19"/>
      <c r="AH75" s="64" t="str">
        <f>+AH74</f>
        <v>F2</v>
      </c>
      <c r="AI75" s="39">
        <v>35</v>
      </c>
      <c r="AJ75" s="39">
        <v>36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</row>
    <row r="76" spans="1:53" s="17" customFormat="1" ht="14.5" x14ac:dyDescent="0.3">
      <c r="A76" s="63" t="str">
        <f>A75</f>
        <v>BSR132</v>
      </c>
      <c r="B76" s="18" t="str">
        <f>+B75</f>
        <v>DX01</v>
      </c>
      <c r="C76" s="18" t="str">
        <f>+C75</f>
        <v>DIO1</v>
      </c>
      <c r="D76" s="84">
        <f>+D75</f>
        <v>132</v>
      </c>
      <c r="E76" s="84">
        <v>2</v>
      </c>
      <c r="F76" s="84">
        <f>+F75</f>
        <v>1</v>
      </c>
      <c r="G76" s="84">
        <v>0</v>
      </c>
      <c r="H76" s="200">
        <f>H72</f>
        <v>2</v>
      </c>
      <c r="I76" s="187">
        <f>+I75+1</f>
        <v>18</v>
      </c>
      <c r="J76" s="205"/>
      <c r="K76" s="79"/>
      <c r="L76" s="17" t="s">
        <v>323</v>
      </c>
      <c r="N76" s="17">
        <v>3</v>
      </c>
      <c r="O76" s="225" t="s">
        <v>821</v>
      </c>
      <c r="P76" s="97" t="s">
        <v>1011</v>
      </c>
      <c r="Q76" s="97"/>
      <c r="R76" s="97" t="s">
        <v>1010</v>
      </c>
      <c r="S76" s="20" t="s">
        <v>247</v>
      </c>
      <c r="T76" s="20"/>
      <c r="U76" s="17" t="s">
        <v>821</v>
      </c>
      <c r="W76" s="17" t="str">
        <f>+CONCATENATE(E76,".",F76,"\",G76,".",H76,":",I76)</f>
        <v>2.1\0.2:18</v>
      </c>
      <c r="X76" s="17" t="s">
        <v>989</v>
      </c>
      <c r="Y76" s="33" t="s">
        <v>289</v>
      </c>
      <c r="Z76" s="18" t="s">
        <v>993</v>
      </c>
      <c r="AA76" s="46"/>
      <c r="AB76" s="20"/>
      <c r="AC76" s="19"/>
      <c r="AH76" s="64" t="str">
        <f>+AH75</f>
        <v>F2</v>
      </c>
      <c r="AI76" s="39">
        <v>37</v>
      </c>
      <c r="AJ76" s="39">
        <v>38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</row>
    <row r="77" spans="1:53" s="17" customFormat="1" ht="14.5" x14ac:dyDescent="0.3">
      <c r="A77" s="63" t="str">
        <f>A76</f>
        <v>BSR132</v>
      </c>
      <c r="B77" s="18" t="str">
        <f>+B76</f>
        <v>DX01</v>
      </c>
      <c r="C77" s="18" t="str">
        <f>+C76</f>
        <v>DIO1</v>
      </c>
      <c r="D77" s="84">
        <f>+D76</f>
        <v>132</v>
      </c>
      <c r="E77" s="84">
        <v>2</v>
      </c>
      <c r="F77" s="84">
        <f>+F76</f>
        <v>1</v>
      </c>
      <c r="G77" s="84">
        <v>0</v>
      </c>
      <c r="H77" s="200">
        <f>H73</f>
        <v>2</v>
      </c>
      <c r="I77" s="187">
        <f>+I76+1</f>
        <v>19</v>
      </c>
      <c r="J77" s="205"/>
      <c r="K77" s="79"/>
      <c r="L77" s="17" t="s">
        <v>323</v>
      </c>
      <c r="N77" s="17">
        <v>3</v>
      </c>
      <c r="O77" s="225" t="s">
        <v>821</v>
      </c>
      <c r="P77" s="97" t="s">
        <v>1009</v>
      </c>
      <c r="Q77" s="97"/>
      <c r="R77" s="237" t="s">
        <v>1008</v>
      </c>
      <c r="S77" s="97" t="s">
        <v>247</v>
      </c>
      <c r="T77" s="20"/>
      <c r="U77" s="17" t="s">
        <v>821</v>
      </c>
      <c r="W77" s="17" t="str">
        <f>+CONCATENATE(E77,".",F77,"\",G77,".",H77,":",I77)</f>
        <v>2.1\0.2:19</v>
      </c>
      <c r="X77" s="17" t="s">
        <v>989</v>
      </c>
      <c r="Y77" s="33" t="s">
        <v>289</v>
      </c>
      <c r="Z77" s="18" t="s">
        <v>993</v>
      </c>
      <c r="AA77" s="46"/>
      <c r="AB77" s="20"/>
      <c r="AC77" s="19"/>
      <c r="AH77" s="64" t="str">
        <f>+AH76</f>
        <v>F2</v>
      </c>
      <c r="AI77" s="39">
        <v>39</v>
      </c>
      <c r="AJ77" s="39">
        <v>40</v>
      </c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</row>
    <row r="78" spans="1:53" s="17" customFormat="1" ht="14.5" x14ac:dyDescent="0.3">
      <c r="A78" s="63" t="str">
        <f>A77</f>
        <v>BSR132</v>
      </c>
      <c r="B78" s="18" t="str">
        <f>+B77</f>
        <v>DX01</v>
      </c>
      <c r="C78" s="18" t="str">
        <f>+C77</f>
        <v>DIO1</v>
      </c>
      <c r="D78" s="84">
        <f>+D77</f>
        <v>132</v>
      </c>
      <c r="E78" s="84">
        <v>2</v>
      </c>
      <c r="F78" s="84">
        <f>+F77</f>
        <v>1</v>
      </c>
      <c r="G78" s="84">
        <v>0</v>
      </c>
      <c r="H78" s="200">
        <f>H74</f>
        <v>2</v>
      </c>
      <c r="I78" s="187">
        <f>+I77+1</f>
        <v>20</v>
      </c>
      <c r="J78" s="205"/>
      <c r="K78" s="79"/>
      <c r="L78" s="17" t="s">
        <v>323</v>
      </c>
      <c r="N78" s="17">
        <v>3</v>
      </c>
      <c r="O78" s="225" t="s">
        <v>821</v>
      </c>
      <c r="P78" s="18" t="s">
        <v>1007</v>
      </c>
      <c r="Q78" s="18"/>
      <c r="R78" s="237" t="s">
        <v>1006</v>
      </c>
      <c r="S78" s="20" t="s">
        <v>247</v>
      </c>
      <c r="T78" s="18"/>
      <c r="U78" s="18" t="s">
        <v>821</v>
      </c>
      <c r="V78" s="18"/>
      <c r="W78" s="17" t="str">
        <f>+CONCATENATE(E78,".",F78,"\",G78,".",H78,":",I78)</f>
        <v>2.1\0.2:20</v>
      </c>
      <c r="X78" s="17" t="s">
        <v>989</v>
      </c>
      <c r="Y78" s="33" t="s">
        <v>289</v>
      </c>
      <c r="Z78" s="18" t="s">
        <v>993</v>
      </c>
      <c r="AA78" s="46"/>
      <c r="AB78" s="20"/>
      <c r="AC78" s="19"/>
      <c r="AH78" s="64" t="str">
        <f>+AH77</f>
        <v>F2</v>
      </c>
      <c r="AI78" s="39">
        <v>41</v>
      </c>
      <c r="AJ78" s="39">
        <v>42</v>
      </c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</row>
    <row r="79" spans="1:53" s="17" customFormat="1" ht="14.5" x14ac:dyDescent="0.3">
      <c r="A79" s="63" t="str">
        <f>A78</f>
        <v>BSR132</v>
      </c>
      <c r="B79" s="18" t="str">
        <f>+B78</f>
        <v>DX01</v>
      </c>
      <c r="C79" s="18" t="str">
        <f>+C78</f>
        <v>DIO1</v>
      </c>
      <c r="D79" s="84">
        <f>+D78</f>
        <v>132</v>
      </c>
      <c r="E79" s="84">
        <v>2</v>
      </c>
      <c r="F79" s="84">
        <f>+F78</f>
        <v>1</v>
      </c>
      <c r="G79" s="84">
        <v>0</v>
      </c>
      <c r="H79" s="200">
        <f>H75</f>
        <v>2</v>
      </c>
      <c r="I79" s="187">
        <f>+I78+1</f>
        <v>21</v>
      </c>
      <c r="J79" s="205"/>
      <c r="K79" s="79"/>
      <c r="L79" s="17" t="s">
        <v>323</v>
      </c>
      <c r="N79" s="17">
        <v>1</v>
      </c>
      <c r="O79" s="225" t="s">
        <v>821</v>
      </c>
      <c r="P79" s="18" t="s">
        <v>1005</v>
      </c>
      <c r="Q79" s="18"/>
      <c r="R79" s="17" t="s">
        <v>291</v>
      </c>
      <c r="S79" s="97" t="s">
        <v>247</v>
      </c>
      <c r="T79" s="18"/>
      <c r="U79" s="18" t="s">
        <v>821</v>
      </c>
      <c r="W79" s="17" t="str">
        <f>+CONCATENATE(E79,".",F79,"\",G79,".",H79,":",I79)</f>
        <v>2.1\0.2:21</v>
      </c>
      <c r="X79" s="17" t="s">
        <v>989</v>
      </c>
      <c r="Y79" s="33" t="s">
        <v>289</v>
      </c>
      <c r="Z79" s="18" t="s">
        <v>993</v>
      </c>
      <c r="AA79" s="46"/>
      <c r="AB79" s="20"/>
      <c r="AC79" s="19"/>
      <c r="AH79" s="64" t="str">
        <f>+AH78</f>
        <v>F2</v>
      </c>
      <c r="AI79" s="39">
        <v>43</v>
      </c>
      <c r="AJ79" s="39">
        <v>44</v>
      </c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</row>
    <row r="80" spans="1:53" s="17" customFormat="1" ht="14.5" x14ac:dyDescent="0.3">
      <c r="A80" s="63" t="str">
        <f>A79</f>
        <v>BSR132</v>
      </c>
      <c r="B80" s="18" t="str">
        <f>+B79</f>
        <v>DX01</v>
      </c>
      <c r="C80" s="18" t="str">
        <f>+C79</f>
        <v>DIO1</v>
      </c>
      <c r="D80" s="84">
        <f>+D79</f>
        <v>132</v>
      </c>
      <c r="E80" s="84">
        <v>2</v>
      </c>
      <c r="F80" s="84">
        <f>+F79</f>
        <v>1</v>
      </c>
      <c r="G80" s="84">
        <v>0</v>
      </c>
      <c r="H80" s="200">
        <f>H76</f>
        <v>2</v>
      </c>
      <c r="I80" s="187">
        <f>+I79+1</f>
        <v>22</v>
      </c>
      <c r="J80" s="205"/>
      <c r="K80" s="79"/>
      <c r="L80" s="17" t="s">
        <v>323</v>
      </c>
      <c r="N80" s="17">
        <v>1</v>
      </c>
      <c r="O80" s="225" t="s">
        <v>821</v>
      </c>
      <c r="P80" s="18" t="s">
        <v>1004</v>
      </c>
      <c r="Q80" s="18"/>
      <c r="R80" s="17" t="s">
        <v>1003</v>
      </c>
      <c r="S80" s="20" t="s">
        <v>247</v>
      </c>
      <c r="T80" s="18"/>
      <c r="U80" s="18" t="s">
        <v>821</v>
      </c>
      <c r="V80" s="18"/>
      <c r="W80" s="17" t="str">
        <f>+CONCATENATE(E80,".",F80,"\",G80,".",H80,":",I80)</f>
        <v>2.1\0.2:22</v>
      </c>
      <c r="X80" s="17" t="s">
        <v>989</v>
      </c>
      <c r="Y80" s="33" t="s">
        <v>289</v>
      </c>
      <c r="Z80" s="18" t="s">
        <v>993</v>
      </c>
      <c r="AA80" s="46"/>
      <c r="AB80" s="20"/>
      <c r="AC80" s="19"/>
      <c r="AH80" s="64" t="str">
        <f>+AH79</f>
        <v>F2</v>
      </c>
      <c r="AI80" s="39">
        <v>45</v>
      </c>
      <c r="AJ80" s="39">
        <v>46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</row>
    <row r="81" spans="1:53" s="17" customFormat="1" ht="14.5" x14ac:dyDescent="0.3">
      <c r="A81" s="63" t="str">
        <f>A80</f>
        <v>BSR132</v>
      </c>
      <c r="B81" s="18" t="str">
        <f>+B80</f>
        <v>DX01</v>
      </c>
      <c r="C81" s="18" t="str">
        <f>+C80</f>
        <v>DIO1</v>
      </c>
      <c r="D81" s="84">
        <f>+D80</f>
        <v>132</v>
      </c>
      <c r="E81" s="84">
        <v>2</v>
      </c>
      <c r="F81" s="84">
        <f>+F80</f>
        <v>1</v>
      </c>
      <c r="G81" s="84">
        <v>0</v>
      </c>
      <c r="H81" s="200">
        <f>H77</f>
        <v>2</v>
      </c>
      <c r="I81" s="187">
        <f>+I80+1</f>
        <v>23</v>
      </c>
      <c r="J81" s="205"/>
      <c r="K81" s="79"/>
      <c r="L81" s="17" t="s">
        <v>323</v>
      </c>
      <c r="N81" s="17">
        <v>1</v>
      </c>
      <c r="O81" s="225" t="s">
        <v>821</v>
      </c>
      <c r="P81" s="18" t="s">
        <v>1002</v>
      </c>
      <c r="Q81" s="18"/>
      <c r="R81" s="17" t="s">
        <v>1001</v>
      </c>
      <c r="S81" s="97" t="s">
        <v>247</v>
      </c>
      <c r="T81" s="18"/>
      <c r="U81" s="18" t="s">
        <v>821</v>
      </c>
      <c r="V81" s="18"/>
      <c r="W81" s="17" t="str">
        <f>+CONCATENATE(E81,".",F81,"\",G81,".",H81,":",I81)</f>
        <v>2.1\0.2:23</v>
      </c>
      <c r="X81" s="17" t="s">
        <v>989</v>
      </c>
      <c r="Y81" s="33" t="s">
        <v>289</v>
      </c>
      <c r="Z81" s="18" t="s">
        <v>993</v>
      </c>
      <c r="AA81" s="46"/>
      <c r="AB81" s="20"/>
      <c r="AC81" s="19"/>
      <c r="AH81" s="64" t="str">
        <f>+AH80</f>
        <v>F2</v>
      </c>
      <c r="AI81" s="39">
        <v>47</v>
      </c>
      <c r="AJ81" s="39">
        <v>48</v>
      </c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</row>
    <row r="82" spans="1:53" s="17" customFormat="1" ht="14.5" x14ac:dyDescent="0.3">
      <c r="A82" s="63" t="str">
        <f>A81</f>
        <v>BSR132</v>
      </c>
      <c r="B82" s="18" t="str">
        <f>+B81</f>
        <v>DX01</v>
      </c>
      <c r="C82" s="18" t="str">
        <f>+C81</f>
        <v>DIO1</v>
      </c>
      <c r="D82" s="84">
        <f>+D81</f>
        <v>132</v>
      </c>
      <c r="E82" s="84">
        <v>2</v>
      </c>
      <c r="F82" s="84">
        <f>+F81</f>
        <v>1</v>
      </c>
      <c r="G82" s="84">
        <v>0</v>
      </c>
      <c r="H82" s="200">
        <f>H78</f>
        <v>2</v>
      </c>
      <c r="I82" s="187">
        <f>+I81+1</f>
        <v>24</v>
      </c>
      <c r="J82" s="205"/>
      <c r="K82" s="79"/>
      <c r="L82" s="17" t="s">
        <v>323</v>
      </c>
      <c r="N82" s="17">
        <v>1</v>
      </c>
      <c r="O82" s="225" t="s">
        <v>821</v>
      </c>
      <c r="P82" s="18" t="s">
        <v>1000</v>
      </c>
      <c r="Q82" s="18"/>
      <c r="R82" s="17" t="s">
        <v>291</v>
      </c>
      <c r="S82" s="20" t="s">
        <v>247</v>
      </c>
      <c r="T82" s="18"/>
      <c r="U82" s="18" t="s">
        <v>821</v>
      </c>
      <c r="V82" s="18"/>
      <c r="W82" s="17" t="str">
        <f>+CONCATENATE(E82,".",F82,"\",G82,".",H82,":",I82)</f>
        <v>2.1\0.2:24</v>
      </c>
      <c r="X82" s="17" t="s">
        <v>989</v>
      </c>
      <c r="Y82" s="33" t="s">
        <v>289</v>
      </c>
      <c r="Z82" s="18" t="s">
        <v>993</v>
      </c>
      <c r="AA82" s="46"/>
      <c r="AB82" s="20"/>
      <c r="AC82" s="19"/>
      <c r="AH82" s="64" t="str">
        <f>+AH81</f>
        <v>F2</v>
      </c>
      <c r="AI82" s="39">
        <v>49</v>
      </c>
      <c r="AJ82" s="39">
        <v>50</v>
      </c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</row>
    <row r="83" spans="1:53" s="17" customFormat="1" ht="14.5" x14ac:dyDescent="0.3">
      <c r="A83" s="63" t="str">
        <f>A82</f>
        <v>BSR132</v>
      </c>
      <c r="B83" s="18" t="str">
        <f>+B82</f>
        <v>DX01</v>
      </c>
      <c r="C83" s="18" t="str">
        <f>+C82</f>
        <v>DIO1</v>
      </c>
      <c r="D83" s="84">
        <f>+D82</f>
        <v>132</v>
      </c>
      <c r="E83" s="84">
        <v>2</v>
      </c>
      <c r="F83" s="84">
        <f>+F82</f>
        <v>1</v>
      </c>
      <c r="G83" s="84">
        <v>0</v>
      </c>
      <c r="H83" s="200">
        <f>H79</f>
        <v>2</v>
      </c>
      <c r="I83" s="187">
        <f>+I82+1</f>
        <v>25</v>
      </c>
      <c r="J83" s="205"/>
      <c r="K83" s="79"/>
      <c r="L83" s="17" t="s">
        <v>323</v>
      </c>
      <c r="N83" s="17">
        <v>1</v>
      </c>
      <c r="O83" s="225" t="s">
        <v>821</v>
      </c>
      <c r="P83" s="18" t="s">
        <v>999</v>
      </c>
      <c r="Q83" s="18"/>
      <c r="R83" s="17" t="s">
        <v>998</v>
      </c>
      <c r="S83" s="97" t="s">
        <v>247</v>
      </c>
      <c r="T83" s="18"/>
      <c r="U83" s="18" t="s">
        <v>821</v>
      </c>
      <c r="V83" s="18"/>
      <c r="W83" s="17" t="str">
        <f>+CONCATENATE(E83,".",F83,"\",G83,".",H83,":",I83)</f>
        <v>2.1\0.2:25</v>
      </c>
      <c r="X83" s="17" t="s">
        <v>989</v>
      </c>
      <c r="Y83" s="33" t="s">
        <v>289</v>
      </c>
      <c r="Z83" s="18" t="s">
        <v>993</v>
      </c>
      <c r="AA83" s="46"/>
      <c r="AB83" s="20"/>
      <c r="AC83" s="19"/>
      <c r="AH83" s="64" t="str">
        <f>+AH82</f>
        <v>F2</v>
      </c>
      <c r="AI83" s="39">
        <v>51</v>
      </c>
      <c r="AJ83" s="39">
        <v>52</v>
      </c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</row>
    <row r="84" spans="1:53" s="17" customFormat="1" ht="14.5" x14ac:dyDescent="0.3">
      <c r="A84" s="63" t="str">
        <f>A83</f>
        <v>BSR132</v>
      </c>
      <c r="B84" s="18" t="str">
        <f>+B83</f>
        <v>DX01</v>
      </c>
      <c r="C84" s="18" t="str">
        <f>+C83</f>
        <v>DIO1</v>
      </c>
      <c r="D84" s="84">
        <f>+D83</f>
        <v>132</v>
      </c>
      <c r="E84" s="84">
        <v>2</v>
      </c>
      <c r="F84" s="84">
        <f>+F83</f>
        <v>1</v>
      </c>
      <c r="G84" s="84">
        <v>0</v>
      </c>
      <c r="H84" s="200">
        <f>H80</f>
        <v>2</v>
      </c>
      <c r="I84" s="187">
        <f>+I83+1</f>
        <v>26</v>
      </c>
      <c r="J84" s="205"/>
      <c r="K84" s="79"/>
      <c r="L84" s="17" t="s">
        <v>323</v>
      </c>
      <c r="N84" s="17">
        <v>1</v>
      </c>
      <c r="O84" s="225" t="s">
        <v>821</v>
      </c>
      <c r="P84" s="18" t="s">
        <v>997</v>
      </c>
      <c r="Q84" s="18"/>
      <c r="R84" s="17" t="s">
        <v>996</v>
      </c>
      <c r="S84" s="20" t="s">
        <v>247</v>
      </c>
      <c r="T84" s="18"/>
      <c r="U84" s="18" t="s">
        <v>821</v>
      </c>
      <c r="V84" s="18"/>
      <c r="W84" s="17" t="str">
        <f>+CONCATENATE(E84,".",F84,"\",G84,".",H84,":",I84)</f>
        <v>2.1\0.2:26</v>
      </c>
      <c r="X84" s="17" t="s">
        <v>989</v>
      </c>
      <c r="Y84" s="33" t="s">
        <v>289</v>
      </c>
      <c r="Z84" s="18" t="s">
        <v>993</v>
      </c>
      <c r="AA84" s="46"/>
      <c r="AB84" s="20"/>
      <c r="AC84" s="19"/>
      <c r="AH84" s="64" t="str">
        <f>+AH83</f>
        <v>F2</v>
      </c>
      <c r="AI84" s="39">
        <v>53</v>
      </c>
      <c r="AJ84" s="39">
        <v>54</v>
      </c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</row>
    <row r="85" spans="1:53" s="17" customFormat="1" ht="14.5" x14ac:dyDescent="0.3">
      <c r="A85" s="63" t="str">
        <f>A84</f>
        <v>BSR132</v>
      </c>
      <c r="B85" s="18" t="str">
        <f>+B84</f>
        <v>DX01</v>
      </c>
      <c r="C85" s="18" t="str">
        <f>+C84</f>
        <v>DIO1</v>
      </c>
      <c r="D85" s="84">
        <f>+D84</f>
        <v>132</v>
      </c>
      <c r="E85" s="84">
        <v>2</v>
      </c>
      <c r="F85" s="84">
        <f>+F84</f>
        <v>1</v>
      </c>
      <c r="G85" s="84">
        <v>0</v>
      </c>
      <c r="H85" s="200">
        <f>H81</f>
        <v>2</v>
      </c>
      <c r="I85" s="187">
        <f>+I84+1</f>
        <v>27</v>
      </c>
      <c r="J85" s="205"/>
      <c r="K85" s="79"/>
      <c r="L85" s="17" t="s">
        <v>323</v>
      </c>
      <c r="N85" s="17">
        <v>1</v>
      </c>
      <c r="O85" s="225" t="s">
        <v>821</v>
      </c>
      <c r="P85" s="18" t="s">
        <v>995</v>
      </c>
      <c r="Q85" s="18"/>
      <c r="R85" s="17" t="s">
        <v>994</v>
      </c>
      <c r="S85" s="97" t="s">
        <v>247</v>
      </c>
      <c r="T85" s="18"/>
      <c r="U85" s="18" t="s">
        <v>821</v>
      </c>
      <c r="V85" s="18"/>
      <c r="W85" s="17" t="str">
        <f>+CONCATENATE(E85,".",F85,"\",G85,".",H85,":",I85)</f>
        <v>2.1\0.2:27</v>
      </c>
      <c r="X85" s="17" t="s">
        <v>989</v>
      </c>
      <c r="Y85" s="33" t="s">
        <v>289</v>
      </c>
      <c r="Z85" s="18" t="s">
        <v>993</v>
      </c>
      <c r="AA85" s="46"/>
      <c r="AB85" s="20"/>
      <c r="AC85" s="19"/>
      <c r="AH85" s="64" t="str">
        <f>+AH84</f>
        <v>F2</v>
      </c>
      <c r="AI85" s="39">
        <v>55</v>
      </c>
      <c r="AJ85" s="39">
        <v>56</v>
      </c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</row>
    <row r="86" spans="1:53" s="17" customFormat="1" ht="14.5" x14ac:dyDescent="0.3">
      <c r="A86" s="63" t="str">
        <f>A85</f>
        <v>BSR132</v>
      </c>
      <c r="B86" s="18" t="str">
        <f>+B85</f>
        <v>DX01</v>
      </c>
      <c r="C86" s="18" t="str">
        <f>+C85</f>
        <v>DIO1</v>
      </c>
      <c r="D86" s="84">
        <f>+D85</f>
        <v>132</v>
      </c>
      <c r="E86" s="84">
        <v>2</v>
      </c>
      <c r="F86" s="84">
        <f>+F85</f>
        <v>1</v>
      </c>
      <c r="G86" s="84">
        <v>0</v>
      </c>
      <c r="H86" s="200">
        <f>H82</f>
        <v>2</v>
      </c>
      <c r="I86" s="187">
        <f>+I85+1</f>
        <v>28</v>
      </c>
      <c r="J86" s="205"/>
      <c r="K86" s="79"/>
      <c r="L86" s="17" t="s">
        <v>323</v>
      </c>
      <c r="N86" s="17">
        <v>3</v>
      </c>
      <c r="O86" s="225" t="s">
        <v>821</v>
      </c>
      <c r="P86" s="17" t="s">
        <v>992</v>
      </c>
      <c r="R86" s="17" t="s">
        <v>291</v>
      </c>
      <c r="S86" s="20" t="s">
        <v>247</v>
      </c>
      <c r="T86" s="236"/>
      <c r="U86" s="97" t="s">
        <v>821</v>
      </c>
      <c r="V86" s="18"/>
      <c r="W86" s="17" t="str">
        <f>+CONCATENATE(E86,".",F86,"\",G86,".",H86,":",I86)</f>
        <v>2.1\0.2:28</v>
      </c>
      <c r="X86" s="17" t="s">
        <v>989</v>
      </c>
      <c r="Y86" s="33" t="s">
        <v>289</v>
      </c>
      <c r="Z86" s="233"/>
      <c r="AA86" s="46"/>
      <c r="AB86" s="20"/>
      <c r="AC86" s="19"/>
      <c r="AH86" s="64" t="str">
        <f>+AH85</f>
        <v>F2</v>
      </c>
      <c r="AI86" s="39">
        <v>57</v>
      </c>
      <c r="AJ86" s="39">
        <v>58</v>
      </c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</row>
    <row r="87" spans="1:53" s="17" customFormat="1" ht="14.5" x14ac:dyDescent="0.3">
      <c r="A87" s="63" t="str">
        <f>A86</f>
        <v>BSR132</v>
      </c>
      <c r="B87" s="18" t="str">
        <f>+B86</f>
        <v>DX01</v>
      </c>
      <c r="C87" s="18" t="str">
        <f>+C86</f>
        <v>DIO1</v>
      </c>
      <c r="D87" s="84">
        <f>+D86</f>
        <v>132</v>
      </c>
      <c r="E87" s="84">
        <v>2</v>
      </c>
      <c r="F87" s="84">
        <f>+F86</f>
        <v>1</v>
      </c>
      <c r="G87" s="84">
        <v>0</v>
      </c>
      <c r="H87" s="200">
        <f>H83</f>
        <v>2</v>
      </c>
      <c r="I87" s="187">
        <f>+I86+1</f>
        <v>29</v>
      </c>
      <c r="J87" s="205"/>
      <c r="K87" s="79"/>
      <c r="L87" s="17" t="s">
        <v>323</v>
      </c>
      <c r="N87" s="17">
        <v>3</v>
      </c>
      <c r="O87" s="225" t="s">
        <v>821</v>
      </c>
      <c r="P87" s="97" t="s">
        <v>991</v>
      </c>
      <c r="Q87" s="97"/>
      <c r="R87" s="17" t="s">
        <v>291</v>
      </c>
      <c r="S87" s="20" t="s">
        <v>247</v>
      </c>
      <c r="T87" s="235"/>
      <c r="U87" s="97" t="s">
        <v>821</v>
      </c>
      <c r="V87" s="18"/>
      <c r="W87" s="17" t="str">
        <f>+CONCATENATE(E87,".",F87,"\",G87,".",H87,":",I87)</f>
        <v>2.1\0.2:29</v>
      </c>
      <c r="X87" s="17" t="s">
        <v>989</v>
      </c>
      <c r="Y87" s="33" t="s">
        <v>289</v>
      </c>
      <c r="Z87" s="233"/>
      <c r="AA87" s="46"/>
      <c r="AB87" s="20"/>
      <c r="AC87" s="19"/>
      <c r="AH87" s="64" t="str">
        <f>+AH86</f>
        <v>F2</v>
      </c>
      <c r="AI87" s="39">
        <v>59</v>
      </c>
      <c r="AJ87" s="39">
        <v>60</v>
      </c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</row>
    <row r="88" spans="1:53" s="17" customFormat="1" ht="14.5" x14ac:dyDescent="0.3">
      <c r="A88" s="63" t="str">
        <f>A87</f>
        <v>BSR132</v>
      </c>
      <c r="B88" s="18" t="str">
        <f>+B87</f>
        <v>DX01</v>
      </c>
      <c r="C88" s="18" t="str">
        <f>+C87</f>
        <v>DIO1</v>
      </c>
      <c r="D88" s="84">
        <f>+D87</f>
        <v>132</v>
      </c>
      <c r="E88" s="84">
        <v>2</v>
      </c>
      <c r="F88" s="84">
        <f>+F87</f>
        <v>1</v>
      </c>
      <c r="G88" s="84">
        <v>0</v>
      </c>
      <c r="H88" s="200">
        <f>H84</f>
        <v>2</v>
      </c>
      <c r="I88" s="187">
        <f>+I87+1</f>
        <v>30</v>
      </c>
      <c r="J88" s="205"/>
      <c r="K88" s="79"/>
      <c r="L88" s="17" t="s">
        <v>323</v>
      </c>
      <c r="N88" s="17">
        <v>3</v>
      </c>
      <c r="O88" s="225" t="s">
        <v>821</v>
      </c>
      <c r="P88" s="97" t="s">
        <v>990</v>
      </c>
      <c r="Q88" s="97"/>
      <c r="R88" s="17" t="s">
        <v>291</v>
      </c>
      <c r="S88" s="20" t="s">
        <v>247</v>
      </c>
      <c r="T88" s="234"/>
      <c r="U88" s="97" t="s">
        <v>821</v>
      </c>
      <c r="W88" s="17" t="str">
        <f>+CONCATENATE(E88,".",F88,"\",G88,".",H88,":",I88)</f>
        <v>2.1\0.2:30</v>
      </c>
      <c r="X88" s="17" t="s">
        <v>989</v>
      </c>
      <c r="Y88" s="33" t="s">
        <v>289</v>
      </c>
      <c r="Z88" s="233"/>
      <c r="AA88" s="46"/>
      <c r="AB88" s="20"/>
      <c r="AC88" s="19"/>
      <c r="AH88" s="64" t="str">
        <f>+AH87</f>
        <v>F2</v>
      </c>
      <c r="AI88" s="39">
        <v>61</v>
      </c>
      <c r="AJ88" s="39">
        <v>62</v>
      </c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</row>
    <row r="89" spans="1:53" s="17" customFormat="1" ht="13.5" thickBot="1" x14ac:dyDescent="0.35">
      <c r="A89" s="63" t="str">
        <f>A88</f>
        <v>BSR132</v>
      </c>
      <c r="B89" s="18" t="str">
        <f>+B88</f>
        <v>DX01</v>
      </c>
      <c r="C89" s="18" t="str">
        <f>+C88</f>
        <v>DIO1</v>
      </c>
      <c r="D89" s="84">
        <f>+D88</f>
        <v>132</v>
      </c>
      <c r="E89" s="84">
        <v>2</v>
      </c>
      <c r="F89" s="84">
        <f>+F88</f>
        <v>1</v>
      </c>
      <c r="G89" s="84">
        <v>0</v>
      </c>
      <c r="H89" s="200">
        <f>H85</f>
        <v>2</v>
      </c>
      <c r="I89" s="191">
        <f>+I88+1</f>
        <v>31</v>
      </c>
      <c r="J89" s="203"/>
      <c r="K89" s="79"/>
      <c r="L89" s="17" t="s">
        <v>323</v>
      </c>
      <c r="N89" s="33"/>
      <c r="O89" s="165"/>
      <c r="W89" s="17" t="str">
        <f>+CONCATENATE(E89,".",F89,"\",G89,".",H89,":",I89)</f>
        <v>2.1\0.2:31</v>
      </c>
      <c r="Z89" s="18"/>
      <c r="AA89" s="46"/>
      <c r="AB89" s="20"/>
      <c r="AC89" s="19"/>
      <c r="AH89" s="64" t="str">
        <f>+AH88</f>
        <v>F2</v>
      </c>
      <c r="AI89" s="39">
        <v>63</v>
      </c>
      <c r="AJ89" s="39">
        <v>64</v>
      </c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</row>
    <row r="90" spans="1:53" s="17" customFormat="1" x14ac:dyDescent="0.3">
      <c r="A90" s="86" t="s">
        <v>273</v>
      </c>
      <c r="B90" s="18" t="str">
        <f>+B89</f>
        <v>DX01</v>
      </c>
      <c r="C90" s="18" t="str">
        <f>+C89</f>
        <v>DIO1</v>
      </c>
      <c r="D90" s="84">
        <f>+D89</f>
        <v>132</v>
      </c>
      <c r="E90" s="84">
        <v>2</v>
      </c>
      <c r="F90" s="84">
        <f>+F89</f>
        <v>1</v>
      </c>
      <c r="G90" s="84">
        <v>0</v>
      </c>
      <c r="H90" s="214">
        <f>+H89+1</f>
        <v>3</v>
      </c>
      <c r="I90" s="188">
        <v>0</v>
      </c>
      <c r="J90" s="205" t="s">
        <v>767</v>
      </c>
      <c r="K90" s="18" t="s">
        <v>766</v>
      </c>
      <c r="L90" s="17" t="s">
        <v>323</v>
      </c>
      <c r="N90" s="17">
        <v>1</v>
      </c>
      <c r="O90" s="18"/>
      <c r="P90" s="97" t="s">
        <v>988</v>
      </c>
      <c r="Q90" s="97"/>
      <c r="R90" s="97" t="s">
        <v>987</v>
      </c>
      <c r="S90" s="97" t="s">
        <v>211</v>
      </c>
      <c r="T90" s="97"/>
      <c r="U90" s="97" t="s">
        <v>273</v>
      </c>
      <c r="W90" s="17" t="str">
        <f>+CONCATENATE(E90,".",F90,"\",G90,".",H90,":",I90)</f>
        <v>2.1\0.3:0</v>
      </c>
      <c r="X90" s="17" t="s">
        <v>936</v>
      </c>
      <c r="Y90" s="33" t="s">
        <v>289</v>
      </c>
      <c r="Z90" s="17" t="s">
        <v>986</v>
      </c>
      <c r="AA90" s="46"/>
      <c r="AB90" s="20"/>
      <c r="AC90" s="19"/>
      <c r="AH90" s="64" t="s">
        <v>985</v>
      </c>
      <c r="AI90" s="39" t="s">
        <v>190</v>
      </c>
      <c r="AJ90" s="39" t="s">
        <v>189</v>
      </c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</row>
    <row r="91" spans="1:53" s="17" customFormat="1" x14ac:dyDescent="0.3">
      <c r="A91" s="63" t="str">
        <f>A90</f>
        <v>BSR132</v>
      </c>
      <c r="B91" s="18" t="str">
        <f>+B90</f>
        <v>DX01</v>
      </c>
      <c r="C91" s="18" t="str">
        <f>+C90</f>
        <v>DIO1</v>
      </c>
      <c r="D91" s="84">
        <f>+D90</f>
        <v>132</v>
      </c>
      <c r="E91" s="84">
        <v>2</v>
      </c>
      <c r="F91" s="84">
        <f>+F90</f>
        <v>1</v>
      </c>
      <c r="G91" s="84">
        <v>0</v>
      </c>
      <c r="H91" s="200">
        <f>H90</f>
        <v>3</v>
      </c>
      <c r="I91" s="187">
        <f>+I90+1</f>
        <v>1</v>
      </c>
      <c r="J91" s="205"/>
      <c r="L91" s="17" t="s">
        <v>323</v>
      </c>
      <c r="N91" s="17">
        <v>3</v>
      </c>
      <c r="O91" s="165"/>
      <c r="P91" s="97" t="s">
        <v>567</v>
      </c>
      <c r="Q91" s="224"/>
      <c r="R91" s="97" t="s">
        <v>984</v>
      </c>
      <c r="S91" s="97" t="s">
        <v>211</v>
      </c>
      <c r="T91" s="97" t="s">
        <v>983</v>
      </c>
      <c r="U91" s="97" t="s">
        <v>155</v>
      </c>
      <c r="V91" s="78"/>
      <c r="W91" s="17" t="str">
        <f>+CONCATENATE(E91,".",F91,"\",G91,".",H91,":",I91)</f>
        <v>2.1\0.3:1</v>
      </c>
      <c r="X91" s="17" t="s">
        <v>936</v>
      </c>
      <c r="Y91" s="33" t="s">
        <v>289</v>
      </c>
      <c r="Z91" s="18" t="s">
        <v>980</v>
      </c>
      <c r="AA91" s="46"/>
      <c r="AB91" s="20"/>
      <c r="AC91" s="19"/>
      <c r="AH91" s="64" t="str">
        <f>+AH90</f>
        <v>F3</v>
      </c>
      <c r="AI91" s="39" t="s">
        <v>188</v>
      </c>
      <c r="AJ91" s="39" t="s">
        <v>716</v>
      </c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</row>
    <row r="92" spans="1:53" s="17" customFormat="1" x14ac:dyDescent="0.3">
      <c r="A92" s="63" t="str">
        <f>A91</f>
        <v>BSR132</v>
      </c>
      <c r="B92" s="18" t="str">
        <f>+B91</f>
        <v>DX01</v>
      </c>
      <c r="C92" s="18" t="str">
        <f>+C91</f>
        <v>DIO1</v>
      </c>
      <c r="D92" s="84">
        <f>+D91</f>
        <v>132</v>
      </c>
      <c r="E92" s="84">
        <v>2</v>
      </c>
      <c r="F92" s="84">
        <f>+F91</f>
        <v>1</v>
      </c>
      <c r="G92" s="84">
        <v>0</v>
      </c>
      <c r="H92" s="200">
        <f>H90</f>
        <v>3</v>
      </c>
      <c r="I92" s="187">
        <f>+I91+1</f>
        <v>2</v>
      </c>
      <c r="J92" s="205"/>
      <c r="K92" s="79"/>
      <c r="L92" s="17" t="s">
        <v>323</v>
      </c>
      <c r="N92" s="17">
        <v>3</v>
      </c>
      <c r="O92" s="165"/>
      <c r="P92" s="97" t="s">
        <v>570</v>
      </c>
      <c r="Q92" s="224"/>
      <c r="R92" s="97" t="s">
        <v>982</v>
      </c>
      <c r="S92" s="97" t="s">
        <v>211</v>
      </c>
      <c r="T92" s="97" t="s">
        <v>981</v>
      </c>
      <c r="U92" s="97" t="s">
        <v>155</v>
      </c>
      <c r="W92" s="17" t="str">
        <f>+CONCATENATE(E92,".",F92,"\",G92,".",H92,":",I92)</f>
        <v>2.1\0.3:2</v>
      </c>
      <c r="X92" s="17" t="s">
        <v>936</v>
      </c>
      <c r="Y92" s="33" t="s">
        <v>289</v>
      </c>
      <c r="Z92" s="18" t="s">
        <v>980</v>
      </c>
      <c r="AA92" s="46"/>
      <c r="AB92" s="20"/>
      <c r="AC92" s="19"/>
      <c r="AH92" s="64" t="str">
        <f>+AH91</f>
        <v>F3</v>
      </c>
      <c r="AI92" s="39" t="s">
        <v>183</v>
      </c>
      <c r="AJ92" s="39" t="s">
        <v>182</v>
      </c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</row>
    <row r="93" spans="1:53" s="17" customFormat="1" x14ac:dyDescent="0.3">
      <c r="A93" s="63" t="str">
        <f>A92</f>
        <v>BSR132</v>
      </c>
      <c r="B93" s="18" t="str">
        <f>+B92</f>
        <v>DX01</v>
      </c>
      <c r="C93" s="18" t="str">
        <f>+C92</f>
        <v>DIO1</v>
      </c>
      <c r="D93" s="84">
        <f>+D92</f>
        <v>132</v>
      </c>
      <c r="E93" s="84">
        <v>2</v>
      </c>
      <c r="F93" s="84">
        <f>+F92</f>
        <v>1</v>
      </c>
      <c r="G93" s="84">
        <v>0</v>
      </c>
      <c r="H93" s="200">
        <f>H90</f>
        <v>3</v>
      </c>
      <c r="I93" s="187">
        <f>+I92+1</f>
        <v>3</v>
      </c>
      <c r="J93" s="205"/>
      <c r="K93" s="79"/>
      <c r="L93" s="17" t="s">
        <v>323</v>
      </c>
      <c r="N93" s="17">
        <v>7</v>
      </c>
      <c r="O93" s="165"/>
      <c r="P93" s="97" t="s">
        <v>646</v>
      </c>
      <c r="Q93" s="97"/>
      <c r="R93" s="68" t="s">
        <v>979</v>
      </c>
      <c r="S93" s="216" t="s">
        <v>211</v>
      </c>
      <c r="T93" s="97" t="s">
        <v>978</v>
      </c>
      <c r="U93" s="97" t="s">
        <v>975</v>
      </c>
      <c r="W93" s="17" t="str">
        <f>+CONCATENATE(E93,".",F93,"\",G93,".",H93,":",I93)</f>
        <v>2.1\0.3:3</v>
      </c>
      <c r="X93" s="17" t="s">
        <v>936</v>
      </c>
      <c r="Y93" s="33" t="s">
        <v>289</v>
      </c>
      <c r="Z93" s="17" t="s">
        <v>974</v>
      </c>
      <c r="AA93" s="46"/>
      <c r="AB93" s="20"/>
      <c r="AC93" s="19"/>
      <c r="AH93" s="64" t="str">
        <f>+AH92</f>
        <v>F3</v>
      </c>
      <c r="AI93" s="39" t="s">
        <v>181</v>
      </c>
      <c r="AJ93" s="39" t="s">
        <v>711</v>
      </c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</row>
    <row r="94" spans="1:53" s="17" customFormat="1" x14ac:dyDescent="0.3">
      <c r="A94" s="63" t="str">
        <f>A93</f>
        <v>BSR132</v>
      </c>
      <c r="B94" s="18" t="str">
        <f>+B93</f>
        <v>DX01</v>
      </c>
      <c r="C94" s="18" t="str">
        <f>+C93</f>
        <v>DIO1</v>
      </c>
      <c r="D94" s="84">
        <f>+D93</f>
        <v>132</v>
      </c>
      <c r="E94" s="84">
        <v>2</v>
      </c>
      <c r="F94" s="84">
        <f>+F93</f>
        <v>1</v>
      </c>
      <c r="G94" s="84">
        <v>0</v>
      </c>
      <c r="H94" s="200">
        <f>H91</f>
        <v>3</v>
      </c>
      <c r="I94" s="187">
        <f>+I93+1</f>
        <v>4</v>
      </c>
      <c r="J94" s="205"/>
      <c r="K94" s="79"/>
      <c r="L94" s="17" t="s">
        <v>323</v>
      </c>
      <c r="N94" s="17">
        <v>7</v>
      </c>
      <c r="O94" s="165"/>
      <c r="P94" s="97" t="s">
        <v>393</v>
      </c>
      <c r="Q94" s="97"/>
      <c r="R94" s="68" t="s">
        <v>977</v>
      </c>
      <c r="S94" s="216" t="s">
        <v>211</v>
      </c>
      <c r="T94" s="68" t="s">
        <v>976</v>
      </c>
      <c r="U94" s="97" t="s">
        <v>975</v>
      </c>
      <c r="W94" s="17" t="str">
        <f>+CONCATENATE(E94,".",F94,"\",G94,".",H94,":",I94)</f>
        <v>2.1\0.3:4</v>
      </c>
      <c r="X94" s="17" t="s">
        <v>936</v>
      </c>
      <c r="Y94" s="33" t="s">
        <v>289</v>
      </c>
      <c r="Z94" s="17" t="s">
        <v>974</v>
      </c>
      <c r="AA94" s="46"/>
      <c r="AB94" s="20"/>
      <c r="AC94" s="19"/>
      <c r="AH94" s="64" t="str">
        <f>+AH93</f>
        <v>F3</v>
      </c>
      <c r="AI94" s="39" t="s">
        <v>176</v>
      </c>
      <c r="AJ94" s="39" t="s">
        <v>175</v>
      </c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</row>
    <row r="95" spans="1:53" s="17" customFormat="1" x14ac:dyDescent="0.3">
      <c r="A95" s="63" t="str">
        <f>A94</f>
        <v>BSR132</v>
      </c>
      <c r="B95" s="18" t="str">
        <f>+B94</f>
        <v>DX01</v>
      </c>
      <c r="C95" s="18" t="str">
        <f>+C94</f>
        <v>DIO1</v>
      </c>
      <c r="D95" s="84">
        <f>+D94</f>
        <v>132</v>
      </c>
      <c r="E95" s="84">
        <v>2</v>
      </c>
      <c r="F95" s="84">
        <f>+F94</f>
        <v>1</v>
      </c>
      <c r="G95" s="84">
        <v>0</v>
      </c>
      <c r="H95" s="200">
        <f>H92</f>
        <v>3</v>
      </c>
      <c r="I95" s="187">
        <f>+I94+1</f>
        <v>5</v>
      </c>
      <c r="J95" s="205"/>
      <c r="K95" s="79"/>
      <c r="L95" s="17" t="s">
        <v>323</v>
      </c>
      <c r="N95" s="17">
        <v>1</v>
      </c>
      <c r="O95" s="165"/>
      <c r="P95" s="97" t="s">
        <v>567</v>
      </c>
      <c r="Q95" s="97"/>
      <c r="R95" s="68" t="s">
        <v>973</v>
      </c>
      <c r="S95" s="232" t="s">
        <v>211</v>
      </c>
      <c r="T95" s="68"/>
      <c r="U95" s="97" t="s">
        <v>949</v>
      </c>
      <c r="W95" s="17" t="str">
        <f>+CONCATENATE(E95,".",F95,"\",G95,".",H95,":",I95)</f>
        <v>2.1\0.3:5</v>
      </c>
      <c r="X95" s="17" t="s">
        <v>936</v>
      </c>
      <c r="Y95" s="33" t="s">
        <v>289</v>
      </c>
      <c r="Z95" s="83" t="s">
        <v>947</v>
      </c>
      <c r="AA95" s="46"/>
      <c r="AB95" s="20"/>
      <c r="AC95" s="19"/>
      <c r="AH95" s="64" t="str">
        <f>+AH94</f>
        <v>F3</v>
      </c>
      <c r="AI95" s="39" t="s">
        <v>174</v>
      </c>
      <c r="AJ95" s="39" t="s">
        <v>710</v>
      </c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</row>
    <row r="96" spans="1:53" s="17" customFormat="1" x14ac:dyDescent="0.3">
      <c r="A96" s="63" t="str">
        <f>A95</f>
        <v>BSR132</v>
      </c>
      <c r="B96" s="18" t="str">
        <f>+B95</f>
        <v>DX01</v>
      </c>
      <c r="C96" s="18" t="str">
        <f>+C95</f>
        <v>DIO1</v>
      </c>
      <c r="D96" s="84">
        <f>+D95</f>
        <v>132</v>
      </c>
      <c r="E96" s="84">
        <v>2</v>
      </c>
      <c r="F96" s="84">
        <f>+F95</f>
        <v>1</v>
      </c>
      <c r="G96" s="84">
        <v>0</v>
      </c>
      <c r="H96" s="200">
        <f>H93</f>
        <v>3</v>
      </c>
      <c r="I96" s="187">
        <f>+I95+1</f>
        <v>6</v>
      </c>
      <c r="J96" s="205"/>
      <c r="K96" s="79"/>
      <c r="L96" s="17" t="s">
        <v>323</v>
      </c>
      <c r="N96" s="17">
        <v>1</v>
      </c>
      <c r="O96" s="165"/>
      <c r="P96" s="97" t="s">
        <v>616</v>
      </c>
      <c r="Q96" s="97"/>
      <c r="R96" s="68" t="s">
        <v>972</v>
      </c>
      <c r="S96" s="97" t="s">
        <v>211</v>
      </c>
      <c r="T96" s="68"/>
      <c r="U96" s="97" t="s">
        <v>949</v>
      </c>
      <c r="W96" s="17" t="str">
        <f>+CONCATENATE(E96,".",F96,"\",G96,".",H96,":",I96)</f>
        <v>2.1\0.3:6</v>
      </c>
      <c r="X96" s="17" t="s">
        <v>936</v>
      </c>
      <c r="Y96" s="33" t="s">
        <v>289</v>
      </c>
      <c r="Z96" s="83" t="s">
        <v>947</v>
      </c>
      <c r="AA96" s="46"/>
      <c r="AB96" s="20"/>
      <c r="AC96" s="19"/>
      <c r="AH96" s="64" t="str">
        <f>+AH95</f>
        <v>F3</v>
      </c>
      <c r="AI96" s="39" t="s">
        <v>169</v>
      </c>
      <c r="AJ96" s="39" t="s">
        <v>168</v>
      </c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</row>
    <row r="97" spans="1:53" s="17" customFormat="1" x14ac:dyDescent="0.3">
      <c r="A97" s="63" t="str">
        <f>A96</f>
        <v>BSR132</v>
      </c>
      <c r="B97" s="18" t="str">
        <f>+B96</f>
        <v>DX01</v>
      </c>
      <c r="C97" s="18" t="str">
        <f>+C96</f>
        <v>DIO1</v>
      </c>
      <c r="D97" s="84">
        <f>+D96</f>
        <v>132</v>
      </c>
      <c r="E97" s="84">
        <v>2</v>
      </c>
      <c r="F97" s="84">
        <f>+F96</f>
        <v>1</v>
      </c>
      <c r="G97" s="84">
        <v>0</v>
      </c>
      <c r="H97" s="200">
        <f>H94</f>
        <v>3</v>
      </c>
      <c r="I97" s="187">
        <f>+I96+1</f>
        <v>7</v>
      </c>
      <c r="J97" s="205"/>
      <c r="K97" s="79"/>
      <c r="L97" s="17" t="s">
        <v>323</v>
      </c>
      <c r="N97" s="17">
        <v>1</v>
      </c>
      <c r="O97" s="165"/>
      <c r="P97" s="97" t="s">
        <v>570</v>
      </c>
      <c r="Q97" s="97"/>
      <c r="R97" s="68" t="s">
        <v>971</v>
      </c>
      <c r="S97" s="97" t="s">
        <v>211</v>
      </c>
      <c r="T97" s="68"/>
      <c r="U97" s="97" t="s">
        <v>949</v>
      </c>
      <c r="W97" s="17" t="str">
        <f>+CONCATENATE(E97,".",F97,"\",G97,".",H97,":",I97)</f>
        <v>2.1\0.3:7</v>
      </c>
      <c r="X97" s="17" t="s">
        <v>936</v>
      </c>
      <c r="Y97" s="33" t="s">
        <v>289</v>
      </c>
      <c r="Z97" s="83" t="s">
        <v>947</v>
      </c>
      <c r="AA97" s="46"/>
      <c r="AB97" s="20"/>
      <c r="AC97" s="19"/>
      <c r="AH97" s="64" t="str">
        <f>+AH96</f>
        <v>F3</v>
      </c>
      <c r="AI97" s="39" t="s">
        <v>167</v>
      </c>
      <c r="AJ97" s="39" t="s">
        <v>709</v>
      </c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</row>
    <row r="98" spans="1:53" s="17" customFormat="1" ht="14.5" x14ac:dyDescent="0.3">
      <c r="A98" s="63" t="str">
        <f>A97</f>
        <v>BSR132</v>
      </c>
      <c r="B98" s="18" t="str">
        <f>+B97</f>
        <v>DX01</v>
      </c>
      <c r="C98" s="18" t="str">
        <f>+C97</f>
        <v>DIO1</v>
      </c>
      <c r="D98" s="84">
        <f>+D97</f>
        <v>132</v>
      </c>
      <c r="E98" s="84">
        <v>2</v>
      </c>
      <c r="F98" s="84">
        <f>+F97</f>
        <v>1</v>
      </c>
      <c r="G98" s="84">
        <v>0</v>
      </c>
      <c r="H98" s="200">
        <f>H95</f>
        <v>3</v>
      </c>
      <c r="I98" s="187">
        <f>+I97+1</f>
        <v>8</v>
      </c>
      <c r="J98" s="205"/>
      <c r="K98" s="79"/>
      <c r="L98" s="17" t="s">
        <v>323</v>
      </c>
      <c r="N98" s="17">
        <v>1</v>
      </c>
      <c r="O98" s="217" t="s">
        <v>937</v>
      </c>
      <c r="P98" s="97" t="s">
        <v>559</v>
      </c>
      <c r="Q98" s="97"/>
      <c r="R98" s="68" t="s">
        <v>970</v>
      </c>
      <c r="S98" s="97" t="s">
        <v>399</v>
      </c>
      <c r="T98" s="97"/>
      <c r="U98" s="97" t="s">
        <v>937</v>
      </c>
      <c r="V98" s="103"/>
      <c r="W98" s="17" t="str">
        <f>+CONCATENATE(E98,".",F98,"\",G98,".",H98,":",I98)</f>
        <v>2.1\0.3:8</v>
      </c>
      <c r="X98" s="17" t="s">
        <v>936</v>
      </c>
      <c r="Y98" s="33" t="s">
        <v>289</v>
      </c>
      <c r="Z98" s="17" t="s">
        <v>957</v>
      </c>
      <c r="AA98" s="46"/>
      <c r="AC98" s="19"/>
      <c r="AH98" s="64" t="str">
        <f>+AH97</f>
        <v>F3</v>
      </c>
      <c r="AI98" s="39" t="s">
        <v>161</v>
      </c>
      <c r="AJ98" s="39" t="s">
        <v>160</v>
      </c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</row>
    <row r="99" spans="1:53" s="17" customFormat="1" ht="14.5" x14ac:dyDescent="0.3">
      <c r="A99" s="63" t="str">
        <f>A98</f>
        <v>BSR132</v>
      </c>
      <c r="B99" s="18" t="str">
        <f>+B98</f>
        <v>DX01</v>
      </c>
      <c r="C99" s="18" t="str">
        <f>+C98</f>
        <v>DIO1</v>
      </c>
      <c r="D99" s="84">
        <f>+D98</f>
        <v>132</v>
      </c>
      <c r="E99" s="84">
        <v>2</v>
      </c>
      <c r="F99" s="84">
        <f>+F98</f>
        <v>1</v>
      </c>
      <c r="G99" s="84">
        <v>0</v>
      </c>
      <c r="H99" s="200">
        <f>H96</f>
        <v>3</v>
      </c>
      <c r="I99" s="187">
        <f>+I98+1</f>
        <v>9</v>
      </c>
      <c r="J99" s="205"/>
      <c r="K99" s="79"/>
      <c r="L99" s="17" t="s">
        <v>323</v>
      </c>
      <c r="N99" s="17">
        <v>7</v>
      </c>
      <c r="O99" s="217" t="s">
        <v>937</v>
      </c>
      <c r="P99" s="216" t="s">
        <v>556</v>
      </c>
      <c r="Q99" s="224"/>
      <c r="R99" s="97" t="s">
        <v>969</v>
      </c>
      <c r="S99" s="97" t="s">
        <v>399</v>
      </c>
      <c r="T99" s="97"/>
      <c r="U99" s="103" t="s">
        <v>937</v>
      </c>
      <c r="V99" s="18"/>
      <c r="W99" s="17" t="str">
        <f>+CONCATENATE(E99,".",F99,"\",G99,".",H99,":",I99)</f>
        <v>2.1\0.3:9</v>
      </c>
      <c r="X99" s="17" t="s">
        <v>936</v>
      </c>
      <c r="Y99" s="33" t="s">
        <v>289</v>
      </c>
      <c r="Z99" s="17" t="s">
        <v>957</v>
      </c>
      <c r="AA99" s="46"/>
      <c r="AC99" s="19"/>
      <c r="AH99" s="64" t="str">
        <f>+AH98</f>
        <v>F3</v>
      </c>
      <c r="AI99" s="39" t="s">
        <v>159</v>
      </c>
      <c r="AJ99" s="39" t="s">
        <v>708</v>
      </c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</row>
    <row r="100" spans="1:53" s="17" customFormat="1" ht="14.5" x14ac:dyDescent="0.3">
      <c r="A100" s="63" t="str">
        <f>A99</f>
        <v>BSR132</v>
      </c>
      <c r="B100" s="18" t="str">
        <f>+B99</f>
        <v>DX01</v>
      </c>
      <c r="C100" s="18" t="str">
        <f>+C99</f>
        <v>DIO1</v>
      </c>
      <c r="D100" s="84">
        <f>+D99</f>
        <v>132</v>
      </c>
      <c r="E100" s="84">
        <v>2</v>
      </c>
      <c r="F100" s="84">
        <f>+F99</f>
        <v>1</v>
      </c>
      <c r="G100" s="84">
        <v>0</v>
      </c>
      <c r="H100" s="200">
        <f>H97</f>
        <v>3</v>
      </c>
      <c r="I100" s="187">
        <f>+I99+1</f>
        <v>10</v>
      </c>
      <c r="J100" s="205"/>
      <c r="K100" s="79"/>
      <c r="L100" s="17" t="s">
        <v>323</v>
      </c>
      <c r="N100" s="17">
        <v>1</v>
      </c>
      <c r="O100" s="217" t="s">
        <v>937</v>
      </c>
      <c r="P100" s="97" t="s">
        <v>968</v>
      </c>
      <c r="Q100" s="97"/>
      <c r="R100" s="97" t="s">
        <v>967</v>
      </c>
      <c r="S100" s="97" t="s">
        <v>966</v>
      </c>
      <c r="T100" s="97"/>
      <c r="U100" s="103" t="s">
        <v>937</v>
      </c>
      <c r="V100" s="18"/>
      <c r="W100" s="17" t="str">
        <f>+CONCATENATE(E100,".",F100,"\",G100,".",H100,":",I100)</f>
        <v>2.1\0.3:10</v>
      </c>
      <c r="X100" s="17" t="s">
        <v>936</v>
      </c>
      <c r="Y100" s="33" t="s">
        <v>289</v>
      </c>
      <c r="Z100" s="17" t="s">
        <v>957</v>
      </c>
      <c r="AA100" s="46"/>
      <c r="AB100" s="20"/>
      <c r="AC100" s="19"/>
      <c r="AH100" s="64" t="str">
        <f>+AH99</f>
        <v>F3</v>
      </c>
      <c r="AI100" s="39" t="s">
        <v>154</v>
      </c>
      <c r="AJ100" s="39" t="s">
        <v>153</v>
      </c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</row>
    <row r="101" spans="1:53" s="17" customFormat="1" ht="14.5" x14ac:dyDescent="0.3">
      <c r="A101" s="63" t="str">
        <f>A100</f>
        <v>BSR132</v>
      </c>
      <c r="B101" s="18" t="str">
        <f>+B100</f>
        <v>DX01</v>
      </c>
      <c r="C101" s="18" t="str">
        <f>+C100</f>
        <v>DIO1</v>
      </c>
      <c r="D101" s="84">
        <f>+D100</f>
        <v>132</v>
      </c>
      <c r="E101" s="84">
        <v>2</v>
      </c>
      <c r="F101" s="84">
        <f>+F100</f>
        <v>1</v>
      </c>
      <c r="G101" s="84">
        <v>0</v>
      </c>
      <c r="H101" s="200">
        <f>H98</f>
        <v>3</v>
      </c>
      <c r="I101" s="187">
        <f>+I100+1</f>
        <v>11</v>
      </c>
      <c r="J101" s="205"/>
      <c r="K101" s="79"/>
      <c r="L101" s="17" t="s">
        <v>323</v>
      </c>
      <c r="N101" s="17">
        <v>1</v>
      </c>
      <c r="O101" s="217" t="s">
        <v>937</v>
      </c>
      <c r="P101" s="97" t="s">
        <v>567</v>
      </c>
      <c r="Q101" s="97"/>
      <c r="R101" s="97" t="s">
        <v>965</v>
      </c>
      <c r="S101" s="97" t="s">
        <v>211</v>
      </c>
      <c r="T101" s="97"/>
      <c r="U101" s="103" t="s">
        <v>937</v>
      </c>
      <c r="V101" s="18"/>
      <c r="W101" s="17" t="str">
        <f>+CONCATENATE(E101,".",F101,"\",G101,".",H101,":",I101)</f>
        <v>2.1\0.3:11</v>
      </c>
      <c r="X101" s="17" t="s">
        <v>936</v>
      </c>
      <c r="Y101" s="33" t="s">
        <v>289</v>
      </c>
      <c r="Z101" s="17" t="s">
        <v>957</v>
      </c>
      <c r="AA101" s="46"/>
      <c r="AB101" s="20"/>
      <c r="AC101" s="19"/>
      <c r="AH101" s="64" t="str">
        <f>+AH100</f>
        <v>F3</v>
      </c>
      <c r="AI101" s="39" t="s">
        <v>152</v>
      </c>
      <c r="AJ101" s="39" t="s">
        <v>707</v>
      </c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</row>
    <row r="102" spans="1:53" s="17" customFormat="1" ht="14.5" x14ac:dyDescent="0.3">
      <c r="A102" s="63" t="str">
        <f>A101</f>
        <v>BSR132</v>
      </c>
      <c r="B102" s="18" t="str">
        <f>+B101</f>
        <v>DX01</v>
      </c>
      <c r="C102" s="18" t="str">
        <f>+C101</f>
        <v>DIO1</v>
      </c>
      <c r="D102" s="84">
        <f>+D101</f>
        <v>132</v>
      </c>
      <c r="E102" s="84">
        <v>2</v>
      </c>
      <c r="F102" s="84">
        <f>+F101</f>
        <v>1</v>
      </c>
      <c r="G102" s="84">
        <v>0</v>
      </c>
      <c r="H102" s="200">
        <f>H99</f>
        <v>3</v>
      </c>
      <c r="I102" s="187">
        <f>+I101+1</f>
        <v>12</v>
      </c>
      <c r="J102" s="205"/>
      <c r="K102" s="79"/>
      <c r="L102" s="17" t="s">
        <v>323</v>
      </c>
      <c r="N102" s="17">
        <v>1</v>
      </c>
      <c r="O102" s="217" t="s">
        <v>937</v>
      </c>
      <c r="P102" s="97" t="s">
        <v>570</v>
      </c>
      <c r="Q102" s="97"/>
      <c r="R102" s="17" t="s">
        <v>964</v>
      </c>
      <c r="S102" s="17" t="s">
        <v>963</v>
      </c>
      <c r="U102" s="17" t="s">
        <v>937</v>
      </c>
      <c r="V102" s="18"/>
      <c r="W102" s="17" t="str">
        <f>+CONCATENATE(E102,".",F102,"\",G102,".",H102,":",I102)</f>
        <v>2.1\0.3:12</v>
      </c>
      <c r="X102" s="17" t="s">
        <v>936</v>
      </c>
      <c r="Y102" s="33" t="s">
        <v>289</v>
      </c>
      <c r="Z102" s="17" t="s">
        <v>957</v>
      </c>
      <c r="AA102" s="46"/>
      <c r="AB102" s="20"/>
      <c r="AC102" s="19"/>
      <c r="AH102" s="64" t="str">
        <f>+AH101</f>
        <v>F3</v>
      </c>
      <c r="AI102" s="39" t="s">
        <v>150</v>
      </c>
      <c r="AJ102" s="39" t="s">
        <v>149</v>
      </c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</row>
    <row r="103" spans="1:53" s="17" customFormat="1" ht="14.5" x14ac:dyDescent="0.3">
      <c r="A103" s="63" t="str">
        <f>A102</f>
        <v>BSR132</v>
      </c>
      <c r="B103" s="18" t="str">
        <f>+B102</f>
        <v>DX01</v>
      </c>
      <c r="C103" s="18" t="str">
        <f>+C102</f>
        <v>DIO1</v>
      </c>
      <c r="D103" s="84">
        <f>+D102</f>
        <v>132</v>
      </c>
      <c r="E103" s="84">
        <v>2</v>
      </c>
      <c r="F103" s="84">
        <f>+F102</f>
        <v>1</v>
      </c>
      <c r="G103" s="84">
        <v>0</v>
      </c>
      <c r="H103" s="200">
        <f>H100</f>
        <v>3</v>
      </c>
      <c r="I103" s="187">
        <f>+I102+1</f>
        <v>13</v>
      </c>
      <c r="J103" s="205"/>
      <c r="K103" s="79"/>
      <c r="L103" s="17" t="s">
        <v>323</v>
      </c>
      <c r="N103" s="17">
        <v>1</v>
      </c>
      <c r="O103" s="217" t="s">
        <v>937</v>
      </c>
      <c r="P103" s="17" t="s">
        <v>540</v>
      </c>
      <c r="R103" s="17" t="s">
        <v>962</v>
      </c>
      <c r="S103" s="17" t="s">
        <v>457</v>
      </c>
      <c r="U103" s="17" t="s">
        <v>937</v>
      </c>
      <c r="V103" s="18"/>
      <c r="W103" s="17" t="str">
        <f>+CONCATENATE(E103,".",F103,"\",G103,".",H103,":",I103)</f>
        <v>2.1\0.3:13</v>
      </c>
      <c r="X103" s="17" t="s">
        <v>936</v>
      </c>
      <c r="Y103" s="33" t="s">
        <v>289</v>
      </c>
      <c r="Z103" s="17" t="s">
        <v>957</v>
      </c>
      <c r="AA103" s="46"/>
      <c r="AB103" s="20"/>
      <c r="AC103" s="19"/>
      <c r="AH103" s="64" t="str">
        <f>+AH102</f>
        <v>F3</v>
      </c>
      <c r="AI103" s="39" t="s">
        <v>148</v>
      </c>
      <c r="AJ103" s="39" t="s">
        <v>703</v>
      </c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</row>
    <row r="104" spans="1:53" s="17" customFormat="1" ht="14.5" x14ac:dyDescent="0.3">
      <c r="A104" s="63" t="str">
        <f>A103</f>
        <v>BSR132</v>
      </c>
      <c r="B104" s="18" t="str">
        <f>+B103</f>
        <v>DX01</v>
      </c>
      <c r="C104" s="18" t="str">
        <f>+C103</f>
        <v>DIO1</v>
      </c>
      <c r="D104" s="84">
        <f>+D103</f>
        <v>132</v>
      </c>
      <c r="E104" s="84">
        <v>2</v>
      </c>
      <c r="F104" s="84">
        <f>+F103</f>
        <v>1</v>
      </c>
      <c r="G104" s="84">
        <v>0</v>
      </c>
      <c r="H104" s="200">
        <f>H101</f>
        <v>3</v>
      </c>
      <c r="I104" s="187">
        <f>+I103+1</f>
        <v>14</v>
      </c>
      <c r="J104" s="205"/>
      <c r="K104" s="79"/>
      <c r="L104" s="17" t="s">
        <v>323</v>
      </c>
      <c r="N104" s="17">
        <v>1</v>
      </c>
      <c r="O104" s="217" t="s">
        <v>937</v>
      </c>
      <c r="P104" s="97" t="s">
        <v>416</v>
      </c>
      <c r="Q104" s="97"/>
      <c r="R104" s="17" t="s">
        <v>961</v>
      </c>
      <c r="S104" s="17" t="s">
        <v>457</v>
      </c>
      <c r="U104" s="17" t="s">
        <v>937</v>
      </c>
      <c r="V104" s="18"/>
      <c r="W104" s="17" t="str">
        <f>+CONCATENATE(E104,".",F104,"\",G104,".",H104,":",I104)</f>
        <v>2.1\0.3:14</v>
      </c>
      <c r="X104" s="17" t="s">
        <v>936</v>
      </c>
      <c r="Y104" s="33" t="s">
        <v>289</v>
      </c>
      <c r="Z104" s="17" t="s">
        <v>957</v>
      </c>
      <c r="AA104" s="46"/>
      <c r="AB104" s="20"/>
      <c r="AC104" s="19"/>
      <c r="AH104" s="64" t="str">
        <f>+AH103</f>
        <v>F3</v>
      </c>
      <c r="AI104" s="39" t="s">
        <v>144</v>
      </c>
      <c r="AJ104" s="39" t="s">
        <v>143</v>
      </c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</row>
    <row r="105" spans="1:53" s="17" customFormat="1" ht="14.5" x14ac:dyDescent="0.3">
      <c r="A105" s="63" t="str">
        <f>A104</f>
        <v>BSR132</v>
      </c>
      <c r="B105" s="18" t="str">
        <f>+B104</f>
        <v>DX01</v>
      </c>
      <c r="C105" s="18" t="str">
        <f>+C104</f>
        <v>DIO1</v>
      </c>
      <c r="D105" s="84">
        <f>+D104</f>
        <v>132</v>
      </c>
      <c r="E105" s="84">
        <v>2</v>
      </c>
      <c r="F105" s="84">
        <f>+F104</f>
        <v>1</v>
      </c>
      <c r="G105" s="84">
        <v>0</v>
      </c>
      <c r="H105" s="200">
        <f>H101</f>
        <v>3</v>
      </c>
      <c r="I105" s="187">
        <f>+I104+1</f>
        <v>15</v>
      </c>
      <c r="J105" s="205"/>
      <c r="K105" s="79"/>
      <c r="L105" s="17" t="s">
        <v>323</v>
      </c>
      <c r="N105" s="17">
        <v>1</v>
      </c>
      <c r="O105" s="217" t="s">
        <v>937</v>
      </c>
      <c r="P105" s="97" t="s">
        <v>531</v>
      </c>
      <c r="Q105" s="97"/>
      <c r="R105" s="17" t="s">
        <v>960</v>
      </c>
      <c r="S105" s="17" t="s">
        <v>457</v>
      </c>
      <c r="T105" s="97"/>
      <c r="U105" s="103" t="s">
        <v>937</v>
      </c>
      <c r="V105" s="18"/>
      <c r="W105" s="17" t="str">
        <f>+CONCATENATE(E105,".",F105,"\",G105,".",H105,":",I105)</f>
        <v>2.1\0.3:15</v>
      </c>
      <c r="X105" s="17" t="s">
        <v>936</v>
      </c>
      <c r="Y105" s="33" t="s">
        <v>289</v>
      </c>
      <c r="Z105" s="17" t="s">
        <v>957</v>
      </c>
      <c r="AA105" s="46"/>
      <c r="AB105" s="20"/>
      <c r="AC105" s="19"/>
      <c r="AH105" s="64" t="str">
        <f>+AH104</f>
        <v>F3</v>
      </c>
      <c r="AI105" s="39" t="s">
        <v>142</v>
      </c>
      <c r="AJ105" s="39" t="s">
        <v>699</v>
      </c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</row>
    <row r="106" spans="1:53" s="17" customFormat="1" ht="14.5" x14ac:dyDescent="0.3">
      <c r="A106" s="63" t="str">
        <f>A105</f>
        <v>BSR132</v>
      </c>
      <c r="B106" s="18" t="str">
        <f>+B105</f>
        <v>DX01</v>
      </c>
      <c r="C106" s="18" t="str">
        <f>+C105</f>
        <v>DIO1</v>
      </c>
      <c r="D106" s="84">
        <f>+D105</f>
        <v>132</v>
      </c>
      <c r="E106" s="84">
        <v>2</v>
      </c>
      <c r="F106" s="84">
        <f>+F105</f>
        <v>1</v>
      </c>
      <c r="G106" s="84">
        <v>0</v>
      </c>
      <c r="H106" s="200">
        <f>H102</f>
        <v>3</v>
      </c>
      <c r="I106" s="187">
        <f>+I105+1</f>
        <v>16</v>
      </c>
      <c r="J106" s="205"/>
      <c r="K106" s="18"/>
      <c r="L106" s="17" t="s">
        <v>323</v>
      </c>
      <c r="N106" s="17">
        <v>1</v>
      </c>
      <c r="O106" s="230" t="s">
        <v>937</v>
      </c>
      <c r="P106" s="231" t="s">
        <v>374</v>
      </c>
      <c r="Q106" s="231"/>
      <c r="R106" s="228" t="s">
        <v>959</v>
      </c>
      <c r="S106" s="17" t="s">
        <v>457</v>
      </c>
      <c r="T106" s="97"/>
      <c r="U106" s="103" t="s">
        <v>937</v>
      </c>
      <c r="W106" s="17" t="str">
        <f>+CONCATENATE(E106,".",F106,"\",G106,".",H106,":",I106)</f>
        <v>2.1\0.3:16</v>
      </c>
      <c r="X106" s="17" t="s">
        <v>936</v>
      </c>
      <c r="Y106" s="33" t="s">
        <v>289</v>
      </c>
      <c r="Z106" s="17" t="s">
        <v>957</v>
      </c>
      <c r="AA106" s="46"/>
      <c r="AB106" s="20"/>
      <c r="AC106" s="19"/>
      <c r="AH106" s="64" t="str">
        <f>+AH105</f>
        <v>F3</v>
      </c>
      <c r="AI106" s="39" t="s">
        <v>137</v>
      </c>
      <c r="AJ106" s="39" t="s">
        <v>136</v>
      </c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</row>
    <row r="107" spans="1:53" s="17" customFormat="1" ht="14.5" x14ac:dyDescent="0.3">
      <c r="A107" s="63" t="str">
        <f>A106</f>
        <v>BSR132</v>
      </c>
      <c r="B107" s="18" t="str">
        <f>+B106</f>
        <v>DX01</v>
      </c>
      <c r="C107" s="18" t="str">
        <f>+C106</f>
        <v>DIO1</v>
      </c>
      <c r="D107" s="84">
        <f>+D106</f>
        <v>132</v>
      </c>
      <c r="E107" s="84">
        <v>2</v>
      </c>
      <c r="F107" s="84">
        <f>+F106</f>
        <v>1</v>
      </c>
      <c r="G107" s="84">
        <v>0</v>
      </c>
      <c r="H107" s="200">
        <f>H103</f>
        <v>3</v>
      </c>
      <c r="I107" s="187">
        <f>+I106+1</f>
        <v>17</v>
      </c>
      <c r="J107" s="205"/>
      <c r="K107" s="79"/>
      <c r="L107" s="17" t="s">
        <v>323</v>
      </c>
      <c r="N107" s="17">
        <v>3</v>
      </c>
      <c r="O107" s="230" t="s">
        <v>937</v>
      </c>
      <c r="P107" s="228" t="s">
        <v>347</v>
      </c>
      <c r="Q107" s="229"/>
      <c r="R107" s="228" t="s">
        <v>958</v>
      </c>
      <c r="S107" s="17" t="s">
        <v>457</v>
      </c>
      <c r="U107" s="17" t="s">
        <v>937</v>
      </c>
      <c r="W107" s="17" t="str">
        <f>+CONCATENATE(E107,".",F107,"\",G107,".",H107,":",I107)</f>
        <v>2.1\0.3:17</v>
      </c>
      <c r="X107" s="17" t="s">
        <v>936</v>
      </c>
      <c r="Y107" s="33" t="s">
        <v>289</v>
      </c>
      <c r="Z107" s="17" t="s">
        <v>957</v>
      </c>
      <c r="AA107" s="46"/>
      <c r="AC107" s="19"/>
      <c r="AH107" s="64" t="str">
        <f>+AH106</f>
        <v>F3</v>
      </c>
      <c r="AI107" s="39" t="s">
        <v>135</v>
      </c>
      <c r="AJ107" s="39" t="s">
        <v>740</v>
      </c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</row>
    <row r="108" spans="1:53" s="17" customFormat="1" x14ac:dyDescent="0.3">
      <c r="A108" s="63" t="str">
        <f>A107</f>
        <v>BSR132</v>
      </c>
      <c r="B108" s="18" t="str">
        <f>+B107</f>
        <v>DX01</v>
      </c>
      <c r="C108" s="18" t="str">
        <f>+C107</f>
        <v>DIO1</v>
      </c>
      <c r="D108" s="84">
        <f>+D107</f>
        <v>132</v>
      </c>
      <c r="E108" s="84">
        <v>2</v>
      </c>
      <c r="F108" s="84">
        <f>+F107</f>
        <v>1</v>
      </c>
      <c r="G108" s="84">
        <v>0</v>
      </c>
      <c r="H108" s="200">
        <f>H104</f>
        <v>3</v>
      </c>
      <c r="I108" s="187">
        <f>+I107+1</f>
        <v>18</v>
      </c>
      <c r="J108" s="205"/>
      <c r="K108" s="79"/>
      <c r="L108" s="17" t="s">
        <v>323</v>
      </c>
      <c r="N108" s="17">
        <v>4</v>
      </c>
      <c r="O108" s="165"/>
      <c r="P108" s="97" t="s">
        <v>567</v>
      </c>
      <c r="Q108" s="97"/>
      <c r="R108" s="17" t="s">
        <v>956</v>
      </c>
      <c r="S108" s="97" t="s">
        <v>211</v>
      </c>
      <c r="T108" s="227" t="s">
        <v>953</v>
      </c>
      <c r="U108" s="17" t="s">
        <v>701</v>
      </c>
      <c r="V108" s="97"/>
      <c r="W108" s="17" t="str">
        <f>+CONCATENATE(E108,".",F108,"\",G108,".",H108,":",I108)</f>
        <v>2.1\0.3:18</v>
      </c>
      <c r="X108" s="17" t="s">
        <v>936</v>
      </c>
      <c r="Y108" s="33" t="s">
        <v>289</v>
      </c>
      <c r="Z108" s="18" t="s">
        <v>955</v>
      </c>
      <c r="AA108" s="46"/>
      <c r="AB108" s="20"/>
      <c r="AC108" s="19"/>
      <c r="AH108" s="64" t="str">
        <f>+AH107</f>
        <v>F3</v>
      </c>
      <c r="AI108" s="39" t="s">
        <v>134</v>
      </c>
      <c r="AJ108" s="39" t="s">
        <v>133</v>
      </c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</row>
    <row r="109" spans="1:53" s="17" customFormat="1" x14ac:dyDescent="0.3">
      <c r="A109" s="63" t="str">
        <f>A108</f>
        <v>BSR132</v>
      </c>
      <c r="B109" s="18" t="str">
        <f>+B108</f>
        <v>DX01</v>
      </c>
      <c r="C109" s="18" t="str">
        <f>+C108</f>
        <v>DIO1</v>
      </c>
      <c r="D109" s="84">
        <f>+D108</f>
        <v>132</v>
      </c>
      <c r="E109" s="84">
        <v>2</v>
      </c>
      <c r="F109" s="84">
        <f>+F108</f>
        <v>1</v>
      </c>
      <c r="G109" s="84">
        <v>0</v>
      </c>
      <c r="H109" s="200">
        <f>H105</f>
        <v>3</v>
      </c>
      <c r="I109" s="187">
        <f>+I108+1</f>
        <v>19</v>
      </c>
      <c r="J109" s="205"/>
      <c r="K109" s="79"/>
      <c r="L109" s="17" t="s">
        <v>323</v>
      </c>
      <c r="N109" s="17">
        <v>4</v>
      </c>
      <c r="O109" s="165"/>
      <c r="P109" s="17" t="s">
        <v>567</v>
      </c>
      <c r="R109" s="17" t="s">
        <v>954</v>
      </c>
      <c r="S109" s="17" t="s">
        <v>211</v>
      </c>
      <c r="T109" s="227" t="s">
        <v>953</v>
      </c>
      <c r="U109" s="17" t="s">
        <v>821</v>
      </c>
      <c r="V109" s="97"/>
      <c r="W109" s="17" t="str">
        <f>+CONCATENATE(E109,".",F109,"\",G109,".",H109,":",I109)</f>
        <v>2.1\0.3:19</v>
      </c>
      <c r="X109" s="17" t="s">
        <v>936</v>
      </c>
      <c r="Y109" s="33" t="s">
        <v>289</v>
      </c>
      <c r="Z109" s="17" t="s">
        <v>952</v>
      </c>
      <c r="AA109" s="46"/>
      <c r="AB109" s="20"/>
      <c r="AC109" s="19"/>
      <c r="AH109" s="64" t="str">
        <f>+AH108</f>
        <v>F3</v>
      </c>
      <c r="AI109" s="39" t="s">
        <v>132</v>
      </c>
      <c r="AJ109" s="39" t="s">
        <v>738</v>
      </c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</row>
    <row r="110" spans="1:53" s="17" customFormat="1" x14ac:dyDescent="0.3">
      <c r="A110" s="63" t="str">
        <f>A109</f>
        <v>BSR132</v>
      </c>
      <c r="B110" s="18" t="str">
        <f>+B109</f>
        <v>DX01</v>
      </c>
      <c r="C110" s="18" t="str">
        <f>+C109</f>
        <v>DIO1</v>
      </c>
      <c r="D110" s="84">
        <f>+D109</f>
        <v>132</v>
      </c>
      <c r="E110" s="84">
        <v>2</v>
      </c>
      <c r="F110" s="84">
        <f>+F109</f>
        <v>1</v>
      </c>
      <c r="G110" s="84">
        <v>0</v>
      </c>
      <c r="H110" s="200">
        <f>H106</f>
        <v>3</v>
      </c>
      <c r="I110" s="187">
        <f>+I109+1</f>
        <v>20</v>
      </c>
      <c r="J110" s="205"/>
      <c r="K110" s="79"/>
      <c r="L110" s="17" t="s">
        <v>323</v>
      </c>
      <c r="N110" s="83">
        <v>4</v>
      </c>
      <c r="O110" s="18"/>
      <c r="P110" s="83" t="s">
        <v>540</v>
      </c>
      <c r="Q110" s="83"/>
      <c r="R110" s="216" t="s">
        <v>951</v>
      </c>
      <c r="S110" s="216" t="s">
        <v>950</v>
      </c>
      <c r="T110" s="83"/>
      <c r="U110" s="216" t="s">
        <v>949</v>
      </c>
      <c r="V110" s="216"/>
      <c r="W110" s="17" t="str">
        <f>+CONCATENATE(E110,".",F110,"\",G110,".",H110,":",I110)</f>
        <v>2.1\0.3:20</v>
      </c>
      <c r="X110" s="17" t="s">
        <v>948</v>
      </c>
      <c r="Y110" s="97" t="s">
        <v>289</v>
      </c>
      <c r="Z110" s="83" t="s">
        <v>947</v>
      </c>
      <c r="AA110" s="46"/>
      <c r="AC110" s="19"/>
      <c r="AH110" s="64" t="str">
        <f>+AH109</f>
        <v>F3</v>
      </c>
      <c r="AI110" s="39" t="s">
        <v>130</v>
      </c>
      <c r="AJ110" s="39" t="s">
        <v>129</v>
      </c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</row>
    <row r="111" spans="1:53" s="17" customFormat="1" ht="14.5" x14ac:dyDescent="0.3">
      <c r="A111" s="63" t="str">
        <f>A110</f>
        <v>BSR132</v>
      </c>
      <c r="B111" s="18" t="str">
        <f>+B110</f>
        <v>DX01</v>
      </c>
      <c r="C111" s="18" t="str">
        <f>+C110</f>
        <v>DIO1</v>
      </c>
      <c r="D111" s="84">
        <f>+D110</f>
        <v>132</v>
      </c>
      <c r="E111" s="84">
        <v>2</v>
      </c>
      <c r="F111" s="84">
        <f>+F110</f>
        <v>1</v>
      </c>
      <c r="G111" s="84">
        <v>0</v>
      </c>
      <c r="H111" s="200">
        <f>H107</f>
        <v>3</v>
      </c>
      <c r="I111" s="187">
        <f>+I110+1</f>
        <v>21</v>
      </c>
      <c r="J111" s="205"/>
      <c r="K111" s="79"/>
      <c r="L111" s="17" t="s">
        <v>323</v>
      </c>
      <c r="N111" s="83">
        <v>7</v>
      </c>
      <c r="O111" s="217" t="s">
        <v>937</v>
      </c>
      <c r="P111" s="17" t="s">
        <v>327</v>
      </c>
      <c r="Q111" s="221"/>
      <c r="R111" s="17" t="s">
        <v>946</v>
      </c>
      <c r="S111" s="17" t="s">
        <v>457</v>
      </c>
      <c r="U111" s="103" t="s">
        <v>937</v>
      </c>
      <c r="V111" s="97"/>
      <c r="W111" s="17" t="str">
        <f>+CONCATENATE(E111,".",F111,"\",G111,".",H111,":",I111)</f>
        <v>2.1\0.3:21</v>
      </c>
      <c r="X111" s="17" t="s">
        <v>945</v>
      </c>
      <c r="Y111" s="97"/>
      <c r="Z111" s="18"/>
      <c r="AA111" s="46"/>
      <c r="AC111" s="19"/>
      <c r="AH111" s="64" t="str">
        <f>+AH110</f>
        <v>F3</v>
      </c>
      <c r="AI111" s="39" t="s">
        <v>128</v>
      </c>
      <c r="AJ111" s="39" t="s">
        <v>737</v>
      </c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</row>
    <row r="112" spans="1:53" s="17" customFormat="1" ht="14.5" x14ac:dyDescent="0.3">
      <c r="A112" s="63" t="str">
        <f>A111</f>
        <v>BSR132</v>
      </c>
      <c r="B112" s="18" t="str">
        <f>+B111</f>
        <v>DX01</v>
      </c>
      <c r="C112" s="18" t="str">
        <f>+C111</f>
        <v>DIO1</v>
      </c>
      <c r="D112" s="84">
        <f>+D111</f>
        <v>132</v>
      </c>
      <c r="E112" s="84">
        <v>2</v>
      </c>
      <c r="F112" s="84">
        <f>+F111</f>
        <v>1</v>
      </c>
      <c r="G112" s="84">
        <v>0</v>
      </c>
      <c r="H112" s="200">
        <f>H108</f>
        <v>3</v>
      </c>
      <c r="I112" s="187">
        <f>+I111+1</f>
        <v>22</v>
      </c>
      <c r="J112" s="205"/>
      <c r="K112" s="79"/>
      <c r="L112" s="17" t="s">
        <v>323</v>
      </c>
      <c r="N112" s="83">
        <v>7</v>
      </c>
      <c r="O112" s="217" t="s">
        <v>937</v>
      </c>
      <c r="P112" s="17" t="s">
        <v>459</v>
      </c>
      <c r="R112" s="17" t="s">
        <v>944</v>
      </c>
      <c r="S112" s="17" t="s">
        <v>457</v>
      </c>
      <c r="U112" s="103" t="s">
        <v>937</v>
      </c>
      <c r="V112" s="103"/>
      <c r="W112" s="17" t="str">
        <f>+CONCATENATE(E112,".",F112,"\",G112,".",H112,":",I112)</f>
        <v>2.1\0.3:22</v>
      </c>
      <c r="X112" s="17" t="s">
        <v>936</v>
      </c>
      <c r="Y112" s="97"/>
      <c r="Z112" s="18"/>
      <c r="AA112" s="46"/>
      <c r="AC112" s="19"/>
      <c r="AH112" s="64" t="str">
        <f>+AH111</f>
        <v>F3</v>
      </c>
      <c r="AI112" s="39" t="s">
        <v>125</v>
      </c>
      <c r="AJ112" s="39" t="s">
        <v>124</v>
      </c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</row>
    <row r="113" spans="1:53" s="17" customFormat="1" ht="14.5" x14ac:dyDescent="0.3">
      <c r="A113" s="63" t="str">
        <f>A112</f>
        <v>BSR132</v>
      </c>
      <c r="B113" s="18" t="str">
        <f>+B112</f>
        <v>DX01</v>
      </c>
      <c r="C113" s="18" t="str">
        <f>+C112</f>
        <v>DIO1</v>
      </c>
      <c r="D113" s="84">
        <f>+D112</f>
        <v>132</v>
      </c>
      <c r="E113" s="84">
        <v>2</v>
      </c>
      <c r="F113" s="84">
        <f>+F112</f>
        <v>1</v>
      </c>
      <c r="G113" s="84">
        <v>0</v>
      </c>
      <c r="H113" s="200">
        <f>H109</f>
        <v>3</v>
      </c>
      <c r="I113" s="187">
        <f>+I112+1</f>
        <v>23</v>
      </c>
      <c r="J113" s="205"/>
      <c r="K113" s="79"/>
      <c r="L113" s="17" t="s">
        <v>323</v>
      </c>
      <c r="N113" s="83">
        <v>7</v>
      </c>
      <c r="O113" s="217" t="s">
        <v>937</v>
      </c>
      <c r="P113" s="17" t="s">
        <v>319</v>
      </c>
      <c r="R113" s="17" t="s">
        <v>943</v>
      </c>
      <c r="S113" s="17" t="s">
        <v>457</v>
      </c>
      <c r="U113" s="103" t="s">
        <v>937</v>
      </c>
      <c r="V113" s="103"/>
      <c r="W113" s="17" t="str">
        <f>+CONCATENATE(E113,".",F113,"\",G113,".",H113,":",I113)</f>
        <v>2.1\0.3:23</v>
      </c>
      <c r="X113" s="17" t="s">
        <v>936</v>
      </c>
      <c r="Y113" s="97"/>
      <c r="Z113" s="18"/>
      <c r="AA113" s="46"/>
      <c r="AC113" s="19"/>
      <c r="AH113" s="64" t="str">
        <f>+AH112</f>
        <v>F3</v>
      </c>
      <c r="AI113" s="39" t="s">
        <v>123</v>
      </c>
      <c r="AJ113" s="39" t="s">
        <v>735</v>
      </c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</row>
    <row r="114" spans="1:53" s="17" customFormat="1" ht="14.5" x14ac:dyDescent="0.3">
      <c r="A114" s="63" t="str">
        <f>A113</f>
        <v>BSR132</v>
      </c>
      <c r="B114" s="18" t="str">
        <f>+B113</f>
        <v>DX01</v>
      </c>
      <c r="C114" s="18" t="str">
        <f>+C113</f>
        <v>DIO1</v>
      </c>
      <c r="D114" s="84">
        <f>+D113</f>
        <v>132</v>
      </c>
      <c r="E114" s="84">
        <v>2</v>
      </c>
      <c r="F114" s="84">
        <f>+F113</f>
        <v>1</v>
      </c>
      <c r="G114" s="84">
        <v>0</v>
      </c>
      <c r="H114" s="200">
        <f>H110</f>
        <v>3</v>
      </c>
      <c r="I114" s="187">
        <f>+I113+1</f>
        <v>24</v>
      </c>
      <c r="J114" s="205"/>
      <c r="K114" s="79"/>
      <c r="L114" s="17" t="s">
        <v>323</v>
      </c>
      <c r="N114" s="83">
        <v>7</v>
      </c>
      <c r="O114" s="217" t="s">
        <v>937</v>
      </c>
      <c r="P114" s="17" t="s">
        <v>331</v>
      </c>
      <c r="R114" s="17" t="s">
        <v>942</v>
      </c>
      <c r="S114" s="17" t="s">
        <v>457</v>
      </c>
      <c r="U114" s="103" t="s">
        <v>937</v>
      </c>
      <c r="V114" s="103"/>
      <c r="W114" s="17" t="str">
        <f>+CONCATENATE(E114,".",F114,"\",G114,".",H114,":",I114)</f>
        <v>2.1\0.3:24</v>
      </c>
      <c r="X114" s="17" t="s">
        <v>936</v>
      </c>
      <c r="Y114" s="97"/>
      <c r="Z114" s="18"/>
      <c r="AA114" s="46"/>
      <c r="AC114" s="19"/>
      <c r="AH114" s="64" t="str">
        <f>+AH113</f>
        <v>F3</v>
      </c>
      <c r="AI114" s="39" t="s">
        <v>120</v>
      </c>
      <c r="AJ114" s="39" t="s">
        <v>119</v>
      </c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</row>
    <row r="115" spans="1:53" s="17" customFormat="1" ht="14.5" x14ac:dyDescent="0.3">
      <c r="A115" s="63" t="str">
        <f>A114</f>
        <v>BSR132</v>
      </c>
      <c r="B115" s="18" t="str">
        <f>+B114</f>
        <v>DX01</v>
      </c>
      <c r="C115" s="18" t="str">
        <f>+C114</f>
        <v>DIO1</v>
      </c>
      <c r="D115" s="84">
        <f>+D114</f>
        <v>132</v>
      </c>
      <c r="E115" s="84">
        <v>2</v>
      </c>
      <c r="F115" s="84">
        <f>+F114</f>
        <v>1</v>
      </c>
      <c r="G115" s="84">
        <v>0</v>
      </c>
      <c r="H115" s="200">
        <f>H111</f>
        <v>3</v>
      </c>
      <c r="I115" s="187">
        <f>+I114+1</f>
        <v>25</v>
      </c>
      <c r="J115" s="205"/>
      <c r="K115" s="79"/>
      <c r="L115" s="17" t="s">
        <v>323</v>
      </c>
      <c r="N115" s="83">
        <v>7</v>
      </c>
      <c r="O115" s="217" t="s">
        <v>937</v>
      </c>
      <c r="P115" s="17" t="s">
        <v>305</v>
      </c>
      <c r="R115" s="17" t="s">
        <v>941</v>
      </c>
      <c r="S115" s="17" t="s">
        <v>457</v>
      </c>
      <c r="U115" s="103" t="s">
        <v>937</v>
      </c>
      <c r="V115" s="103"/>
      <c r="W115" s="17" t="str">
        <f>+CONCATENATE(E115,".",F115,"\",G115,".",H115,":",I115)</f>
        <v>2.1\0.3:25</v>
      </c>
      <c r="X115" s="17" t="s">
        <v>936</v>
      </c>
      <c r="Y115" s="97"/>
      <c r="Z115" s="18"/>
      <c r="AA115" s="46"/>
      <c r="AC115" s="19"/>
      <c r="AH115" s="64" t="str">
        <f>+AH114</f>
        <v>F3</v>
      </c>
      <c r="AI115" s="39" t="s">
        <v>118</v>
      </c>
      <c r="AJ115" s="39" t="s">
        <v>730</v>
      </c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</row>
    <row r="116" spans="1:53" s="17" customFormat="1" ht="14.5" x14ac:dyDescent="0.3">
      <c r="A116" s="63" t="str">
        <f>A115</f>
        <v>BSR132</v>
      </c>
      <c r="B116" s="18" t="str">
        <f>+B115</f>
        <v>DX01</v>
      </c>
      <c r="C116" s="18" t="str">
        <f>+C115</f>
        <v>DIO1</v>
      </c>
      <c r="D116" s="84">
        <f>+D115</f>
        <v>132</v>
      </c>
      <c r="E116" s="84">
        <v>2</v>
      </c>
      <c r="F116" s="84">
        <f>+F115</f>
        <v>1</v>
      </c>
      <c r="G116" s="84">
        <v>0</v>
      </c>
      <c r="H116" s="200">
        <f>H112</f>
        <v>3</v>
      </c>
      <c r="I116" s="187">
        <f>+I115+1</f>
        <v>26</v>
      </c>
      <c r="J116" s="205"/>
      <c r="K116" s="79"/>
      <c r="L116" s="17" t="s">
        <v>323</v>
      </c>
      <c r="N116" s="83">
        <v>7</v>
      </c>
      <c r="O116" s="217" t="s">
        <v>937</v>
      </c>
      <c r="P116" s="17" t="s">
        <v>301</v>
      </c>
      <c r="R116" s="17" t="s">
        <v>940</v>
      </c>
      <c r="S116" s="17" t="s">
        <v>457</v>
      </c>
      <c r="U116" s="103" t="s">
        <v>937</v>
      </c>
      <c r="V116" s="216"/>
      <c r="W116" s="17" t="str">
        <f>+CONCATENATE(E116,".",F116,"\",G116,".",H116,":",I116)</f>
        <v>2.1\0.3:26</v>
      </c>
      <c r="X116" s="17" t="s">
        <v>936</v>
      </c>
      <c r="Y116" s="97"/>
      <c r="Z116" s="18"/>
      <c r="AA116" s="46"/>
      <c r="AC116" s="19"/>
      <c r="AH116" s="64" t="str">
        <f>+AH115</f>
        <v>F3</v>
      </c>
      <c r="AI116" s="39" t="s">
        <v>114</v>
      </c>
      <c r="AJ116" s="39" t="s">
        <v>113</v>
      </c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</row>
    <row r="117" spans="1:53" s="17" customFormat="1" ht="14.5" x14ac:dyDescent="0.3">
      <c r="A117" s="63" t="str">
        <f>A116</f>
        <v>BSR132</v>
      </c>
      <c r="B117" s="18" t="str">
        <f>+B116</f>
        <v>DX01</v>
      </c>
      <c r="C117" s="18" t="str">
        <f>+C116</f>
        <v>DIO1</v>
      </c>
      <c r="D117" s="84">
        <f>+D116</f>
        <v>132</v>
      </c>
      <c r="E117" s="84">
        <v>2</v>
      </c>
      <c r="F117" s="84">
        <f>+F116</f>
        <v>1</v>
      </c>
      <c r="G117" s="84">
        <v>0</v>
      </c>
      <c r="H117" s="200">
        <f>H113</f>
        <v>3</v>
      </c>
      <c r="I117" s="187">
        <f>+I116+1</f>
        <v>27</v>
      </c>
      <c r="J117" s="205"/>
      <c r="K117" s="79"/>
      <c r="L117" s="17" t="s">
        <v>323</v>
      </c>
      <c r="N117" s="83">
        <v>7</v>
      </c>
      <c r="O117" s="217" t="s">
        <v>937</v>
      </c>
      <c r="P117" s="83" t="s">
        <v>939</v>
      </c>
      <c r="R117" s="17" t="s">
        <v>938</v>
      </c>
      <c r="S117" s="17" t="s">
        <v>399</v>
      </c>
      <c r="U117" s="103" t="s">
        <v>937</v>
      </c>
      <c r="V117" s="18"/>
      <c r="W117" s="17" t="str">
        <f>+CONCATENATE(E117,".",F117,"\",G117,".",H117,":",I117)</f>
        <v>2.1\0.3:27</v>
      </c>
      <c r="X117" s="17" t="s">
        <v>936</v>
      </c>
      <c r="Z117" s="18"/>
      <c r="AA117" s="46"/>
      <c r="AC117" s="19"/>
      <c r="AH117" s="64" t="str">
        <f>+AH116</f>
        <v>F3</v>
      </c>
      <c r="AI117" s="39" t="s">
        <v>112</v>
      </c>
      <c r="AJ117" s="39" t="s">
        <v>726</v>
      </c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</row>
    <row r="118" spans="1:53" s="17" customFormat="1" ht="14.5" x14ac:dyDescent="0.3">
      <c r="A118" s="63" t="str">
        <f>A117</f>
        <v>BSR132</v>
      </c>
      <c r="B118" s="18" t="str">
        <f>+B117</f>
        <v>DX01</v>
      </c>
      <c r="C118" s="18" t="str">
        <f>+C117</f>
        <v>DIO1</v>
      </c>
      <c r="D118" s="84">
        <f>+D117</f>
        <v>132</v>
      </c>
      <c r="E118" s="84">
        <v>2</v>
      </c>
      <c r="F118" s="84">
        <f>+F117</f>
        <v>1</v>
      </c>
      <c r="G118" s="84">
        <v>0</v>
      </c>
      <c r="H118" s="200">
        <f>H114</f>
        <v>3</v>
      </c>
      <c r="I118" s="187">
        <f>+I117+1</f>
        <v>28</v>
      </c>
      <c r="J118" s="205"/>
      <c r="K118" s="79"/>
      <c r="L118" s="17" t="s">
        <v>323</v>
      </c>
      <c r="N118" s="33">
        <v>8</v>
      </c>
      <c r="O118" s="226"/>
      <c r="P118" s="78"/>
      <c r="Q118" s="78"/>
      <c r="R118" s="78"/>
      <c r="S118" s="78"/>
      <c r="V118" s="18"/>
      <c r="W118" s="17" t="str">
        <f>+CONCATENATE(E118,".",F118,"\",G118,".",H118,":",I118)</f>
        <v>2.1\0.3:28</v>
      </c>
      <c r="Z118" s="18"/>
      <c r="AA118" s="46"/>
      <c r="AC118" s="19"/>
      <c r="AH118" s="64" t="str">
        <f>+AH117</f>
        <v>F3</v>
      </c>
      <c r="AI118" s="39" t="s">
        <v>109</v>
      </c>
      <c r="AJ118" s="39" t="s">
        <v>108</v>
      </c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</row>
    <row r="119" spans="1:53" s="17" customFormat="1" ht="14.5" x14ac:dyDescent="0.3">
      <c r="A119" s="63" t="str">
        <f>A118</f>
        <v>BSR132</v>
      </c>
      <c r="B119" s="18" t="str">
        <f>+B118</f>
        <v>DX01</v>
      </c>
      <c r="C119" s="18" t="str">
        <f>+C118</f>
        <v>DIO1</v>
      </c>
      <c r="D119" s="84">
        <f>+D118</f>
        <v>132</v>
      </c>
      <c r="E119" s="84">
        <v>2</v>
      </c>
      <c r="F119" s="84">
        <f>+F118</f>
        <v>1</v>
      </c>
      <c r="G119" s="84">
        <v>0</v>
      </c>
      <c r="H119" s="200">
        <f>H115</f>
        <v>3</v>
      </c>
      <c r="I119" s="187">
        <f>+I118+1</f>
        <v>29</v>
      </c>
      <c r="J119" s="205"/>
      <c r="K119" s="79"/>
      <c r="L119" s="17" t="s">
        <v>323</v>
      </c>
      <c r="N119" s="83">
        <v>8</v>
      </c>
      <c r="O119" s="226"/>
      <c r="P119" s="78"/>
      <c r="Q119" s="78"/>
      <c r="R119" s="78"/>
      <c r="S119" s="78"/>
      <c r="W119" s="17" t="str">
        <f>+CONCATENATE(E119,".",F119,"\",G119,".",H119,":",I119)</f>
        <v>2.1\0.3:29</v>
      </c>
      <c r="Z119" s="18"/>
      <c r="AA119" s="46"/>
      <c r="AH119" s="64" t="str">
        <f>+AH118</f>
        <v>F3</v>
      </c>
      <c r="AI119" s="39" t="s">
        <v>107</v>
      </c>
      <c r="AJ119" s="39" t="s">
        <v>725</v>
      </c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</row>
    <row r="120" spans="1:53" s="17" customFormat="1" x14ac:dyDescent="0.3">
      <c r="A120" s="63" t="str">
        <f>A119</f>
        <v>BSR132</v>
      </c>
      <c r="B120" s="18" t="str">
        <f>+B119</f>
        <v>DX01</v>
      </c>
      <c r="C120" s="18" t="str">
        <f>+C119</f>
        <v>DIO1</v>
      </c>
      <c r="D120" s="84">
        <f>+D119</f>
        <v>132</v>
      </c>
      <c r="E120" s="84">
        <v>2</v>
      </c>
      <c r="F120" s="84">
        <f>+F119</f>
        <v>1</v>
      </c>
      <c r="G120" s="84">
        <v>0</v>
      </c>
      <c r="H120" s="200">
        <f>H116</f>
        <v>3</v>
      </c>
      <c r="I120" s="187">
        <f>+I119+1</f>
        <v>30</v>
      </c>
      <c r="J120" s="205"/>
      <c r="K120" s="79"/>
      <c r="L120" s="17" t="s">
        <v>323</v>
      </c>
      <c r="O120" s="18"/>
      <c r="R120" s="18"/>
      <c r="W120" s="17" t="str">
        <f>+CONCATENATE(E120,".",F120,"\",G120,".",H120,":",I120)</f>
        <v>2.1\0.3:30</v>
      </c>
      <c r="Z120" s="18"/>
      <c r="AA120" s="46"/>
      <c r="AH120" s="64" t="str">
        <f>+AH119</f>
        <v>F3</v>
      </c>
      <c r="AI120" s="39" t="s">
        <v>104</v>
      </c>
      <c r="AJ120" s="39" t="s">
        <v>103</v>
      </c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</row>
    <row r="121" spans="1:53" s="17" customFormat="1" ht="13.5" thickBot="1" x14ac:dyDescent="0.35">
      <c r="A121" s="63" t="str">
        <f>A120</f>
        <v>BSR132</v>
      </c>
      <c r="B121" s="18" t="str">
        <f>+B120</f>
        <v>DX01</v>
      </c>
      <c r="C121" s="18" t="str">
        <f>+C120</f>
        <v>DIO1</v>
      </c>
      <c r="D121" s="84">
        <f>+D120</f>
        <v>132</v>
      </c>
      <c r="E121" s="84">
        <v>2</v>
      </c>
      <c r="F121" s="84">
        <f>+F120</f>
        <v>1</v>
      </c>
      <c r="G121" s="84">
        <v>0</v>
      </c>
      <c r="H121" s="200">
        <f>H117</f>
        <v>3</v>
      </c>
      <c r="I121" s="191">
        <f>+I120+1</f>
        <v>31</v>
      </c>
      <c r="J121" s="203"/>
      <c r="K121" s="79"/>
      <c r="L121" s="17" t="s">
        <v>323</v>
      </c>
      <c r="O121" s="165"/>
      <c r="R121" s="18"/>
      <c r="W121" s="17" t="str">
        <f>+CONCATENATE(E121,".",F121,"\",G121,".",H121,":",I121)</f>
        <v>2.1\0.3:31</v>
      </c>
      <c r="Z121" s="18"/>
      <c r="AA121" s="46"/>
      <c r="AH121" s="64" t="str">
        <f>+AH120</f>
        <v>F3</v>
      </c>
      <c r="AI121" s="39" t="s">
        <v>102</v>
      </c>
      <c r="AJ121" s="39" t="s">
        <v>724</v>
      </c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</row>
    <row r="122" spans="1:53" s="17" customFormat="1" x14ac:dyDescent="0.3">
      <c r="A122" s="86" t="s">
        <v>273</v>
      </c>
      <c r="B122" s="18" t="str">
        <f>+B121</f>
        <v>DX01</v>
      </c>
      <c r="C122" s="18" t="str">
        <f>+C121</f>
        <v>DIO1</v>
      </c>
      <c r="D122" s="84">
        <f>+D121</f>
        <v>132</v>
      </c>
      <c r="E122" s="84">
        <v>2</v>
      </c>
      <c r="F122" s="84">
        <f>+F121</f>
        <v>1</v>
      </c>
      <c r="G122" s="84">
        <v>0</v>
      </c>
      <c r="H122" s="214">
        <f>+H121+1</f>
        <v>4</v>
      </c>
      <c r="I122" s="188">
        <v>0</v>
      </c>
      <c r="J122" s="205" t="s">
        <v>767</v>
      </c>
      <c r="K122" s="18" t="s">
        <v>766</v>
      </c>
      <c r="L122" s="17" t="s">
        <v>323</v>
      </c>
      <c r="N122" s="17">
        <v>3</v>
      </c>
      <c r="O122" s="223" t="s">
        <v>492</v>
      </c>
      <c r="P122" s="97" t="s">
        <v>770</v>
      </c>
      <c r="Q122" s="97"/>
      <c r="R122" s="97" t="s">
        <v>935</v>
      </c>
      <c r="S122" s="97" t="s">
        <v>211</v>
      </c>
      <c r="T122" s="103" t="s">
        <v>909</v>
      </c>
      <c r="U122" s="97" t="s">
        <v>492</v>
      </c>
      <c r="W122" s="17" t="str">
        <f>+CONCATENATE(E122,".",F122,"\",G122,".",H122,":",I122)</f>
        <v>2.1\0.4:0</v>
      </c>
      <c r="X122" s="17" t="s">
        <v>920</v>
      </c>
      <c r="Y122" s="17" t="s">
        <v>289</v>
      </c>
      <c r="Z122" s="221" t="s">
        <v>919</v>
      </c>
      <c r="AA122" s="46"/>
      <c r="AH122" s="64" t="s">
        <v>934</v>
      </c>
      <c r="AI122" s="39" t="s">
        <v>190</v>
      </c>
      <c r="AJ122" s="39" t="s">
        <v>189</v>
      </c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</row>
    <row r="123" spans="1:53" s="17" customFormat="1" x14ac:dyDescent="0.3">
      <c r="A123" s="63" t="str">
        <f>A122</f>
        <v>BSR132</v>
      </c>
      <c r="B123" s="18" t="str">
        <f>+B122</f>
        <v>DX01</v>
      </c>
      <c r="C123" s="18" t="str">
        <f>+C122</f>
        <v>DIO1</v>
      </c>
      <c r="D123" s="84">
        <f>+D122</f>
        <v>132</v>
      </c>
      <c r="E123" s="84">
        <v>2</v>
      </c>
      <c r="F123" s="84">
        <f>+F122</f>
        <v>1</v>
      </c>
      <c r="G123" s="84">
        <v>0</v>
      </c>
      <c r="H123" s="200">
        <f>H122</f>
        <v>4</v>
      </c>
      <c r="I123" s="187">
        <f>+I122+1</f>
        <v>1</v>
      </c>
      <c r="J123" s="205"/>
      <c r="L123" s="17" t="s">
        <v>323</v>
      </c>
      <c r="N123" s="17">
        <v>3</v>
      </c>
      <c r="O123" s="223"/>
      <c r="P123" s="97" t="s">
        <v>393</v>
      </c>
      <c r="Q123" s="97"/>
      <c r="R123" s="97" t="s">
        <v>933</v>
      </c>
      <c r="S123" s="97" t="s">
        <v>211</v>
      </c>
      <c r="T123" s="103" t="s">
        <v>932</v>
      </c>
      <c r="U123" s="97" t="s">
        <v>492</v>
      </c>
      <c r="W123" s="17" t="str">
        <f>+CONCATENATE(E123,".",F123,"\",G123,".",H123,":",I123)</f>
        <v>2.1\0.4:1</v>
      </c>
      <c r="X123" s="17" t="s">
        <v>920</v>
      </c>
      <c r="Y123" s="17" t="s">
        <v>289</v>
      </c>
      <c r="Z123" s="221" t="s">
        <v>919</v>
      </c>
      <c r="AA123" s="46"/>
      <c r="AH123" s="64" t="str">
        <f>+AH122</f>
        <v>F4</v>
      </c>
      <c r="AI123" s="39" t="s">
        <v>188</v>
      </c>
      <c r="AJ123" s="39" t="s">
        <v>716</v>
      </c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</row>
    <row r="124" spans="1:53" s="17" customFormat="1" x14ac:dyDescent="0.3">
      <c r="A124" s="63" t="str">
        <f>A123</f>
        <v>BSR132</v>
      </c>
      <c r="B124" s="18" t="str">
        <f>+B123</f>
        <v>DX01</v>
      </c>
      <c r="C124" s="18" t="str">
        <f>+C123</f>
        <v>DIO1</v>
      </c>
      <c r="D124" s="84">
        <f>+D123</f>
        <v>132</v>
      </c>
      <c r="E124" s="84">
        <v>2</v>
      </c>
      <c r="F124" s="84">
        <f>+F123</f>
        <v>1</v>
      </c>
      <c r="G124" s="84">
        <v>0</v>
      </c>
      <c r="H124" s="200">
        <f>H122</f>
        <v>4</v>
      </c>
      <c r="I124" s="187">
        <f>+I123+1</f>
        <v>2</v>
      </c>
      <c r="J124" s="205"/>
      <c r="K124" s="79"/>
      <c r="L124" s="17" t="s">
        <v>323</v>
      </c>
      <c r="N124" s="17">
        <v>3</v>
      </c>
      <c r="O124" s="223"/>
      <c r="P124" s="97" t="s">
        <v>429</v>
      </c>
      <c r="Q124" s="97"/>
      <c r="R124" s="97" t="s">
        <v>931</v>
      </c>
      <c r="S124" s="97" t="s">
        <v>773</v>
      </c>
      <c r="T124" s="103" t="s">
        <v>929</v>
      </c>
      <c r="U124" s="97" t="s">
        <v>492</v>
      </c>
      <c r="W124" s="17" t="str">
        <f>+CONCATENATE(E124,".",F124,"\",G124,".",H124,":",I124)</f>
        <v>2.1\0.4:2</v>
      </c>
      <c r="X124" s="17" t="s">
        <v>920</v>
      </c>
      <c r="Y124" s="17" t="s">
        <v>289</v>
      </c>
      <c r="Z124" s="221" t="s">
        <v>919</v>
      </c>
      <c r="AA124" s="46"/>
      <c r="AH124" s="64" t="str">
        <f>+AH123</f>
        <v>F4</v>
      </c>
      <c r="AI124" s="39" t="s">
        <v>183</v>
      </c>
      <c r="AJ124" s="39" t="s">
        <v>182</v>
      </c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</row>
    <row r="125" spans="1:53" s="17" customFormat="1" x14ac:dyDescent="0.3">
      <c r="A125" s="63" t="str">
        <f>A124</f>
        <v>BSR132</v>
      </c>
      <c r="B125" s="18" t="str">
        <f>+B124</f>
        <v>DX01</v>
      </c>
      <c r="C125" s="18" t="str">
        <f>+C124</f>
        <v>DIO1</v>
      </c>
      <c r="D125" s="84">
        <f>+D124</f>
        <v>132</v>
      </c>
      <c r="E125" s="84">
        <v>2</v>
      </c>
      <c r="F125" s="84">
        <f>+F124</f>
        <v>1</v>
      </c>
      <c r="G125" s="84">
        <v>0</v>
      </c>
      <c r="H125" s="200">
        <f>H122</f>
        <v>4</v>
      </c>
      <c r="I125" s="187">
        <f>+I124+1</f>
        <v>3</v>
      </c>
      <c r="J125" s="205"/>
      <c r="K125" s="79"/>
      <c r="L125" s="17" t="s">
        <v>323</v>
      </c>
      <c r="N125" s="17">
        <v>3</v>
      </c>
      <c r="O125" s="223"/>
      <c r="P125" s="97" t="s">
        <v>570</v>
      </c>
      <c r="Q125" s="97"/>
      <c r="R125" s="97" t="s">
        <v>930</v>
      </c>
      <c r="S125" s="97" t="s">
        <v>211</v>
      </c>
      <c r="T125" s="103" t="s">
        <v>929</v>
      </c>
      <c r="U125" s="97" t="s">
        <v>492</v>
      </c>
      <c r="W125" s="17" t="str">
        <f>+CONCATENATE(E125,".",F125,"\",G125,".",H125,":",I125)</f>
        <v>2.1\0.4:3</v>
      </c>
      <c r="X125" s="17" t="s">
        <v>920</v>
      </c>
      <c r="Y125" s="17" t="s">
        <v>289</v>
      </c>
      <c r="Z125" s="221" t="s">
        <v>919</v>
      </c>
      <c r="AA125" s="46"/>
      <c r="AH125" s="64" t="str">
        <f>+AH124</f>
        <v>F4</v>
      </c>
      <c r="AI125" s="39" t="s">
        <v>181</v>
      </c>
      <c r="AJ125" s="39" t="s">
        <v>711</v>
      </c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</row>
    <row r="126" spans="1:53" s="17" customFormat="1" x14ac:dyDescent="0.3">
      <c r="A126" s="63" t="str">
        <f>A125</f>
        <v>BSR132</v>
      </c>
      <c r="B126" s="18" t="str">
        <f>+B125</f>
        <v>DX01</v>
      </c>
      <c r="C126" s="18" t="str">
        <f>+C125</f>
        <v>DIO1</v>
      </c>
      <c r="D126" s="84">
        <f>+D125</f>
        <v>132</v>
      </c>
      <c r="E126" s="84">
        <v>2</v>
      </c>
      <c r="F126" s="84">
        <f>+F125</f>
        <v>1</v>
      </c>
      <c r="G126" s="84">
        <v>0</v>
      </c>
      <c r="H126" s="200">
        <f>H123</f>
        <v>4</v>
      </c>
      <c r="I126" s="187">
        <f>+I125+1</f>
        <v>4</v>
      </c>
      <c r="J126" s="205"/>
      <c r="K126" s="79"/>
      <c r="L126" s="17" t="s">
        <v>323</v>
      </c>
      <c r="N126" s="17">
        <v>3</v>
      </c>
      <c r="O126" s="223"/>
      <c r="P126" s="97" t="s">
        <v>390</v>
      </c>
      <c r="Q126" s="97"/>
      <c r="R126" s="97" t="s">
        <v>928</v>
      </c>
      <c r="S126" s="97" t="s">
        <v>211</v>
      </c>
      <c r="T126" s="103" t="s">
        <v>905</v>
      </c>
      <c r="U126" s="97" t="s">
        <v>492</v>
      </c>
      <c r="W126" s="17" t="str">
        <f>+CONCATENATE(E126,".",F126,"\",G126,".",H126,":",I126)</f>
        <v>2.1\0.4:4</v>
      </c>
      <c r="X126" s="17" t="s">
        <v>920</v>
      </c>
      <c r="Y126" s="17" t="s">
        <v>289</v>
      </c>
      <c r="Z126" s="221" t="s">
        <v>919</v>
      </c>
      <c r="AA126" s="46"/>
      <c r="AH126" s="64" t="str">
        <f>+AH125</f>
        <v>F4</v>
      </c>
      <c r="AI126" s="39" t="s">
        <v>176</v>
      </c>
      <c r="AJ126" s="39" t="s">
        <v>175</v>
      </c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</row>
    <row r="127" spans="1:53" s="17" customFormat="1" x14ac:dyDescent="0.3">
      <c r="A127" s="63" t="str">
        <f>A126</f>
        <v>BSR132</v>
      </c>
      <c r="B127" s="18" t="str">
        <f>+B126</f>
        <v>DX01</v>
      </c>
      <c r="C127" s="18" t="str">
        <f>+C126</f>
        <v>DIO1</v>
      </c>
      <c r="D127" s="84">
        <f>+D126</f>
        <v>132</v>
      </c>
      <c r="E127" s="84">
        <v>2</v>
      </c>
      <c r="F127" s="84">
        <f>+F126</f>
        <v>1</v>
      </c>
      <c r="G127" s="84">
        <v>0</v>
      </c>
      <c r="H127" s="200">
        <f>H124</f>
        <v>4</v>
      </c>
      <c r="I127" s="187">
        <f>+I126+1</f>
        <v>5</v>
      </c>
      <c r="J127" s="205"/>
      <c r="K127" s="79"/>
      <c r="L127" s="17" t="s">
        <v>323</v>
      </c>
      <c r="N127" s="17">
        <v>3</v>
      </c>
      <c r="O127" s="223"/>
      <c r="P127" s="97" t="s">
        <v>353</v>
      </c>
      <c r="Q127" s="97"/>
      <c r="R127" s="97" t="s">
        <v>927</v>
      </c>
      <c r="S127" s="97" t="s">
        <v>211</v>
      </c>
      <c r="T127" s="103" t="s">
        <v>903</v>
      </c>
      <c r="U127" s="97" t="s">
        <v>492</v>
      </c>
      <c r="W127" s="17" t="str">
        <f>+CONCATENATE(E127,".",F127,"\",G127,".",H127,":",I127)</f>
        <v>2.1\0.4:5</v>
      </c>
      <c r="X127" s="17" t="s">
        <v>920</v>
      </c>
      <c r="Y127" s="17" t="s">
        <v>289</v>
      </c>
      <c r="Z127" s="221" t="s">
        <v>919</v>
      </c>
      <c r="AA127" s="46"/>
      <c r="AH127" s="64" t="str">
        <f>+AH126</f>
        <v>F4</v>
      </c>
      <c r="AI127" s="39" t="s">
        <v>174</v>
      </c>
      <c r="AJ127" s="39" t="s">
        <v>710</v>
      </c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</row>
    <row r="128" spans="1:53" s="17" customFormat="1" x14ac:dyDescent="0.3">
      <c r="A128" s="63" t="str">
        <f>A127</f>
        <v>BSR132</v>
      </c>
      <c r="B128" s="18" t="str">
        <f>+B127</f>
        <v>DX01</v>
      </c>
      <c r="C128" s="18" t="str">
        <f>+C127</f>
        <v>DIO1</v>
      </c>
      <c r="D128" s="84">
        <f>+D127</f>
        <v>132</v>
      </c>
      <c r="E128" s="84">
        <v>2</v>
      </c>
      <c r="F128" s="84">
        <f>+F127</f>
        <v>1</v>
      </c>
      <c r="G128" s="84">
        <v>0</v>
      </c>
      <c r="H128" s="200">
        <f>H125</f>
        <v>4</v>
      </c>
      <c r="I128" s="187">
        <f>+I127+1</f>
        <v>6</v>
      </c>
      <c r="J128" s="205"/>
      <c r="K128" s="79"/>
      <c r="L128" s="17" t="s">
        <v>323</v>
      </c>
      <c r="N128" s="17">
        <v>3</v>
      </c>
      <c r="O128" s="223"/>
      <c r="P128" s="97" t="s">
        <v>902</v>
      </c>
      <c r="Q128" s="97"/>
      <c r="R128" s="97" t="s">
        <v>926</v>
      </c>
      <c r="S128" s="97" t="s">
        <v>211</v>
      </c>
      <c r="T128" s="103" t="s">
        <v>900</v>
      </c>
      <c r="U128" s="97" t="s">
        <v>492</v>
      </c>
      <c r="W128" s="17" t="str">
        <f>+CONCATENATE(E128,".",F128,"\",G128,".",H128,":",I128)</f>
        <v>2.1\0.4:6</v>
      </c>
      <c r="X128" s="17" t="s">
        <v>920</v>
      </c>
      <c r="Y128" s="17" t="s">
        <v>289</v>
      </c>
      <c r="Z128" s="221" t="s">
        <v>919</v>
      </c>
      <c r="AA128" s="46"/>
      <c r="AH128" s="64" t="str">
        <f>+AH127</f>
        <v>F4</v>
      </c>
      <c r="AI128" s="39" t="s">
        <v>169</v>
      </c>
      <c r="AJ128" s="39" t="s">
        <v>168</v>
      </c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</row>
    <row r="129" spans="1:53" s="17" customFormat="1" x14ac:dyDescent="0.3">
      <c r="A129" s="63" t="str">
        <f>A128</f>
        <v>BSR132</v>
      </c>
      <c r="B129" s="18" t="str">
        <f>+B128</f>
        <v>DX01</v>
      </c>
      <c r="C129" s="18" t="str">
        <f>+C128</f>
        <v>DIO1</v>
      </c>
      <c r="D129" s="84">
        <f>+D128</f>
        <v>132</v>
      </c>
      <c r="E129" s="84">
        <v>2</v>
      </c>
      <c r="F129" s="84">
        <f>+F128</f>
        <v>1</v>
      </c>
      <c r="G129" s="84">
        <v>0</v>
      </c>
      <c r="H129" s="200">
        <f>H126</f>
        <v>4</v>
      </c>
      <c r="I129" s="187">
        <f>+I128+1</f>
        <v>7</v>
      </c>
      <c r="J129" s="205"/>
      <c r="K129" s="79"/>
      <c r="L129" s="17" t="s">
        <v>323</v>
      </c>
      <c r="N129" s="17">
        <v>3</v>
      </c>
      <c r="O129" s="223"/>
      <c r="P129" s="97" t="s">
        <v>540</v>
      </c>
      <c r="Q129" s="97"/>
      <c r="R129" s="97" t="s">
        <v>925</v>
      </c>
      <c r="S129" s="97" t="s">
        <v>211</v>
      </c>
      <c r="T129" s="103"/>
      <c r="U129" s="97" t="s">
        <v>492</v>
      </c>
      <c r="W129" s="17" t="str">
        <f>+CONCATENATE(E129,".",F129,"\",G129,".",H129,":",I129)</f>
        <v>2.1\0.4:7</v>
      </c>
      <c r="X129" s="17" t="s">
        <v>920</v>
      </c>
      <c r="Y129" s="17" t="s">
        <v>289</v>
      </c>
      <c r="Z129" s="221" t="s">
        <v>919</v>
      </c>
      <c r="AA129" s="46"/>
      <c r="AH129" s="64" t="str">
        <f>+AH128</f>
        <v>F4</v>
      </c>
      <c r="AI129" s="39" t="s">
        <v>167</v>
      </c>
      <c r="AJ129" s="39" t="s">
        <v>709</v>
      </c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</row>
    <row r="130" spans="1:53" s="17" customFormat="1" x14ac:dyDescent="0.3">
      <c r="A130" s="63" t="str">
        <f>A129</f>
        <v>BSR132</v>
      </c>
      <c r="B130" s="18" t="str">
        <f>+B129</f>
        <v>DX01</v>
      </c>
      <c r="C130" s="18" t="str">
        <f>+C129</f>
        <v>DIO1</v>
      </c>
      <c r="D130" s="84">
        <f>+D129</f>
        <v>132</v>
      </c>
      <c r="E130" s="84">
        <v>2</v>
      </c>
      <c r="F130" s="84">
        <f>+F129</f>
        <v>1</v>
      </c>
      <c r="G130" s="84">
        <v>0</v>
      </c>
      <c r="H130" s="200">
        <f>H127</f>
        <v>4</v>
      </c>
      <c r="I130" s="187">
        <f>+I129+1</f>
        <v>8</v>
      </c>
      <c r="J130" s="205"/>
      <c r="K130" s="79"/>
      <c r="L130" s="17" t="s">
        <v>323</v>
      </c>
      <c r="N130" s="17">
        <v>3</v>
      </c>
      <c r="O130" s="223"/>
      <c r="P130" s="97" t="s">
        <v>899</v>
      </c>
      <c r="Q130" s="97"/>
      <c r="R130" s="97" t="s">
        <v>924</v>
      </c>
      <c r="S130" s="97" t="s">
        <v>211</v>
      </c>
      <c r="T130" s="103" t="s">
        <v>894</v>
      </c>
      <c r="U130" s="97" t="s">
        <v>492</v>
      </c>
      <c r="W130" s="17" t="str">
        <f>+CONCATENATE(E130,".",F130,"\",G130,".",H130,":",I130)</f>
        <v>2.1\0.4:8</v>
      </c>
      <c r="X130" s="17" t="s">
        <v>920</v>
      </c>
      <c r="Y130" s="17" t="s">
        <v>289</v>
      </c>
      <c r="Z130" s="221" t="s">
        <v>919</v>
      </c>
      <c r="AA130" s="46"/>
      <c r="AH130" s="64" t="str">
        <f>+AH129</f>
        <v>F4</v>
      </c>
      <c r="AI130" s="39" t="s">
        <v>161</v>
      </c>
      <c r="AJ130" s="39" t="s">
        <v>160</v>
      </c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</row>
    <row r="131" spans="1:53" s="17" customFormat="1" ht="14.5" x14ac:dyDescent="0.3">
      <c r="A131" s="63" t="str">
        <f>A130</f>
        <v>BSR132</v>
      </c>
      <c r="B131" s="18" t="str">
        <f>+B130</f>
        <v>DX01</v>
      </c>
      <c r="C131" s="18" t="str">
        <f>+C130</f>
        <v>DIO1</v>
      </c>
      <c r="D131" s="84">
        <f>+D130</f>
        <v>132</v>
      </c>
      <c r="E131" s="84">
        <v>2</v>
      </c>
      <c r="F131" s="84">
        <f>+F130</f>
        <v>1</v>
      </c>
      <c r="G131" s="84">
        <v>0</v>
      </c>
      <c r="H131" s="200">
        <f>H128</f>
        <v>4</v>
      </c>
      <c r="I131" s="187">
        <f>+I130+1</f>
        <v>9</v>
      </c>
      <c r="J131" s="205"/>
      <c r="K131" s="79"/>
      <c r="L131" s="17" t="s">
        <v>323</v>
      </c>
      <c r="N131" s="17">
        <v>3</v>
      </c>
      <c r="O131" s="225"/>
      <c r="P131" s="97" t="s">
        <v>339</v>
      </c>
      <c r="Q131" s="97"/>
      <c r="R131" s="97" t="s">
        <v>923</v>
      </c>
      <c r="S131" s="97" t="s">
        <v>922</v>
      </c>
      <c r="T131" s="103" t="s">
        <v>921</v>
      </c>
      <c r="U131" s="97" t="s">
        <v>492</v>
      </c>
      <c r="W131" s="17" t="str">
        <f>+CONCATENATE(E131,".",F131,"\",G131,".",H131,":",I131)</f>
        <v>2.1\0.4:9</v>
      </c>
      <c r="X131" s="17" t="s">
        <v>920</v>
      </c>
      <c r="Y131" s="17" t="s">
        <v>289</v>
      </c>
      <c r="Z131" s="221" t="s">
        <v>919</v>
      </c>
      <c r="AA131" s="46"/>
      <c r="AH131" s="64" t="str">
        <f>+AH130</f>
        <v>F4</v>
      </c>
      <c r="AI131" s="39" t="s">
        <v>159</v>
      </c>
      <c r="AJ131" s="39" t="s">
        <v>708</v>
      </c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</row>
    <row r="132" spans="1:53" s="17" customFormat="1" x14ac:dyDescent="0.3">
      <c r="A132" s="63" t="str">
        <f>A131</f>
        <v>BSR132</v>
      </c>
      <c r="B132" s="18" t="str">
        <f>+B131</f>
        <v>DX01</v>
      </c>
      <c r="C132" s="18" t="str">
        <f>+C131</f>
        <v>DIO1</v>
      </c>
      <c r="D132" s="84">
        <f>+D131</f>
        <v>132</v>
      </c>
      <c r="E132" s="84">
        <v>2</v>
      </c>
      <c r="F132" s="84">
        <f>+F131</f>
        <v>1</v>
      </c>
      <c r="G132" s="84">
        <v>0</v>
      </c>
      <c r="H132" s="200">
        <f>H129</f>
        <v>4</v>
      </c>
      <c r="I132" s="187">
        <f>+I131+1</f>
        <v>10</v>
      </c>
      <c r="J132" s="205"/>
      <c r="K132" s="79"/>
      <c r="L132" s="17" t="s">
        <v>323</v>
      </c>
      <c r="N132" s="17">
        <v>3</v>
      </c>
      <c r="O132" s="223" t="s">
        <v>488</v>
      </c>
      <c r="P132" s="97" t="s">
        <v>770</v>
      </c>
      <c r="Q132" s="97"/>
      <c r="R132" s="97" t="s">
        <v>918</v>
      </c>
      <c r="S132" s="97" t="s">
        <v>211</v>
      </c>
      <c r="T132" s="103" t="s">
        <v>909</v>
      </c>
      <c r="U132" s="97" t="s">
        <v>488</v>
      </c>
      <c r="W132" s="17" t="str">
        <f>+CONCATENATE(E132,".",F132,"\",G132,".",H132,":",I132)</f>
        <v>2.1\0.4:10</v>
      </c>
      <c r="X132" s="17" t="s">
        <v>912</v>
      </c>
      <c r="Y132" s="17" t="s">
        <v>289</v>
      </c>
      <c r="Z132" s="17" t="s">
        <v>911</v>
      </c>
      <c r="AA132" s="46"/>
      <c r="AB132" s="20"/>
      <c r="AH132" s="64" t="str">
        <f>+AH131</f>
        <v>F4</v>
      </c>
      <c r="AI132" s="39" t="s">
        <v>154</v>
      </c>
      <c r="AJ132" s="39" t="s">
        <v>153</v>
      </c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</row>
    <row r="133" spans="1:53" s="17" customFormat="1" x14ac:dyDescent="0.3">
      <c r="A133" s="63" t="str">
        <f>A132</f>
        <v>BSR132</v>
      </c>
      <c r="B133" s="18" t="str">
        <f>+B132</f>
        <v>DX01</v>
      </c>
      <c r="C133" s="18" t="str">
        <f>+C132</f>
        <v>DIO1</v>
      </c>
      <c r="D133" s="84">
        <f>+D132</f>
        <v>132</v>
      </c>
      <c r="E133" s="84">
        <v>2</v>
      </c>
      <c r="F133" s="84">
        <f>+F132</f>
        <v>1</v>
      </c>
      <c r="G133" s="84">
        <v>0</v>
      </c>
      <c r="H133" s="200">
        <f>H130</f>
        <v>4</v>
      </c>
      <c r="I133" s="187">
        <f>+I132+1</f>
        <v>11</v>
      </c>
      <c r="J133" s="205"/>
      <c r="K133" s="79"/>
      <c r="L133" s="17" t="s">
        <v>323</v>
      </c>
      <c r="N133" s="17">
        <v>3</v>
      </c>
      <c r="O133" s="223"/>
      <c r="P133" s="97" t="s">
        <v>390</v>
      </c>
      <c r="Q133" s="97"/>
      <c r="R133" s="97" t="s">
        <v>917</v>
      </c>
      <c r="S133" s="97" t="s">
        <v>211</v>
      </c>
      <c r="T133" s="103" t="s">
        <v>905</v>
      </c>
      <c r="U133" s="97" t="s">
        <v>488</v>
      </c>
      <c r="W133" s="17" t="str">
        <f>+CONCATENATE(E133,".",F133,"\",G133,".",H133,":",I133)</f>
        <v>2.1\0.4:11</v>
      </c>
      <c r="X133" s="17" t="s">
        <v>912</v>
      </c>
      <c r="Y133" s="17" t="s">
        <v>289</v>
      </c>
      <c r="Z133" s="17" t="s">
        <v>911</v>
      </c>
      <c r="AA133" s="46"/>
      <c r="AB133" s="20"/>
      <c r="AC133" s="19"/>
      <c r="AH133" s="64" t="str">
        <f>+AH132</f>
        <v>F4</v>
      </c>
      <c r="AI133" s="39" t="s">
        <v>152</v>
      </c>
      <c r="AJ133" s="39" t="s">
        <v>707</v>
      </c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</row>
    <row r="134" spans="1:53" s="17" customFormat="1" x14ac:dyDescent="0.3">
      <c r="A134" s="63" t="str">
        <f>A133</f>
        <v>BSR132</v>
      </c>
      <c r="B134" s="18" t="str">
        <f>+B133</f>
        <v>DX01</v>
      </c>
      <c r="C134" s="18" t="str">
        <f>+C133</f>
        <v>DIO1</v>
      </c>
      <c r="D134" s="84">
        <f>+D133</f>
        <v>132</v>
      </c>
      <c r="E134" s="84">
        <v>2</v>
      </c>
      <c r="F134" s="84">
        <f>+F133</f>
        <v>1</v>
      </c>
      <c r="G134" s="84">
        <v>0</v>
      </c>
      <c r="H134" s="200">
        <f>H131</f>
        <v>4</v>
      </c>
      <c r="I134" s="187">
        <f>+I133+1</f>
        <v>12</v>
      </c>
      <c r="J134" s="205"/>
      <c r="K134" s="79"/>
      <c r="L134" s="17" t="s">
        <v>323</v>
      </c>
      <c r="N134" s="17">
        <v>3</v>
      </c>
      <c r="O134" s="223"/>
      <c r="P134" s="97" t="s">
        <v>353</v>
      </c>
      <c r="Q134" s="97"/>
      <c r="R134" s="97" t="s">
        <v>916</v>
      </c>
      <c r="S134" s="97" t="s">
        <v>211</v>
      </c>
      <c r="T134" s="103" t="s">
        <v>903</v>
      </c>
      <c r="U134" s="97" t="s">
        <v>488</v>
      </c>
      <c r="W134" s="17" t="str">
        <f>+CONCATENATE(E134,".",F134,"\",G134,".",H134,":",I134)</f>
        <v>2.1\0.4:12</v>
      </c>
      <c r="X134" s="17" t="s">
        <v>912</v>
      </c>
      <c r="Y134" s="17" t="s">
        <v>289</v>
      </c>
      <c r="Z134" s="17" t="s">
        <v>911</v>
      </c>
      <c r="AA134" s="46"/>
      <c r="AC134" s="19"/>
      <c r="AH134" s="64" t="str">
        <f>+AH133</f>
        <v>F4</v>
      </c>
      <c r="AI134" s="39" t="s">
        <v>150</v>
      </c>
      <c r="AJ134" s="39" t="s">
        <v>149</v>
      </c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</row>
    <row r="135" spans="1:53" s="17" customFormat="1" x14ac:dyDescent="0.3">
      <c r="A135" s="63" t="str">
        <f>A134</f>
        <v>BSR132</v>
      </c>
      <c r="B135" s="18" t="str">
        <f>+B134</f>
        <v>DX01</v>
      </c>
      <c r="C135" s="18" t="str">
        <f>+C134</f>
        <v>DIO1</v>
      </c>
      <c r="D135" s="84">
        <f>+D134</f>
        <v>132</v>
      </c>
      <c r="E135" s="84">
        <v>2</v>
      </c>
      <c r="F135" s="84">
        <f>+F134</f>
        <v>1</v>
      </c>
      <c r="G135" s="84">
        <v>0</v>
      </c>
      <c r="H135" s="200">
        <f>H132</f>
        <v>4</v>
      </c>
      <c r="I135" s="187">
        <f>+I134+1</f>
        <v>13</v>
      </c>
      <c r="J135" s="205"/>
      <c r="K135" s="79"/>
      <c r="L135" s="17" t="s">
        <v>323</v>
      </c>
      <c r="N135" s="17">
        <v>3</v>
      </c>
      <c r="O135" s="223"/>
      <c r="P135" s="97" t="s">
        <v>902</v>
      </c>
      <c r="Q135" s="97"/>
      <c r="R135" s="97" t="s">
        <v>915</v>
      </c>
      <c r="S135" s="97" t="s">
        <v>211</v>
      </c>
      <c r="T135" s="103" t="s">
        <v>900</v>
      </c>
      <c r="U135" s="97" t="s">
        <v>488</v>
      </c>
      <c r="W135" s="17" t="str">
        <f>+CONCATENATE(E135,".",F135,"\",G135,".",H135,":",I135)</f>
        <v>2.1\0.4:13</v>
      </c>
      <c r="X135" s="17" t="s">
        <v>912</v>
      </c>
      <c r="Y135" s="17" t="s">
        <v>289</v>
      </c>
      <c r="Z135" s="17" t="s">
        <v>911</v>
      </c>
      <c r="AA135" s="46"/>
      <c r="AC135" s="19"/>
      <c r="AH135" s="64" t="str">
        <f>+AH134</f>
        <v>F4</v>
      </c>
      <c r="AI135" s="39" t="s">
        <v>148</v>
      </c>
      <c r="AJ135" s="39" t="s">
        <v>703</v>
      </c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</row>
    <row r="136" spans="1:53" s="17" customFormat="1" x14ac:dyDescent="0.3">
      <c r="A136" s="63" t="str">
        <f>A135</f>
        <v>BSR132</v>
      </c>
      <c r="B136" s="18" t="str">
        <f>+B135</f>
        <v>DX01</v>
      </c>
      <c r="C136" s="18" t="str">
        <f>+C135</f>
        <v>DIO1</v>
      </c>
      <c r="D136" s="84">
        <f>+D135</f>
        <v>132</v>
      </c>
      <c r="E136" s="84">
        <v>2</v>
      </c>
      <c r="F136" s="84">
        <f>+F135</f>
        <v>1</v>
      </c>
      <c r="G136" s="84">
        <v>0</v>
      </c>
      <c r="H136" s="200">
        <f>H133</f>
        <v>4</v>
      </c>
      <c r="I136" s="187">
        <f>+I135+1</f>
        <v>14</v>
      </c>
      <c r="J136" s="205"/>
      <c r="K136" s="79"/>
      <c r="L136" s="17" t="s">
        <v>323</v>
      </c>
      <c r="N136" s="17">
        <v>3</v>
      </c>
      <c r="O136" s="223"/>
      <c r="P136" s="97" t="s">
        <v>540</v>
      </c>
      <c r="Q136" s="97"/>
      <c r="R136" s="97" t="s">
        <v>914</v>
      </c>
      <c r="S136" s="97" t="s">
        <v>211</v>
      </c>
      <c r="T136" s="97"/>
      <c r="U136" s="97" t="s">
        <v>488</v>
      </c>
      <c r="W136" s="17" t="str">
        <f>+CONCATENATE(E136,".",F136,"\",G136,".",H136,":",I136)</f>
        <v>2.1\0.4:14</v>
      </c>
      <c r="X136" s="17" t="s">
        <v>912</v>
      </c>
      <c r="Y136" s="17" t="s">
        <v>289</v>
      </c>
      <c r="Z136" s="17" t="s">
        <v>911</v>
      </c>
      <c r="AA136" s="46"/>
      <c r="AC136" s="19"/>
      <c r="AH136" s="64" t="str">
        <f>+AH135</f>
        <v>F4</v>
      </c>
      <c r="AI136" s="39" t="s">
        <v>144</v>
      </c>
      <c r="AJ136" s="39" t="s">
        <v>143</v>
      </c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</row>
    <row r="137" spans="1:53" s="17" customFormat="1" x14ac:dyDescent="0.3">
      <c r="A137" s="63" t="str">
        <f>A136</f>
        <v>BSR132</v>
      </c>
      <c r="B137" s="18" t="str">
        <f>+B136</f>
        <v>DX01</v>
      </c>
      <c r="C137" s="18" t="str">
        <f>+C136</f>
        <v>DIO1</v>
      </c>
      <c r="D137" s="84">
        <f>+D136</f>
        <v>132</v>
      </c>
      <c r="E137" s="84">
        <v>2</v>
      </c>
      <c r="F137" s="84">
        <f>+F136</f>
        <v>1</v>
      </c>
      <c r="G137" s="84">
        <v>0</v>
      </c>
      <c r="H137" s="200">
        <f>H133</f>
        <v>4</v>
      </c>
      <c r="I137" s="187">
        <f>+I136+1</f>
        <v>15</v>
      </c>
      <c r="J137" s="205"/>
      <c r="K137" s="79"/>
      <c r="L137" s="17" t="s">
        <v>323</v>
      </c>
      <c r="N137" s="17">
        <v>3</v>
      </c>
      <c r="O137" s="223"/>
      <c r="P137" s="97" t="s">
        <v>899</v>
      </c>
      <c r="Q137" s="224"/>
      <c r="R137" s="17" t="s">
        <v>913</v>
      </c>
      <c r="S137" s="97" t="s">
        <v>211</v>
      </c>
      <c r="T137" s="103" t="s">
        <v>894</v>
      </c>
      <c r="U137" s="97" t="s">
        <v>488</v>
      </c>
      <c r="W137" s="17" t="str">
        <f>+CONCATENATE(E137,".",F137,"\",G137,".",H137,":",I137)</f>
        <v>2.1\0.4:15</v>
      </c>
      <c r="X137" s="17" t="s">
        <v>912</v>
      </c>
      <c r="Y137" s="17" t="s">
        <v>289</v>
      </c>
      <c r="Z137" s="17" t="s">
        <v>911</v>
      </c>
      <c r="AA137" s="46"/>
      <c r="AC137" s="19"/>
      <c r="AH137" s="64" t="str">
        <f>+AH136</f>
        <v>F4</v>
      </c>
      <c r="AI137" s="39" t="s">
        <v>142</v>
      </c>
      <c r="AJ137" s="39" t="s">
        <v>699</v>
      </c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</row>
    <row r="138" spans="1:53" s="17" customFormat="1" x14ac:dyDescent="0.3">
      <c r="A138" s="63" t="str">
        <f>A137</f>
        <v>BSR132</v>
      </c>
      <c r="B138" s="18" t="str">
        <f>+B137</f>
        <v>DX01</v>
      </c>
      <c r="C138" s="18" t="str">
        <f>+C137</f>
        <v>DIO1</v>
      </c>
      <c r="D138" s="84">
        <f>+D137</f>
        <v>132</v>
      </c>
      <c r="E138" s="84">
        <v>2</v>
      </c>
      <c r="F138" s="84">
        <f>+F137</f>
        <v>1</v>
      </c>
      <c r="G138" s="84">
        <v>0</v>
      </c>
      <c r="H138" s="200">
        <f>H134</f>
        <v>4</v>
      </c>
      <c r="I138" s="187">
        <f>+I137+1</f>
        <v>16</v>
      </c>
      <c r="J138" s="205"/>
      <c r="K138" s="18"/>
      <c r="L138" s="17" t="s">
        <v>323</v>
      </c>
      <c r="N138" s="17">
        <v>3</v>
      </c>
      <c r="O138" s="223" t="s">
        <v>484</v>
      </c>
      <c r="P138" s="17" t="s">
        <v>770</v>
      </c>
      <c r="R138" s="17" t="s">
        <v>910</v>
      </c>
      <c r="S138" s="97" t="s">
        <v>211</v>
      </c>
      <c r="T138" s="103" t="s">
        <v>909</v>
      </c>
      <c r="U138" s="97" t="s">
        <v>484</v>
      </c>
      <c r="W138" s="17" t="str">
        <f>+CONCATENATE(E138,".",F138,"\",G138,".",H138,":",I138)</f>
        <v>2.1\0.4:16</v>
      </c>
      <c r="X138" s="17" t="s">
        <v>893</v>
      </c>
      <c r="Y138" s="17" t="s">
        <v>289</v>
      </c>
      <c r="Z138" s="17" t="s">
        <v>892</v>
      </c>
      <c r="AA138" s="46"/>
      <c r="AC138" s="19"/>
      <c r="AH138" s="64" t="str">
        <f>+AH137</f>
        <v>F4</v>
      </c>
      <c r="AI138" s="39" t="s">
        <v>137</v>
      </c>
      <c r="AJ138" s="39" t="s">
        <v>136</v>
      </c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</row>
    <row r="139" spans="1:53" s="17" customFormat="1" x14ac:dyDescent="0.3">
      <c r="A139" s="63" t="str">
        <f>A138</f>
        <v>BSR132</v>
      </c>
      <c r="B139" s="18" t="str">
        <f>+B138</f>
        <v>DX01</v>
      </c>
      <c r="C139" s="18" t="str">
        <f>+C138</f>
        <v>DIO1</v>
      </c>
      <c r="D139" s="84">
        <f>+D138</f>
        <v>132</v>
      </c>
      <c r="E139" s="84">
        <v>2</v>
      </c>
      <c r="F139" s="84">
        <f>+F138</f>
        <v>1</v>
      </c>
      <c r="G139" s="84">
        <v>0</v>
      </c>
      <c r="H139" s="200">
        <f>H135</f>
        <v>4</v>
      </c>
      <c r="I139" s="187">
        <f>+I138+1</f>
        <v>17</v>
      </c>
      <c r="J139" s="205"/>
      <c r="K139" s="79"/>
      <c r="L139" s="17" t="s">
        <v>323</v>
      </c>
      <c r="N139" s="17">
        <v>3</v>
      </c>
      <c r="O139" s="223"/>
      <c r="P139" s="17" t="s">
        <v>429</v>
      </c>
      <c r="R139" s="17" t="s">
        <v>908</v>
      </c>
      <c r="S139" s="17" t="s">
        <v>773</v>
      </c>
      <c r="T139" s="103" t="s">
        <v>907</v>
      </c>
      <c r="U139" s="97" t="s">
        <v>484</v>
      </c>
      <c r="W139" s="17" t="str">
        <f>+CONCATENATE(E139,".",F139,"\",G139,".",H139,":",I139)</f>
        <v>2.1\0.4:17</v>
      </c>
      <c r="X139" s="17" t="s">
        <v>893</v>
      </c>
      <c r="Y139" s="17" t="s">
        <v>289</v>
      </c>
      <c r="Z139" s="17" t="s">
        <v>892</v>
      </c>
      <c r="AA139" s="46"/>
      <c r="AC139" s="19"/>
      <c r="AH139" s="64" t="str">
        <f>+AH138</f>
        <v>F4</v>
      </c>
      <c r="AI139" s="39" t="s">
        <v>135</v>
      </c>
      <c r="AJ139" s="39" t="s">
        <v>740</v>
      </c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</row>
    <row r="140" spans="1:53" s="17" customFormat="1" x14ac:dyDescent="0.3">
      <c r="A140" s="63" t="str">
        <f>A139</f>
        <v>BSR132</v>
      </c>
      <c r="B140" s="18" t="str">
        <f>+B139</f>
        <v>DX01</v>
      </c>
      <c r="C140" s="18" t="str">
        <f>+C139</f>
        <v>DIO1</v>
      </c>
      <c r="D140" s="84">
        <f>+D139</f>
        <v>132</v>
      </c>
      <c r="E140" s="84">
        <v>2</v>
      </c>
      <c r="F140" s="84">
        <f>+F139</f>
        <v>1</v>
      </c>
      <c r="G140" s="84">
        <v>0</v>
      </c>
      <c r="H140" s="200">
        <f>H136</f>
        <v>4</v>
      </c>
      <c r="I140" s="187">
        <f>+I139+1</f>
        <v>18</v>
      </c>
      <c r="J140" s="205"/>
      <c r="K140" s="79"/>
      <c r="L140" s="17" t="s">
        <v>323</v>
      </c>
      <c r="N140" s="17">
        <v>3</v>
      </c>
      <c r="O140" s="223"/>
      <c r="P140" s="17" t="s">
        <v>390</v>
      </c>
      <c r="R140" s="97" t="s">
        <v>906</v>
      </c>
      <c r="S140" s="97" t="s">
        <v>211</v>
      </c>
      <c r="T140" s="103" t="s">
        <v>905</v>
      </c>
      <c r="U140" s="97" t="s">
        <v>484</v>
      </c>
      <c r="W140" s="17" t="str">
        <f>+CONCATENATE(E140,".",F140,"\",G140,".",H140,":",I140)</f>
        <v>2.1\0.4:18</v>
      </c>
      <c r="X140" s="17" t="s">
        <v>893</v>
      </c>
      <c r="Y140" s="17" t="s">
        <v>289</v>
      </c>
      <c r="Z140" s="17" t="s">
        <v>892</v>
      </c>
      <c r="AA140" s="46"/>
      <c r="AC140" s="19"/>
      <c r="AH140" s="64" t="str">
        <f>+AH139</f>
        <v>F4</v>
      </c>
      <c r="AI140" s="39" t="s">
        <v>134</v>
      </c>
      <c r="AJ140" s="39" t="s">
        <v>133</v>
      </c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</row>
    <row r="141" spans="1:53" s="17" customFormat="1" x14ac:dyDescent="0.3">
      <c r="A141" s="63" t="str">
        <f>A140</f>
        <v>BSR132</v>
      </c>
      <c r="B141" s="18" t="str">
        <f>+B140</f>
        <v>DX01</v>
      </c>
      <c r="C141" s="18" t="str">
        <f>+C140</f>
        <v>DIO1</v>
      </c>
      <c r="D141" s="84">
        <f>+D140</f>
        <v>132</v>
      </c>
      <c r="E141" s="84">
        <v>2</v>
      </c>
      <c r="F141" s="84">
        <f>+F140</f>
        <v>1</v>
      </c>
      <c r="G141" s="84">
        <v>0</v>
      </c>
      <c r="H141" s="200">
        <f>H137</f>
        <v>4</v>
      </c>
      <c r="I141" s="187">
        <f>+I140+1</f>
        <v>19</v>
      </c>
      <c r="J141" s="205"/>
      <c r="K141" s="79"/>
      <c r="L141" s="17" t="s">
        <v>323</v>
      </c>
      <c r="N141" s="17">
        <v>3</v>
      </c>
      <c r="O141" s="223"/>
      <c r="P141" s="17" t="s">
        <v>353</v>
      </c>
      <c r="R141" s="97" t="s">
        <v>904</v>
      </c>
      <c r="S141" s="97" t="s">
        <v>211</v>
      </c>
      <c r="T141" s="103" t="s">
        <v>903</v>
      </c>
      <c r="U141" s="97" t="s">
        <v>484</v>
      </c>
      <c r="W141" s="17" t="str">
        <f>+CONCATENATE(E141,".",F141,"\",G141,".",H141,":",I141)</f>
        <v>2.1\0.4:19</v>
      </c>
      <c r="X141" s="17" t="s">
        <v>893</v>
      </c>
      <c r="Y141" s="17" t="s">
        <v>289</v>
      </c>
      <c r="Z141" s="17" t="s">
        <v>892</v>
      </c>
      <c r="AA141" s="46"/>
      <c r="AC141" s="19"/>
      <c r="AH141" s="64" t="str">
        <f>+AH140</f>
        <v>F4</v>
      </c>
      <c r="AI141" s="39" t="s">
        <v>132</v>
      </c>
      <c r="AJ141" s="39" t="s">
        <v>738</v>
      </c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</row>
    <row r="142" spans="1:53" s="17" customFormat="1" x14ac:dyDescent="0.3">
      <c r="A142" s="63" t="str">
        <f>A141</f>
        <v>BSR132</v>
      </c>
      <c r="B142" s="18" t="str">
        <f>+B141</f>
        <v>DX01</v>
      </c>
      <c r="C142" s="18" t="str">
        <f>+C141</f>
        <v>DIO1</v>
      </c>
      <c r="D142" s="84">
        <f>+D141</f>
        <v>132</v>
      </c>
      <c r="E142" s="84">
        <v>2</v>
      </c>
      <c r="F142" s="84">
        <f>+F141</f>
        <v>1</v>
      </c>
      <c r="G142" s="84">
        <v>0</v>
      </c>
      <c r="H142" s="200">
        <f>H138</f>
        <v>4</v>
      </c>
      <c r="I142" s="187">
        <f>+I141+1</f>
        <v>20</v>
      </c>
      <c r="J142" s="205"/>
      <c r="K142" s="79"/>
      <c r="L142" s="17" t="s">
        <v>323</v>
      </c>
      <c r="N142" s="17">
        <v>3</v>
      </c>
      <c r="O142" s="223"/>
      <c r="P142" s="97" t="s">
        <v>902</v>
      </c>
      <c r="Q142" s="97"/>
      <c r="R142" s="97" t="s">
        <v>901</v>
      </c>
      <c r="S142" s="97" t="s">
        <v>211</v>
      </c>
      <c r="T142" s="103" t="s">
        <v>900</v>
      </c>
      <c r="U142" s="97" t="s">
        <v>484</v>
      </c>
      <c r="W142" s="17" t="str">
        <f>+CONCATENATE(E142,".",F142,"\",G142,".",H142,":",I142)</f>
        <v>2.1\0.4:20</v>
      </c>
      <c r="X142" s="17" t="s">
        <v>893</v>
      </c>
      <c r="Y142" s="17" t="s">
        <v>289</v>
      </c>
      <c r="Z142" s="17" t="s">
        <v>892</v>
      </c>
      <c r="AA142" s="46"/>
      <c r="AC142" s="19"/>
      <c r="AH142" s="64" t="str">
        <f>+AH141</f>
        <v>F4</v>
      </c>
      <c r="AI142" s="39" t="s">
        <v>130</v>
      </c>
      <c r="AJ142" s="39" t="s">
        <v>129</v>
      </c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</row>
    <row r="143" spans="1:53" s="17" customFormat="1" x14ac:dyDescent="0.3">
      <c r="A143" s="63" t="str">
        <f>A142</f>
        <v>BSR132</v>
      </c>
      <c r="B143" s="18" t="str">
        <f>+B142</f>
        <v>DX01</v>
      </c>
      <c r="C143" s="18" t="str">
        <f>+C142</f>
        <v>DIO1</v>
      </c>
      <c r="D143" s="84">
        <f>+D142</f>
        <v>132</v>
      </c>
      <c r="E143" s="84">
        <v>2</v>
      </c>
      <c r="F143" s="84">
        <f>+F142</f>
        <v>1</v>
      </c>
      <c r="G143" s="84">
        <v>0</v>
      </c>
      <c r="H143" s="200">
        <f>H139</f>
        <v>4</v>
      </c>
      <c r="I143" s="187">
        <f>+I142+1</f>
        <v>21</v>
      </c>
      <c r="J143" s="205"/>
      <c r="K143" s="79"/>
      <c r="L143" s="17" t="s">
        <v>323</v>
      </c>
      <c r="N143" s="17">
        <v>3</v>
      </c>
      <c r="O143" s="223"/>
      <c r="P143" s="97" t="s">
        <v>899</v>
      </c>
      <c r="Q143" s="97"/>
      <c r="R143" s="97" t="s">
        <v>898</v>
      </c>
      <c r="S143" s="97" t="s">
        <v>211</v>
      </c>
      <c r="T143" s="103" t="s">
        <v>897</v>
      </c>
      <c r="U143" s="97" t="s">
        <v>484</v>
      </c>
      <c r="W143" s="17" t="str">
        <f>+CONCATENATE(E143,".",F143,"\",G143,".",H143,":",I143)</f>
        <v>2.1\0.4:21</v>
      </c>
      <c r="X143" s="17" t="s">
        <v>893</v>
      </c>
      <c r="Y143" s="17" t="s">
        <v>289</v>
      </c>
      <c r="Z143" s="17" t="s">
        <v>892</v>
      </c>
      <c r="AA143" s="46"/>
      <c r="AC143" s="19"/>
      <c r="AH143" s="64" t="str">
        <f>+AH142</f>
        <v>F4</v>
      </c>
      <c r="AI143" s="39" t="s">
        <v>128</v>
      </c>
      <c r="AJ143" s="39" t="s">
        <v>737</v>
      </c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</row>
    <row r="144" spans="1:53" s="17" customFormat="1" x14ac:dyDescent="0.3">
      <c r="A144" s="63" t="str">
        <f>A143</f>
        <v>BSR132</v>
      </c>
      <c r="B144" s="18" t="str">
        <f>+B143</f>
        <v>DX01</v>
      </c>
      <c r="C144" s="18" t="str">
        <f>+C143</f>
        <v>DIO1</v>
      </c>
      <c r="D144" s="84">
        <f>+D143</f>
        <v>132</v>
      </c>
      <c r="E144" s="84">
        <v>2</v>
      </c>
      <c r="F144" s="84">
        <f>+F143</f>
        <v>1</v>
      </c>
      <c r="G144" s="84">
        <v>0</v>
      </c>
      <c r="H144" s="200">
        <f>H140</f>
        <v>4</v>
      </c>
      <c r="I144" s="187">
        <f>+I143+1</f>
        <v>22</v>
      </c>
      <c r="J144" s="205"/>
      <c r="K144" s="79"/>
      <c r="L144" s="17" t="s">
        <v>323</v>
      </c>
      <c r="N144" s="17">
        <v>3</v>
      </c>
      <c r="O144" s="223"/>
      <c r="P144" s="97" t="s">
        <v>896</v>
      </c>
      <c r="Q144" s="97"/>
      <c r="R144" s="17" t="s">
        <v>895</v>
      </c>
      <c r="S144" s="97" t="s">
        <v>211</v>
      </c>
      <c r="T144" s="103" t="s">
        <v>894</v>
      </c>
      <c r="U144" s="97" t="s">
        <v>484</v>
      </c>
      <c r="W144" s="17" t="str">
        <f>+CONCATENATE(E144,".",F144,"\",G144,".",H144,":",I144)</f>
        <v>2.1\0.4:22</v>
      </c>
      <c r="X144" s="17" t="s">
        <v>893</v>
      </c>
      <c r="Y144" s="17" t="s">
        <v>289</v>
      </c>
      <c r="Z144" s="17" t="s">
        <v>892</v>
      </c>
      <c r="AA144" s="46"/>
      <c r="AC144" s="19"/>
      <c r="AH144" s="64" t="str">
        <f>+AH143</f>
        <v>F4</v>
      </c>
      <c r="AI144" s="39" t="s">
        <v>125</v>
      </c>
      <c r="AJ144" s="39" t="s">
        <v>124</v>
      </c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</row>
    <row r="145" spans="1:53" s="17" customFormat="1" ht="14.5" x14ac:dyDescent="0.3">
      <c r="A145" s="63" t="str">
        <f>A144</f>
        <v>BSR132</v>
      </c>
      <c r="B145" s="18" t="str">
        <f>+B144</f>
        <v>DX01</v>
      </c>
      <c r="C145" s="18" t="str">
        <f>+C144</f>
        <v>DIO1</v>
      </c>
      <c r="D145" s="84">
        <f>+D144</f>
        <v>132</v>
      </c>
      <c r="E145" s="84">
        <v>2</v>
      </c>
      <c r="F145" s="84">
        <f>+F144</f>
        <v>1</v>
      </c>
      <c r="G145" s="84">
        <v>0</v>
      </c>
      <c r="H145" s="200">
        <f>H141</f>
        <v>4</v>
      </c>
      <c r="I145" s="187">
        <f>+I144+1</f>
        <v>23</v>
      </c>
      <c r="J145" s="205"/>
      <c r="K145" s="79"/>
      <c r="L145" s="17" t="s">
        <v>323</v>
      </c>
      <c r="O145" s="222"/>
      <c r="Z145" s="18"/>
      <c r="AA145" s="46"/>
      <c r="AC145" s="19"/>
      <c r="AH145" s="64" t="str">
        <f>+AH144</f>
        <v>F4</v>
      </c>
      <c r="AI145" s="39" t="s">
        <v>123</v>
      </c>
      <c r="AJ145" s="39" t="s">
        <v>735</v>
      </c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</row>
    <row r="146" spans="1:53" s="17" customFormat="1" x14ac:dyDescent="0.3">
      <c r="A146" s="63" t="str">
        <f>A145</f>
        <v>BSR132</v>
      </c>
      <c r="B146" s="18" t="str">
        <f>+B145</f>
        <v>DX01</v>
      </c>
      <c r="C146" s="18" t="str">
        <f>+C145</f>
        <v>DIO1</v>
      </c>
      <c r="D146" s="84">
        <f>+D145</f>
        <v>132</v>
      </c>
      <c r="E146" s="84">
        <v>2</v>
      </c>
      <c r="F146" s="84">
        <f>+F145</f>
        <v>1</v>
      </c>
      <c r="G146" s="84">
        <v>0</v>
      </c>
      <c r="H146" s="200">
        <f>H142</f>
        <v>4</v>
      </c>
      <c r="I146" s="187">
        <f>+I145+1</f>
        <v>24</v>
      </c>
      <c r="J146" s="205"/>
      <c r="K146" s="79"/>
      <c r="L146" s="17" t="s">
        <v>323</v>
      </c>
      <c r="O146" s="165"/>
      <c r="Z146" s="18"/>
      <c r="AA146" s="46"/>
      <c r="AC146" s="19"/>
      <c r="AH146" s="64" t="str">
        <f>+AH145</f>
        <v>F4</v>
      </c>
      <c r="AI146" s="39" t="s">
        <v>120</v>
      </c>
      <c r="AJ146" s="39" t="s">
        <v>119</v>
      </c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</row>
    <row r="147" spans="1:53" s="17" customFormat="1" x14ac:dyDescent="0.3">
      <c r="A147" s="63" t="str">
        <f>A146</f>
        <v>BSR132</v>
      </c>
      <c r="B147" s="18" t="str">
        <f>+B146</f>
        <v>DX01</v>
      </c>
      <c r="C147" s="18" t="str">
        <f>+C146</f>
        <v>DIO1</v>
      </c>
      <c r="D147" s="84">
        <f>+D146</f>
        <v>132</v>
      </c>
      <c r="E147" s="84">
        <v>2</v>
      </c>
      <c r="F147" s="84">
        <f>+F146</f>
        <v>1</v>
      </c>
      <c r="G147" s="84">
        <v>0</v>
      </c>
      <c r="H147" s="200">
        <f>H143</f>
        <v>4</v>
      </c>
      <c r="I147" s="187">
        <f>+I146+1</f>
        <v>25</v>
      </c>
      <c r="J147" s="205"/>
      <c r="K147" s="79"/>
      <c r="L147" s="17" t="s">
        <v>323</v>
      </c>
      <c r="O147" s="165"/>
      <c r="Z147" s="18"/>
      <c r="AA147" s="46"/>
      <c r="AC147" s="19"/>
      <c r="AH147" s="64" t="str">
        <f>+AH146</f>
        <v>F4</v>
      </c>
      <c r="AI147" s="39" t="s">
        <v>118</v>
      </c>
      <c r="AJ147" s="39" t="s">
        <v>730</v>
      </c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</row>
    <row r="148" spans="1:53" s="17" customFormat="1" x14ac:dyDescent="0.3">
      <c r="A148" s="63" t="str">
        <f>A147</f>
        <v>BSR132</v>
      </c>
      <c r="B148" s="18" t="str">
        <f>+B147</f>
        <v>DX01</v>
      </c>
      <c r="C148" s="18" t="str">
        <f>+C147</f>
        <v>DIO1</v>
      </c>
      <c r="D148" s="84">
        <f>+D147</f>
        <v>132</v>
      </c>
      <c r="E148" s="84">
        <v>2</v>
      </c>
      <c r="F148" s="84">
        <f>+F147</f>
        <v>1</v>
      </c>
      <c r="G148" s="84">
        <v>0</v>
      </c>
      <c r="H148" s="200">
        <f>H144</f>
        <v>4</v>
      </c>
      <c r="I148" s="187">
        <f>+I147+1</f>
        <v>26</v>
      </c>
      <c r="J148" s="205"/>
      <c r="K148" s="79"/>
      <c r="L148" s="17" t="s">
        <v>323</v>
      </c>
      <c r="O148" s="165" t="s">
        <v>891</v>
      </c>
      <c r="Z148" s="18"/>
      <c r="AA148" s="46"/>
      <c r="AC148" s="19"/>
      <c r="AH148" s="64" t="str">
        <f>+AH147</f>
        <v>F4</v>
      </c>
      <c r="AI148" s="39" t="s">
        <v>114</v>
      </c>
      <c r="AJ148" s="39" t="s">
        <v>113</v>
      </c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</row>
    <row r="149" spans="1:53" s="17" customFormat="1" x14ac:dyDescent="0.3">
      <c r="A149" s="63" t="str">
        <f>A148</f>
        <v>BSR132</v>
      </c>
      <c r="B149" s="18" t="str">
        <f>+B148</f>
        <v>DX01</v>
      </c>
      <c r="C149" s="18" t="str">
        <f>+C148</f>
        <v>DIO1</v>
      </c>
      <c r="D149" s="84">
        <f>+D148</f>
        <v>132</v>
      </c>
      <c r="E149" s="84">
        <v>2</v>
      </c>
      <c r="F149" s="84">
        <f>+F148</f>
        <v>1</v>
      </c>
      <c r="G149" s="84">
        <v>0</v>
      </c>
      <c r="H149" s="200">
        <f>H145</f>
        <v>4</v>
      </c>
      <c r="I149" s="187">
        <f>+I148+1</f>
        <v>27</v>
      </c>
      <c r="J149" s="205"/>
      <c r="K149" s="79"/>
      <c r="L149" s="17" t="s">
        <v>323</v>
      </c>
      <c r="O149" s="165"/>
      <c r="Z149" s="18"/>
      <c r="AA149" s="46"/>
      <c r="AC149" s="19"/>
      <c r="AH149" s="64" t="str">
        <f>+AH148</f>
        <v>F4</v>
      </c>
      <c r="AI149" s="39" t="s">
        <v>112</v>
      </c>
      <c r="AJ149" s="39" t="s">
        <v>726</v>
      </c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</row>
    <row r="150" spans="1:53" s="17" customFormat="1" x14ac:dyDescent="0.3">
      <c r="A150" s="63" t="str">
        <f>A149</f>
        <v>BSR132</v>
      </c>
      <c r="B150" s="18" t="str">
        <f>+B149</f>
        <v>DX01</v>
      </c>
      <c r="C150" s="18" t="str">
        <f>+C149</f>
        <v>DIO1</v>
      </c>
      <c r="D150" s="84">
        <f>+D149</f>
        <v>132</v>
      </c>
      <c r="E150" s="84">
        <v>2</v>
      </c>
      <c r="F150" s="84">
        <f>+F149</f>
        <v>1</v>
      </c>
      <c r="G150" s="84">
        <v>0</v>
      </c>
      <c r="H150" s="200">
        <f>H146</f>
        <v>4</v>
      </c>
      <c r="I150" s="187">
        <f>+I149+1</f>
        <v>28</v>
      </c>
      <c r="J150" s="205"/>
      <c r="K150" s="79"/>
      <c r="L150" s="17" t="s">
        <v>323</v>
      </c>
      <c r="O150" s="165"/>
      <c r="Z150" s="18"/>
      <c r="AA150" s="46"/>
      <c r="AC150" s="19"/>
      <c r="AH150" s="64" t="str">
        <f>+AH149</f>
        <v>F4</v>
      </c>
      <c r="AI150" s="39" t="s">
        <v>109</v>
      </c>
      <c r="AJ150" s="39" t="s">
        <v>108</v>
      </c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</row>
    <row r="151" spans="1:53" s="17" customFormat="1" x14ac:dyDescent="0.3">
      <c r="A151" s="63" t="str">
        <f>A150</f>
        <v>BSR132</v>
      </c>
      <c r="B151" s="18" t="str">
        <f>+B150</f>
        <v>DX01</v>
      </c>
      <c r="C151" s="18" t="str">
        <f>+C150</f>
        <v>DIO1</v>
      </c>
      <c r="D151" s="84">
        <f>+D150</f>
        <v>132</v>
      </c>
      <c r="E151" s="84">
        <v>2</v>
      </c>
      <c r="F151" s="84">
        <f>+F150</f>
        <v>1</v>
      </c>
      <c r="G151" s="84">
        <v>0</v>
      </c>
      <c r="H151" s="200">
        <f>H147</f>
        <v>4</v>
      </c>
      <c r="I151" s="187">
        <f>+I150+1</f>
        <v>29</v>
      </c>
      <c r="J151" s="205"/>
      <c r="K151" s="79"/>
      <c r="L151" s="17" t="s">
        <v>323</v>
      </c>
      <c r="O151" s="165"/>
      <c r="Z151" s="18"/>
      <c r="AA151" s="46"/>
      <c r="AC151" s="19"/>
      <c r="AH151" s="64" t="str">
        <f>+AH150</f>
        <v>F4</v>
      </c>
      <c r="AI151" s="39" t="s">
        <v>107</v>
      </c>
      <c r="AJ151" s="39" t="s">
        <v>725</v>
      </c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</row>
    <row r="152" spans="1:53" s="17" customFormat="1" x14ac:dyDescent="0.3">
      <c r="A152" s="63" t="str">
        <f>A151</f>
        <v>BSR132</v>
      </c>
      <c r="B152" s="18" t="str">
        <f>+B151</f>
        <v>DX01</v>
      </c>
      <c r="C152" s="18" t="str">
        <f>+C151</f>
        <v>DIO1</v>
      </c>
      <c r="D152" s="84">
        <f>+D151</f>
        <v>132</v>
      </c>
      <c r="E152" s="84">
        <v>2</v>
      </c>
      <c r="F152" s="84">
        <f>+F151</f>
        <v>1</v>
      </c>
      <c r="G152" s="84">
        <v>0</v>
      </c>
      <c r="H152" s="200">
        <f>H148</f>
        <v>4</v>
      </c>
      <c r="I152" s="187">
        <f>+I151+1</f>
        <v>30</v>
      </c>
      <c r="J152" s="205"/>
      <c r="K152" s="79"/>
      <c r="L152" s="17" t="s">
        <v>323</v>
      </c>
      <c r="O152" s="165"/>
      <c r="Z152" s="18"/>
      <c r="AA152" s="46"/>
      <c r="AC152" s="19"/>
      <c r="AH152" s="64" t="str">
        <f>+AH151</f>
        <v>F4</v>
      </c>
      <c r="AI152" s="39" t="s">
        <v>104</v>
      </c>
      <c r="AJ152" s="39" t="s">
        <v>103</v>
      </c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</row>
    <row r="153" spans="1:53" s="17" customFormat="1" ht="13.5" thickBot="1" x14ac:dyDescent="0.35">
      <c r="A153" s="63" t="str">
        <f>A152</f>
        <v>BSR132</v>
      </c>
      <c r="B153" s="18" t="str">
        <f>+B152</f>
        <v>DX01</v>
      </c>
      <c r="C153" s="18" t="str">
        <f>+C152</f>
        <v>DIO1</v>
      </c>
      <c r="D153" s="84">
        <f>+D152</f>
        <v>132</v>
      </c>
      <c r="E153" s="84">
        <v>2</v>
      </c>
      <c r="F153" s="84">
        <f>+F152</f>
        <v>1</v>
      </c>
      <c r="G153" s="84">
        <v>0</v>
      </c>
      <c r="H153" s="200">
        <f>H149</f>
        <v>4</v>
      </c>
      <c r="I153" s="191">
        <f>+I152+1</f>
        <v>31</v>
      </c>
      <c r="J153" s="203"/>
      <c r="K153" s="79"/>
      <c r="L153" s="17" t="s">
        <v>323</v>
      </c>
      <c r="O153" s="165"/>
      <c r="Z153" s="18"/>
      <c r="AA153" s="46"/>
      <c r="AC153" s="19"/>
      <c r="AH153" s="64" t="str">
        <f>+AH152</f>
        <v>F4</v>
      </c>
      <c r="AI153" s="39" t="s">
        <v>102</v>
      </c>
      <c r="AJ153" s="39" t="s">
        <v>724</v>
      </c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</row>
    <row r="154" spans="1:53" s="17" customFormat="1" x14ac:dyDescent="0.3">
      <c r="A154" s="86" t="s">
        <v>273</v>
      </c>
      <c r="B154" s="18" t="str">
        <f>+B137</f>
        <v>DX01</v>
      </c>
      <c r="C154" s="18" t="str">
        <f>+C153</f>
        <v>DIO1</v>
      </c>
      <c r="D154" s="84">
        <f>+D153</f>
        <v>132</v>
      </c>
      <c r="E154" s="84">
        <v>2</v>
      </c>
      <c r="F154" s="84">
        <f>+F153</f>
        <v>1</v>
      </c>
      <c r="G154" s="84">
        <v>0</v>
      </c>
      <c r="H154" s="214">
        <f>+H153+1</f>
        <v>5</v>
      </c>
      <c r="I154" s="188">
        <v>0</v>
      </c>
      <c r="J154" s="205" t="s">
        <v>767</v>
      </c>
      <c r="K154" s="18" t="s">
        <v>766</v>
      </c>
      <c r="L154" s="17" t="s">
        <v>323</v>
      </c>
      <c r="N154" s="17">
        <v>3</v>
      </c>
      <c r="O154" s="18" t="s">
        <v>829</v>
      </c>
      <c r="P154" s="97" t="s">
        <v>770</v>
      </c>
      <c r="Q154" s="97"/>
      <c r="R154" s="97" t="s">
        <v>769</v>
      </c>
      <c r="S154" s="97" t="s">
        <v>211</v>
      </c>
      <c r="T154" s="103" t="s">
        <v>768</v>
      </c>
      <c r="U154" s="97" t="s">
        <v>829</v>
      </c>
      <c r="W154" s="17" t="str">
        <f>+CONCATENATE(E154,".",F154,"\",G154,".",H154,":",I154)</f>
        <v>2.1\0.5:0</v>
      </c>
      <c r="X154" s="17" t="s">
        <v>890</v>
      </c>
      <c r="Y154" s="17" t="s">
        <v>289</v>
      </c>
      <c r="Z154" s="17" t="s">
        <v>889</v>
      </c>
      <c r="AA154" s="46"/>
      <c r="AC154" s="19"/>
      <c r="AH154" s="64" t="s">
        <v>844</v>
      </c>
      <c r="AI154" s="39" t="s">
        <v>190</v>
      </c>
      <c r="AJ154" s="39" t="s">
        <v>189</v>
      </c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</row>
    <row r="155" spans="1:53" s="17" customFormat="1" x14ac:dyDescent="0.3">
      <c r="A155" s="63" t="str">
        <f>A154</f>
        <v>BSR132</v>
      </c>
      <c r="B155" s="18" t="str">
        <f>+B138</f>
        <v>DX01</v>
      </c>
      <c r="C155" s="18" t="str">
        <f>+C154</f>
        <v>DIO1</v>
      </c>
      <c r="D155" s="84">
        <f>+D154</f>
        <v>132</v>
      </c>
      <c r="E155" s="84">
        <v>2</v>
      </c>
      <c r="F155" s="84">
        <f>+F154</f>
        <v>1</v>
      </c>
      <c r="G155" s="84">
        <v>0</v>
      </c>
      <c r="H155" s="200">
        <f>H154</f>
        <v>5</v>
      </c>
      <c r="I155" s="187">
        <f>+I154+1</f>
        <v>1</v>
      </c>
      <c r="J155" s="205"/>
      <c r="L155" s="17" t="s">
        <v>323</v>
      </c>
      <c r="N155" s="17">
        <v>3</v>
      </c>
      <c r="O155" s="18" t="s">
        <v>829</v>
      </c>
      <c r="P155" s="97" t="s">
        <v>646</v>
      </c>
      <c r="Q155" s="97"/>
      <c r="R155" s="97" t="s">
        <v>786</v>
      </c>
      <c r="S155" s="97" t="s">
        <v>247</v>
      </c>
      <c r="T155" s="97" t="s">
        <v>624</v>
      </c>
      <c r="U155" s="97" t="s">
        <v>829</v>
      </c>
      <c r="V155" s="18"/>
      <c r="W155" s="17" t="str">
        <f>+CONCATENATE(E155,".",F155,"\",G155,".",H155,":",I155)</f>
        <v>2.1\0.5:1</v>
      </c>
      <c r="X155" s="17" t="s">
        <v>890</v>
      </c>
      <c r="Y155" s="17" t="s">
        <v>289</v>
      </c>
      <c r="Z155" s="17" t="s">
        <v>889</v>
      </c>
      <c r="AA155" s="46"/>
      <c r="AC155" s="19"/>
      <c r="AH155" s="64" t="str">
        <f>+AH154</f>
        <v>F5</v>
      </c>
      <c r="AI155" s="39" t="s">
        <v>188</v>
      </c>
      <c r="AJ155" s="39" t="s">
        <v>716</v>
      </c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</row>
    <row r="156" spans="1:53" s="17" customFormat="1" x14ac:dyDescent="0.3">
      <c r="A156" s="63" t="str">
        <f>A155</f>
        <v>BSR132</v>
      </c>
      <c r="B156" s="18" t="str">
        <f>+B139</f>
        <v>DX01</v>
      </c>
      <c r="C156" s="18" t="str">
        <f>+C155</f>
        <v>DIO1</v>
      </c>
      <c r="D156" s="84">
        <f>+D155</f>
        <v>132</v>
      </c>
      <c r="E156" s="84">
        <v>2</v>
      </c>
      <c r="F156" s="84">
        <f>+F155</f>
        <v>1</v>
      </c>
      <c r="G156" s="84">
        <v>0</v>
      </c>
      <c r="H156" s="200">
        <f>+H155</f>
        <v>5</v>
      </c>
      <c r="I156" s="187">
        <f>+I155+1</f>
        <v>2</v>
      </c>
      <c r="J156" s="205"/>
      <c r="K156" s="79"/>
      <c r="L156" s="17" t="s">
        <v>323</v>
      </c>
      <c r="N156" s="17">
        <v>3</v>
      </c>
      <c r="O156" s="18" t="s">
        <v>829</v>
      </c>
      <c r="P156" s="97" t="s">
        <v>433</v>
      </c>
      <c r="Q156" s="97"/>
      <c r="R156" s="97" t="s">
        <v>786</v>
      </c>
      <c r="S156" s="97" t="s">
        <v>427</v>
      </c>
      <c r="T156" s="97" t="s">
        <v>624</v>
      </c>
      <c r="U156" s="97" t="s">
        <v>829</v>
      </c>
      <c r="V156" s="18"/>
      <c r="W156" s="17" t="str">
        <f>+CONCATENATE(E156,".",F156,"\",G156,".",H156,":",I156)</f>
        <v>2.1\0.5:2</v>
      </c>
      <c r="X156" s="17" t="s">
        <v>890</v>
      </c>
      <c r="Y156" s="17" t="s">
        <v>289</v>
      </c>
      <c r="Z156" s="17" t="s">
        <v>889</v>
      </c>
      <c r="AA156" s="46"/>
      <c r="AC156" s="19"/>
      <c r="AH156" s="64" t="str">
        <f>+AH155</f>
        <v>F5</v>
      </c>
      <c r="AI156" s="39" t="s">
        <v>183</v>
      </c>
      <c r="AJ156" s="39" t="s">
        <v>182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</row>
    <row r="157" spans="1:53" s="17" customFormat="1" x14ac:dyDescent="0.3">
      <c r="A157" s="63" t="str">
        <f>A156</f>
        <v>BSR132</v>
      </c>
      <c r="B157" s="18" t="str">
        <f>+B140</f>
        <v>DX01</v>
      </c>
      <c r="C157" s="18" t="str">
        <f>+C156</f>
        <v>DIO1</v>
      </c>
      <c r="D157" s="84">
        <f>+D156</f>
        <v>132</v>
      </c>
      <c r="E157" s="84">
        <v>2</v>
      </c>
      <c r="F157" s="84">
        <f>+F156</f>
        <v>1</v>
      </c>
      <c r="G157" s="84">
        <v>0</v>
      </c>
      <c r="H157" s="200">
        <f>+H156</f>
        <v>5</v>
      </c>
      <c r="I157" s="187">
        <f>+I156+1</f>
        <v>3</v>
      </c>
      <c r="J157" s="205"/>
      <c r="K157" s="79"/>
      <c r="L157" s="17" t="s">
        <v>323</v>
      </c>
      <c r="N157" s="17">
        <v>3</v>
      </c>
      <c r="O157" s="18" t="s">
        <v>825</v>
      </c>
      <c r="P157" s="97" t="s">
        <v>770</v>
      </c>
      <c r="Q157" s="97"/>
      <c r="R157" s="97" t="s">
        <v>769</v>
      </c>
      <c r="S157" s="97" t="s">
        <v>211</v>
      </c>
      <c r="T157" s="103" t="s">
        <v>768</v>
      </c>
      <c r="U157" s="97" t="s">
        <v>825</v>
      </c>
      <c r="V157" s="18"/>
      <c r="W157" s="17" t="str">
        <f>+CONCATENATE(E157,".",F157,"\",G157,".",H157,":",I157)</f>
        <v>2.1\0.5:3</v>
      </c>
      <c r="X157" s="17" t="s">
        <v>888</v>
      </c>
      <c r="Y157" s="17" t="s">
        <v>289</v>
      </c>
      <c r="Z157" s="18" t="s">
        <v>887</v>
      </c>
      <c r="AA157" s="46"/>
      <c r="AC157" s="19"/>
      <c r="AH157" s="64" t="str">
        <f>+AH156</f>
        <v>F5</v>
      </c>
      <c r="AI157" s="39" t="s">
        <v>181</v>
      </c>
      <c r="AJ157" s="39" t="s">
        <v>711</v>
      </c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</row>
    <row r="158" spans="1:53" s="17" customFormat="1" x14ac:dyDescent="0.3">
      <c r="A158" s="63" t="str">
        <f>A157</f>
        <v>BSR132</v>
      </c>
      <c r="B158" s="18" t="str">
        <f>+B141</f>
        <v>DX01</v>
      </c>
      <c r="C158" s="18" t="str">
        <f>+C157</f>
        <v>DIO1</v>
      </c>
      <c r="D158" s="84">
        <f>+D157</f>
        <v>132</v>
      </c>
      <c r="E158" s="84">
        <v>2</v>
      </c>
      <c r="F158" s="84">
        <f>+F157</f>
        <v>1</v>
      </c>
      <c r="G158" s="84">
        <v>0</v>
      </c>
      <c r="H158" s="200">
        <f>+H157</f>
        <v>5</v>
      </c>
      <c r="I158" s="187">
        <f>+I157+1</f>
        <v>4</v>
      </c>
      <c r="J158" s="205"/>
      <c r="K158" s="79"/>
      <c r="L158" s="17" t="s">
        <v>323</v>
      </c>
      <c r="N158" s="17">
        <v>3</v>
      </c>
      <c r="O158" s="18" t="s">
        <v>825</v>
      </c>
      <c r="P158" s="97" t="s">
        <v>646</v>
      </c>
      <c r="Q158" s="97"/>
      <c r="R158" s="97" t="s">
        <v>786</v>
      </c>
      <c r="S158" s="97" t="s">
        <v>247</v>
      </c>
      <c r="T158" s="97" t="s">
        <v>624</v>
      </c>
      <c r="U158" s="97" t="s">
        <v>825</v>
      </c>
      <c r="V158" s="18"/>
      <c r="W158" s="17" t="str">
        <f>+CONCATENATE(E158,".",F158,"\",G158,".",H158,":",I158)</f>
        <v>2.1\0.5:4</v>
      </c>
      <c r="X158" s="17" t="s">
        <v>888</v>
      </c>
      <c r="Y158" s="17" t="s">
        <v>289</v>
      </c>
      <c r="Z158" s="18" t="s">
        <v>887</v>
      </c>
      <c r="AA158" s="46"/>
      <c r="AC158" s="19"/>
      <c r="AH158" s="64" t="str">
        <f>+AH157</f>
        <v>F5</v>
      </c>
      <c r="AI158" s="39" t="s">
        <v>176</v>
      </c>
      <c r="AJ158" s="39" t="s">
        <v>175</v>
      </c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</row>
    <row r="159" spans="1:53" s="17" customFormat="1" x14ac:dyDescent="0.3">
      <c r="A159" s="63" t="str">
        <f>A158</f>
        <v>BSR132</v>
      </c>
      <c r="B159" s="18" t="str">
        <f>+B142</f>
        <v>DX01</v>
      </c>
      <c r="C159" s="18" t="str">
        <f>+C158</f>
        <v>DIO1</v>
      </c>
      <c r="D159" s="84">
        <f>+D158</f>
        <v>132</v>
      </c>
      <c r="E159" s="84">
        <v>2</v>
      </c>
      <c r="F159" s="84">
        <f>+F158</f>
        <v>1</v>
      </c>
      <c r="G159" s="84">
        <v>0</v>
      </c>
      <c r="H159" s="200">
        <f>+H158</f>
        <v>5</v>
      </c>
      <c r="I159" s="187">
        <f>+I158+1</f>
        <v>5</v>
      </c>
      <c r="J159" s="205"/>
      <c r="K159" s="79"/>
      <c r="L159" s="17" t="s">
        <v>323</v>
      </c>
      <c r="N159" s="17">
        <v>3</v>
      </c>
      <c r="O159" s="18" t="s">
        <v>825</v>
      </c>
      <c r="P159" s="97" t="s">
        <v>433</v>
      </c>
      <c r="Q159" s="97"/>
      <c r="R159" s="97" t="s">
        <v>786</v>
      </c>
      <c r="S159" s="97" t="s">
        <v>427</v>
      </c>
      <c r="T159" s="97" t="s">
        <v>624</v>
      </c>
      <c r="U159" s="97" t="s">
        <v>825</v>
      </c>
      <c r="V159" s="18"/>
      <c r="W159" s="17" t="str">
        <f>+CONCATENATE(E159,".",F159,"\",G159,".",H159,":",I159)</f>
        <v>2.1\0.5:5</v>
      </c>
      <c r="X159" s="17" t="s">
        <v>888</v>
      </c>
      <c r="Y159" s="17" t="s">
        <v>289</v>
      </c>
      <c r="Z159" s="18" t="s">
        <v>887</v>
      </c>
      <c r="AA159" s="46"/>
      <c r="AC159" s="19"/>
      <c r="AH159" s="64" t="str">
        <f>+AH158</f>
        <v>F5</v>
      </c>
      <c r="AI159" s="39" t="s">
        <v>174</v>
      </c>
      <c r="AJ159" s="39" t="s">
        <v>710</v>
      </c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</row>
    <row r="160" spans="1:53" s="17" customFormat="1" ht="14.5" x14ac:dyDescent="0.35">
      <c r="A160" s="63" t="str">
        <f>A159</f>
        <v>BSR132</v>
      </c>
      <c r="B160" s="18" t="str">
        <f>+B159</f>
        <v>DX01</v>
      </c>
      <c r="C160" s="18" t="str">
        <f>+C159</f>
        <v>DIO1</v>
      </c>
      <c r="D160" s="84">
        <f>+D159</f>
        <v>132</v>
      </c>
      <c r="E160" s="84">
        <v>2</v>
      </c>
      <c r="F160" s="84">
        <f>+F159</f>
        <v>1</v>
      </c>
      <c r="G160" s="84">
        <v>0</v>
      </c>
      <c r="H160" s="200">
        <f>+H159</f>
        <v>5</v>
      </c>
      <c r="I160" s="187">
        <f>+I159+1</f>
        <v>6</v>
      </c>
      <c r="J160" s="205"/>
      <c r="K160" s="79"/>
      <c r="L160" s="17" t="s">
        <v>323</v>
      </c>
      <c r="N160" s="17">
        <v>3</v>
      </c>
      <c r="O160" s="59" t="s">
        <v>886</v>
      </c>
      <c r="P160" s="97" t="s">
        <v>770</v>
      </c>
      <c r="Q160" s="97"/>
      <c r="R160" s="97" t="s">
        <v>769</v>
      </c>
      <c r="S160" s="97" t="s">
        <v>211</v>
      </c>
      <c r="T160" s="103" t="s">
        <v>768</v>
      </c>
      <c r="U160" s="97" t="s">
        <v>833</v>
      </c>
      <c r="V160" s="18"/>
      <c r="W160" s="17" t="str">
        <f>+CONCATENATE(E160,".",F160,"\",G160,".",H160,":",I160)</f>
        <v>2.1\0.5:6</v>
      </c>
      <c r="X160" s="17" t="s">
        <v>885</v>
      </c>
      <c r="Y160" s="17" t="s">
        <v>289</v>
      </c>
      <c r="Z160" s="18" t="s">
        <v>884</v>
      </c>
      <c r="AA160" s="46"/>
      <c r="AC160" s="19"/>
      <c r="AH160" s="64" t="str">
        <f>+AH159</f>
        <v>F5</v>
      </c>
      <c r="AI160" s="39" t="s">
        <v>169</v>
      </c>
      <c r="AJ160" s="39" t="s">
        <v>168</v>
      </c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</row>
    <row r="161" spans="1:53" s="17" customFormat="1" ht="14.5" x14ac:dyDescent="0.35">
      <c r="A161" s="63" t="str">
        <f>A160</f>
        <v>BSR132</v>
      </c>
      <c r="B161" s="18" t="str">
        <f>+B160</f>
        <v>DX01</v>
      </c>
      <c r="C161" s="18" t="str">
        <f>+C160</f>
        <v>DIO1</v>
      </c>
      <c r="D161" s="84">
        <f>+D160</f>
        <v>132</v>
      </c>
      <c r="E161" s="84">
        <v>2</v>
      </c>
      <c r="F161" s="84">
        <f>+F160</f>
        <v>1</v>
      </c>
      <c r="G161" s="84">
        <v>0</v>
      </c>
      <c r="H161" s="200">
        <f>+H160</f>
        <v>5</v>
      </c>
      <c r="I161" s="187">
        <f>+I160+1</f>
        <v>7</v>
      </c>
      <c r="J161" s="205"/>
      <c r="K161" s="79"/>
      <c r="L161" s="17" t="s">
        <v>323</v>
      </c>
      <c r="N161" s="17">
        <v>3</v>
      </c>
      <c r="O161" s="59" t="s">
        <v>886</v>
      </c>
      <c r="P161" s="97" t="s">
        <v>646</v>
      </c>
      <c r="Q161" s="97"/>
      <c r="R161" s="97" t="s">
        <v>786</v>
      </c>
      <c r="S161" s="97" t="s">
        <v>247</v>
      </c>
      <c r="T161" s="97" t="s">
        <v>624</v>
      </c>
      <c r="U161" s="97" t="s">
        <v>833</v>
      </c>
      <c r="V161" s="18"/>
      <c r="W161" s="17" t="str">
        <f>+CONCATENATE(E161,".",F161,"\",G161,".",H161,":",I161)</f>
        <v>2.1\0.5:7</v>
      </c>
      <c r="X161" s="17" t="s">
        <v>885</v>
      </c>
      <c r="Y161" s="17" t="s">
        <v>289</v>
      </c>
      <c r="Z161" s="18" t="s">
        <v>884</v>
      </c>
      <c r="AA161" s="46"/>
      <c r="AC161" s="19"/>
      <c r="AH161" s="64" t="str">
        <f>+AH160</f>
        <v>F5</v>
      </c>
      <c r="AI161" s="39" t="s">
        <v>167</v>
      </c>
      <c r="AJ161" s="39" t="s">
        <v>709</v>
      </c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</row>
    <row r="162" spans="1:53" s="17" customFormat="1" ht="14.5" x14ac:dyDescent="0.35">
      <c r="A162" s="63" t="str">
        <f>A161</f>
        <v>BSR132</v>
      </c>
      <c r="B162" s="18" t="str">
        <f>+B161</f>
        <v>DX01</v>
      </c>
      <c r="C162" s="18" t="str">
        <f>+C161</f>
        <v>DIO1</v>
      </c>
      <c r="D162" s="84">
        <f>+D161</f>
        <v>132</v>
      </c>
      <c r="E162" s="84">
        <v>2</v>
      </c>
      <c r="F162" s="84">
        <f>+F161</f>
        <v>1</v>
      </c>
      <c r="G162" s="84">
        <v>0</v>
      </c>
      <c r="H162" s="200">
        <f>+H161</f>
        <v>5</v>
      </c>
      <c r="I162" s="187">
        <f>+I161+1</f>
        <v>8</v>
      </c>
      <c r="J162" s="205"/>
      <c r="K162" s="79"/>
      <c r="L162" s="17" t="s">
        <v>323</v>
      </c>
      <c r="N162" s="17">
        <v>3</v>
      </c>
      <c r="O162" s="59" t="s">
        <v>886</v>
      </c>
      <c r="P162" s="97" t="s">
        <v>433</v>
      </c>
      <c r="Q162" s="97"/>
      <c r="R162" s="97" t="s">
        <v>786</v>
      </c>
      <c r="S162" s="97" t="s">
        <v>427</v>
      </c>
      <c r="T162" s="97" t="s">
        <v>624</v>
      </c>
      <c r="U162" s="97" t="s">
        <v>833</v>
      </c>
      <c r="V162" s="18"/>
      <c r="W162" s="17" t="str">
        <f>+CONCATENATE(E162,".",F162,"\",G162,".",H162,":",I162)</f>
        <v>2.1\0.5:8</v>
      </c>
      <c r="X162" s="17" t="s">
        <v>885</v>
      </c>
      <c r="Y162" s="17" t="s">
        <v>289</v>
      </c>
      <c r="Z162" s="18" t="s">
        <v>884</v>
      </c>
      <c r="AA162" s="46"/>
      <c r="AC162" s="19"/>
      <c r="AH162" s="64" t="str">
        <f>+AH161</f>
        <v>F5</v>
      </c>
      <c r="AI162" s="39" t="s">
        <v>161</v>
      </c>
      <c r="AJ162" s="39" t="s">
        <v>160</v>
      </c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</row>
    <row r="163" spans="1:53" s="17" customFormat="1" ht="14.5" x14ac:dyDescent="0.35">
      <c r="A163" s="63" t="str">
        <f>A162</f>
        <v>BSR132</v>
      </c>
      <c r="B163" s="18" t="str">
        <f>+B162</f>
        <v>DX01</v>
      </c>
      <c r="C163" s="18" t="str">
        <f>+C162</f>
        <v>DIO1</v>
      </c>
      <c r="D163" s="84">
        <f>+D162</f>
        <v>132</v>
      </c>
      <c r="E163" s="84">
        <v>2</v>
      </c>
      <c r="F163" s="84">
        <f>+F162</f>
        <v>1</v>
      </c>
      <c r="G163" s="84">
        <v>0</v>
      </c>
      <c r="H163" s="200">
        <f>+H162</f>
        <v>5</v>
      </c>
      <c r="I163" s="187">
        <f>+I162+1</f>
        <v>9</v>
      </c>
      <c r="J163" s="205"/>
      <c r="K163" s="79"/>
      <c r="L163" s="17" t="s">
        <v>323</v>
      </c>
      <c r="N163" s="17">
        <v>3</v>
      </c>
      <c r="O163" s="59" t="s">
        <v>883</v>
      </c>
      <c r="P163" s="97" t="s">
        <v>770</v>
      </c>
      <c r="Q163" s="97"/>
      <c r="R163" s="97" t="s">
        <v>769</v>
      </c>
      <c r="S163" s="97" t="s">
        <v>211</v>
      </c>
      <c r="T163" s="103" t="s">
        <v>768</v>
      </c>
      <c r="U163" s="103" t="s">
        <v>883</v>
      </c>
      <c r="V163" s="18"/>
      <c r="W163" s="17" t="str">
        <f>+CONCATENATE(E163,".",F163,"\",G163,".",H163,":",I163)</f>
        <v>2.1\0.5:9</v>
      </c>
      <c r="X163" s="17" t="s">
        <v>882</v>
      </c>
      <c r="Y163" s="17" t="s">
        <v>289</v>
      </c>
      <c r="Z163" s="18" t="s">
        <v>881</v>
      </c>
      <c r="AA163" s="46"/>
      <c r="AC163" s="19"/>
      <c r="AH163" s="64" t="str">
        <f>+AH162</f>
        <v>F5</v>
      </c>
      <c r="AI163" s="39" t="s">
        <v>159</v>
      </c>
      <c r="AJ163" s="39" t="s">
        <v>708</v>
      </c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</row>
    <row r="164" spans="1:53" s="17" customFormat="1" ht="14.5" x14ac:dyDescent="0.35">
      <c r="A164" s="63" t="str">
        <f>A163</f>
        <v>BSR132</v>
      </c>
      <c r="B164" s="18" t="str">
        <f>+B163</f>
        <v>DX01</v>
      </c>
      <c r="C164" s="18" t="str">
        <f>+C163</f>
        <v>DIO1</v>
      </c>
      <c r="D164" s="84">
        <f>+D163</f>
        <v>132</v>
      </c>
      <c r="E164" s="84">
        <v>2</v>
      </c>
      <c r="F164" s="84">
        <f>+F163</f>
        <v>1</v>
      </c>
      <c r="G164" s="84">
        <v>0</v>
      </c>
      <c r="H164" s="200">
        <f>+H163</f>
        <v>5</v>
      </c>
      <c r="I164" s="187">
        <f>+I163+1</f>
        <v>10</v>
      </c>
      <c r="J164" s="205"/>
      <c r="K164" s="79"/>
      <c r="L164" s="17" t="s">
        <v>323</v>
      </c>
      <c r="N164" s="17">
        <v>3</v>
      </c>
      <c r="O164" s="59" t="s">
        <v>883</v>
      </c>
      <c r="P164" s="17" t="s">
        <v>646</v>
      </c>
      <c r="R164" s="17" t="s">
        <v>786</v>
      </c>
      <c r="S164" s="17" t="s">
        <v>247</v>
      </c>
      <c r="T164" s="97" t="s">
        <v>624</v>
      </c>
      <c r="U164" s="17" t="s">
        <v>883</v>
      </c>
      <c r="V164" s="18"/>
      <c r="W164" s="17" t="str">
        <f>+CONCATENATE(E164,".",F164,"\",G164,".",H164,":",I164)</f>
        <v>2.1\0.5:10</v>
      </c>
      <c r="X164" s="17" t="s">
        <v>882</v>
      </c>
      <c r="Y164" s="17" t="s">
        <v>289</v>
      </c>
      <c r="Z164" s="18" t="s">
        <v>881</v>
      </c>
      <c r="AA164" s="46"/>
      <c r="AC164" s="19"/>
      <c r="AH164" s="64" t="str">
        <f>+AH163</f>
        <v>F5</v>
      </c>
      <c r="AI164" s="39" t="s">
        <v>154</v>
      </c>
      <c r="AJ164" s="39" t="s">
        <v>153</v>
      </c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</row>
    <row r="165" spans="1:53" s="17" customFormat="1" ht="14.5" x14ac:dyDescent="0.35">
      <c r="A165" s="63" t="str">
        <f>A164</f>
        <v>BSR132</v>
      </c>
      <c r="B165" s="18" t="str">
        <f>+B164</f>
        <v>DX01</v>
      </c>
      <c r="C165" s="18" t="str">
        <f>+C164</f>
        <v>DIO1</v>
      </c>
      <c r="D165" s="84">
        <f>+D164</f>
        <v>132</v>
      </c>
      <c r="E165" s="84">
        <v>2</v>
      </c>
      <c r="F165" s="84">
        <f>+F164</f>
        <v>1</v>
      </c>
      <c r="G165" s="84">
        <v>0</v>
      </c>
      <c r="H165" s="200">
        <f>+H164</f>
        <v>5</v>
      </c>
      <c r="I165" s="187">
        <f>+I164+1</f>
        <v>11</v>
      </c>
      <c r="J165" s="205"/>
      <c r="K165" s="79"/>
      <c r="L165" s="17" t="s">
        <v>323</v>
      </c>
      <c r="N165" s="17">
        <v>3</v>
      </c>
      <c r="O165" s="59" t="s">
        <v>883</v>
      </c>
      <c r="P165" s="97" t="s">
        <v>433</v>
      </c>
      <c r="Q165" s="97"/>
      <c r="R165" s="97" t="s">
        <v>786</v>
      </c>
      <c r="S165" s="97" t="s">
        <v>427</v>
      </c>
      <c r="T165" s="97" t="s">
        <v>624</v>
      </c>
      <c r="U165" s="17" t="s">
        <v>883</v>
      </c>
      <c r="V165" s="18"/>
      <c r="W165" s="17" t="str">
        <f>+CONCATENATE(E165,".",F165,"\",G165,".",H165,":",I165)</f>
        <v>2.1\0.5:11</v>
      </c>
      <c r="X165" s="17" t="s">
        <v>882</v>
      </c>
      <c r="Y165" s="17" t="s">
        <v>289</v>
      </c>
      <c r="Z165" s="18" t="s">
        <v>881</v>
      </c>
      <c r="AA165" s="46"/>
      <c r="AC165" s="19"/>
      <c r="AH165" s="64" t="str">
        <f>+AH164</f>
        <v>F5</v>
      </c>
      <c r="AI165" s="39" t="s">
        <v>152</v>
      </c>
      <c r="AJ165" s="39" t="s">
        <v>707</v>
      </c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</row>
    <row r="166" spans="1:53" s="17" customFormat="1" ht="14.5" x14ac:dyDescent="0.35">
      <c r="A166" s="63" t="str">
        <f>A165</f>
        <v>BSR132</v>
      </c>
      <c r="B166" s="18" t="str">
        <f>+B165</f>
        <v>DX01</v>
      </c>
      <c r="C166" s="18" t="str">
        <f>+C165</f>
        <v>DIO1</v>
      </c>
      <c r="D166" s="84">
        <f>+D165</f>
        <v>132</v>
      </c>
      <c r="E166" s="84">
        <v>2</v>
      </c>
      <c r="F166" s="84">
        <f>+F165</f>
        <v>1</v>
      </c>
      <c r="G166" s="84">
        <v>0</v>
      </c>
      <c r="H166" s="200">
        <f>+H165</f>
        <v>5</v>
      </c>
      <c r="I166" s="187">
        <f>+I165+1</f>
        <v>12</v>
      </c>
      <c r="J166" s="205"/>
      <c r="K166" s="79"/>
      <c r="L166" s="17" t="s">
        <v>323</v>
      </c>
      <c r="N166" s="17">
        <v>3</v>
      </c>
      <c r="O166" s="59" t="s">
        <v>880</v>
      </c>
      <c r="P166" s="97" t="s">
        <v>770</v>
      </c>
      <c r="Q166" s="97"/>
      <c r="R166" s="97" t="s">
        <v>769</v>
      </c>
      <c r="S166" s="97" t="s">
        <v>211</v>
      </c>
      <c r="T166" s="103" t="s">
        <v>768</v>
      </c>
      <c r="U166" s="17" t="s">
        <v>880</v>
      </c>
      <c r="V166" s="18"/>
      <c r="W166" s="17" t="str">
        <f>+CONCATENATE(E166,".",F166,"\",G166,".",H166,":",I166)</f>
        <v>2.1\0.5:12</v>
      </c>
      <c r="X166" s="17" t="s">
        <v>879</v>
      </c>
      <c r="Y166" s="17" t="s">
        <v>289</v>
      </c>
      <c r="Z166" s="18" t="s">
        <v>878</v>
      </c>
      <c r="AA166" s="46"/>
      <c r="AC166" s="19"/>
      <c r="AH166" s="64" t="str">
        <f>+AH165</f>
        <v>F5</v>
      </c>
      <c r="AI166" s="39" t="s">
        <v>150</v>
      </c>
      <c r="AJ166" s="39" t="s">
        <v>149</v>
      </c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</row>
    <row r="167" spans="1:53" s="17" customFormat="1" ht="14.5" x14ac:dyDescent="0.35">
      <c r="A167" s="63" t="str">
        <f>A166</f>
        <v>BSR132</v>
      </c>
      <c r="B167" s="18" t="str">
        <f>+B166</f>
        <v>DX01</v>
      </c>
      <c r="C167" s="18" t="str">
        <f>+C166</f>
        <v>DIO1</v>
      </c>
      <c r="D167" s="84">
        <f>+D166</f>
        <v>132</v>
      </c>
      <c r="E167" s="84">
        <v>2</v>
      </c>
      <c r="F167" s="84">
        <f>+F166</f>
        <v>1</v>
      </c>
      <c r="G167" s="84">
        <v>0</v>
      </c>
      <c r="H167" s="200">
        <f>+H166</f>
        <v>5</v>
      </c>
      <c r="I167" s="187">
        <f>+I166+1</f>
        <v>13</v>
      </c>
      <c r="J167" s="205"/>
      <c r="K167" s="79"/>
      <c r="L167" s="17" t="s">
        <v>323</v>
      </c>
      <c r="N167" s="17">
        <v>3</v>
      </c>
      <c r="O167" s="59" t="s">
        <v>880</v>
      </c>
      <c r="P167" s="97" t="s">
        <v>646</v>
      </c>
      <c r="Q167" s="97"/>
      <c r="R167" s="97" t="s">
        <v>786</v>
      </c>
      <c r="S167" s="97" t="s">
        <v>247</v>
      </c>
      <c r="T167" s="97" t="s">
        <v>624</v>
      </c>
      <c r="U167" s="17" t="s">
        <v>880</v>
      </c>
      <c r="V167" s="18"/>
      <c r="W167" s="17" t="str">
        <f>+CONCATENATE(E167,".",F167,"\",G167,".",H167,":",I167)</f>
        <v>2.1\0.5:13</v>
      </c>
      <c r="X167" s="17" t="s">
        <v>879</v>
      </c>
      <c r="Y167" s="17" t="s">
        <v>289</v>
      </c>
      <c r="Z167" s="18" t="s">
        <v>878</v>
      </c>
      <c r="AA167" s="46"/>
      <c r="AC167" s="19"/>
      <c r="AH167" s="64" t="str">
        <f>+AH166</f>
        <v>F5</v>
      </c>
      <c r="AI167" s="39" t="s">
        <v>148</v>
      </c>
      <c r="AJ167" s="39" t="s">
        <v>703</v>
      </c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</row>
    <row r="168" spans="1:53" s="17" customFormat="1" ht="14.5" x14ac:dyDescent="0.35">
      <c r="A168" s="63" t="str">
        <f>A167</f>
        <v>BSR132</v>
      </c>
      <c r="B168" s="18" t="str">
        <f>+B167</f>
        <v>DX01</v>
      </c>
      <c r="C168" s="18" t="str">
        <f>+C167</f>
        <v>DIO1</v>
      </c>
      <c r="D168" s="84">
        <f>+D167</f>
        <v>132</v>
      </c>
      <c r="E168" s="84">
        <v>2</v>
      </c>
      <c r="F168" s="84">
        <f>+F167</f>
        <v>1</v>
      </c>
      <c r="G168" s="84">
        <v>0</v>
      </c>
      <c r="H168" s="200">
        <f>+H167</f>
        <v>5</v>
      </c>
      <c r="I168" s="187">
        <f>+I167+1</f>
        <v>14</v>
      </c>
      <c r="J168" s="205"/>
      <c r="K168" s="79"/>
      <c r="L168" s="17" t="s">
        <v>323</v>
      </c>
      <c r="N168" s="17">
        <v>3</v>
      </c>
      <c r="O168" s="59" t="s">
        <v>880</v>
      </c>
      <c r="P168" s="97" t="s">
        <v>433</v>
      </c>
      <c r="Q168" s="97"/>
      <c r="R168" s="97" t="s">
        <v>786</v>
      </c>
      <c r="S168" s="97" t="s">
        <v>427</v>
      </c>
      <c r="T168" s="97" t="s">
        <v>624</v>
      </c>
      <c r="U168" s="17" t="s">
        <v>880</v>
      </c>
      <c r="V168" s="18"/>
      <c r="W168" s="17" t="str">
        <f>+CONCATENATE(E168,".",F168,"\",G168,".",H168,":",I168)</f>
        <v>2.1\0.5:14</v>
      </c>
      <c r="X168" s="17" t="s">
        <v>879</v>
      </c>
      <c r="Y168" s="17" t="s">
        <v>289</v>
      </c>
      <c r="Z168" s="18" t="s">
        <v>878</v>
      </c>
      <c r="AA168" s="46"/>
      <c r="AC168" s="19"/>
      <c r="AH168" s="64" t="str">
        <f>+AH167</f>
        <v>F5</v>
      </c>
      <c r="AI168" s="39" t="s">
        <v>144</v>
      </c>
      <c r="AJ168" s="39" t="s">
        <v>143</v>
      </c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</row>
    <row r="169" spans="1:53" s="17" customFormat="1" ht="14.5" x14ac:dyDescent="0.35">
      <c r="A169" s="63" t="str">
        <f>A168</f>
        <v>BSR132</v>
      </c>
      <c r="B169" s="18" t="str">
        <f>+B168</f>
        <v>DX01</v>
      </c>
      <c r="C169" s="18" t="str">
        <f>+C168</f>
        <v>DIO1</v>
      </c>
      <c r="D169" s="84">
        <f>+D168</f>
        <v>132</v>
      </c>
      <c r="E169" s="84">
        <v>2</v>
      </c>
      <c r="F169" s="84">
        <f>+F168</f>
        <v>1</v>
      </c>
      <c r="G169" s="84">
        <v>0</v>
      </c>
      <c r="H169" s="200">
        <f>+H168</f>
        <v>5</v>
      </c>
      <c r="I169" s="187">
        <f>+I168+1</f>
        <v>15</v>
      </c>
      <c r="J169" s="205"/>
      <c r="K169" s="79"/>
      <c r="L169" s="17" t="s">
        <v>323</v>
      </c>
      <c r="N169" s="17">
        <v>3</v>
      </c>
      <c r="O169" s="59" t="s">
        <v>877</v>
      </c>
      <c r="P169" s="17" t="s">
        <v>770</v>
      </c>
      <c r="R169" s="17" t="s">
        <v>769</v>
      </c>
      <c r="S169" s="17" t="s">
        <v>211</v>
      </c>
      <c r="T169" s="103" t="s">
        <v>768</v>
      </c>
      <c r="U169" s="17" t="s">
        <v>877</v>
      </c>
      <c r="V169" s="18"/>
      <c r="W169" s="17" t="str">
        <f>+CONCATENATE(E169,".",F169,"\",G169,".",H169,":",I169)</f>
        <v>2.1\0.5:15</v>
      </c>
      <c r="X169" s="17" t="s">
        <v>876</v>
      </c>
      <c r="Y169" s="17" t="s">
        <v>289</v>
      </c>
      <c r="Z169" s="18" t="s">
        <v>875</v>
      </c>
      <c r="AA169" s="46"/>
      <c r="AC169" s="19"/>
      <c r="AH169" s="64" t="str">
        <f>+AH168</f>
        <v>F5</v>
      </c>
      <c r="AI169" s="39" t="s">
        <v>142</v>
      </c>
      <c r="AJ169" s="39" t="s">
        <v>699</v>
      </c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</row>
    <row r="170" spans="1:53" s="17" customFormat="1" ht="14.5" x14ac:dyDescent="0.35">
      <c r="A170" s="63" t="str">
        <f>A169</f>
        <v>BSR132</v>
      </c>
      <c r="B170" s="18" t="str">
        <f>+B169</f>
        <v>DX01</v>
      </c>
      <c r="C170" s="18" t="str">
        <f>+C169</f>
        <v>DIO1</v>
      </c>
      <c r="D170" s="84">
        <f>+D169</f>
        <v>132</v>
      </c>
      <c r="E170" s="84">
        <v>2</v>
      </c>
      <c r="F170" s="84">
        <f>+F169</f>
        <v>1</v>
      </c>
      <c r="G170" s="84">
        <v>0</v>
      </c>
      <c r="H170" s="200">
        <f>+H169</f>
        <v>5</v>
      </c>
      <c r="I170" s="187">
        <f>+I169+1</f>
        <v>16</v>
      </c>
      <c r="J170" s="205"/>
      <c r="K170" s="18"/>
      <c r="L170" s="17" t="s">
        <v>323</v>
      </c>
      <c r="N170" s="17">
        <v>3</v>
      </c>
      <c r="O170" s="59" t="s">
        <v>877</v>
      </c>
      <c r="P170" s="17" t="s">
        <v>646</v>
      </c>
      <c r="R170" s="17" t="s">
        <v>786</v>
      </c>
      <c r="S170" s="17" t="s">
        <v>247</v>
      </c>
      <c r="T170" s="97" t="s">
        <v>624</v>
      </c>
      <c r="U170" s="17" t="s">
        <v>877</v>
      </c>
      <c r="V170" s="18"/>
      <c r="W170" s="17" t="str">
        <f>+CONCATENATE(E170,".",F170,"\",G170,".",H170,":",I170)</f>
        <v>2.1\0.5:16</v>
      </c>
      <c r="X170" s="17" t="s">
        <v>876</v>
      </c>
      <c r="Y170" s="17" t="s">
        <v>289</v>
      </c>
      <c r="Z170" s="18" t="s">
        <v>875</v>
      </c>
      <c r="AA170" s="46"/>
      <c r="AC170" s="19"/>
      <c r="AH170" s="64" t="str">
        <f>+AH169</f>
        <v>F5</v>
      </c>
      <c r="AI170" s="39" t="s">
        <v>137</v>
      </c>
      <c r="AJ170" s="39" t="s">
        <v>136</v>
      </c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</row>
    <row r="171" spans="1:53" s="17" customFormat="1" ht="14.5" x14ac:dyDescent="0.35">
      <c r="A171" s="63" t="str">
        <f>A170</f>
        <v>BSR132</v>
      </c>
      <c r="B171" s="18" t="str">
        <f>+B170</f>
        <v>DX01</v>
      </c>
      <c r="C171" s="18" t="str">
        <f>+C170</f>
        <v>DIO1</v>
      </c>
      <c r="D171" s="84">
        <f>+D170</f>
        <v>132</v>
      </c>
      <c r="E171" s="84">
        <v>2</v>
      </c>
      <c r="F171" s="84">
        <f>+F170</f>
        <v>1</v>
      </c>
      <c r="G171" s="84">
        <v>0</v>
      </c>
      <c r="H171" s="200">
        <f>+H170</f>
        <v>5</v>
      </c>
      <c r="I171" s="187">
        <f>+I170+1</f>
        <v>17</v>
      </c>
      <c r="J171" s="205"/>
      <c r="K171" s="79"/>
      <c r="L171" s="17" t="s">
        <v>323</v>
      </c>
      <c r="N171" s="17">
        <v>3</v>
      </c>
      <c r="O171" s="59" t="s">
        <v>877</v>
      </c>
      <c r="P171" s="17" t="s">
        <v>433</v>
      </c>
      <c r="R171" s="17" t="s">
        <v>786</v>
      </c>
      <c r="S171" s="17" t="s">
        <v>427</v>
      </c>
      <c r="T171" s="97" t="s">
        <v>624</v>
      </c>
      <c r="U171" s="17" t="s">
        <v>877</v>
      </c>
      <c r="V171" s="18"/>
      <c r="W171" s="17" t="str">
        <f>+CONCATENATE(E171,".",F171,"\",G171,".",H171,":",I171)</f>
        <v>2.1\0.5:17</v>
      </c>
      <c r="X171" s="17" t="s">
        <v>876</v>
      </c>
      <c r="Y171" s="17" t="s">
        <v>289</v>
      </c>
      <c r="Z171" s="18" t="s">
        <v>875</v>
      </c>
      <c r="AA171" s="46"/>
      <c r="AC171" s="19"/>
      <c r="AH171" s="64" t="str">
        <f>+AH170</f>
        <v>F5</v>
      </c>
      <c r="AI171" s="39" t="s">
        <v>135</v>
      </c>
      <c r="AJ171" s="39" t="s">
        <v>740</v>
      </c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</row>
    <row r="172" spans="1:53" s="17" customFormat="1" ht="14.5" x14ac:dyDescent="0.35">
      <c r="A172" s="63" t="str">
        <f>A171</f>
        <v>BSR132</v>
      </c>
      <c r="B172" s="18" t="str">
        <f>+B171</f>
        <v>DX01</v>
      </c>
      <c r="C172" s="18" t="str">
        <f>+C171</f>
        <v>DIO1</v>
      </c>
      <c r="D172" s="84">
        <f>+D171</f>
        <v>132</v>
      </c>
      <c r="E172" s="84">
        <v>2</v>
      </c>
      <c r="F172" s="84">
        <f>+F171</f>
        <v>1</v>
      </c>
      <c r="G172" s="84">
        <v>0</v>
      </c>
      <c r="H172" s="200">
        <f>+H171</f>
        <v>5</v>
      </c>
      <c r="I172" s="187">
        <f>+I171+1</f>
        <v>18</v>
      </c>
      <c r="J172" s="205"/>
      <c r="K172" s="79"/>
      <c r="L172" s="17" t="s">
        <v>323</v>
      </c>
      <c r="N172" s="83">
        <v>7</v>
      </c>
      <c r="O172" s="59"/>
      <c r="P172" s="17" t="s">
        <v>770</v>
      </c>
      <c r="R172" s="17" t="s">
        <v>769</v>
      </c>
      <c r="S172" s="17" t="s">
        <v>211</v>
      </c>
      <c r="T172" s="103" t="s">
        <v>768</v>
      </c>
      <c r="U172" s="83" t="s">
        <v>874</v>
      </c>
      <c r="V172" s="18"/>
      <c r="W172" s="17" t="str">
        <f>+CONCATENATE(E172,".",F172,"\",G172,".",H172,":",I172)</f>
        <v>2.1\0.5:18</v>
      </c>
      <c r="X172" s="17" t="s">
        <v>873</v>
      </c>
      <c r="Y172" s="17" t="s">
        <v>289</v>
      </c>
      <c r="Z172" s="18" t="s">
        <v>872</v>
      </c>
      <c r="AA172" s="46"/>
      <c r="AC172" s="19"/>
      <c r="AH172" s="64" t="str">
        <f>+AH171</f>
        <v>F5</v>
      </c>
      <c r="AI172" s="39" t="s">
        <v>134</v>
      </c>
      <c r="AJ172" s="39" t="s">
        <v>133</v>
      </c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</row>
    <row r="173" spans="1:53" s="17" customFormat="1" ht="14.5" x14ac:dyDescent="0.35">
      <c r="A173" s="63" t="str">
        <f>A172</f>
        <v>BSR132</v>
      </c>
      <c r="B173" s="18" t="str">
        <f>+B172</f>
        <v>DX01</v>
      </c>
      <c r="C173" s="18" t="str">
        <f>+C172</f>
        <v>DIO1</v>
      </c>
      <c r="D173" s="84">
        <f>+D172</f>
        <v>132</v>
      </c>
      <c r="E173" s="84">
        <v>2</v>
      </c>
      <c r="F173" s="84">
        <f>+F172</f>
        <v>1</v>
      </c>
      <c r="G173" s="84">
        <v>0</v>
      </c>
      <c r="H173" s="200">
        <f>+H172</f>
        <v>5</v>
      </c>
      <c r="I173" s="187">
        <f>+I172+1</f>
        <v>19</v>
      </c>
      <c r="J173" s="205"/>
      <c r="K173" s="79"/>
      <c r="L173" s="17" t="s">
        <v>323</v>
      </c>
      <c r="N173" s="83">
        <v>7</v>
      </c>
      <c r="O173" s="59"/>
      <c r="P173" s="17" t="s">
        <v>646</v>
      </c>
      <c r="R173" s="17" t="s">
        <v>786</v>
      </c>
      <c r="S173" s="17" t="s">
        <v>247</v>
      </c>
      <c r="T173" s="97" t="s">
        <v>624</v>
      </c>
      <c r="U173" s="83" t="s">
        <v>874</v>
      </c>
      <c r="V173" s="212"/>
      <c r="W173" s="17" t="str">
        <f>+CONCATENATE(E173,".",F173,"\",G173,".",H173,":",I173)</f>
        <v>2.1\0.5:19</v>
      </c>
      <c r="X173" s="17" t="s">
        <v>873</v>
      </c>
      <c r="Y173" s="17" t="s">
        <v>289</v>
      </c>
      <c r="Z173" s="18" t="s">
        <v>872</v>
      </c>
      <c r="AA173" s="46"/>
      <c r="AC173" s="19"/>
      <c r="AH173" s="64" t="str">
        <f>+AH172</f>
        <v>F5</v>
      </c>
      <c r="AI173" s="39" t="s">
        <v>132</v>
      </c>
      <c r="AJ173" s="39" t="s">
        <v>738</v>
      </c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</row>
    <row r="174" spans="1:53" s="17" customFormat="1" ht="14.5" x14ac:dyDescent="0.35">
      <c r="A174" s="63" t="str">
        <f>A173</f>
        <v>BSR132</v>
      </c>
      <c r="B174" s="18" t="str">
        <f>+B173</f>
        <v>DX01</v>
      </c>
      <c r="C174" s="18" t="str">
        <f>+C173</f>
        <v>DIO1</v>
      </c>
      <c r="D174" s="84">
        <f>+D173</f>
        <v>132</v>
      </c>
      <c r="E174" s="84">
        <v>2</v>
      </c>
      <c r="F174" s="84">
        <f>+F173</f>
        <v>1</v>
      </c>
      <c r="G174" s="84">
        <v>0</v>
      </c>
      <c r="H174" s="200">
        <f>+H173</f>
        <v>5</v>
      </c>
      <c r="I174" s="187">
        <f>+I173+1</f>
        <v>20</v>
      </c>
      <c r="J174" s="205"/>
      <c r="K174" s="79"/>
      <c r="L174" s="17" t="s">
        <v>323</v>
      </c>
      <c r="N174" s="83">
        <v>7</v>
      </c>
      <c r="O174" s="59"/>
      <c r="P174" s="97" t="s">
        <v>433</v>
      </c>
      <c r="Q174" s="97"/>
      <c r="R174" s="97" t="s">
        <v>786</v>
      </c>
      <c r="S174" s="97" t="s">
        <v>427</v>
      </c>
      <c r="T174" s="97" t="s">
        <v>624</v>
      </c>
      <c r="U174" s="83" t="s">
        <v>874</v>
      </c>
      <c r="V174" s="97"/>
      <c r="W174" s="17" t="str">
        <f>+CONCATENATE(E174,".",F174,"\",G174,".",H174,":",I174)</f>
        <v>2.1\0.5:20</v>
      </c>
      <c r="X174" s="17" t="s">
        <v>873</v>
      </c>
      <c r="Y174" s="17" t="s">
        <v>289</v>
      </c>
      <c r="Z174" s="18" t="s">
        <v>872</v>
      </c>
      <c r="AA174" s="46"/>
      <c r="AC174" s="19"/>
      <c r="AH174" s="64" t="str">
        <f>+AH173</f>
        <v>F5</v>
      </c>
      <c r="AI174" s="39" t="s">
        <v>130</v>
      </c>
      <c r="AJ174" s="39" t="s">
        <v>129</v>
      </c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</row>
    <row r="175" spans="1:53" s="17" customFormat="1" ht="14.5" x14ac:dyDescent="0.35">
      <c r="A175" s="63" t="str">
        <f>A174</f>
        <v>BSR132</v>
      </c>
      <c r="B175" s="18" t="str">
        <f>+B174</f>
        <v>DX01</v>
      </c>
      <c r="C175" s="18" t="str">
        <f>+C174</f>
        <v>DIO1</v>
      </c>
      <c r="D175" s="84">
        <f>+D174</f>
        <v>132</v>
      </c>
      <c r="E175" s="84">
        <v>2</v>
      </c>
      <c r="F175" s="84">
        <f>+F174</f>
        <v>1</v>
      </c>
      <c r="G175" s="84">
        <v>0</v>
      </c>
      <c r="H175" s="200">
        <f>+H174</f>
        <v>5</v>
      </c>
      <c r="I175" s="187">
        <f>+I174+1</f>
        <v>21</v>
      </c>
      <c r="J175" s="205"/>
      <c r="K175" s="79"/>
      <c r="L175" s="17" t="s">
        <v>323</v>
      </c>
      <c r="N175" s="83">
        <v>7</v>
      </c>
      <c r="O175" s="59"/>
      <c r="P175" s="97" t="s">
        <v>770</v>
      </c>
      <c r="Q175" s="97"/>
      <c r="R175" s="97" t="s">
        <v>769</v>
      </c>
      <c r="S175" s="97" t="s">
        <v>211</v>
      </c>
      <c r="T175" s="103" t="s">
        <v>768</v>
      </c>
      <c r="U175" s="83" t="s">
        <v>871</v>
      </c>
      <c r="V175" s="97"/>
      <c r="W175" s="17" t="str">
        <f>+CONCATENATE(E175,".",F175,"\",G175,".",H175,":",I175)</f>
        <v>2.1\0.5:21</v>
      </c>
      <c r="X175" s="17" t="s">
        <v>870</v>
      </c>
      <c r="Y175" s="17" t="s">
        <v>289</v>
      </c>
      <c r="Z175" s="18" t="s">
        <v>869</v>
      </c>
      <c r="AA175" s="46"/>
      <c r="AC175" s="19"/>
      <c r="AH175" s="64" t="str">
        <f>+AH174</f>
        <v>F5</v>
      </c>
      <c r="AI175" s="39" t="s">
        <v>128</v>
      </c>
      <c r="AJ175" s="39" t="s">
        <v>737</v>
      </c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</row>
    <row r="176" spans="1:53" s="17" customFormat="1" ht="14.5" x14ac:dyDescent="0.35">
      <c r="A176" s="63" t="str">
        <f>A175</f>
        <v>BSR132</v>
      </c>
      <c r="B176" s="18" t="str">
        <f>+B175</f>
        <v>DX01</v>
      </c>
      <c r="C176" s="18" t="str">
        <f>+C175</f>
        <v>DIO1</v>
      </c>
      <c r="D176" s="84">
        <f>+D175</f>
        <v>132</v>
      </c>
      <c r="E176" s="84">
        <v>2</v>
      </c>
      <c r="F176" s="84">
        <f>+F175</f>
        <v>1</v>
      </c>
      <c r="G176" s="84">
        <v>0</v>
      </c>
      <c r="H176" s="200">
        <f>+H175</f>
        <v>5</v>
      </c>
      <c r="I176" s="187">
        <f>+I175+1</f>
        <v>22</v>
      </c>
      <c r="J176" s="205"/>
      <c r="K176" s="79"/>
      <c r="L176" s="17" t="s">
        <v>323</v>
      </c>
      <c r="N176" s="83">
        <v>7</v>
      </c>
      <c r="O176" s="59"/>
      <c r="P176" s="17" t="s">
        <v>646</v>
      </c>
      <c r="R176" s="17" t="s">
        <v>786</v>
      </c>
      <c r="S176" s="17" t="s">
        <v>247</v>
      </c>
      <c r="T176" s="97" t="s">
        <v>624</v>
      </c>
      <c r="U176" s="83" t="s">
        <v>871</v>
      </c>
      <c r="V176" s="97"/>
      <c r="W176" s="17" t="str">
        <f>+CONCATENATE(E176,".",F176,"\",G176,".",H176,":",I176)</f>
        <v>2.1\0.5:22</v>
      </c>
      <c r="X176" s="17" t="s">
        <v>870</v>
      </c>
      <c r="Y176" s="17" t="s">
        <v>289</v>
      </c>
      <c r="Z176" s="18" t="s">
        <v>869</v>
      </c>
      <c r="AA176" s="46"/>
      <c r="AC176" s="19"/>
      <c r="AH176" s="64" t="str">
        <f>+AH175</f>
        <v>F5</v>
      </c>
      <c r="AI176" s="39" t="s">
        <v>125</v>
      </c>
      <c r="AJ176" s="39" t="s">
        <v>124</v>
      </c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</row>
    <row r="177" spans="1:53" s="17" customFormat="1" ht="14.5" x14ac:dyDescent="0.35">
      <c r="A177" s="63" t="str">
        <f>A176</f>
        <v>BSR132</v>
      </c>
      <c r="B177" s="18" t="str">
        <f>+B176</f>
        <v>DX01</v>
      </c>
      <c r="C177" s="18" t="str">
        <f>+C176</f>
        <v>DIO1</v>
      </c>
      <c r="D177" s="84">
        <f>+D176</f>
        <v>132</v>
      </c>
      <c r="E177" s="84">
        <v>2</v>
      </c>
      <c r="F177" s="84">
        <f>+F176</f>
        <v>1</v>
      </c>
      <c r="G177" s="84">
        <v>0</v>
      </c>
      <c r="H177" s="200">
        <f>+H176</f>
        <v>5</v>
      </c>
      <c r="I177" s="187">
        <f>+I176+1</f>
        <v>23</v>
      </c>
      <c r="J177" s="205"/>
      <c r="K177" s="79"/>
      <c r="L177" s="17" t="s">
        <v>323</v>
      </c>
      <c r="N177" s="83">
        <v>7</v>
      </c>
      <c r="O177" s="59"/>
      <c r="P177" s="17" t="s">
        <v>433</v>
      </c>
      <c r="R177" s="17" t="s">
        <v>786</v>
      </c>
      <c r="S177" s="17" t="s">
        <v>427</v>
      </c>
      <c r="T177" s="97" t="s">
        <v>624</v>
      </c>
      <c r="U177" s="83" t="s">
        <v>871</v>
      </c>
      <c r="V177" s="97"/>
      <c r="W177" s="17" t="str">
        <f>+CONCATENATE(E177,".",F177,"\",G177,".",H177,":",I177)</f>
        <v>2.1\0.5:23</v>
      </c>
      <c r="X177" s="17" t="s">
        <v>870</v>
      </c>
      <c r="Y177" s="17" t="s">
        <v>289</v>
      </c>
      <c r="Z177" s="18" t="s">
        <v>869</v>
      </c>
      <c r="AA177" s="46"/>
      <c r="AC177" s="19"/>
      <c r="AH177" s="64" t="str">
        <f>+AH176</f>
        <v>F5</v>
      </c>
      <c r="AI177" s="39" t="s">
        <v>123</v>
      </c>
      <c r="AJ177" s="39" t="s">
        <v>735</v>
      </c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</row>
    <row r="178" spans="1:53" s="17" customFormat="1" ht="14.5" x14ac:dyDescent="0.35">
      <c r="A178" s="63" t="str">
        <f>A177</f>
        <v>BSR132</v>
      </c>
      <c r="B178" s="18" t="str">
        <f>+B177</f>
        <v>DX01</v>
      </c>
      <c r="C178" s="18" t="str">
        <f>+C177</f>
        <v>DIO1</v>
      </c>
      <c r="D178" s="84">
        <f>+D177</f>
        <v>132</v>
      </c>
      <c r="E178" s="84">
        <v>2</v>
      </c>
      <c r="F178" s="84">
        <f>+F177</f>
        <v>1</v>
      </c>
      <c r="G178" s="84">
        <v>0</v>
      </c>
      <c r="H178" s="200">
        <f>+H177</f>
        <v>5</v>
      </c>
      <c r="I178" s="187">
        <f>+I177+1</f>
        <v>24</v>
      </c>
      <c r="J178" s="205"/>
      <c r="K178" s="79"/>
      <c r="L178" s="17" t="s">
        <v>323</v>
      </c>
      <c r="N178" s="17">
        <v>3</v>
      </c>
      <c r="O178" s="59" t="s">
        <v>868</v>
      </c>
      <c r="P178" s="17" t="s">
        <v>770</v>
      </c>
      <c r="R178" s="17" t="s">
        <v>769</v>
      </c>
      <c r="S178" s="17" t="s">
        <v>211</v>
      </c>
      <c r="T178" s="103" t="s">
        <v>768</v>
      </c>
      <c r="U178" s="17" t="s">
        <v>868</v>
      </c>
      <c r="V178" s="97"/>
      <c r="W178" s="17" t="str">
        <f>+CONCATENATE(E178,".",F178,"\",G178,".",H178,":",I178)</f>
        <v>2.1\0.5:24</v>
      </c>
      <c r="X178" s="17" t="s">
        <v>867</v>
      </c>
      <c r="Y178" s="17" t="s">
        <v>289</v>
      </c>
      <c r="Z178" s="18" t="s">
        <v>866</v>
      </c>
      <c r="AA178" s="46"/>
      <c r="AC178" s="19"/>
      <c r="AH178" s="64" t="str">
        <f>+AH177</f>
        <v>F5</v>
      </c>
      <c r="AI178" s="39" t="s">
        <v>120</v>
      </c>
      <c r="AJ178" s="39" t="s">
        <v>119</v>
      </c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</row>
    <row r="179" spans="1:53" s="17" customFormat="1" ht="14.5" x14ac:dyDescent="0.35">
      <c r="A179" s="63" t="str">
        <f>A178</f>
        <v>BSR132</v>
      </c>
      <c r="B179" s="18" t="str">
        <f>+B178</f>
        <v>DX01</v>
      </c>
      <c r="C179" s="18" t="str">
        <f>+C178</f>
        <v>DIO1</v>
      </c>
      <c r="D179" s="84">
        <f>+D178</f>
        <v>132</v>
      </c>
      <c r="E179" s="84">
        <v>2</v>
      </c>
      <c r="F179" s="84">
        <f>+F178</f>
        <v>1</v>
      </c>
      <c r="G179" s="84">
        <v>0</v>
      </c>
      <c r="H179" s="200">
        <f>+H178</f>
        <v>5</v>
      </c>
      <c r="I179" s="187">
        <f>+I178+1</f>
        <v>25</v>
      </c>
      <c r="J179" s="205"/>
      <c r="K179" s="79"/>
      <c r="L179" s="17" t="s">
        <v>323</v>
      </c>
      <c r="N179" s="17">
        <v>3</v>
      </c>
      <c r="O179" s="59" t="s">
        <v>868</v>
      </c>
      <c r="P179" s="17" t="s">
        <v>646</v>
      </c>
      <c r="R179" s="17" t="s">
        <v>786</v>
      </c>
      <c r="S179" s="17" t="s">
        <v>247</v>
      </c>
      <c r="T179" s="97" t="s">
        <v>624</v>
      </c>
      <c r="U179" s="17" t="s">
        <v>868</v>
      </c>
      <c r="V179" s="216"/>
      <c r="W179" s="17" t="str">
        <f>+CONCATENATE(E179,".",F179,"\",G179,".",H179,":",I179)</f>
        <v>2.1\0.5:25</v>
      </c>
      <c r="X179" s="17" t="s">
        <v>867</v>
      </c>
      <c r="Y179" s="17" t="s">
        <v>289</v>
      </c>
      <c r="Z179" s="18" t="s">
        <v>866</v>
      </c>
      <c r="AA179" s="46"/>
      <c r="AC179" s="19"/>
      <c r="AH179" s="64" t="str">
        <f>+AH178</f>
        <v>F5</v>
      </c>
      <c r="AI179" s="39" t="s">
        <v>118</v>
      </c>
      <c r="AJ179" s="39" t="s">
        <v>730</v>
      </c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</row>
    <row r="180" spans="1:53" s="17" customFormat="1" ht="14.5" x14ac:dyDescent="0.35">
      <c r="A180" s="63" t="str">
        <f>A179</f>
        <v>BSR132</v>
      </c>
      <c r="B180" s="18" t="str">
        <f>+B179</f>
        <v>DX01</v>
      </c>
      <c r="C180" s="18" t="str">
        <f>+C179</f>
        <v>DIO1</v>
      </c>
      <c r="D180" s="84">
        <f>+D179</f>
        <v>132</v>
      </c>
      <c r="E180" s="84">
        <v>2</v>
      </c>
      <c r="F180" s="84">
        <f>+F179</f>
        <v>1</v>
      </c>
      <c r="G180" s="84">
        <v>0</v>
      </c>
      <c r="H180" s="200">
        <f>+H179</f>
        <v>5</v>
      </c>
      <c r="I180" s="187">
        <f>+I179+1</f>
        <v>26</v>
      </c>
      <c r="J180" s="205"/>
      <c r="K180" s="79"/>
      <c r="L180" s="17" t="s">
        <v>323</v>
      </c>
      <c r="N180" s="17">
        <v>3</v>
      </c>
      <c r="O180" s="59" t="s">
        <v>868</v>
      </c>
      <c r="P180" s="17" t="s">
        <v>433</v>
      </c>
      <c r="R180" s="17" t="s">
        <v>786</v>
      </c>
      <c r="S180" s="17" t="s">
        <v>427</v>
      </c>
      <c r="T180" s="97" t="s">
        <v>624</v>
      </c>
      <c r="U180" s="17" t="s">
        <v>868</v>
      </c>
      <c r="W180" s="17" t="str">
        <f>+CONCATENATE(E180,".",F180,"\",G180,".",H180,":",I180)</f>
        <v>2.1\0.5:26</v>
      </c>
      <c r="X180" s="17" t="s">
        <v>867</v>
      </c>
      <c r="Y180" s="17" t="s">
        <v>289</v>
      </c>
      <c r="Z180" s="18" t="s">
        <v>866</v>
      </c>
      <c r="AA180" s="46"/>
      <c r="AC180" s="19"/>
      <c r="AH180" s="64" t="str">
        <f>+AH179</f>
        <v>F5</v>
      </c>
      <c r="AI180" s="39" t="s">
        <v>114</v>
      </c>
      <c r="AJ180" s="39" t="s">
        <v>113</v>
      </c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</row>
    <row r="181" spans="1:53" s="17" customFormat="1" ht="14.5" x14ac:dyDescent="0.35">
      <c r="A181" s="63" t="str">
        <f>A180</f>
        <v>BSR132</v>
      </c>
      <c r="B181" s="18" t="str">
        <f>+B180</f>
        <v>DX01</v>
      </c>
      <c r="C181" s="18" t="str">
        <f>+C180</f>
        <v>DIO1</v>
      </c>
      <c r="D181" s="84">
        <f>+D180</f>
        <v>132</v>
      </c>
      <c r="E181" s="84">
        <v>2</v>
      </c>
      <c r="F181" s="84">
        <f>+F180</f>
        <v>1</v>
      </c>
      <c r="G181" s="84">
        <v>0</v>
      </c>
      <c r="H181" s="200">
        <f>+H180</f>
        <v>5</v>
      </c>
      <c r="I181" s="187">
        <f>+I180+1</f>
        <v>27</v>
      </c>
      <c r="J181" s="205"/>
      <c r="K181" s="79"/>
      <c r="L181" s="17" t="s">
        <v>323</v>
      </c>
      <c r="N181" s="17">
        <v>3</v>
      </c>
      <c r="O181" s="59" t="s">
        <v>718</v>
      </c>
      <c r="P181" s="17" t="s">
        <v>770</v>
      </c>
      <c r="R181" s="17" t="s">
        <v>769</v>
      </c>
      <c r="S181" s="17" t="s">
        <v>211</v>
      </c>
      <c r="T181" s="103" t="s">
        <v>768</v>
      </c>
      <c r="U181" s="17" t="s">
        <v>718</v>
      </c>
      <c r="V181" s="83"/>
      <c r="W181" s="17" t="str">
        <f>+CONCATENATE(E181,".",F181,"\",G181,".",H181,":",I181)</f>
        <v>2.1\0.5:27</v>
      </c>
      <c r="X181" s="17" t="s">
        <v>717</v>
      </c>
      <c r="Y181" s="17" t="s">
        <v>289</v>
      </c>
      <c r="Z181" s="18" t="s">
        <v>864</v>
      </c>
      <c r="AA181" s="46"/>
      <c r="AC181" s="19"/>
      <c r="AH181" s="64" t="str">
        <f>+AH180</f>
        <v>F5</v>
      </c>
      <c r="AI181" s="39" t="s">
        <v>112</v>
      </c>
      <c r="AJ181" s="39" t="s">
        <v>726</v>
      </c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</row>
    <row r="182" spans="1:53" s="17" customFormat="1" ht="14.5" x14ac:dyDescent="0.35">
      <c r="A182" s="63" t="str">
        <f>A181</f>
        <v>BSR132</v>
      </c>
      <c r="B182" s="18" t="str">
        <f>+B181</f>
        <v>DX01</v>
      </c>
      <c r="C182" s="18" t="str">
        <f>+C181</f>
        <v>DIO1</v>
      </c>
      <c r="D182" s="84">
        <f>+D181</f>
        <v>132</v>
      </c>
      <c r="E182" s="84">
        <v>2</v>
      </c>
      <c r="F182" s="84">
        <f>+F181</f>
        <v>1</v>
      </c>
      <c r="G182" s="84">
        <v>0</v>
      </c>
      <c r="H182" s="200">
        <f>+H181</f>
        <v>5</v>
      </c>
      <c r="I182" s="187">
        <f>+I181+1</f>
        <v>28</v>
      </c>
      <c r="J182" s="205"/>
      <c r="K182" s="79"/>
      <c r="L182" s="17" t="s">
        <v>323</v>
      </c>
      <c r="N182" s="17">
        <v>3</v>
      </c>
      <c r="O182" s="59" t="s">
        <v>718</v>
      </c>
      <c r="P182" s="17" t="s">
        <v>646</v>
      </c>
      <c r="R182" s="17" t="s">
        <v>786</v>
      </c>
      <c r="S182" s="17" t="s">
        <v>247</v>
      </c>
      <c r="T182" s="97" t="s">
        <v>624</v>
      </c>
      <c r="U182" s="17" t="s">
        <v>718</v>
      </c>
      <c r="V182" s="83"/>
      <c r="W182" s="17" t="str">
        <f>+CONCATENATE(E182,".",F182,"\",G182,".",H182,":",I182)</f>
        <v>2.1\0.5:28</v>
      </c>
      <c r="X182" s="17" t="s">
        <v>717</v>
      </c>
      <c r="Y182" s="17" t="s">
        <v>289</v>
      </c>
      <c r="Z182" s="18" t="s">
        <v>864</v>
      </c>
      <c r="AA182" s="46"/>
      <c r="AC182" s="19"/>
      <c r="AH182" s="64" t="str">
        <f>+AH181</f>
        <v>F5</v>
      </c>
      <c r="AI182" s="39" t="s">
        <v>109</v>
      </c>
      <c r="AJ182" s="39" t="s">
        <v>108</v>
      </c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</row>
    <row r="183" spans="1:53" s="17" customFormat="1" ht="14.5" x14ac:dyDescent="0.35">
      <c r="A183" s="63" t="str">
        <f>A182</f>
        <v>BSR132</v>
      </c>
      <c r="B183" s="18" t="str">
        <f>+B182</f>
        <v>DX01</v>
      </c>
      <c r="C183" s="18" t="str">
        <f>+C182</f>
        <v>DIO1</v>
      </c>
      <c r="D183" s="84">
        <f>+D182</f>
        <v>132</v>
      </c>
      <c r="E183" s="84">
        <v>2</v>
      </c>
      <c r="F183" s="84">
        <f>+F182</f>
        <v>1</v>
      </c>
      <c r="G183" s="84">
        <v>0</v>
      </c>
      <c r="H183" s="200">
        <f>+H182</f>
        <v>5</v>
      </c>
      <c r="I183" s="187">
        <f>+I182+1</f>
        <v>29</v>
      </c>
      <c r="J183" s="205"/>
      <c r="K183" s="79"/>
      <c r="L183" s="17" t="s">
        <v>323</v>
      </c>
      <c r="N183" s="17">
        <v>3</v>
      </c>
      <c r="O183" s="59" t="s">
        <v>718</v>
      </c>
      <c r="P183" s="17" t="s">
        <v>433</v>
      </c>
      <c r="R183" s="17" t="s">
        <v>786</v>
      </c>
      <c r="S183" s="17" t="s">
        <v>427</v>
      </c>
      <c r="T183" s="97" t="s">
        <v>624</v>
      </c>
      <c r="U183" s="17" t="s">
        <v>718</v>
      </c>
      <c r="V183" s="83"/>
      <c r="W183" s="17" t="str">
        <f>+CONCATENATE(E183,".",F183,"\",G183,".",H183,":",I183)</f>
        <v>2.1\0.5:29</v>
      </c>
      <c r="X183" s="17" t="s">
        <v>717</v>
      </c>
      <c r="Y183" s="17" t="s">
        <v>289</v>
      </c>
      <c r="Z183" s="18" t="s">
        <v>864</v>
      </c>
      <c r="AA183" s="46"/>
      <c r="AC183" s="19"/>
      <c r="AH183" s="64" t="str">
        <f>+AH182</f>
        <v>F5</v>
      </c>
      <c r="AI183" s="39" t="s">
        <v>107</v>
      </c>
      <c r="AJ183" s="39" t="s">
        <v>725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</row>
    <row r="184" spans="1:53" s="17" customFormat="1" ht="14.5" x14ac:dyDescent="0.35">
      <c r="A184" s="63" t="str">
        <f>A183</f>
        <v>BSR132</v>
      </c>
      <c r="B184" s="18" t="str">
        <f>+B183</f>
        <v>DX01</v>
      </c>
      <c r="C184" s="18" t="str">
        <f>+C183</f>
        <v>DIO1</v>
      </c>
      <c r="D184" s="84">
        <f>+D183</f>
        <v>132</v>
      </c>
      <c r="E184" s="84">
        <v>2</v>
      </c>
      <c r="F184" s="84">
        <f>+F183</f>
        <v>1</v>
      </c>
      <c r="G184" s="84">
        <v>0</v>
      </c>
      <c r="H184" s="200">
        <f>+H183</f>
        <v>5</v>
      </c>
      <c r="I184" s="187">
        <f>+I183+1</f>
        <v>30</v>
      </c>
      <c r="J184" s="205"/>
      <c r="K184" s="79"/>
      <c r="L184" s="17" t="s">
        <v>323</v>
      </c>
      <c r="N184" s="17">
        <v>3</v>
      </c>
      <c r="O184" s="59" t="s">
        <v>718</v>
      </c>
      <c r="P184" s="17" t="s">
        <v>252</v>
      </c>
      <c r="R184" s="17" t="s">
        <v>865</v>
      </c>
      <c r="S184" s="17" t="s">
        <v>247</v>
      </c>
      <c r="T184" s="97" t="s">
        <v>639</v>
      </c>
      <c r="U184" s="17" t="s">
        <v>718</v>
      </c>
      <c r="W184" s="17" t="str">
        <f>+CONCATENATE(E184,".",F184,"\",G184,".",H184,":",I184)</f>
        <v>2.1\0.5:30</v>
      </c>
      <c r="X184" s="17" t="s">
        <v>717</v>
      </c>
      <c r="Y184" s="17" t="s">
        <v>289</v>
      </c>
      <c r="Z184" s="221" t="s">
        <v>864</v>
      </c>
      <c r="AA184" s="46"/>
      <c r="AC184" s="19"/>
      <c r="AH184" s="64" t="str">
        <f>+AH183</f>
        <v>F5</v>
      </c>
      <c r="AI184" s="39" t="s">
        <v>104</v>
      </c>
      <c r="AJ184" s="39" t="s">
        <v>103</v>
      </c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</row>
    <row r="185" spans="1:53" s="17" customFormat="1" ht="13.5" thickBot="1" x14ac:dyDescent="0.35">
      <c r="A185" s="63" t="str">
        <f>A184</f>
        <v>BSR132</v>
      </c>
      <c r="B185" s="18" t="str">
        <f>+B184</f>
        <v>DX01</v>
      </c>
      <c r="C185" s="18" t="str">
        <f>+C184</f>
        <v>DIO1</v>
      </c>
      <c r="D185" s="84">
        <f>+D184</f>
        <v>132</v>
      </c>
      <c r="E185" s="84">
        <v>2</v>
      </c>
      <c r="F185" s="84">
        <f>+F184</f>
        <v>1</v>
      </c>
      <c r="G185" s="84">
        <v>0</v>
      </c>
      <c r="H185" s="200">
        <f>+H184</f>
        <v>5</v>
      </c>
      <c r="I185" s="191">
        <f>+I184+1</f>
        <v>31</v>
      </c>
      <c r="J185" s="203"/>
      <c r="K185" s="79"/>
      <c r="L185" s="17" t="s">
        <v>323</v>
      </c>
      <c r="O185" s="18"/>
      <c r="V185" s="18"/>
      <c r="W185" s="17" t="str">
        <f>+CONCATENATE(E185,".",F185,"\",G185,".",H185,":",I185)</f>
        <v>2.1\0.5:31</v>
      </c>
      <c r="Y185" s="18"/>
      <c r="Z185" s="18"/>
      <c r="AA185" s="46"/>
      <c r="AC185" s="19"/>
      <c r="AH185" s="64" t="str">
        <f>+AH184</f>
        <v>F5</v>
      </c>
      <c r="AI185" s="39" t="s">
        <v>102</v>
      </c>
      <c r="AJ185" s="39" t="s">
        <v>724</v>
      </c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</row>
    <row r="186" spans="1:53" s="17" customFormat="1" ht="14.5" x14ac:dyDescent="0.35">
      <c r="A186" s="86" t="s">
        <v>273</v>
      </c>
      <c r="B186" s="18" t="str">
        <f>+B171</f>
        <v>DX01</v>
      </c>
      <c r="C186" s="18" t="str">
        <f>+C185</f>
        <v>DIO1</v>
      </c>
      <c r="D186" s="84">
        <f>+D185</f>
        <v>132</v>
      </c>
      <c r="E186" s="84">
        <v>2</v>
      </c>
      <c r="F186" s="84">
        <v>1</v>
      </c>
      <c r="G186" s="84">
        <v>0</v>
      </c>
      <c r="H186" s="214">
        <v>6</v>
      </c>
      <c r="I186" s="188">
        <v>0</v>
      </c>
      <c r="J186" s="205" t="s">
        <v>767</v>
      </c>
      <c r="K186" s="18" t="s">
        <v>766</v>
      </c>
      <c r="L186" s="17" t="s">
        <v>323</v>
      </c>
      <c r="N186" s="17">
        <v>3</v>
      </c>
      <c r="O186" s="59" t="s">
        <v>701</v>
      </c>
      <c r="P186" s="97" t="s">
        <v>770</v>
      </c>
      <c r="Q186" s="97"/>
      <c r="R186" s="97" t="s">
        <v>769</v>
      </c>
      <c r="S186" s="97" t="s">
        <v>211</v>
      </c>
      <c r="T186" s="103" t="s">
        <v>768</v>
      </c>
      <c r="U186" s="97" t="s">
        <v>701</v>
      </c>
      <c r="W186" s="17" t="str">
        <f>+CONCATENATE(E186,".",F186,"\",G186,".",H186,":",I186)</f>
        <v>2.1\0.6:0</v>
      </c>
      <c r="X186" s="17" t="s">
        <v>862</v>
      </c>
      <c r="Y186" s="17" t="s">
        <v>289</v>
      </c>
      <c r="Z186" s="18" t="s">
        <v>861</v>
      </c>
      <c r="AA186" s="46"/>
      <c r="AC186" s="19"/>
      <c r="AH186" s="64" t="s">
        <v>863</v>
      </c>
      <c r="AI186" s="39" t="s">
        <v>190</v>
      </c>
      <c r="AJ186" s="39" t="s">
        <v>189</v>
      </c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</row>
    <row r="187" spans="1:53" s="17" customFormat="1" ht="14.5" x14ac:dyDescent="0.35">
      <c r="A187" s="63" t="str">
        <f>A186</f>
        <v>BSR132</v>
      </c>
      <c r="B187" s="18" t="str">
        <f>+B172</f>
        <v>DX01</v>
      </c>
      <c r="C187" s="18" t="str">
        <f>+C186</f>
        <v>DIO1</v>
      </c>
      <c r="D187" s="84">
        <f>+D186</f>
        <v>132</v>
      </c>
      <c r="E187" s="84">
        <v>2</v>
      </c>
      <c r="F187" s="84">
        <f>+F186</f>
        <v>1</v>
      </c>
      <c r="G187" s="84">
        <v>0</v>
      </c>
      <c r="H187" s="200">
        <f>H186</f>
        <v>6</v>
      </c>
      <c r="I187" s="187">
        <f>+I186+1</f>
        <v>1</v>
      </c>
      <c r="J187" s="205"/>
      <c r="L187" s="17" t="s">
        <v>323</v>
      </c>
      <c r="N187" s="17">
        <v>3</v>
      </c>
      <c r="O187" s="59" t="s">
        <v>701</v>
      </c>
      <c r="P187" s="97" t="s">
        <v>646</v>
      </c>
      <c r="Q187" s="97"/>
      <c r="R187" s="97" t="s">
        <v>786</v>
      </c>
      <c r="S187" s="97" t="s">
        <v>247</v>
      </c>
      <c r="T187" s="97" t="s">
        <v>624</v>
      </c>
      <c r="U187" s="97" t="s">
        <v>701</v>
      </c>
      <c r="V187" s="18"/>
      <c r="W187" s="17" t="str">
        <f>+CONCATENATE(E187,".",F187,"\",G187,".",H187,":",I187)</f>
        <v>2.1\0.6:1</v>
      </c>
      <c r="X187" s="17" t="s">
        <v>862</v>
      </c>
      <c r="Y187" s="17" t="s">
        <v>289</v>
      </c>
      <c r="Z187" s="18" t="s">
        <v>861</v>
      </c>
      <c r="AA187" s="46"/>
      <c r="AC187" s="19"/>
      <c r="AH187" s="64" t="str">
        <f>+AH186</f>
        <v>F6</v>
      </c>
      <c r="AI187" s="39" t="s">
        <v>188</v>
      </c>
      <c r="AJ187" s="39" t="s">
        <v>716</v>
      </c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</row>
    <row r="188" spans="1:53" s="17" customFormat="1" ht="14.5" x14ac:dyDescent="0.35">
      <c r="A188" s="63" t="str">
        <f>A187</f>
        <v>BSR132</v>
      </c>
      <c r="B188" s="18" t="str">
        <f>+B173</f>
        <v>DX01</v>
      </c>
      <c r="C188" s="18" t="str">
        <f>+C187</f>
        <v>DIO1</v>
      </c>
      <c r="D188" s="84">
        <f>+D187</f>
        <v>132</v>
      </c>
      <c r="E188" s="84">
        <v>2</v>
      </c>
      <c r="F188" s="84">
        <f>+F187</f>
        <v>1</v>
      </c>
      <c r="G188" s="84">
        <v>0</v>
      </c>
      <c r="H188" s="200">
        <f>+H187</f>
        <v>6</v>
      </c>
      <c r="I188" s="187">
        <f>+I187+1</f>
        <v>2</v>
      </c>
      <c r="J188" s="205"/>
      <c r="K188" s="79"/>
      <c r="L188" s="17" t="s">
        <v>323</v>
      </c>
      <c r="N188" s="17">
        <v>3</v>
      </c>
      <c r="O188" s="59" t="s">
        <v>701</v>
      </c>
      <c r="P188" s="17" t="s">
        <v>433</v>
      </c>
      <c r="R188" s="17" t="s">
        <v>786</v>
      </c>
      <c r="S188" s="97" t="s">
        <v>427</v>
      </c>
      <c r="T188" s="97" t="s">
        <v>624</v>
      </c>
      <c r="U188" s="97" t="s">
        <v>701</v>
      </c>
      <c r="V188" s="18"/>
      <c r="W188" s="17" t="str">
        <f>+CONCATENATE(E188,".",F188,"\",G188,".",H188,":",I188)</f>
        <v>2.1\0.6:2</v>
      </c>
      <c r="X188" s="17" t="s">
        <v>862</v>
      </c>
      <c r="Y188" s="17" t="s">
        <v>289</v>
      </c>
      <c r="Z188" s="18" t="s">
        <v>861</v>
      </c>
      <c r="AA188" s="46"/>
      <c r="AC188" s="19"/>
      <c r="AH188" s="64" t="str">
        <f>+AH187</f>
        <v>F6</v>
      </c>
      <c r="AI188" s="39" t="s">
        <v>183</v>
      </c>
      <c r="AJ188" s="39" t="s">
        <v>182</v>
      </c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</row>
    <row r="189" spans="1:53" s="17" customFormat="1" ht="14.5" x14ac:dyDescent="0.35">
      <c r="A189" s="63" t="str">
        <f>A188</f>
        <v>BSR132</v>
      </c>
      <c r="B189" s="18" t="str">
        <f>+B174</f>
        <v>DX01</v>
      </c>
      <c r="C189" s="18" t="str">
        <f>+C188</f>
        <v>DIO1</v>
      </c>
      <c r="D189" s="84">
        <f>+D188</f>
        <v>132</v>
      </c>
      <c r="E189" s="84">
        <v>2</v>
      </c>
      <c r="F189" s="84">
        <f>+F188</f>
        <v>1</v>
      </c>
      <c r="G189" s="84">
        <v>0</v>
      </c>
      <c r="H189" s="200">
        <f>+H188</f>
        <v>6</v>
      </c>
      <c r="I189" s="187">
        <f>+I188+1</f>
        <v>3</v>
      </c>
      <c r="J189" s="205"/>
      <c r="K189" s="79"/>
      <c r="L189" s="17" t="s">
        <v>323</v>
      </c>
      <c r="N189" s="17">
        <v>3</v>
      </c>
      <c r="O189" s="59" t="s">
        <v>860</v>
      </c>
      <c r="P189" s="17" t="s">
        <v>770</v>
      </c>
      <c r="R189" s="64" t="s">
        <v>769</v>
      </c>
      <c r="S189" s="17" t="s">
        <v>211</v>
      </c>
      <c r="T189" s="103" t="s">
        <v>768</v>
      </c>
      <c r="U189" s="97" t="s">
        <v>860</v>
      </c>
      <c r="V189" s="18"/>
      <c r="W189" s="17" t="str">
        <f>+CONCATENATE(E189,".",F189,"\",G189,".",H189,":",I189)</f>
        <v>2.1\0.6:3</v>
      </c>
      <c r="X189" s="17" t="s">
        <v>859</v>
      </c>
      <c r="Y189" s="17" t="s">
        <v>289</v>
      </c>
      <c r="Z189" s="18" t="s">
        <v>858</v>
      </c>
      <c r="AA189" s="46"/>
      <c r="AC189" s="19"/>
      <c r="AH189" s="64" t="str">
        <f>+AH188</f>
        <v>F6</v>
      </c>
      <c r="AI189" s="39" t="s">
        <v>181</v>
      </c>
      <c r="AJ189" s="39" t="s">
        <v>711</v>
      </c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</row>
    <row r="190" spans="1:53" s="17" customFormat="1" ht="14.5" x14ac:dyDescent="0.35">
      <c r="A190" s="63" t="str">
        <f>A189</f>
        <v>BSR132</v>
      </c>
      <c r="B190" s="18" t="str">
        <f>+B175</f>
        <v>DX01</v>
      </c>
      <c r="C190" s="18" t="str">
        <f>+C189</f>
        <v>DIO1</v>
      </c>
      <c r="D190" s="84">
        <f>+D189</f>
        <v>132</v>
      </c>
      <c r="E190" s="84">
        <v>2</v>
      </c>
      <c r="F190" s="84">
        <f>+F189</f>
        <v>1</v>
      </c>
      <c r="G190" s="84">
        <v>0</v>
      </c>
      <c r="H190" s="200">
        <f>+H189</f>
        <v>6</v>
      </c>
      <c r="I190" s="187">
        <f>+I189+1</f>
        <v>4</v>
      </c>
      <c r="J190" s="205"/>
      <c r="K190" s="79"/>
      <c r="L190" s="17" t="s">
        <v>323</v>
      </c>
      <c r="N190" s="17">
        <v>3</v>
      </c>
      <c r="O190" s="59" t="s">
        <v>860</v>
      </c>
      <c r="P190" s="17" t="s">
        <v>646</v>
      </c>
      <c r="R190" s="17" t="s">
        <v>786</v>
      </c>
      <c r="S190" s="17" t="s">
        <v>247</v>
      </c>
      <c r="T190" s="97" t="s">
        <v>624</v>
      </c>
      <c r="U190" s="97" t="s">
        <v>860</v>
      </c>
      <c r="V190" s="18"/>
      <c r="W190" s="17" t="str">
        <f>+CONCATENATE(E190,".",F190,"\",G190,".",H190,":",I190)</f>
        <v>2.1\0.6:4</v>
      </c>
      <c r="X190" s="17" t="s">
        <v>859</v>
      </c>
      <c r="Y190" s="17" t="s">
        <v>289</v>
      </c>
      <c r="Z190" s="18" t="s">
        <v>858</v>
      </c>
      <c r="AA190" s="46"/>
      <c r="AC190" s="19"/>
      <c r="AH190" s="64" t="str">
        <f>+AH189</f>
        <v>F6</v>
      </c>
      <c r="AI190" s="39" t="s">
        <v>176</v>
      </c>
      <c r="AJ190" s="39" t="s">
        <v>175</v>
      </c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</row>
    <row r="191" spans="1:53" s="17" customFormat="1" ht="14.5" x14ac:dyDescent="0.35">
      <c r="A191" s="63" t="str">
        <f>A190</f>
        <v>BSR132</v>
      </c>
      <c r="B191" s="18" t="str">
        <f>+B176</f>
        <v>DX01</v>
      </c>
      <c r="C191" s="18" t="str">
        <f>+C190</f>
        <v>DIO1</v>
      </c>
      <c r="D191" s="84">
        <f>+D190</f>
        <v>132</v>
      </c>
      <c r="E191" s="84">
        <v>2</v>
      </c>
      <c r="F191" s="84">
        <f>+F190</f>
        <v>1</v>
      </c>
      <c r="G191" s="84">
        <v>0</v>
      </c>
      <c r="H191" s="200">
        <f>+H190</f>
        <v>6</v>
      </c>
      <c r="I191" s="187">
        <f>+I190+1</f>
        <v>5</v>
      </c>
      <c r="J191" s="205"/>
      <c r="K191" s="79"/>
      <c r="L191" s="17" t="s">
        <v>323</v>
      </c>
      <c r="N191" s="17">
        <v>3</v>
      </c>
      <c r="O191" s="59" t="s">
        <v>860</v>
      </c>
      <c r="P191" s="17" t="s">
        <v>433</v>
      </c>
      <c r="R191" s="17" t="s">
        <v>786</v>
      </c>
      <c r="S191" s="17" t="s">
        <v>427</v>
      </c>
      <c r="T191" s="97" t="s">
        <v>624</v>
      </c>
      <c r="U191" s="97" t="s">
        <v>860</v>
      </c>
      <c r="V191" s="18"/>
      <c r="W191" s="17" t="str">
        <f>+CONCATENATE(E191,".",F191,"\",G191,".",H191,":",I191)</f>
        <v>2.1\0.6:5</v>
      </c>
      <c r="X191" s="17" t="s">
        <v>859</v>
      </c>
      <c r="Y191" s="17" t="s">
        <v>289</v>
      </c>
      <c r="Z191" s="18" t="s">
        <v>858</v>
      </c>
      <c r="AA191" s="46"/>
      <c r="AC191" s="19"/>
      <c r="AH191" s="64" t="str">
        <f>+AH190</f>
        <v>F6</v>
      </c>
      <c r="AI191" s="39" t="s">
        <v>174</v>
      </c>
      <c r="AJ191" s="39" t="s">
        <v>710</v>
      </c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</row>
    <row r="192" spans="1:53" s="17" customFormat="1" ht="14.5" x14ac:dyDescent="0.35">
      <c r="A192" s="63" t="str">
        <f>A191</f>
        <v>BSR132</v>
      </c>
      <c r="B192" s="18" t="str">
        <f>+B191</f>
        <v>DX01</v>
      </c>
      <c r="C192" s="18" t="str">
        <f>+C191</f>
        <v>DIO1</v>
      </c>
      <c r="D192" s="84">
        <f>+D191</f>
        <v>132</v>
      </c>
      <c r="E192" s="84">
        <v>2</v>
      </c>
      <c r="F192" s="84">
        <f>+F191</f>
        <v>1</v>
      </c>
      <c r="G192" s="84">
        <v>0</v>
      </c>
      <c r="H192" s="200">
        <f>+H191</f>
        <v>6</v>
      </c>
      <c r="I192" s="187">
        <f>+I191+1</f>
        <v>6</v>
      </c>
      <c r="J192" s="205"/>
      <c r="K192" s="79"/>
      <c r="L192" s="17" t="s">
        <v>323</v>
      </c>
      <c r="N192" s="17">
        <v>3</v>
      </c>
      <c r="O192" s="59" t="s">
        <v>857</v>
      </c>
      <c r="P192" s="17" t="s">
        <v>770</v>
      </c>
      <c r="R192" s="17" t="s">
        <v>769</v>
      </c>
      <c r="S192" s="17" t="s">
        <v>211</v>
      </c>
      <c r="T192" s="103" t="s">
        <v>768</v>
      </c>
      <c r="U192" s="97" t="s">
        <v>857</v>
      </c>
      <c r="V192" s="18"/>
      <c r="W192" s="17" t="str">
        <f>+CONCATENATE(E192,".",F192,"\",G192,".",H192,":",I192)</f>
        <v>2.1\0.6:6</v>
      </c>
      <c r="X192" s="17" t="s">
        <v>856</v>
      </c>
      <c r="Y192" s="17" t="s">
        <v>289</v>
      </c>
      <c r="Z192" s="18" t="s">
        <v>855</v>
      </c>
      <c r="AA192" s="46"/>
      <c r="AC192" s="19"/>
      <c r="AH192" s="64" t="str">
        <f>+AH191</f>
        <v>F6</v>
      </c>
      <c r="AI192" s="39" t="s">
        <v>169</v>
      </c>
      <c r="AJ192" s="39" t="s">
        <v>168</v>
      </c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</row>
    <row r="193" spans="1:53" s="17" customFormat="1" ht="14.5" x14ac:dyDescent="0.35">
      <c r="A193" s="63" t="str">
        <f>A192</f>
        <v>BSR132</v>
      </c>
      <c r="B193" s="18" t="str">
        <f>+B192</f>
        <v>DX01</v>
      </c>
      <c r="C193" s="18" t="str">
        <f>+C192</f>
        <v>DIO1</v>
      </c>
      <c r="D193" s="84">
        <f>+D192</f>
        <v>132</v>
      </c>
      <c r="E193" s="84">
        <v>2</v>
      </c>
      <c r="F193" s="84">
        <f>+F192</f>
        <v>1</v>
      </c>
      <c r="G193" s="84">
        <v>0</v>
      </c>
      <c r="H193" s="200">
        <f>+H192</f>
        <v>6</v>
      </c>
      <c r="I193" s="187">
        <f>+I192+1</f>
        <v>7</v>
      </c>
      <c r="J193" s="205"/>
      <c r="K193" s="79"/>
      <c r="L193" s="17" t="s">
        <v>323</v>
      </c>
      <c r="N193" s="17">
        <v>3</v>
      </c>
      <c r="O193" s="59" t="s">
        <v>857</v>
      </c>
      <c r="P193" s="17" t="s">
        <v>646</v>
      </c>
      <c r="R193" s="17" t="s">
        <v>786</v>
      </c>
      <c r="S193" s="17" t="s">
        <v>247</v>
      </c>
      <c r="T193" s="97" t="s">
        <v>624</v>
      </c>
      <c r="U193" s="97" t="s">
        <v>857</v>
      </c>
      <c r="V193" s="18"/>
      <c r="W193" s="17" t="str">
        <f>+CONCATENATE(E193,".",F193,"\",G193,".",H193,":",I193)</f>
        <v>2.1\0.6:7</v>
      </c>
      <c r="X193" s="17" t="s">
        <v>856</v>
      </c>
      <c r="Y193" s="17" t="s">
        <v>289</v>
      </c>
      <c r="Z193" s="18" t="s">
        <v>855</v>
      </c>
      <c r="AA193" s="46"/>
      <c r="AC193" s="19"/>
      <c r="AH193" s="64" t="str">
        <f>+AH192</f>
        <v>F6</v>
      </c>
      <c r="AI193" s="39" t="s">
        <v>167</v>
      </c>
      <c r="AJ193" s="39" t="s">
        <v>709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</row>
    <row r="194" spans="1:53" s="17" customFormat="1" ht="14.5" x14ac:dyDescent="0.35">
      <c r="A194" s="63" t="str">
        <f>A193</f>
        <v>BSR132</v>
      </c>
      <c r="B194" s="18" t="str">
        <f>+B193</f>
        <v>DX01</v>
      </c>
      <c r="C194" s="18" t="str">
        <f>+C193</f>
        <v>DIO1</v>
      </c>
      <c r="D194" s="84">
        <f>+D193</f>
        <v>132</v>
      </c>
      <c r="E194" s="84">
        <v>2</v>
      </c>
      <c r="F194" s="84">
        <f>+F193</f>
        <v>1</v>
      </c>
      <c r="G194" s="84">
        <v>0</v>
      </c>
      <c r="H194" s="200">
        <f>+H193</f>
        <v>6</v>
      </c>
      <c r="I194" s="187">
        <f>+I193+1</f>
        <v>8</v>
      </c>
      <c r="J194" s="205"/>
      <c r="K194" s="79"/>
      <c r="L194" s="17" t="s">
        <v>323</v>
      </c>
      <c r="N194" s="17">
        <v>3</v>
      </c>
      <c r="O194" s="59" t="s">
        <v>857</v>
      </c>
      <c r="P194" s="17" t="s">
        <v>433</v>
      </c>
      <c r="R194" s="17" t="s">
        <v>786</v>
      </c>
      <c r="S194" s="17" t="s">
        <v>427</v>
      </c>
      <c r="T194" s="97" t="s">
        <v>624</v>
      </c>
      <c r="U194" s="97" t="s">
        <v>857</v>
      </c>
      <c r="V194" s="18"/>
      <c r="W194" s="17" t="str">
        <f>+CONCATENATE(E194,".",F194,"\",G194,".",H194,":",I194)</f>
        <v>2.1\0.6:8</v>
      </c>
      <c r="X194" s="17" t="s">
        <v>856</v>
      </c>
      <c r="Y194" s="17" t="s">
        <v>289</v>
      </c>
      <c r="Z194" s="18" t="s">
        <v>855</v>
      </c>
      <c r="AA194" s="46"/>
      <c r="AC194" s="19"/>
      <c r="AH194" s="64" t="str">
        <f>+AH193</f>
        <v>F6</v>
      </c>
      <c r="AI194" s="39" t="s">
        <v>161</v>
      </c>
      <c r="AJ194" s="39" t="s">
        <v>160</v>
      </c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</row>
    <row r="195" spans="1:53" s="17" customFormat="1" ht="14.5" x14ac:dyDescent="0.35">
      <c r="A195" s="63" t="str">
        <f>A194</f>
        <v>BSR132</v>
      </c>
      <c r="B195" s="18" t="str">
        <f>+B194</f>
        <v>DX01</v>
      </c>
      <c r="C195" s="18" t="str">
        <f>+C194</f>
        <v>DIO1</v>
      </c>
      <c r="D195" s="84">
        <f>+D194</f>
        <v>132</v>
      </c>
      <c r="E195" s="84">
        <v>2</v>
      </c>
      <c r="F195" s="84">
        <f>+F194</f>
        <v>1</v>
      </c>
      <c r="G195" s="84">
        <v>0</v>
      </c>
      <c r="H195" s="200">
        <f>+H194</f>
        <v>6</v>
      </c>
      <c r="I195" s="187">
        <f>+I194+1</f>
        <v>9</v>
      </c>
      <c r="J195" s="205"/>
      <c r="K195" s="79"/>
      <c r="L195" s="17" t="s">
        <v>323</v>
      </c>
      <c r="N195" s="17">
        <v>3</v>
      </c>
      <c r="O195" s="59" t="s">
        <v>854</v>
      </c>
      <c r="P195" s="17" t="s">
        <v>770</v>
      </c>
      <c r="R195" s="17" t="s">
        <v>769</v>
      </c>
      <c r="S195" s="17" t="s">
        <v>211</v>
      </c>
      <c r="T195" s="103" t="s">
        <v>768</v>
      </c>
      <c r="U195" s="97" t="s">
        <v>854</v>
      </c>
      <c r="V195" s="18"/>
      <c r="W195" s="17" t="str">
        <f>+CONCATENATE(E195,".",F195,"\",G195,".",H195,":",I195)</f>
        <v>2.1\0.6:9</v>
      </c>
      <c r="X195" s="17" t="s">
        <v>853</v>
      </c>
      <c r="Y195" s="17" t="s">
        <v>289</v>
      </c>
      <c r="Z195" s="18" t="s">
        <v>852</v>
      </c>
      <c r="AA195" s="46"/>
      <c r="AC195" s="19"/>
      <c r="AH195" s="64" t="str">
        <f>+AH194</f>
        <v>F6</v>
      </c>
      <c r="AI195" s="39" t="s">
        <v>159</v>
      </c>
      <c r="AJ195" s="39" t="s">
        <v>708</v>
      </c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</row>
    <row r="196" spans="1:53" s="17" customFormat="1" ht="14.5" x14ac:dyDescent="0.35">
      <c r="A196" s="63" t="str">
        <f>A195</f>
        <v>BSR132</v>
      </c>
      <c r="B196" s="18" t="str">
        <f>+B195</f>
        <v>DX01</v>
      </c>
      <c r="C196" s="18" t="str">
        <f>+C195</f>
        <v>DIO1</v>
      </c>
      <c r="D196" s="84">
        <f>+D195</f>
        <v>132</v>
      </c>
      <c r="E196" s="84">
        <v>2</v>
      </c>
      <c r="F196" s="84">
        <f>+F195</f>
        <v>1</v>
      </c>
      <c r="G196" s="84">
        <v>0</v>
      </c>
      <c r="H196" s="200">
        <f>+H195</f>
        <v>6</v>
      </c>
      <c r="I196" s="187">
        <f>+I195+1</f>
        <v>10</v>
      </c>
      <c r="J196" s="205"/>
      <c r="K196" s="79"/>
      <c r="L196" s="17" t="s">
        <v>323</v>
      </c>
      <c r="N196" s="17">
        <v>3</v>
      </c>
      <c r="O196" s="59" t="s">
        <v>854</v>
      </c>
      <c r="P196" s="17" t="s">
        <v>646</v>
      </c>
      <c r="R196" s="19" t="s">
        <v>786</v>
      </c>
      <c r="S196" s="17" t="s">
        <v>247</v>
      </c>
      <c r="T196" s="97" t="s">
        <v>624</v>
      </c>
      <c r="U196" s="97" t="s">
        <v>854</v>
      </c>
      <c r="V196" s="18"/>
      <c r="W196" s="17" t="str">
        <f>+CONCATENATE(E196,".",F196,"\",G196,".",H196,":",I196)</f>
        <v>2.1\0.6:10</v>
      </c>
      <c r="X196" s="17" t="s">
        <v>853</v>
      </c>
      <c r="Y196" s="17" t="s">
        <v>289</v>
      </c>
      <c r="Z196" s="18" t="s">
        <v>852</v>
      </c>
      <c r="AA196" s="46"/>
      <c r="AC196" s="19"/>
      <c r="AH196" s="64" t="str">
        <f>+AH195</f>
        <v>F6</v>
      </c>
      <c r="AI196" s="39" t="s">
        <v>154</v>
      </c>
      <c r="AJ196" s="39" t="s">
        <v>153</v>
      </c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</row>
    <row r="197" spans="1:53" s="17" customFormat="1" ht="14.5" x14ac:dyDescent="0.35">
      <c r="A197" s="63" t="str">
        <f>A196</f>
        <v>BSR132</v>
      </c>
      <c r="B197" s="18" t="str">
        <f>+B196</f>
        <v>DX01</v>
      </c>
      <c r="C197" s="18" t="str">
        <f>+C196</f>
        <v>DIO1</v>
      </c>
      <c r="D197" s="84">
        <f>+D196</f>
        <v>132</v>
      </c>
      <c r="E197" s="84">
        <v>2</v>
      </c>
      <c r="F197" s="84">
        <f>+F196</f>
        <v>1</v>
      </c>
      <c r="G197" s="84">
        <v>0</v>
      </c>
      <c r="H197" s="200">
        <f>+H196</f>
        <v>6</v>
      </c>
      <c r="I197" s="187">
        <f>+I196+1</f>
        <v>11</v>
      </c>
      <c r="J197" s="205"/>
      <c r="K197" s="79"/>
      <c r="L197" s="17" t="s">
        <v>323</v>
      </c>
      <c r="N197" s="17">
        <v>3</v>
      </c>
      <c r="O197" s="59" t="s">
        <v>854</v>
      </c>
      <c r="P197" s="97" t="s">
        <v>433</v>
      </c>
      <c r="Q197" s="97"/>
      <c r="R197" s="97" t="s">
        <v>786</v>
      </c>
      <c r="S197" s="97" t="s">
        <v>427</v>
      </c>
      <c r="T197" s="97" t="s">
        <v>624</v>
      </c>
      <c r="U197" s="97" t="s">
        <v>854</v>
      </c>
      <c r="V197" s="18"/>
      <c r="W197" s="17" t="str">
        <f>+CONCATENATE(E197,".",F197,"\",G197,".",H197,":",I197)</f>
        <v>2.1\0.6:11</v>
      </c>
      <c r="X197" s="17" t="s">
        <v>853</v>
      </c>
      <c r="Y197" s="17" t="s">
        <v>289</v>
      </c>
      <c r="Z197" s="18" t="s">
        <v>852</v>
      </c>
      <c r="AA197" s="46"/>
      <c r="AC197" s="19"/>
      <c r="AH197" s="64" t="str">
        <f>+AH196</f>
        <v>F6</v>
      </c>
      <c r="AI197" s="39" t="s">
        <v>152</v>
      </c>
      <c r="AJ197" s="39" t="s">
        <v>707</v>
      </c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</row>
    <row r="198" spans="1:53" s="17" customFormat="1" ht="14.5" x14ac:dyDescent="0.35">
      <c r="A198" s="63" t="str">
        <f>A197</f>
        <v>BSR132</v>
      </c>
      <c r="B198" s="18" t="str">
        <f>+B197</f>
        <v>DX01</v>
      </c>
      <c r="C198" s="18" t="str">
        <f>+C197</f>
        <v>DIO1</v>
      </c>
      <c r="D198" s="84">
        <f>+D197</f>
        <v>132</v>
      </c>
      <c r="E198" s="84">
        <v>2</v>
      </c>
      <c r="F198" s="84">
        <f>+F197</f>
        <v>1</v>
      </c>
      <c r="G198" s="84">
        <v>0</v>
      </c>
      <c r="H198" s="200">
        <f>+H197</f>
        <v>6</v>
      </c>
      <c r="I198" s="187">
        <f>+I197+1</f>
        <v>12</v>
      </c>
      <c r="J198" s="205"/>
      <c r="K198" s="79"/>
      <c r="L198" s="17" t="s">
        <v>323</v>
      </c>
      <c r="N198" s="17">
        <v>3</v>
      </c>
      <c r="O198" s="59" t="s">
        <v>851</v>
      </c>
      <c r="P198" s="97" t="s">
        <v>770</v>
      </c>
      <c r="Q198" s="97"/>
      <c r="R198" s="97" t="s">
        <v>769</v>
      </c>
      <c r="S198" s="97" t="s">
        <v>211</v>
      </c>
      <c r="T198" s="103" t="s">
        <v>768</v>
      </c>
      <c r="U198" s="97" t="s">
        <v>851</v>
      </c>
      <c r="V198" s="18"/>
      <c r="W198" s="17" t="str">
        <f>+CONCATENATE(E198,".",F198,"\",G198,".",H198,":",I198)</f>
        <v>2.1\0.6:12</v>
      </c>
      <c r="X198" s="17" t="s">
        <v>850</v>
      </c>
      <c r="Y198" s="17" t="s">
        <v>289</v>
      </c>
      <c r="Z198" s="18" t="s">
        <v>849</v>
      </c>
      <c r="AA198" s="46"/>
      <c r="AC198" s="19"/>
      <c r="AH198" s="64" t="str">
        <f>+AH197</f>
        <v>F6</v>
      </c>
      <c r="AI198" s="39" t="s">
        <v>150</v>
      </c>
      <c r="AJ198" s="39" t="s">
        <v>149</v>
      </c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</row>
    <row r="199" spans="1:53" s="17" customFormat="1" ht="14.5" x14ac:dyDescent="0.35">
      <c r="A199" s="63" t="str">
        <f>A198</f>
        <v>BSR132</v>
      </c>
      <c r="B199" s="18" t="str">
        <f>+B198</f>
        <v>DX01</v>
      </c>
      <c r="C199" s="18" t="str">
        <f>+C198</f>
        <v>DIO1</v>
      </c>
      <c r="D199" s="84">
        <f>+D198</f>
        <v>132</v>
      </c>
      <c r="E199" s="84">
        <v>2</v>
      </c>
      <c r="F199" s="84">
        <f>+F198</f>
        <v>1</v>
      </c>
      <c r="G199" s="84">
        <v>0</v>
      </c>
      <c r="H199" s="200">
        <f>+H198</f>
        <v>6</v>
      </c>
      <c r="I199" s="187">
        <f>+I198+1</f>
        <v>13</v>
      </c>
      <c r="J199" s="205"/>
      <c r="K199" s="79"/>
      <c r="L199" s="17" t="s">
        <v>323</v>
      </c>
      <c r="N199" s="17">
        <v>3</v>
      </c>
      <c r="O199" s="59" t="s">
        <v>851</v>
      </c>
      <c r="P199" s="17" t="s">
        <v>646</v>
      </c>
      <c r="R199" s="17" t="s">
        <v>786</v>
      </c>
      <c r="S199" s="17" t="s">
        <v>247</v>
      </c>
      <c r="T199" s="97" t="s">
        <v>624</v>
      </c>
      <c r="U199" s="17" t="s">
        <v>851</v>
      </c>
      <c r="V199" s="18"/>
      <c r="W199" s="17" t="str">
        <f>+CONCATENATE(E199,".",F199,"\",G199,".",H199,":",I199)</f>
        <v>2.1\0.6:13</v>
      </c>
      <c r="X199" s="17" t="s">
        <v>850</v>
      </c>
      <c r="Y199" s="17" t="s">
        <v>289</v>
      </c>
      <c r="Z199" s="18" t="s">
        <v>849</v>
      </c>
      <c r="AA199" s="46"/>
      <c r="AC199" s="19"/>
      <c r="AH199" s="64" t="str">
        <f>+AH198</f>
        <v>F6</v>
      </c>
      <c r="AI199" s="39" t="s">
        <v>148</v>
      </c>
      <c r="AJ199" s="39" t="s">
        <v>703</v>
      </c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</row>
    <row r="200" spans="1:53" s="17" customFormat="1" ht="14.5" x14ac:dyDescent="0.35">
      <c r="A200" s="63" t="str">
        <f>A199</f>
        <v>BSR132</v>
      </c>
      <c r="B200" s="18" t="str">
        <f>+B199</f>
        <v>DX01</v>
      </c>
      <c r="C200" s="18" t="str">
        <f>+C199</f>
        <v>DIO1</v>
      </c>
      <c r="D200" s="84">
        <f>+D199</f>
        <v>132</v>
      </c>
      <c r="E200" s="84">
        <v>2</v>
      </c>
      <c r="F200" s="84">
        <f>+F199</f>
        <v>1</v>
      </c>
      <c r="G200" s="84">
        <v>0</v>
      </c>
      <c r="H200" s="200">
        <f>+H199</f>
        <v>6</v>
      </c>
      <c r="I200" s="187">
        <f>+I199+1</f>
        <v>14</v>
      </c>
      <c r="J200" s="205"/>
      <c r="K200" s="79"/>
      <c r="L200" s="17" t="s">
        <v>323</v>
      </c>
      <c r="N200" s="17">
        <v>3</v>
      </c>
      <c r="O200" s="59" t="s">
        <v>851</v>
      </c>
      <c r="P200" s="17" t="s">
        <v>433</v>
      </c>
      <c r="R200" s="17" t="s">
        <v>786</v>
      </c>
      <c r="S200" s="17" t="s">
        <v>427</v>
      </c>
      <c r="T200" s="97" t="s">
        <v>624</v>
      </c>
      <c r="U200" s="17" t="s">
        <v>851</v>
      </c>
      <c r="V200" s="18"/>
      <c r="W200" s="17" t="str">
        <f>+CONCATENATE(E200,".",F200,"\",G200,".",H200,":",I200)</f>
        <v>2.1\0.6:14</v>
      </c>
      <c r="X200" s="17" t="s">
        <v>850</v>
      </c>
      <c r="Y200" s="17" t="s">
        <v>289</v>
      </c>
      <c r="Z200" s="18" t="s">
        <v>849</v>
      </c>
      <c r="AA200" s="46"/>
      <c r="AC200" s="19"/>
      <c r="AH200" s="64" t="str">
        <f>+AH199</f>
        <v>F6</v>
      </c>
      <c r="AI200" s="39" t="s">
        <v>144</v>
      </c>
      <c r="AJ200" s="39" t="s">
        <v>143</v>
      </c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</row>
    <row r="201" spans="1:53" s="17" customFormat="1" ht="14.5" x14ac:dyDescent="0.35">
      <c r="A201" s="63" t="str">
        <f>A200</f>
        <v>BSR132</v>
      </c>
      <c r="B201" s="18" t="str">
        <f>+B200</f>
        <v>DX01</v>
      </c>
      <c r="C201" s="18" t="str">
        <f>+C200</f>
        <v>DIO1</v>
      </c>
      <c r="D201" s="84">
        <f>+D200</f>
        <v>132</v>
      </c>
      <c r="E201" s="84">
        <v>2</v>
      </c>
      <c r="F201" s="84">
        <f>+F200</f>
        <v>1</v>
      </c>
      <c r="G201" s="84">
        <v>0</v>
      </c>
      <c r="H201" s="200">
        <f>+H200</f>
        <v>6</v>
      </c>
      <c r="I201" s="187">
        <f>+I200+1</f>
        <v>15</v>
      </c>
      <c r="J201" s="205"/>
      <c r="K201" s="79"/>
      <c r="L201" s="17" t="s">
        <v>323</v>
      </c>
      <c r="O201" s="59"/>
      <c r="R201" s="17" t="s">
        <v>127</v>
      </c>
      <c r="S201" s="17" t="s">
        <v>127</v>
      </c>
      <c r="V201" s="18"/>
      <c r="W201" s="17" t="str">
        <f>+CONCATENATE(E201,".",F201,"\",G201,".",H201,":",I201)</f>
        <v>2.1\0.6:15</v>
      </c>
      <c r="Y201" s="33"/>
      <c r="Z201" s="18"/>
      <c r="AA201" s="46"/>
      <c r="AC201" s="19"/>
      <c r="AH201" s="64" t="str">
        <f>+AH200</f>
        <v>F6</v>
      </c>
      <c r="AI201" s="39" t="s">
        <v>142</v>
      </c>
      <c r="AJ201" s="39" t="s">
        <v>699</v>
      </c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</row>
    <row r="202" spans="1:53" s="17" customFormat="1" ht="14.5" x14ac:dyDescent="0.35">
      <c r="A202" s="63" t="str">
        <f>A201</f>
        <v>BSR132</v>
      </c>
      <c r="B202" s="18" t="str">
        <f>+B201</f>
        <v>DX01</v>
      </c>
      <c r="C202" s="18" t="str">
        <f>+C201</f>
        <v>DIO1</v>
      </c>
      <c r="D202" s="84">
        <f>+D201</f>
        <v>132</v>
      </c>
      <c r="E202" s="84">
        <v>2</v>
      </c>
      <c r="F202" s="84">
        <f>+F201</f>
        <v>1</v>
      </c>
      <c r="G202" s="84">
        <v>0</v>
      </c>
      <c r="H202" s="200">
        <f>+H201</f>
        <v>6</v>
      </c>
      <c r="I202" s="187">
        <f>+I201+1</f>
        <v>16</v>
      </c>
      <c r="J202" s="205"/>
      <c r="K202" s="18"/>
      <c r="L202" s="17" t="s">
        <v>323</v>
      </c>
      <c r="O202" s="59"/>
      <c r="R202" s="17" t="s">
        <v>127</v>
      </c>
      <c r="S202" s="17" t="s">
        <v>127</v>
      </c>
      <c r="V202" s="18"/>
      <c r="W202" s="17" t="str">
        <f>+CONCATENATE(E202,".",F202,"\",G202,".",H202,":",I202)</f>
        <v>2.1\0.6:16</v>
      </c>
      <c r="Y202" s="33"/>
      <c r="Z202" s="18"/>
      <c r="AA202" s="46"/>
      <c r="AC202" s="19"/>
      <c r="AH202" s="64" t="str">
        <f>+AH201</f>
        <v>F6</v>
      </c>
      <c r="AI202" s="39" t="s">
        <v>137</v>
      </c>
      <c r="AJ202" s="39" t="s">
        <v>136</v>
      </c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</row>
    <row r="203" spans="1:53" s="17" customFormat="1" ht="14.5" x14ac:dyDescent="0.35">
      <c r="A203" s="63" t="str">
        <f>A202</f>
        <v>BSR132</v>
      </c>
      <c r="B203" s="18" t="str">
        <f>+B202</f>
        <v>DX01</v>
      </c>
      <c r="C203" s="18" t="str">
        <f>+C202</f>
        <v>DIO1</v>
      </c>
      <c r="D203" s="84">
        <f>+D202</f>
        <v>132</v>
      </c>
      <c r="E203" s="84">
        <v>2</v>
      </c>
      <c r="F203" s="84">
        <f>+F202</f>
        <v>1</v>
      </c>
      <c r="G203" s="84">
        <v>0</v>
      </c>
      <c r="H203" s="200">
        <f>+H202</f>
        <v>6</v>
      </c>
      <c r="I203" s="187">
        <f>+I202+1</f>
        <v>17</v>
      </c>
      <c r="J203" s="205"/>
      <c r="K203" s="79"/>
      <c r="L203" s="17" t="s">
        <v>323</v>
      </c>
      <c r="N203" s="17">
        <v>5</v>
      </c>
      <c r="O203" s="59" t="s">
        <v>179</v>
      </c>
      <c r="P203" s="17" t="s">
        <v>770</v>
      </c>
      <c r="R203" s="17" t="s">
        <v>769</v>
      </c>
      <c r="S203" s="17" t="s">
        <v>211</v>
      </c>
      <c r="T203" s="17" t="s">
        <v>848</v>
      </c>
      <c r="U203" s="17" t="s">
        <v>739</v>
      </c>
      <c r="V203" s="18"/>
      <c r="W203" s="17" t="str">
        <f>+CONCATENATE(E203,".",F203,"\",G203,".",H203,":",I203)</f>
        <v>2.1\0.6:17</v>
      </c>
      <c r="X203" s="17" t="s">
        <v>800</v>
      </c>
      <c r="Y203" s="17">
        <v>0</v>
      </c>
      <c r="Z203" s="18"/>
      <c r="AA203" s="46"/>
      <c r="AC203" s="19"/>
      <c r="AH203" s="64" t="str">
        <f>+AH202</f>
        <v>F6</v>
      </c>
      <c r="AI203" s="39" t="s">
        <v>135</v>
      </c>
      <c r="AJ203" s="39" t="s">
        <v>740</v>
      </c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</row>
    <row r="204" spans="1:53" s="17" customFormat="1" ht="14.5" x14ac:dyDescent="0.35">
      <c r="A204" s="63" t="str">
        <f>A203</f>
        <v>BSR132</v>
      </c>
      <c r="B204" s="18" t="str">
        <f>+B203</f>
        <v>DX01</v>
      </c>
      <c r="C204" s="18" t="str">
        <f>+C203</f>
        <v>DIO1</v>
      </c>
      <c r="D204" s="84">
        <f>+D203</f>
        <v>132</v>
      </c>
      <c r="E204" s="84">
        <v>2</v>
      </c>
      <c r="F204" s="84">
        <f>+F203</f>
        <v>1</v>
      </c>
      <c r="G204" s="84">
        <v>0</v>
      </c>
      <c r="H204" s="200">
        <f>+H203</f>
        <v>6</v>
      </c>
      <c r="I204" s="187">
        <f>+I203+1</f>
        <v>18</v>
      </c>
      <c r="J204" s="205"/>
      <c r="K204" s="79"/>
      <c r="L204" s="17" t="s">
        <v>323</v>
      </c>
      <c r="N204" s="17">
        <v>5</v>
      </c>
      <c r="O204" s="59" t="s">
        <v>179</v>
      </c>
      <c r="P204" s="17" t="s">
        <v>687</v>
      </c>
      <c r="R204" s="17" t="s">
        <v>845</v>
      </c>
      <c r="S204" s="17" t="s">
        <v>211</v>
      </c>
      <c r="T204" s="221" t="s">
        <v>844</v>
      </c>
      <c r="U204" s="17" t="s">
        <v>739</v>
      </c>
      <c r="V204" s="18"/>
      <c r="W204" s="17" t="str">
        <f>+CONCATENATE(E204,".",F204,"\",G204,".",H204,":",I204)</f>
        <v>2.1\0.6:18</v>
      </c>
      <c r="X204" s="17" t="s">
        <v>720</v>
      </c>
      <c r="Y204" s="17" t="s">
        <v>289</v>
      </c>
      <c r="Z204" s="18" t="s">
        <v>173</v>
      </c>
      <c r="AA204" s="46"/>
      <c r="AC204" s="19"/>
      <c r="AH204" s="64" t="str">
        <f>+AH203</f>
        <v>F6</v>
      </c>
      <c r="AI204" s="39" t="s">
        <v>134</v>
      </c>
      <c r="AJ204" s="39" t="s">
        <v>133</v>
      </c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</row>
    <row r="205" spans="1:53" s="17" customFormat="1" ht="14.5" x14ac:dyDescent="0.35">
      <c r="A205" s="63" t="str">
        <f>A204</f>
        <v>BSR132</v>
      </c>
      <c r="B205" s="18" t="str">
        <f>+B204</f>
        <v>DX01</v>
      </c>
      <c r="C205" s="18" t="str">
        <f>+C204</f>
        <v>DIO1</v>
      </c>
      <c r="D205" s="84">
        <f>+D204</f>
        <v>132</v>
      </c>
      <c r="E205" s="84">
        <v>2</v>
      </c>
      <c r="F205" s="84">
        <f>+F204</f>
        <v>1</v>
      </c>
      <c r="G205" s="84">
        <v>0</v>
      </c>
      <c r="H205" s="200">
        <f>+H204</f>
        <v>6</v>
      </c>
      <c r="I205" s="187">
        <f>+I204+1</f>
        <v>19</v>
      </c>
      <c r="J205" s="205"/>
      <c r="K205" s="79"/>
      <c r="L205" s="17" t="s">
        <v>323</v>
      </c>
      <c r="N205" s="17">
        <v>5</v>
      </c>
      <c r="O205" s="59" t="s">
        <v>179</v>
      </c>
      <c r="P205" s="17" t="s">
        <v>843</v>
      </c>
      <c r="R205" s="17" t="s">
        <v>842</v>
      </c>
      <c r="S205" s="17" t="s">
        <v>247</v>
      </c>
      <c r="T205" s="220" t="s">
        <v>841</v>
      </c>
      <c r="U205" s="17" t="s">
        <v>739</v>
      </c>
      <c r="V205" s="212"/>
      <c r="W205" s="17" t="str">
        <f>+CONCATENATE(E205,".",F205,"\",G205,".",H205,":",I205)</f>
        <v>2.1\0.6:19</v>
      </c>
      <c r="X205" s="17" t="s">
        <v>720</v>
      </c>
      <c r="Y205" s="17" t="s">
        <v>289</v>
      </c>
      <c r="Z205" s="18" t="s">
        <v>173</v>
      </c>
      <c r="AA205" s="46"/>
      <c r="AC205" s="19"/>
      <c r="AH205" s="64" t="str">
        <f>+AH204</f>
        <v>F6</v>
      </c>
      <c r="AI205" s="39" t="s">
        <v>132</v>
      </c>
      <c r="AJ205" s="39" t="s">
        <v>738</v>
      </c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</row>
    <row r="206" spans="1:53" s="17" customFormat="1" ht="14.5" x14ac:dyDescent="0.35">
      <c r="A206" s="63" t="str">
        <f>A205</f>
        <v>BSR132</v>
      </c>
      <c r="B206" s="18" t="str">
        <f>+B205</f>
        <v>DX01</v>
      </c>
      <c r="C206" s="18" t="str">
        <f>+C205</f>
        <v>DIO1</v>
      </c>
      <c r="D206" s="84">
        <f>+D205</f>
        <v>132</v>
      </c>
      <c r="E206" s="84">
        <v>2</v>
      </c>
      <c r="F206" s="84">
        <f>+F205</f>
        <v>1</v>
      </c>
      <c r="G206" s="84">
        <v>0</v>
      </c>
      <c r="H206" s="200">
        <f>+H205</f>
        <v>6</v>
      </c>
      <c r="I206" s="187">
        <f>+I205+1</f>
        <v>20</v>
      </c>
      <c r="J206" s="205"/>
      <c r="K206" s="79"/>
      <c r="L206" s="17" t="s">
        <v>323</v>
      </c>
      <c r="N206" s="17">
        <v>3</v>
      </c>
      <c r="O206" s="59"/>
      <c r="V206" s="97"/>
      <c r="Z206" s="18"/>
      <c r="AA206" s="46"/>
      <c r="AC206" s="19"/>
      <c r="AH206" s="64" t="str">
        <f>+AH205</f>
        <v>F6</v>
      </c>
      <c r="AI206" s="39" t="s">
        <v>130</v>
      </c>
      <c r="AJ206" s="39" t="s">
        <v>129</v>
      </c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</row>
    <row r="207" spans="1:53" s="17" customFormat="1" ht="14.5" x14ac:dyDescent="0.35">
      <c r="A207" s="63" t="str">
        <f>A206</f>
        <v>BSR132</v>
      </c>
      <c r="B207" s="18" t="str">
        <f>+B206</f>
        <v>DX01</v>
      </c>
      <c r="C207" s="18" t="str">
        <f>+C206</f>
        <v>DIO1</v>
      </c>
      <c r="D207" s="84">
        <f>+D206</f>
        <v>132</v>
      </c>
      <c r="E207" s="84">
        <v>2</v>
      </c>
      <c r="F207" s="84">
        <f>+F206</f>
        <v>1</v>
      </c>
      <c r="G207" s="84">
        <v>0</v>
      </c>
      <c r="H207" s="200">
        <f>+H206</f>
        <v>6</v>
      </c>
      <c r="I207" s="187">
        <f>+I206+1</f>
        <v>21</v>
      </c>
      <c r="J207" s="205"/>
      <c r="K207" s="79"/>
      <c r="L207" s="17" t="s">
        <v>323</v>
      </c>
      <c r="O207" s="59"/>
      <c r="P207" s="97"/>
      <c r="Q207" s="97"/>
      <c r="R207" s="97" t="s">
        <v>127</v>
      </c>
      <c r="S207" s="97" t="s">
        <v>127</v>
      </c>
      <c r="U207" s="103"/>
      <c r="V207" s="97"/>
      <c r="W207" s="17" t="str">
        <f>+CONCATENATE(E207,".",F207,"\",G207,".",H207,":",I207)</f>
        <v>2.1\0.6:21</v>
      </c>
      <c r="Y207" s="33"/>
      <c r="Z207" s="18"/>
      <c r="AA207" s="46"/>
      <c r="AC207" s="19"/>
      <c r="AH207" s="64" t="str">
        <f>+AH206</f>
        <v>F6</v>
      </c>
      <c r="AI207" s="39" t="s">
        <v>128</v>
      </c>
      <c r="AJ207" s="39" t="s">
        <v>737</v>
      </c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</row>
    <row r="208" spans="1:53" s="17" customFormat="1" ht="14.5" x14ac:dyDescent="0.35">
      <c r="A208" s="63" t="str">
        <f>A207</f>
        <v>BSR132</v>
      </c>
      <c r="B208" s="18" t="str">
        <f>+B207</f>
        <v>DX01</v>
      </c>
      <c r="C208" s="18" t="str">
        <f>+C207</f>
        <v>DIO1</v>
      </c>
      <c r="D208" s="84">
        <f>+D207</f>
        <v>132</v>
      </c>
      <c r="E208" s="84">
        <v>2</v>
      </c>
      <c r="F208" s="84">
        <f>+F207</f>
        <v>1</v>
      </c>
      <c r="G208" s="84">
        <v>0</v>
      </c>
      <c r="H208" s="200">
        <f>+H207</f>
        <v>6</v>
      </c>
      <c r="I208" s="187">
        <f>+I207+1</f>
        <v>22</v>
      </c>
      <c r="J208" s="205"/>
      <c r="K208" s="79"/>
      <c r="L208" s="17" t="s">
        <v>323</v>
      </c>
      <c r="N208" s="17">
        <v>5</v>
      </c>
      <c r="O208" s="59" t="s">
        <v>172</v>
      </c>
      <c r="P208" s="97" t="s">
        <v>770</v>
      </c>
      <c r="Q208" s="97"/>
      <c r="R208" s="97" t="s">
        <v>769</v>
      </c>
      <c r="S208" s="97" t="s">
        <v>211</v>
      </c>
      <c r="T208" s="97" t="s">
        <v>847</v>
      </c>
      <c r="U208" s="103" t="s">
        <v>736</v>
      </c>
      <c r="V208" s="97"/>
      <c r="W208" s="17" t="str">
        <f>+CONCATENATE(E208,".",F208,"\",G208,".",H208,":",I208)</f>
        <v>2.1\0.6:22</v>
      </c>
      <c r="X208" s="17" t="s">
        <v>800</v>
      </c>
      <c r="Y208" s="17">
        <v>0</v>
      </c>
      <c r="Z208" s="18"/>
      <c r="AA208" s="46"/>
      <c r="AC208" s="19"/>
      <c r="AH208" s="64" t="str">
        <f>+AH207</f>
        <v>F6</v>
      </c>
      <c r="AI208" s="39" t="s">
        <v>125</v>
      </c>
      <c r="AJ208" s="39" t="s">
        <v>124</v>
      </c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</row>
    <row r="209" spans="1:53" s="17" customFormat="1" ht="14.5" x14ac:dyDescent="0.35">
      <c r="A209" s="63" t="str">
        <f>A208</f>
        <v>BSR132</v>
      </c>
      <c r="B209" s="18" t="str">
        <f>+B208</f>
        <v>DX01</v>
      </c>
      <c r="C209" s="18" t="str">
        <f>+C208</f>
        <v>DIO1</v>
      </c>
      <c r="D209" s="84">
        <f>+D208</f>
        <v>132</v>
      </c>
      <c r="E209" s="84">
        <v>2</v>
      </c>
      <c r="F209" s="84">
        <f>+F208</f>
        <v>1</v>
      </c>
      <c r="G209" s="84">
        <v>0</v>
      </c>
      <c r="H209" s="200">
        <f>+H208</f>
        <v>6</v>
      </c>
      <c r="I209" s="187">
        <f>+I208+1</f>
        <v>23</v>
      </c>
      <c r="J209" s="205"/>
      <c r="K209" s="79"/>
      <c r="L209" s="17" t="s">
        <v>323</v>
      </c>
      <c r="N209" s="17">
        <v>5</v>
      </c>
      <c r="O209" s="59" t="s">
        <v>172</v>
      </c>
      <c r="P209" s="17" t="s">
        <v>687</v>
      </c>
      <c r="R209" s="17" t="s">
        <v>845</v>
      </c>
      <c r="S209" s="17" t="s">
        <v>211</v>
      </c>
      <c r="T209" s="221" t="s">
        <v>844</v>
      </c>
      <c r="U209" s="103" t="s">
        <v>736</v>
      </c>
      <c r="V209" s="97"/>
      <c r="W209" s="17" t="str">
        <f>+CONCATENATE(E209,".",F209,"\",G209,".",H209,":",I209)</f>
        <v>2.1\0.6:23</v>
      </c>
      <c r="X209" s="17" t="s">
        <v>715</v>
      </c>
      <c r="Y209" s="17" t="s">
        <v>289</v>
      </c>
      <c r="Z209" s="18" t="s">
        <v>166</v>
      </c>
      <c r="AA209" s="46"/>
      <c r="AC209" s="19"/>
      <c r="AH209" s="64" t="str">
        <f>+AH208</f>
        <v>F6</v>
      </c>
      <c r="AI209" s="39" t="s">
        <v>123</v>
      </c>
      <c r="AJ209" s="39" t="s">
        <v>735</v>
      </c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</row>
    <row r="210" spans="1:53" s="17" customFormat="1" ht="14.5" x14ac:dyDescent="0.35">
      <c r="A210" s="63" t="str">
        <f>A209</f>
        <v>BSR132</v>
      </c>
      <c r="B210" s="18" t="str">
        <f>+B209</f>
        <v>DX01</v>
      </c>
      <c r="C210" s="18" t="str">
        <f>+C209</f>
        <v>DIO1</v>
      </c>
      <c r="D210" s="84">
        <f>+D209</f>
        <v>132</v>
      </c>
      <c r="E210" s="84">
        <v>2</v>
      </c>
      <c r="F210" s="84">
        <f>+F209</f>
        <v>1</v>
      </c>
      <c r="G210" s="84">
        <v>0</v>
      </c>
      <c r="H210" s="200">
        <f>+H209</f>
        <v>6</v>
      </c>
      <c r="I210" s="187">
        <f>+I209+1</f>
        <v>24</v>
      </c>
      <c r="J210" s="205"/>
      <c r="K210" s="79"/>
      <c r="L210" s="17" t="s">
        <v>323</v>
      </c>
      <c r="N210" s="17">
        <v>5</v>
      </c>
      <c r="O210" s="59" t="s">
        <v>172</v>
      </c>
      <c r="P210" s="97" t="s">
        <v>843</v>
      </c>
      <c r="Q210" s="97"/>
      <c r="R210" s="97" t="s">
        <v>842</v>
      </c>
      <c r="S210" s="97" t="s">
        <v>247</v>
      </c>
      <c r="T210" s="220" t="s">
        <v>841</v>
      </c>
      <c r="U210" s="103" t="s">
        <v>736</v>
      </c>
      <c r="V210" s="97"/>
      <c r="W210" s="17" t="str">
        <f>+CONCATENATE(E210,".",F210,"\",G210,".",H210,":",I210)</f>
        <v>2.1\0.6:24</v>
      </c>
      <c r="X210" s="17" t="s">
        <v>715</v>
      </c>
      <c r="Y210" s="17" t="s">
        <v>289</v>
      </c>
      <c r="Z210" s="18" t="s">
        <v>166</v>
      </c>
      <c r="AA210" s="46"/>
      <c r="AC210" s="19"/>
      <c r="AH210" s="64" t="str">
        <f>+AH209</f>
        <v>F6</v>
      </c>
      <c r="AI210" s="39" t="s">
        <v>120</v>
      </c>
      <c r="AJ210" s="39" t="s">
        <v>119</v>
      </c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</row>
    <row r="211" spans="1:53" s="17" customFormat="1" ht="14.5" x14ac:dyDescent="0.35">
      <c r="A211" s="63" t="str">
        <f>A210</f>
        <v>BSR132</v>
      </c>
      <c r="B211" s="18" t="str">
        <f>+B210</f>
        <v>DX01</v>
      </c>
      <c r="C211" s="18" t="str">
        <f>+C210</f>
        <v>DIO1</v>
      </c>
      <c r="D211" s="84">
        <f>+D210</f>
        <v>132</v>
      </c>
      <c r="E211" s="84">
        <v>2</v>
      </c>
      <c r="F211" s="84">
        <f>+F210</f>
        <v>1</v>
      </c>
      <c r="G211" s="84">
        <v>0</v>
      </c>
      <c r="H211" s="200">
        <f>+H210</f>
        <v>6</v>
      </c>
      <c r="I211" s="187">
        <f>+I210+1</f>
        <v>25</v>
      </c>
      <c r="J211" s="205"/>
      <c r="K211" s="79"/>
      <c r="L211" s="17" t="s">
        <v>323</v>
      </c>
      <c r="N211" s="17">
        <v>3</v>
      </c>
      <c r="O211" s="59"/>
      <c r="P211" s="97"/>
      <c r="Q211" s="97"/>
      <c r="R211" s="97"/>
      <c r="S211" s="97"/>
      <c r="T211" s="103"/>
      <c r="V211" s="216"/>
      <c r="Z211" s="18"/>
      <c r="AA211" s="46"/>
      <c r="AC211" s="19"/>
      <c r="AH211" s="64" t="str">
        <f>+AH210</f>
        <v>F6</v>
      </c>
      <c r="AI211" s="39" t="s">
        <v>118</v>
      </c>
      <c r="AJ211" s="39" t="s">
        <v>730</v>
      </c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</row>
    <row r="212" spans="1:53" s="17" customFormat="1" ht="14.5" x14ac:dyDescent="0.35">
      <c r="A212" s="63" t="str">
        <f>A211</f>
        <v>BSR132</v>
      </c>
      <c r="B212" s="18" t="str">
        <f>+B211</f>
        <v>DX01</v>
      </c>
      <c r="C212" s="18" t="str">
        <f>+C211</f>
        <v>DIO1</v>
      </c>
      <c r="D212" s="84">
        <f>+D211</f>
        <v>132</v>
      </c>
      <c r="E212" s="84">
        <v>2</v>
      </c>
      <c r="F212" s="84">
        <f>+F211</f>
        <v>1</v>
      </c>
      <c r="G212" s="84">
        <v>0</v>
      </c>
      <c r="H212" s="200">
        <f>+H211</f>
        <v>6</v>
      </c>
      <c r="I212" s="187">
        <f>+I211+1</f>
        <v>26</v>
      </c>
      <c r="J212" s="205"/>
      <c r="K212" s="79"/>
      <c r="L212" s="17" t="s">
        <v>323</v>
      </c>
      <c r="O212" s="59"/>
      <c r="P212" s="97"/>
      <c r="Q212" s="97"/>
      <c r="R212" s="97" t="s">
        <v>127</v>
      </c>
      <c r="S212" s="97" t="s">
        <v>127</v>
      </c>
      <c r="T212" s="103"/>
      <c r="W212" s="17" t="str">
        <f>+CONCATENATE(E212,".",F212,"\",G212,".",H212,":",I212)</f>
        <v>2.1\0.6:26</v>
      </c>
      <c r="Z212" s="18"/>
      <c r="AA212" s="46"/>
      <c r="AC212" s="19"/>
      <c r="AH212" s="64" t="str">
        <f>+AH211</f>
        <v>F6</v>
      </c>
      <c r="AI212" s="39" t="s">
        <v>114</v>
      </c>
      <c r="AJ212" s="39" t="s">
        <v>113</v>
      </c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</row>
    <row r="213" spans="1:53" s="17" customFormat="1" ht="14.5" x14ac:dyDescent="0.35">
      <c r="A213" s="63" t="str">
        <f>A212</f>
        <v>BSR132</v>
      </c>
      <c r="B213" s="18" t="str">
        <f>+B212</f>
        <v>DX01</v>
      </c>
      <c r="C213" s="18" t="str">
        <f>+C212</f>
        <v>DIO1</v>
      </c>
      <c r="D213" s="84">
        <f>+D212</f>
        <v>132</v>
      </c>
      <c r="E213" s="84">
        <v>2</v>
      </c>
      <c r="F213" s="84">
        <f>+F212</f>
        <v>1</v>
      </c>
      <c r="G213" s="84">
        <v>0</v>
      </c>
      <c r="H213" s="200">
        <f>+H212</f>
        <v>6</v>
      </c>
      <c r="I213" s="187">
        <f>+I212+1</f>
        <v>27</v>
      </c>
      <c r="J213" s="205"/>
      <c r="K213" s="79"/>
      <c r="L213" s="17" t="s">
        <v>323</v>
      </c>
      <c r="N213" s="17">
        <v>5</v>
      </c>
      <c r="O213" s="59" t="s">
        <v>164</v>
      </c>
      <c r="P213" s="97" t="s">
        <v>770</v>
      </c>
      <c r="Q213" s="97"/>
      <c r="R213" s="97" t="s">
        <v>769</v>
      </c>
      <c r="S213" s="97" t="s">
        <v>211</v>
      </c>
      <c r="T213" s="97" t="s">
        <v>846</v>
      </c>
      <c r="U213" s="103" t="s">
        <v>727</v>
      </c>
      <c r="W213" s="17" t="str">
        <f>+CONCATENATE(E213,".",F213,"\",G213,".",H213,":",I213)</f>
        <v>2.1\0.6:27</v>
      </c>
      <c r="X213" s="17" t="s">
        <v>800</v>
      </c>
      <c r="Y213" s="17">
        <v>0</v>
      </c>
      <c r="Z213" s="18"/>
      <c r="AA213" s="46"/>
      <c r="AC213" s="19"/>
      <c r="AH213" s="64" t="str">
        <f>+AH212</f>
        <v>F6</v>
      </c>
      <c r="AI213" s="39" t="s">
        <v>112</v>
      </c>
      <c r="AJ213" s="39" t="s">
        <v>726</v>
      </c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</row>
    <row r="214" spans="1:53" s="17" customFormat="1" ht="14.5" x14ac:dyDescent="0.35">
      <c r="A214" s="63" t="str">
        <f>A213</f>
        <v>BSR132</v>
      </c>
      <c r="B214" s="18" t="str">
        <f>+B213</f>
        <v>DX01</v>
      </c>
      <c r="C214" s="18" t="str">
        <f>+C213</f>
        <v>DIO1</v>
      </c>
      <c r="D214" s="84">
        <f>+D213</f>
        <v>132</v>
      </c>
      <c r="E214" s="84">
        <v>2</v>
      </c>
      <c r="F214" s="84">
        <f>+F213</f>
        <v>1</v>
      </c>
      <c r="G214" s="84">
        <v>0</v>
      </c>
      <c r="H214" s="200">
        <f>+H213</f>
        <v>6</v>
      </c>
      <c r="I214" s="187">
        <f>+I213+1</f>
        <v>28</v>
      </c>
      <c r="J214" s="205"/>
      <c r="K214" s="79"/>
      <c r="L214" s="17" t="s">
        <v>323</v>
      </c>
      <c r="N214" s="17">
        <v>5</v>
      </c>
      <c r="O214" s="59" t="s">
        <v>164</v>
      </c>
      <c r="P214" s="17" t="s">
        <v>687</v>
      </c>
      <c r="R214" s="17" t="s">
        <v>845</v>
      </c>
      <c r="S214" s="17" t="s">
        <v>211</v>
      </c>
      <c r="T214" s="221" t="s">
        <v>844</v>
      </c>
      <c r="U214" s="103" t="s">
        <v>727</v>
      </c>
      <c r="W214" s="17" t="str">
        <f>+CONCATENATE(E214,".",F214,"\",G214,".",H214,":",I214)</f>
        <v>2.1\0.6:28</v>
      </c>
      <c r="X214" s="17" t="s">
        <v>712</v>
      </c>
      <c r="Y214" s="17" t="s">
        <v>289</v>
      </c>
      <c r="Z214" s="18" t="s">
        <v>158</v>
      </c>
      <c r="AA214" s="46"/>
      <c r="AC214" s="19"/>
      <c r="AH214" s="64" t="str">
        <f>+AH213</f>
        <v>F6</v>
      </c>
      <c r="AI214" s="39" t="s">
        <v>109</v>
      </c>
      <c r="AJ214" s="39" t="s">
        <v>108</v>
      </c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</row>
    <row r="215" spans="1:53" s="17" customFormat="1" ht="14.5" x14ac:dyDescent="0.35">
      <c r="A215" s="63" t="str">
        <f>A214</f>
        <v>BSR132</v>
      </c>
      <c r="B215" s="18" t="str">
        <f>+B214</f>
        <v>DX01</v>
      </c>
      <c r="C215" s="18" t="str">
        <f>+C214</f>
        <v>DIO1</v>
      </c>
      <c r="D215" s="84">
        <f>+D214</f>
        <v>132</v>
      </c>
      <c r="E215" s="84">
        <v>2</v>
      </c>
      <c r="F215" s="84">
        <f>+F214</f>
        <v>1</v>
      </c>
      <c r="G215" s="84">
        <v>0</v>
      </c>
      <c r="H215" s="200">
        <f>+H214</f>
        <v>6</v>
      </c>
      <c r="I215" s="187">
        <f>+I214+1</f>
        <v>29</v>
      </c>
      <c r="J215" s="205"/>
      <c r="K215" s="79"/>
      <c r="L215" s="17" t="s">
        <v>323</v>
      </c>
      <c r="N215" s="17">
        <v>5</v>
      </c>
      <c r="O215" s="59" t="s">
        <v>164</v>
      </c>
      <c r="P215" s="97" t="s">
        <v>843</v>
      </c>
      <c r="Q215" s="97"/>
      <c r="R215" s="97" t="s">
        <v>842</v>
      </c>
      <c r="S215" s="97" t="s">
        <v>247</v>
      </c>
      <c r="T215" s="220" t="s">
        <v>841</v>
      </c>
      <c r="U215" s="103" t="s">
        <v>727</v>
      </c>
      <c r="V215" s="18"/>
      <c r="W215" s="17" t="str">
        <f>+CONCATENATE(E215,".",F215,"\",G215,".",H215,":",I215)</f>
        <v>2.1\0.6:29</v>
      </c>
      <c r="X215" s="17" t="s">
        <v>712</v>
      </c>
      <c r="Y215" s="17" t="s">
        <v>289</v>
      </c>
      <c r="Z215" s="18" t="s">
        <v>158</v>
      </c>
      <c r="AA215" s="46"/>
      <c r="AC215" s="19"/>
      <c r="AH215" s="64" t="str">
        <f>+AH214</f>
        <v>F6</v>
      </c>
      <c r="AI215" s="39" t="s">
        <v>107</v>
      </c>
      <c r="AJ215" s="39" t="s">
        <v>725</v>
      </c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</row>
    <row r="216" spans="1:53" s="17" customFormat="1" ht="14.5" x14ac:dyDescent="0.35">
      <c r="A216" s="63" t="str">
        <f>A215</f>
        <v>BSR132</v>
      </c>
      <c r="B216" s="18" t="str">
        <f>+B215</f>
        <v>DX01</v>
      </c>
      <c r="C216" s="18" t="str">
        <f>+C215</f>
        <v>DIO1</v>
      </c>
      <c r="D216" s="84">
        <f>+D215</f>
        <v>132</v>
      </c>
      <c r="E216" s="84">
        <v>2</v>
      </c>
      <c r="F216" s="84">
        <f>+F215</f>
        <v>1</v>
      </c>
      <c r="G216" s="84">
        <v>0</v>
      </c>
      <c r="H216" s="200">
        <f>+H215</f>
        <v>6</v>
      </c>
      <c r="I216" s="187">
        <f>+I215+1</f>
        <v>30</v>
      </c>
      <c r="J216" s="205"/>
      <c r="K216" s="79"/>
      <c r="L216" s="17" t="s">
        <v>323</v>
      </c>
      <c r="N216" s="17">
        <v>3</v>
      </c>
      <c r="O216" s="59"/>
      <c r="P216" s="97"/>
      <c r="Q216" s="97"/>
      <c r="R216" s="97"/>
      <c r="S216" s="97"/>
      <c r="T216" s="78"/>
      <c r="V216" s="18"/>
      <c r="Z216" s="18"/>
      <c r="AA216" s="46"/>
      <c r="AC216" s="19"/>
      <c r="AH216" s="64" t="str">
        <f>+AH215</f>
        <v>F6</v>
      </c>
      <c r="AI216" s="39" t="s">
        <v>104</v>
      </c>
      <c r="AJ216" s="39" t="s">
        <v>103</v>
      </c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</row>
    <row r="217" spans="1:53" s="17" customFormat="1" ht="15" thickBot="1" x14ac:dyDescent="0.4">
      <c r="A217" s="63" t="str">
        <f>A216</f>
        <v>BSR132</v>
      </c>
      <c r="B217" s="18" t="str">
        <f>+B216</f>
        <v>DX01</v>
      </c>
      <c r="C217" s="18" t="str">
        <f>+C216</f>
        <v>DIO1</v>
      </c>
      <c r="D217" s="84">
        <f>+D216</f>
        <v>132</v>
      </c>
      <c r="E217" s="84">
        <v>2</v>
      </c>
      <c r="F217" s="84">
        <f>+F216</f>
        <v>1</v>
      </c>
      <c r="G217" s="84">
        <v>0</v>
      </c>
      <c r="H217" s="200">
        <f>+H216</f>
        <v>6</v>
      </c>
      <c r="I217" s="191">
        <f>+I216+1</f>
        <v>31</v>
      </c>
      <c r="J217" s="203"/>
      <c r="K217" s="79"/>
      <c r="L217" s="17" t="s">
        <v>323</v>
      </c>
      <c r="O217" s="219"/>
      <c r="P217" s="18"/>
      <c r="Q217" s="18"/>
      <c r="S217" s="18"/>
      <c r="T217" s="18"/>
      <c r="U217" s="18"/>
      <c r="V217" s="18"/>
      <c r="W217" s="17" t="str">
        <f>+CONCATENATE(E217,".",F217,"\",G217,".",H217,":",I217)</f>
        <v>2.1\0.6:31</v>
      </c>
      <c r="Y217" s="18"/>
      <c r="Z217" s="18"/>
      <c r="AA217" s="46"/>
      <c r="AB217" s="218"/>
      <c r="AC217" s="19"/>
      <c r="AH217" s="64" t="str">
        <f>+AH216</f>
        <v>F6</v>
      </c>
      <c r="AI217" s="39" t="s">
        <v>102</v>
      </c>
      <c r="AJ217" s="39" t="s">
        <v>724</v>
      </c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</row>
    <row r="218" spans="1:53" s="17" customFormat="1" ht="14.5" x14ac:dyDescent="0.3">
      <c r="A218" s="86" t="s">
        <v>273</v>
      </c>
      <c r="B218" s="18" t="str">
        <f>+B203</f>
        <v>DX01</v>
      </c>
      <c r="C218" s="18" t="str">
        <f>+C217</f>
        <v>DIO1</v>
      </c>
      <c r="D218" s="84">
        <f>+D217</f>
        <v>132</v>
      </c>
      <c r="E218" s="84">
        <v>2</v>
      </c>
      <c r="F218" s="84">
        <v>1</v>
      </c>
      <c r="G218" s="84">
        <v>0</v>
      </c>
      <c r="H218" s="214">
        <v>7</v>
      </c>
      <c r="I218" s="188">
        <v>0</v>
      </c>
      <c r="J218" s="205" t="s">
        <v>767</v>
      </c>
      <c r="K218" s="18" t="s">
        <v>766</v>
      </c>
      <c r="L218" s="17" t="s">
        <v>323</v>
      </c>
      <c r="N218" s="17">
        <v>3</v>
      </c>
      <c r="O218" s="217"/>
      <c r="P218" s="17" t="s">
        <v>770</v>
      </c>
      <c r="R218" s="97" t="s">
        <v>840</v>
      </c>
      <c r="S218" s="97" t="s">
        <v>211</v>
      </c>
      <c r="T218" s="97" t="s">
        <v>839</v>
      </c>
      <c r="U218" s="97" t="s">
        <v>155</v>
      </c>
      <c r="W218" s="17" t="str">
        <f>+CONCATENATE(E218,".",F218,"\",G218,".",H218,":",I218)</f>
        <v>2.1\0.7:0</v>
      </c>
      <c r="X218" s="17" t="s">
        <v>834</v>
      </c>
      <c r="Y218" s="17">
        <v>0</v>
      </c>
      <c r="Z218" s="18"/>
      <c r="AA218" s="46"/>
      <c r="AC218" s="19"/>
      <c r="AH218" s="64" t="s">
        <v>838</v>
      </c>
      <c r="AI218" s="39" t="s">
        <v>190</v>
      </c>
      <c r="AJ218" s="39" t="s">
        <v>189</v>
      </c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</row>
    <row r="219" spans="1:53" s="17" customFormat="1" ht="14.5" x14ac:dyDescent="0.3">
      <c r="A219" s="63" t="str">
        <f>A218</f>
        <v>BSR132</v>
      </c>
      <c r="B219" s="18" t="str">
        <f>+B204</f>
        <v>DX01</v>
      </c>
      <c r="C219" s="18" t="str">
        <f>+C218</f>
        <v>DIO1</v>
      </c>
      <c r="D219" s="84">
        <f>+D218</f>
        <v>132</v>
      </c>
      <c r="E219" s="84">
        <v>2</v>
      </c>
      <c r="F219" s="84">
        <f>+F218</f>
        <v>1</v>
      </c>
      <c r="G219" s="84">
        <v>0</v>
      </c>
      <c r="H219" s="200">
        <f>H218</f>
        <v>7</v>
      </c>
      <c r="I219" s="187">
        <f>+I218+1</f>
        <v>1</v>
      </c>
      <c r="J219" s="205"/>
      <c r="L219" s="17" t="s">
        <v>323</v>
      </c>
      <c r="N219" s="17">
        <v>3</v>
      </c>
      <c r="O219" s="217"/>
      <c r="P219" s="97" t="s">
        <v>837</v>
      </c>
      <c r="Q219" s="97"/>
      <c r="R219" s="97" t="s">
        <v>836</v>
      </c>
      <c r="S219" s="97" t="s">
        <v>211</v>
      </c>
      <c r="T219" s="97" t="s">
        <v>835</v>
      </c>
      <c r="U219" s="97" t="s">
        <v>155</v>
      </c>
      <c r="V219" s="18"/>
      <c r="W219" s="17" t="str">
        <f>+CONCATENATE(E219,".",F219,"\",G219,".",H219,":",I219)</f>
        <v>2.1\0.7:1</v>
      </c>
      <c r="X219" s="17" t="s">
        <v>834</v>
      </c>
      <c r="Y219" s="17">
        <v>0</v>
      </c>
      <c r="Z219" s="18"/>
      <c r="AA219" s="46"/>
      <c r="AC219" s="19"/>
      <c r="AH219" s="64" t="str">
        <f>+AH218</f>
        <v>F7</v>
      </c>
      <c r="AI219" s="39" t="s">
        <v>188</v>
      </c>
      <c r="AJ219" s="39" t="s">
        <v>716</v>
      </c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</row>
    <row r="220" spans="1:53" s="17" customFormat="1" ht="14.5" x14ac:dyDescent="0.3">
      <c r="A220" s="63" t="str">
        <f>A219</f>
        <v>BSR132</v>
      </c>
      <c r="B220" s="18" t="str">
        <f>+B205</f>
        <v>DX01</v>
      </c>
      <c r="C220" s="18" t="str">
        <f>+C219</f>
        <v>DIO1</v>
      </c>
      <c r="D220" s="84">
        <f>+D219</f>
        <v>132</v>
      </c>
      <c r="E220" s="84">
        <v>2</v>
      </c>
      <c r="F220" s="84">
        <f>+F219</f>
        <v>1</v>
      </c>
      <c r="G220" s="84">
        <v>0</v>
      </c>
      <c r="H220" s="200">
        <f>+H219</f>
        <v>7</v>
      </c>
      <c r="I220" s="187">
        <f>+I219+1</f>
        <v>2</v>
      </c>
      <c r="J220" s="205"/>
      <c r="K220" s="79"/>
      <c r="L220" s="17" t="s">
        <v>323</v>
      </c>
      <c r="N220" s="17">
        <v>3</v>
      </c>
      <c r="O220" s="217" t="s">
        <v>833</v>
      </c>
      <c r="P220" s="97" t="s">
        <v>832</v>
      </c>
      <c r="Q220" s="97"/>
      <c r="R220" s="97" t="s">
        <v>831</v>
      </c>
      <c r="S220" s="97" t="s">
        <v>211</v>
      </c>
      <c r="T220" s="97" t="s">
        <v>830</v>
      </c>
      <c r="U220" s="97" t="s">
        <v>155</v>
      </c>
      <c r="V220" s="18"/>
      <c r="W220" s="17" t="str">
        <f>+CONCATENATE(E220,".",F220,"\",G220,".",H220,":",I220)</f>
        <v>2.1\0.7:2</v>
      </c>
      <c r="X220" s="17" t="s">
        <v>800</v>
      </c>
      <c r="Y220" s="17">
        <v>0</v>
      </c>
      <c r="Z220" s="18"/>
      <c r="AA220" s="46"/>
      <c r="AC220" s="19"/>
      <c r="AH220" s="64" t="str">
        <f>+AH219</f>
        <v>F7</v>
      </c>
      <c r="AI220" s="39" t="s">
        <v>183</v>
      </c>
      <c r="AJ220" s="39" t="s">
        <v>182</v>
      </c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</row>
    <row r="221" spans="1:53" s="17" customFormat="1" ht="14.5" x14ac:dyDescent="0.35">
      <c r="A221" s="63" t="str">
        <f>A220</f>
        <v>BSR132</v>
      </c>
      <c r="B221" s="18" t="str">
        <f>+B206</f>
        <v>DX01</v>
      </c>
      <c r="C221" s="18" t="str">
        <f>+C220</f>
        <v>DIO1</v>
      </c>
      <c r="D221" s="84">
        <f>+D220</f>
        <v>132</v>
      </c>
      <c r="E221" s="84">
        <v>2</v>
      </c>
      <c r="F221" s="84">
        <f>+F220</f>
        <v>1</v>
      </c>
      <c r="G221" s="84">
        <v>0</v>
      </c>
      <c r="H221" s="200">
        <f>+H220</f>
        <v>7</v>
      </c>
      <c r="I221" s="187">
        <f>+I220+1</f>
        <v>3</v>
      </c>
      <c r="J221" s="205"/>
      <c r="K221" s="79"/>
      <c r="L221" s="17" t="s">
        <v>323</v>
      </c>
      <c r="N221" s="17">
        <v>3</v>
      </c>
      <c r="O221" s="59" t="s">
        <v>829</v>
      </c>
      <c r="P221" s="17" t="s">
        <v>828</v>
      </c>
      <c r="R221" s="97" t="s">
        <v>827</v>
      </c>
      <c r="S221" s="97" t="s">
        <v>211</v>
      </c>
      <c r="T221" s="97" t="s">
        <v>826</v>
      </c>
      <c r="U221" s="97" t="s">
        <v>155</v>
      </c>
      <c r="V221" s="18"/>
      <c r="W221" s="17" t="str">
        <f>+CONCATENATE(E221,".",F221,"\",G221,".",H221,":",I221)</f>
        <v>2.1\0.7:3</v>
      </c>
      <c r="X221" s="17" t="s">
        <v>800</v>
      </c>
      <c r="Y221" s="17">
        <v>0</v>
      </c>
      <c r="Z221" s="18"/>
      <c r="AA221" s="46"/>
      <c r="AC221" s="19"/>
      <c r="AH221" s="64" t="str">
        <f>+AH220</f>
        <v>F7</v>
      </c>
      <c r="AI221" s="39" t="s">
        <v>181</v>
      </c>
      <c r="AJ221" s="39" t="s">
        <v>711</v>
      </c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</row>
    <row r="222" spans="1:53" s="17" customFormat="1" ht="14.5" x14ac:dyDescent="0.35">
      <c r="A222" s="63" t="str">
        <f>A221</f>
        <v>BSR132</v>
      </c>
      <c r="B222" s="18" t="str">
        <f>+B207</f>
        <v>DX01</v>
      </c>
      <c r="C222" s="18" t="str">
        <f>+C221</f>
        <v>DIO1</v>
      </c>
      <c r="D222" s="84">
        <f>+D221</f>
        <v>132</v>
      </c>
      <c r="E222" s="84">
        <v>2</v>
      </c>
      <c r="F222" s="84">
        <f>+F221</f>
        <v>1</v>
      </c>
      <c r="G222" s="84">
        <v>0</v>
      </c>
      <c r="H222" s="200">
        <f>+H221</f>
        <v>7</v>
      </c>
      <c r="I222" s="187">
        <f>+I221+1</f>
        <v>4</v>
      </c>
      <c r="J222" s="205"/>
      <c r="K222" s="79"/>
      <c r="L222" s="17" t="s">
        <v>323</v>
      </c>
      <c r="N222" s="17">
        <v>3</v>
      </c>
      <c r="O222" s="59" t="s">
        <v>825</v>
      </c>
      <c r="P222" s="97" t="s">
        <v>824</v>
      </c>
      <c r="Q222" s="97"/>
      <c r="R222" s="97" t="s">
        <v>823</v>
      </c>
      <c r="S222" s="97" t="s">
        <v>211</v>
      </c>
      <c r="T222" s="97" t="s">
        <v>822</v>
      </c>
      <c r="U222" s="97" t="s">
        <v>155</v>
      </c>
      <c r="V222" s="18"/>
      <c r="W222" s="17" t="str">
        <f>+CONCATENATE(E222,".",F222,"\",G222,".",H222,":",I222)</f>
        <v>2.1\0.7:4</v>
      </c>
      <c r="X222" s="17" t="s">
        <v>800</v>
      </c>
      <c r="Y222" s="17">
        <v>0</v>
      </c>
      <c r="Z222" s="18"/>
      <c r="AA222" s="46"/>
      <c r="AC222" s="19"/>
      <c r="AH222" s="64" t="str">
        <f>+AH221</f>
        <v>F7</v>
      </c>
      <c r="AI222" s="39" t="s">
        <v>176</v>
      </c>
      <c r="AJ222" s="39" t="s">
        <v>175</v>
      </c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</row>
    <row r="223" spans="1:53" s="17" customFormat="1" ht="14.5" x14ac:dyDescent="0.35">
      <c r="A223" s="63" t="str">
        <f>A222</f>
        <v>BSR132</v>
      </c>
      <c r="B223" s="18" t="str">
        <f>+B208</f>
        <v>DX01</v>
      </c>
      <c r="C223" s="18" t="str">
        <f>+C222</f>
        <v>DIO1</v>
      </c>
      <c r="D223" s="84">
        <f>+D222</f>
        <v>132</v>
      </c>
      <c r="E223" s="84">
        <v>2</v>
      </c>
      <c r="F223" s="84">
        <f>+F222</f>
        <v>1</v>
      </c>
      <c r="G223" s="84">
        <v>0</v>
      </c>
      <c r="H223" s="200">
        <f>+H222</f>
        <v>7</v>
      </c>
      <c r="I223" s="187">
        <f>+I222+1</f>
        <v>5</v>
      </c>
      <c r="J223" s="205"/>
      <c r="K223" s="79"/>
      <c r="L223" s="17" t="s">
        <v>323</v>
      </c>
      <c r="N223" s="17">
        <v>3</v>
      </c>
      <c r="O223" s="59" t="s">
        <v>821</v>
      </c>
      <c r="P223" s="97" t="s">
        <v>820</v>
      </c>
      <c r="Q223" s="97"/>
      <c r="R223" s="97" t="s">
        <v>819</v>
      </c>
      <c r="S223" s="97" t="s">
        <v>211</v>
      </c>
      <c r="T223" s="97" t="s">
        <v>818</v>
      </c>
      <c r="U223" s="97" t="s">
        <v>155</v>
      </c>
      <c r="V223" s="18"/>
      <c r="W223" s="17" t="str">
        <f>+CONCATENATE(E223,".",F223,"\",G223,".",H223,":",I223)</f>
        <v>2.1\0.7:5</v>
      </c>
      <c r="X223" s="17" t="s">
        <v>800</v>
      </c>
      <c r="Y223" s="17">
        <v>0</v>
      </c>
      <c r="Z223" s="18"/>
      <c r="AA223" s="46"/>
      <c r="AC223" s="19"/>
      <c r="AH223" s="64" t="str">
        <f>+AH222</f>
        <v>F7</v>
      </c>
      <c r="AI223" s="39" t="s">
        <v>174</v>
      </c>
      <c r="AJ223" s="39" t="s">
        <v>710</v>
      </c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</row>
    <row r="224" spans="1:53" s="17" customFormat="1" ht="14.5" x14ac:dyDescent="0.35">
      <c r="A224" s="63" t="str">
        <f>A223</f>
        <v>BSR132</v>
      </c>
      <c r="B224" s="18" t="str">
        <f>+B223</f>
        <v>DX01</v>
      </c>
      <c r="C224" s="18" t="str">
        <f>+C223</f>
        <v>DIO1</v>
      </c>
      <c r="D224" s="84">
        <f>+D223</f>
        <v>132</v>
      </c>
      <c r="E224" s="84">
        <v>2</v>
      </c>
      <c r="F224" s="84">
        <f>+F223</f>
        <v>1</v>
      </c>
      <c r="G224" s="84">
        <v>0</v>
      </c>
      <c r="H224" s="200">
        <f>+H223</f>
        <v>7</v>
      </c>
      <c r="I224" s="187">
        <f>+I223+1</f>
        <v>6</v>
      </c>
      <c r="J224" s="205"/>
      <c r="K224" s="79"/>
      <c r="L224" s="17" t="s">
        <v>323</v>
      </c>
      <c r="N224" s="17">
        <v>3</v>
      </c>
      <c r="O224" s="59"/>
      <c r="P224" s="17" t="s">
        <v>817</v>
      </c>
      <c r="R224" s="97" t="s">
        <v>816</v>
      </c>
      <c r="S224" s="97" t="s">
        <v>211</v>
      </c>
      <c r="T224" s="97" t="s">
        <v>815</v>
      </c>
      <c r="U224" s="216" t="s">
        <v>155</v>
      </c>
      <c r="V224" s="18"/>
      <c r="W224" s="17" t="str">
        <f>+CONCATENATE(E224,".",F224,"\",G224,".",H224,":",I224)</f>
        <v>2.1\0.7:6</v>
      </c>
      <c r="X224" s="17" t="s">
        <v>800</v>
      </c>
      <c r="Y224" s="17">
        <v>0</v>
      </c>
      <c r="Z224" s="18"/>
      <c r="AA224" s="46"/>
      <c r="AC224" s="19"/>
      <c r="AH224" s="64" t="str">
        <f>+AH223</f>
        <v>F7</v>
      </c>
      <c r="AI224" s="39" t="s">
        <v>169</v>
      </c>
      <c r="AJ224" s="39" t="s">
        <v>168</v>
      </c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</row>
    <row r="225" spans="1:53" s="17" customFormat="1" ht="14.5" x14ac:dyDescent="0.35">
      <c r="A225" s="63" t="str">
        <f>A224</f>
        <v>BSR132</v>
      </c>
      <c r="B225" s="18" t="str">
        <f>+B224</f>
        <v>DX01</v>
      </c>
      <c r="C225" s="18" t="str">
        <f>+C224</f>
        <v>DIO1</v>
      </c>
      <c r="D225" s="84">
        <f>+D224</f>
        <v>132</v>
      </c>
      <c r="E225" s="84">
        <v>2</v>
      </c>
      <c r="F225" s="84">
        <f>+F224</f>
        <v>1</v>
      </c>
      <c r="G225" s="84">
        <v>0</v>
      </c>
      <c r="H225" s="200">
        <f>+H224</f>
        <v>7</v>
      </c>
      <c r="I225" s="187">
        <f>+I224+1</f>
        <v>7</v>
      </c>
      <c r="J225" s="205"/>
      <c r="K225" s="79"/>
      <c r="L225" s="17" t="s">
        <v>323</v>
      </c>
      <c r="N225" s="17">
        <v>3</v>
      </c>
      <c r="O225" s="59"/>
      <c r="P225" s="97" t="s">
        <v>814</v>
      </c>
      <c r="Q225" s="97"/>
      <c r="R225" s="97" t="s">
        <v>813</v>
      </c>
      <c r="S225" s="97" t="s">
        <v>211</v>
      </c>
      <c r="T225" s="97" t="s">
        <v>812</v>
      </c>
      <c r="U225" s="216" t="s">
        <v>155</v>
      </c>
      <c r="V225" s="18"/>
      <c r="W225" s="17" t="str">
        <f>+CONCATENATE(E225,".",F225,"\",G225,".",H225,":",I225)</f>
        <v>2.1\0.7:7</v>
      </c>
      <c r="X225" s="17" t="s">
        <v>800</v>
      </c>
      <c r="Y225" s="17">
        <v>0</v>
      </c>
      <c r="Z225" s="18"/>
      <c r="AA225" s="46"/>
      <c r="AC225" s="19"/>
      <c r="AH225" s="64" t="str">
        <f>+AH224</f>
        <v>F7</v>
      </c>
      <c r="AI225" s="39" t="s">
        <v>167</v>
      </c>
      <c r="AJ225" s="39" t="s">
        <v>709</v>
      </c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</row>
    <row r="226" spans="1:53" s="17" customFormat="1" ht="14.5" x14ac:dyDescent="0.35">
      <c r="A226" s="63" t="str">
        <f>A225</f>
        <v>BSR132</v>
      </c>
      <c r="B226" s="18" t="str">
        <f>+B225</f>
        <v>DX01</v>
      </c>
      <c r="C226" s="18" t="str">
        <f>+C225</f>
        <v>DIO1</v>
      </c>
      <c r="D226" s="84">
        <f>+D225</f>
        <v>132</v>
      </c>
      <c r="E226" s="84">
        <v>2</v>
      </c>
      <c r="F226" s="84">
        <f>+F225</f>
        <v>1</v>
      </c>
      <c r="G226" s="84">
        <v>0</v>
      </c>
      <c r="H226" s="200">
        <f>+H225</f>
        <v>7</v>
      </c>
      <c r="I226" s="187">
        <f>+I225+1</f>
        <v>8</v>
      </c>
      <c r="J226" s="205"/>
      <c r="K226" s="79"/>
      <c r="L226" s="17" t="s">
        <v>323</v>
      </c>
      <c r="N226" s="17">
        <v>3</v>
      </c>
      <c r="O226" s="59"/>
      <c r="P226" s="97" t="s">
        <v>811</v>
      </c>
      <c r="Q226" s="97"/>
      <c r="R226" s="97" t="s">
        <v>810</v>
      </c>
      <c r="S226" s="97" t="s">
        <v>211</v>
      </c>
      <c r="T226" s="97" t="s">
        <v>809</v>
      </c>
      <c r="U226" s="216" t="s">
        <v>155</v>
      </c>
      <c r="V226" s="18"/>
      <c r="W226" s="17" t="str">
        <f>+CONCATENATE(E226,".",F226,"\",G226,".",H226,":",I226)</f>
        <v>2.1\0.7:8</v>
      </c>
      <c r="X226" s="17" t="s">
        <v>800</v>
      </c>
      <c r="Y226" s="17">
        <v>0</v>
      </c>
      <c r="Z226" s="18"/>
      <c r="AA226" s="46"/>
      <c r="AC226" s="19"/>
      <c r="AH226" s="64" t="str">
        <f>+AH225</f>
        <v>F7</v>
      </c>
      <c r="AI226" s="39" t="s">
        <v>161</v>
      </c>
      <c r="AJ226" s="39" t="s">
        <v>160</v>
      </c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</row>
    <row r="227" spans="1:53" s="17" customFormat="1" ht="14.5" x14ac:dyDescent="0.35">
      <c r="A227" s="63" t="str">
        <f>A226</f>
        <v>BSR132</v>
      </c>
      <c r="B227" s="18" t="str">
        <f>+B226</f>
        <v>DX01</v>
      </c>
      <c r="C227" s="18" t="str">
        <f>+C226</f>
        <v>DIO1</v>
      </c>
      <c r="D227" s="84">
        <f>+D226</f>
        <v>132</v>
      </c>
      <c r="E227" s="84">
        <v>2</v>
      </c>
      <c r="F227" s="84">
        <f>+F226</f>
        <v>1</v>
      </c>
      <c r="G227" s="84">
        <v>0</v>
      </c>
      <c r="H227" s="200">
        <f>+H226</f>
        <v>7</v>
      </c>
      <c r="I227" s="187">
        <f>+I226+1</f>
        <v>9</v>
      </c>
      <c r="J227" s="205"/>
      <c r="K227" s="79"/>
      <c r="L227" s="17" t="s">
        <v>323</v>
      </c>
      <c r="N227" s="17">
        <v>3</v>
      </c>
      <c r="O227" s="59"/>
      <c r="P227" s="17" t="s">
        <v>808</v>
      </c>
      <c r="R227" s="97" t="s">
        <v>807</v>
      </c>
      <c r="S227" s="97" t="s">
        <v>211</v>
      </c>
      <c r="T227" s="97" t="s">
        <v>806</v>
      </c>
      <c r="U227" s="97" t="s">
        <v>155</v>
      </c>
      <c r="V227" s="18"/>
      <c r="W227" s="17" t="str">
        <f>+CONCATENATE(E227,".",F227,"\",G227,".",H227,":",I227)</f>
        <v>2.1\0.7:9</v>
      </c>
      <c r="X227" s="17" t="s">
        <v>800</v>
      </c>
      <c r="Y227" s="17">
        <v>0</v>
      </c>
      <c r="Z227" s="18"/>
      <c r="AA227" s="46"/>
      <c r="AC227" s="19"/>
      <c r="AH227" s="64" t="str">
        <f>+AH226</f>
        <v>F7</v>
      </c>
      <c r="AI227" s="39" t="s">
        <v>159</v>
      </c>
      <c r="AJ227" s="39" t="s">
        <v>708</v>
      </c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</row>
    <row r="228" spans="1:53" s="17" customFormat="1" ht="14.5" x14ac:dyDescent="0.35">
      <c r="A228" s="63" t="str">
        <f>A227</f>
        <v>BSR132</v>
      </c>
      <c r="B228" s="18" t="str">
        <f>+B227</f>
        <v>DX01</v>
      </c>
      <c r="C228" s="18" t="str">
        <f>+C227</f>
        <v>DIO1</v>
      </c>
      <c r="D228" s="84">
        <f>+D227</f>
        <v>132</v>
      </c>
      <c r="E228" s="84">
        <v>2</v>
      </c>
      <c r="F228" s="84">
        <f>+F227</f>
        <v>1</v>
      </c>
      <c r="G228" s="84">
        <v>0</v>
      </c>
      <c r="H228" s="200">
        <f>+H227</f>
        <v>7</v>
      </c>
      <c r="I228" s="187">
        <f>+I227+1</f>
        <v>10</v>
      </c>
      <c r="J228" s="205"/>
      <c r="K228" s="79"/>
      <c r="L228" s="17" t="s">
        <v>323</v>
      </c>
      <c r="N228" s="17">
        <v>3</v>
      </c>
      <c r="O228" s="59"/>
      <c r="P228" s="97" t="s">
        <v>805</v>
      </c>
      <c r="Q228" s="97"/>
      <c r="R228" s="97" t="s">
        <v>804</v>
      </c>
      <c r="S228" s="97" t="s">
        <v>211</v>
      </c>
      <c r="T228" s="97" t="s">
        <v>803</v>
      </c>
      <c r="U228" s="97" t="s">
        <v>155</v>
      </c>
      <c r="V228" s="18"/>
      <c r="W228" s="17" t="str">
        <f>+CONCATENATE(E228,".",F228,"\",G228,".",H228,":",I228)</f>
        <v>2.1\0.7:10</v>
      </c>
      <c r="X228" s="17" t="s">
        <v>800</v>
      </c>
      <c r="Y228" s="17">
        <v>0</v>
      </c>
      <c r="Z228" s="18"/>
      <c r="AA228" s="46"/>
      <c r="AC228" s="19"/>
      <c r="AH228" s="64" t="str">
        <f>+AH227</f>
        <v>F7</v>
      </c>
      <c r="AI228" s="39" t="s">
        <v>154</v>
      </c>
      <c r="AJ228" s="39" t="s">
        <v>153</v>
      </c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</row>
    <row r="229" spans="1:53" s="17" customFormat="1" ht="14.5" x14ac:dyDescent="0.35">
      <c r="A229" s="63" t="str">
        <f>A228</f>
        <v>BSR132</v>
      </c>
      <c r="B229" s="18" t="str">
        <f>+B228</f>
        <v>DX01</v>
      </c>
      <c r="C229" s="18" t="str">
        <f>+C228</f>
        <v>DIO1</v>
      </c>
      <c r="D229" s="84">
        <f>+D228</f>
        <v>132</v>
      </c>
      <c r="E229" s="84">
        <v>2</v>
      </c>
      <c r="F229" s="84">
        <f>+F228</f>
        <v>1</v>
      </c>
      <c r="G229" s="84">
        <v>0</v>
      </c>
      <c r="H229" s="200">
        <f>+H228</f>
        <v>7</v>
      </c>
      <c r="I229" s="187">
        <f>+I228+1</f>
        <v>11</v>
      </c>
      <c r="J229" s="205"/>
      <c r="K229" s="79"/>
      <c r="L229" s="17" t="s">
        <v>323</v>
      </c>
      <c r="N229" s="17">
        <v>3</v>
      </c>
      <c r="O229" s="59"/>
      <c r="P229" s="97" t="s">
        <v>802</v>
      </c>
      <c r="Q229" s="97"/>
      <c r="R229" s="97" t="s">
        <v>291</v>
      </c>
      <c r="S229" s="97" t="s">
        <v>211</v>
      </c>
      <c r="T229" s="97" t="s">
        <v>801</v>
      </c>
      <c r="U229" s="97" t="s">
        <v>155</v>
      </c>
      <c r="V229" s="18"/>
      <c r="W229" s="17" t="str">
        <f>+CONCATENATE(E229,".",F229,"\",G229,".",H229,":",I229)</f>
        <v>2.1\0.7:11</v>
      </c>
      <c r="X229" s="17" t="s">
        <v>800</v>
      </c>
      <c r="Y229" s="17">
        <v>0</v>
      </c>
      <c r="Z229" s="18"/>
      <c r="AA229" s="46"/>
      <c r="AC229" s="19"/>
      <c r="AH229" s="64" t="str">
        <f>+AH228</f>
        <v>F7</v>
      </c>
      <c r="AI229" s="39" t="s">
        <v>152</v>
      </c>
      <c r="AJ229" s="39" t="s">
        <v>707</v>
      </c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</row>
    <row r="230" spans="1:53" s="17" customFormat="1" ht="14.5" x14ac:dyDescent="0.35">
      <c r="A230" s="63" t="str">
        <f>A229</f>
        <v>BSR132</v>
      </c>
      <c r="B230" s="18" t="str">
        <f>+B229</f>
        <v>DX01</v>
      </c>
      <c r="C230" s="18" t="str">
        <f>+C229</f>
        <v>DIO1</v>
      </c>
      <c r="D230" s="84">
        <f>+D229</f>
        <v>132</v>
      </c>
      <c r="E230" s="84">
        <v>2</v>
      </c>
      <c r="F230" s="84">
        <f>+F229</f>
        <v>1</v>
      </c>
      <c r="G230" s="84">
        <v>0</v>
      </c>
      <c r="H230" s="200">
        <f>+H229</f>
        <v>7</v>
      </c>
      <c r="I230" s="187">
        <f>+I229+1</f>
        <v>12</v>
      </c>
      <c r="J230" s="205"/>
      <c r="K230" s="79"/>
      <c r="L230" s="17" t="s">
        <v>323</v>
      </c>
      <c r="O230" s="59"/>
      <c r="R230" s="97"/>
      <c r="S230" s="97"/>
      <c r="T230" s="97"/>
      <c r="U230" s="97"/>
      <c r="V230" s="18"/>
      <c r="W230" s="17" t="str">
        <f>+CONCATENATE(E230,".",F230,"\",G230,".",H230,":",I230)</f>
        <v>2.1\0.7:12</v>
      </c>
      <c r="Z230" s="18"/>
      <c r="AA230" s="46"/>
      <c r="AC230" s="19"/>
      <c r="AH230" s="64" t="str">
        <f>+AH229</f>
        <v>F7</v>
      </c>
      <c r="AI230" s="39" t="s">
        <v>150</v>
      </c>
      <c r="AJ230" s="39" t="s">
        <v>149</v>
      </c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</row>
    <row r="231" spans="1:53" s="17" customFormat="1" ht="14.5" x14ac:dyDescent="0.35">
      <c r="A231" s="63" t="str">
        <f>A230</f>
        <v>BSR132</v>
      </c>
      <c r="B231" s="18" t="str">
        <f>+B230</f>
        <v>DX01</v>
      </c>
      <c r="C231" s="18" t="str">
        <f>+C230</f>
        <v>DIO1</v>
      </c>
      <c r="D231" s="84">
        <f>+D230</f>
        <v>132</v>
      </c>
      <c r="E231" s="84">
        <v>2</v>
      </c>
      <c r="F231" s="84">
        <f>+F230</f>
        <v>1</v>
      </c>
      <c r="G231" s="84">
        <v>0</v>
      </c>
      <c r="H231" s="200">
        <f>+H230</f>
        <v>7</v>
      </c>
      <c r="I231" s="187">
        <f>+I230+1</f>
        <v>13</v>
      </c>
      <c r="J231" s="205"/>
      <c r="K231" s="79"/>
      <c r="L231" s="17" t="s">
        <v>323</v>
      </c>
      <c r="O231" s="59"/>
      <c r="P231" s="97"/>
      <c r="Q231" s="97"/>
      <c r="R231" s="97"/>
      <c r="S231" s="97"/>
      <c r="T231" s="97"/>
      <c r="U231" s="97"/>
      <c r="V231" s="18"/>
      <c r="W231" s="17" t="str">
        <f>+CONCATENATE(E231,".",F231,"\",G231,".",H231,":",I231)</f>
        <v>2.1\0.7:13</v>
      </c>
      <c r="Z231" s="18"/>
      <c r="AA231" s="46"/>
      <c r="AC231" s="19"/>
      <c r="AH231" s="64" t="str">
        <f>+AH230</f>
        <v>F7</v>
      </c>
      <c r="AI231" s="39" t="s">
        <v>148</v>
      </c>
      <c r="AJ231" s="39" t="s">
        <v>703</v>
      </c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</row>
    <row r="232" spans="1:53" s="17" customFormat="1" ht="14.5" x14ac:dyDescent="0.35">
      <c r="A232" s="63" t="str">
        <f>A231</f>
        <v>BSR132</v>
      </c>
      <c r="B232" s="18" t="str">
        <f>+B231</f>
        <v>DX01</v>
      </c>
      <c r="C232" s="18" t="str">
        <f>+C231</f>
        <v>DIO1</v>
      </c>
      <c r="D232" s="84">
        <f>+D231</f>
        <v>132</v>
      </c>
      <c r="E232" s="84">
        <v>2</v>
      </c>
      <c r="F232" s="84">
        <f>+F231</f>
        <v>1</v>
      </c>
      <c r="G232" s="84">
        <v>0</v>
      </c>
      <c r="H232" s="200">
        <f>+H231</f>
        <v>7</v>
      </c>
      <c r="I232" s="187">
        <f>+I231+1</f>
        <v>14</v>
      </c>
      <c r="J232" s="205"/>
      <c r="K232" s="79"/>
      <c r="L232" s="17" t="s">
        <v>323</v>
      </c>
      <c r="N232" s="17">
        <v>3</v>
      </c>
      <c r="O232" s="59" t="s">
        <v>696</v>
      </c>
      <c r="P232" s="97" t="s">
        <v>770</v>
      </c>
      <c r="Q232" s="97"/>
      <c r="R232" s="97" t="s">
        <v>769</v>
      </c>
      <c r="S232" s="97" t="s">
        <v>211</v>
      </c>
      <c r="T232" s="97" t="s">
        <v>768</v>
      </c>
      <c r="U232" s="97" t="s">
        <v>696</v>
      </c>
      <c r="V232" s="18"/>
      <c r="W232" s="17" t="str">
        <f>+CONCATENATE(E232,".",F232,"\",G232,".",H232,":",I232)</f>
        <v>2.1\0.7:14</v>
      </c>
      <c r="X232" s="17" t="s">
        <v>695</v>
      </c>
      <c r="Y232" s="17" t="s">
        <v>289</v>
      </c>
      <c r="Z232" s="18"/>
      <c r="AA232" s="46"/>
      <c r="AC232" s="19"/>
      <c r="AH232" s="64" t="str">
        <f>+AH231</f>
        <v>F7</v>
      </c>
      <c r="AI232" s="39" t="s">
        <v>144</v>
      </c>
      <c r="AJ232" s="39" t="s">
        <v>143</v>
      </c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</row>
    <row r="233" spans="1:53" s="17" customFormat="1" ht="14.5" x14ac:dyDescent="0.35">
      <c r="A233" s="63" t="str">
        <f>A232</f>
        <v>BSR132</v>
      </c>
      <c r="B233" s="18" t="str">
        <f>+B232</f>
        <v>DX01</v>
      </c>
      <c r="C233" s="18" t="str">
        <f>+C232</f>
        <v>DIO1</v>
      </c>
      <c r="D233" s="84">
        <f>+D232</f>
        <v>132</v>
      </c>
      <c r="E233" s="84">
        <v>2</v>
      </c>
      <c r="F233" s="84">
        <f>+F232</f>
        <v>1</v>
      </c>
      <c r="G233" s="84">
        <v>0</v>
      </c>
      <c r="H233" s="200">
        <f>+H232</f>
        <v>7</v>
      </c>
      <c r="I233" s="187">
        <f>+I232+1</f>
        <v>15</v>
      </c>
      <c r="J233" s="205"/>
      <c r="K233" s="79"/>
      <c r="L233" s="17" t="s">
        <v>323</v>
      </c>
      <c r="N233" s="17">
        <v>3</v>
      </c>
      <c r="O233" s="59" t="s">
        <v>694</v>
      </c>
      <c r="P233" s="17" t="s">
        <v>770</v>
      </c>
      <c r="R233" s="17" t="s">
        <v>769</v>
      </c>
      <c r="S233" s="17" t="s">
        <v>211</v>
      </c>
      <c r="T233" s="97" t="s">
        <v>768</v>
      </c>
      <c r="U233" s="17" t="s">
        <v>694</v>
      </c>
      <c r="V233" s="18"/>
      <c r="W233" s="17" t="str">
        <f>+CONCATENATE(E233,".",F233,"\",G233,".",H233,":",I233)</f>
        <v>2.1\0.7:15</v>
      </c>
      <c r="X233" s="17" t="s">
        <v>693</v>
      </c>
      <c r="Y233" s="33" t="s">
        <v>289</v>
      </c>
      <c r="Z233" s="18"/>
      <c r="AA233" s="46"/>
      <c r="AC233" s="19"/>
      <c r="AH233" s="64" t="str">
        <f>+AH232</f>
        <v>F7</v>
      </c>
      <c r="AI233" s="39" t="s">
        <v>142</v>
      </c>
      <c r="AJ233" s="39" t="s">
        <v>699</v>
      </c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</row>
    <row r="234" spans="1:53" s="17" customFormat="1" ht="14.5" x14ac:dyDescent="0.35">
      <c r="A234" s="63" t="str">
        <f>A233</f>
        <v>BSR132</v>
      </c>
      <c r="B234" s="18" t="str">
        <f>+B233</f>
        <v>DX01</v>
      </c>
      <c r="C234" s="18" t="str">
        <f>+C233</f>
        <v>DIO1</v>
      </c>
      <c r="D234" s="84">
        <f>+D233</f>
        <v>132</v>
      </c>
      <c r="E234" s="84">
        <v>2</v>
      </c>
      <c r="F234" s="84">
        <f>+F233</f>
        <v>1</v>
      </c>
      <c r="G234" s="84">
        <v>0</v>
      </c>
      <c r="H234" s="200">
        <f>+H233</f>
        <v>7</v>
      </c>
      <c r="I234" s="187">
        <f>+I233+1</f>
        <v>16</v>
      </c>
      <c r="J234" s="205"/>
      <c r="K234" s="18"/>
      <c r="L234" s="17" t="s">
        <v>323</v>
      </c>
      <c r="N234" s="17">
        <v>3</v>
      </c>
      <c r="O234" s="59" t="s">
        <v>692</v>
      </c>
      <c r="P234" s="17" t="s">
        <v>770</v>
      </c>
      <c r="R234" s="97" t="s">
        <v>769</v>
      </c>
      <c r="S234" s="97" t="s">
        <v>211</v>
      </c>
      <c r="T234" s="97" t="s">
        <v>768</v>
      </c>
      <c r="U234" s="97" t="s">
        <v>692</v>
      </c>
      <c r="V234" s="18"/>
      <c r="W234" s="17" t="str">
        <f>+CONCATENATE(E234,".",F234,"\",G234,".",H234,":",I234)</f>
        <v>2.1\0.7:16</v>
      </c>
      <c r="X234" s="17" t="s">
        <v>83</v>
      </c>
      <c r="Y234" s="17" t="s">
        <v>289</v>
      </c>
      <c r="Z234" s="18"/>
      <c r="AA234" s="46"/>
      <c r="AC234" s="19"/>
      <c r="AH234" s="64" t="str">
        <f>+AH233</f>
        <v>F7</v>
      </c>
      <c r="AI234" s="39" t="s">
        <v>137</v>
      </c>
      <c r="AJ234" s="39" t="s">
        <v>136</v>
      </c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</row>
    <row r="235" spans="1:53" s="17" customFormat="1" ht="14.5" x14ac:dyDescent="0.35">
      <c r="A235" s="63" t="str">
        <f>A234</f>
        <v>BSR132</v>
      </c>
      <c r="B235" s="18" t="str">
        <f>+B234</f>
        <v>DX01</v>
      </c>
      <c r="C235" s="18" t="str">
        <f>+C234</f>
        <v>DIO1</v>
      </c>
      <c r="D235" s="84">
        <f>+D234</f>
        <v>132</v>
      </c>
      <c r="E235" s="84">
        <v>2</v>
      </c>
      <c r="F235" s="84">
        <f>+F234</f>
        <v>1</v>
      </c>
      <c r="G235" s="84">
        <v>0</v>
      </c>
      <c r="H235" s="200">
        <f>+H234</f>
        <v>7</v>
      </c>
      <c r="I235" s="187">
        <f>+I234+1</f>
        <v>17</v>
      </c>
      <c r="J235" s="205"/>
      <c r="K235" s="79"/>
      <c r="L235" s="17" t="s">
        <v>323</v>
      </c>
      <c r="N235" s="17">
        <v>3</v>
      </c>
      <c r="O235" s="59" t="s">
        <v>691</v>
      </c>
      <c r="P235" s="97" t="s">
        <v>770</v>
      </c>
      <c r="Q235" s="97"/>
      <c r="R235" s="97" t="s">
        <v>769</v>
      </c>
      <c r="S235" s="97" t="s">
        <v>211</v>
      </c>
      <c r="T235" s="97" t="s">
        <v>768</v>
      </c>
      <c r="U235" s="97" t="s">
        <v>691</v>
      </c>
      <c r="V235" s="18"/>
      <c r="W235" s="17" t="str">
        <f>+CONCATENATE(E235,".",F235,"\",G235,".",H235,":",I235)</f>
        <v>2.1\0.7:17</v>
      </c>
      <c r="X235" s="17" t="s">
        <v>690</v>
      </c>
      <c r="Y235" s="17" t="s">
        <v>289</v>
      </c>
      <c r="Z235" s="18"/>
      <c r="AA235" s="46"/>
      <c r="AC235" s="19"/>
      <c r="AH235" s="64" t="str">
        <f>+AH234</f>
        <v>F7</v>
      </c>
      <c r="AI235" s="39" t="s">
        <v>135</v>
      </c>
      <c r="AJ235" s="39" t="s">
        <v>740</v>
      </c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</row>
    <row r="236" spans="1:53" s="17" customFormat="1" ht="14.5" x14ac:dyDescent="0.35">
      <c r="A236" s="63" t="str">
        <f>A235</f>
        <v>BSR132</v>
      </c>
      <c r="B236" s="18" t="str">
        <f>+B235</f>
        <v>DX01</v>
      </c>
      <c r="C236" s="18" t="str">
        <f>+C235</f>
        <v>DIO1</v>
      </c>
      <c r="D236" s="84">
        <f>+D235</f>
        <v>132</v>
      </c>
      <c r="E236" s="84">
        <v>2</v>
      </c>
      <c r="F236" s="84">
        <f>+F235</f>
        <v>1</v>
      </c>
      <c r="G236" s="84">
        <v>0</v>
      </c>
      <c r="H236" s="200">
        <f>+H235</f>
        <v>7</v>
      </c>
      <c r="I236" s="187">
        <f>+I235+1</f>
        <v>18</v>
      </c>
      <c r="J236" s="205"/>
      <c r="K236" s="79"/>
      <c r="L236" s="17" t="s">
        <v>323</v>
      </c>
      <c r="N236" s="17">
        <v>3</v>
      </c>
      <c r="O236" s="59" t="s">
        <v>682</v>
      </c>
      <c r="P236" s="97" t="s">
        <v>770</v>
      </c>
      <c r="Q236" s="97"/>
      <c r="R236" s="97" t="s">
        <v>769</v>
      </c>
      <c r="S236" s="97" t="s">
        <v>211</v>
      </c>
      <c r="T236" s="97" t="s">
        <v>768</v>
      </c>
      <c r="U236" s="97" t="s">
        <v>682</v>
      </c>
      <c r="V236" s="18"/>
      <c r="W236" s="17" t="str">
        <f>+CONCATENATE(E236,".",F236,"\",G236,".",H236,":",I236)</f>
        <v>2.1\0.7:18</v>
      </c>
      <c r="X236" s="17" t="s">
        <v>681</v>
      </c>
      <c r="Y236" s="17" t="s">
        <v>289</v>
      </c>
      <c r="Z236" s="18"/>
      <c r="AA236" s="46"/>
      <c r="AC236" s="19"/>
      <c r="AH236" s="64" t="str">
        <f>+AH235</f>
        <v>F7</v>
      </c>
      <c r="AI236" s="39" t="s">
        <v>134</v>
      </c>
      <c r="AJ236" s="39" t="s">
        <v>133</v>
      </c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</row>
    <row r="237" spans="1:53" s="17" customFormat="1" ht="14.5" x14ac:dyDescent="0.35">
      <c r="A237" s="63" t="str">
        <f>A236</f>
        <v>BSR132</v>
      </c>
      <c r="B237" s="18" t="str">
        <f>+B236</f>
        <v>DX01</v>
      </c>
      <c r="C237" s="18" t="str">
        <f>+C236</f>
        <v>DIO1</v>
      </c>
      <c r="D237" s="84">
        <f>+D236</f>
        <v>132</v>
      </c>
      <c r="E237" s="84">
        <v>2</v>
      </c>
      <c r="F237" s="84">
        <f>+F236</f>
        <v>1</v>
      </c>
      <c r="G237" s="84">
        <v>0</v>
      </c>
      <c r="H237" s="200">
        <f>+H236</f>
        <v>7</v>
      </c>
      <c r="I237" s="187">
        <f>+I236+1</f>
        <v>19</v>
      </c>
      <c r="J237" s="205"/>
      <c r="K237" s="79"/>
      <c r="L237" s="17" t="s">
        <v>323</v>
      </c>
      <c r="N237" s="17">
        <v>3</v>
      </c>
      <c r="O237" s="59" t="s">
        <v>106</v>
      </c>
      <c r="P237" s="17" t="s">
        <v>770</v>
      </c>
      <c r="R237" s="97" t="s">
        <v>769</v>
      </c>
      <c r="S237" s="97" t="s">
        <v>211</v>
      </c>
      <c r="T237" s="97" t="s">
        <v>768</v>
      </c>
      <c r="U237" s="97" t="s">
        <v>106</v>
      </c>
      <c r="V237" s="212"/>
      <c r="W237" s="17" t="str">
        <f>+CONCATENATE(E237,".",F237,"\",G237,".",H237,":",I237)</f>
        <v>2.1\0.7:19</v>
      </c>
      <c r="X237" s="17" t="s">
        <v>678</v>
      </c>
      <c r="Y237" s="17" t="s">
        <v>289</v>
      </c>
      <c r="Z237" s="18"/>
      <c r="AA237" s="46"/>
      <c r="AC237" s="19"/>
      <c r="AH237" s="64" t="str">
        <f>+AH236</f>
        <v>F7</v>
      </c>
      <c r="AI237" s="39" t="s">
        <v>132</v>
      </c>
      <c r="AJ237" s="39" t="s">
        <v>738</v>
      </c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</row>
    <row r="238" spans="1:53" s="17" customFormat="1" ht="14.5" x14ac:dyDescent="0.35">
      <c r="A238" s="63" t="str">
        <f>A237</f>
        <v>BSR132</v>
      </c>
      <c r="B238" s="18" t="str">
        <f>+B237</f>
        <v>DX01</v>
      </c>
      <c r="C238" s="18" t="str">
        <f>+C237</f>
        <v>DIO1</v>
      </c>
      <c r="D238" s="84">
        <f>+D237</f>
        <v>132</v>
      </c>
      <c r="E238" s="84">
        <v>2</v>
      </c>
      <c r="F238" s="84">
        <f>+F237</f>
        <v>1</v>
      </c>
      <c r="G238" s="84">
        <v>0</v>
      </c>
      <c r="H238" s="200">
        <f>+H237</f>
        <v>7</v>
      </c>
      <c r="I238" s="187">
        <f>+I237+1</f>
        <v>20</v>
      </c>
      <c r="J238" s="205"/>
      <c r="K238" s="79"/>
      <c r="L238" s="17" t="s">
        <v>323</v>
      </c>
      <c r="N238" s="17">
        <v>3</v>
      </c>
      <c r="O238" s="59" t="s">
        <v>677</v>
      </c>
      <c r="P238" s="97" t="s">
        <v>770</v>
      </c>
      <c r="Q238" s="97"/>
      <c r="R238" s="97" t="s">
        <v>769</v>
      </c>
      <c r="S238" s="97" t="s">
        <v>211</v>
      </c>
      <c r="T238" s="97" t="s">
        <v>768</v>
      </c>
      <c r="U238" s="97" t="s">
        <v>677</v>
      </c>
      <c r="V238" s="97"/>
      <c r="W238" s="17" t="str">
        <f>+CONCATENATE(E238,".",F238,"\",G238,".",H238,":",I238)</f>
        <v>2.1\0.7:20</v>
      </c>
      <c r="X238" s="17" t="s">
        <v>676</v>
      </c>
      <c r="Y238" s="17" t="s">
        <v>289</v>
      </c>
      <c r="Z238" s="18"/>
      <c r="AC238" s="19"/>
      <c r="AH238" s="64" t="str">
        <f>+AH237</f>
        <v>F7</v>
      </c>
      <c r="AI238" s="39" t="s">
        <v>130</v>
      </c>
      <c r="AJ238" s="39" t="s">
        <v>129</v>
      </c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</row>
    <row r="239" spans="1:53" s="17" customFormat="1" ht="14.5" x14ac:dyDescent="0.25">
      <c r="A239" s="63" t="str">
        <f>A238</f>
        <v>BSR132</v>
      </c>
      <c r="B239" s="18" t="str">
        <f>+B238</f>
        <v>DX01</v>
      </c>
      <c r="C239" s="18" t="str">
        <f>+C238</f>
        <v>DIO1</v>
      </c>
      <c r="D239" s="84">
        <f>+D238</f>
        <v>132</v>
      </c>
      <c r="E239" s="84">
        <v>2</v>
      </c>
      <c r="F239" s="84">
        <f>+F238</f>
        <v>1</v>
      </c>
      <c r="G239" s="84">
        <v>0</v>
      </c>
      <c r="H239" s="200">
        <f>+H238</f>
        <v>7</v>
      </c>
      <c r="I239" s="187">
        <f>+I238+1</f>
        <v>21</v>
      </c>
      <c r="J239" s="205"/>
      <c r="K239" s="79"/>
      <c r="L239" s="17" t="s">
        <v>323</v>
      </c>
      <c r="N239" s="17">
        <v>3</v>
      </c>
      <c r="O239" s="217" t="s">
        <v>675</v>
      </c>
      <c r="P239" s="97" t="s">
        <v>770</v>
      </c>
      <c r="Q239" s="97"/>
      <c r="R239" s="97" t="s">
        <v>769</v>
      </c>
      <c r="S239" s="97" t="s">
        <v>211</v>
      </c>
      <c r="T239" s="97" t="s">
        <v>768</v>
      </c>
      <c r="U239" s="97" t="s">
        <v>675</v>
      </c>
      <c r="V239" s="97"/>
      <c r="W239" s="17" t="str">
        <f>+CONCATENATE(E239,".",F239,"\",G239,".",H239,":",I239)</f>
        <v>2.1\0.7:21</v>
      </c>
      <c r="X239" s="17" t="s">
        <v>674</v>
      </c>
      <c r="Y239" s="17" t="s">
        <v>289</v>
      </c>
      <c r="Z239" s="18"/>
      <c r="AC239" s="19"/>
      <c r="AH239" s="64" t="str">
        <f>+AH238</f>
        <v>F7</v>
      </c>
      <c r="AI239" s="39" t="s">
        <v>128</v>
      </c>
      <c r="AJ239" s="39" t="s">
        <v>737</v>
      </c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</row>
    <row r="240" spans="1:53" s="17" customFormat="1" ht="14.5" x14ac:dyDescent="0.3">
      <c r="A240" s="63" t="str">
        <f>A239</f>
        <v>BSR132</v>
      </c>
      <c r="B240" s="18" t="str">
        <f>+B239</f>
        <v>DX01</v>
      </c>
      <c r="C240" s="18" t="str">
        <f>+C239</f>
        <v>DIO1</v>
      </c>
      <c r="D240" s="84">
        <f>+D239</f>
        <v>132</v>
      </c>
      <c r="E240" s="84">
        <v>2</v>
      </c>
      <c r="F240" s="84">
        <f>+F239</f>
        <v>1</v>
      </c>
      <c r="G240" s="84">
        <v>0</v>
      </c>
      <c r="H240" s="200">
        <f>+H239</f>
        <v>7</v>
      </c>
      <c r="I240" s="187">
        <f>+I239+1</f>
        <v>22</v>
      </c>
      <c r="J240" s="205"/>
      <c r="K240" s="79"/>
      <c r="L240" s="17" t="s">
        <v>323</v>
      </c>
      <c r="N240" s="17">
        <v>3</v>
      </c>
      <c r="O240" s="217" t="s">
        <v>673</v>
      </c>
      <c r="P240" s="17" t="s">
        <v>770</v>
      </c>
      <c r="R240" s="97" t="s">
        <v>769</v>
      </c>
      <c r="S240" s="97" t="s">
        <v>211</v>
      </c>
      <c r="T240" s="97" t="s">
        <v>768</v>
      </c>
      <c r="U240" s="97" t="s">
        <v>673</v>
      </c>
      <c r="V240" s="97"/>
      <c r="W240" s="17" t="str">
        <f>+CONCATENATE(E240,".",F240,"\",G240,".",H240,":",I240)</f>
        <v>2.1\0.7:22</v>
      </c>
      <c r="X240" s="17" t="s">
        <v>672</v>
      </c>
      <c r="Y240" s="17" t="s">
        <v>289</v>
      </c>
      <c r="Z240" s="18"/>
      <c r="AA240" s="46"/>
      <c r="AC240" s="19"/>
      <c r="AH240" s="64" t="str">
        <f>+AH239</f>
        <v>F7</v>
      </c>
      <c r="AI240" s="39" t="s">
        <v>125</v>
      </c>
      <c r="AJ240" s="39" t="s">
        <v>124</v>
      </c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</row>
    <row r="241" spans="1:53" s="17" customFormat="1" ht="14.5" x14ac:dyDescent="0.25">
      <c r="A241" s="63" t="str">
        <f>A240</f>
        <v>BSR132</v>
      </c>
      <c r="B241" s="18" t="str">
        <f>+B240</f>
        <v>DX01</v>
      </c>
      <c r="C241" s="18" t="str">
        <f>+C240</f>
        <v>DIO1</v>
      </c>
      <c r="D241" s="84">
        <f>+D240</f>
        <v>132</v>
      </c>
      <c r="E241" s="84">
        <v>2</v>
      </c>
      <c r="F241" s="84">
        <f>+F240</f>
        <v>1</v>
      </c>
      <c r="G241" s="84">
        <v>0</v>
      </c>
      <c r="H241" s="200">
        <f>+H240</f>
        <v>7</v>
      </c>
      <c r="I241" s="187">
        <f>+I240+1</f>
        <v>23</v>
      </c>
      <c r="J241" s="205"/>
      <c r="K241" s="79"/>
      <c r="L241" s="17" t="s">
        <v>323</v>
      </c>
      <c r="N241" s="17">
        <v>3</v>
      </c>
      <c r="O241" s="217" t="s">
        <v>671</v>
      </c>
      <c r="P241" s="97" t="s">
        <v>770</v>
      </c>
      <c r="Q241" s="97"/>
      <c r="R241" s="97" t="s">
        <v>769</v>
      </c>
      <c r="S241" s="97" t="s">
        <v>211</v>
      </c>
      <c r="T241" s="97" t="s">
        <v>768</v>
      </c>
      <c r="U241" s="97" t="s">
        <v>671</v>
      </c>
      <c r="V241" s="97"/>
      <c r="W241" s="17" t="str">
        <f>+CONCATENATE(E241,".",F241,"\",G241,".",H241,":",I241)</f>
        <v>2.1\0.7:23</v>
      </c>
      <c r="X241" s="17" t="s">
        <v>670</v>
      </c>
      <c r="Y241" s="17" t="s">
        <v>289</v>
      </c>
      <c r="Z241" s="18"/>
      <c r="AC241" s="19"/>
      <c r="AH241" s="64" t="str">
        <f>+AH240</f>
        <v>F7</v>
      </c>
      <c r="AI241" s="39" t="s">
        <v>123</v>
      </c>
      <c r="AJ241" s="39" t="s">
        <v>735</v>
      </c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</row>
    <row r="242" spans="1:53" s="17" customFormat="1" ht="14.5" x14ac:dyDescent="0.25">
      <c r="A242" s="63" t="str">
        <f>A241</f>
        <v>BSR132</v>
      </c>
      <c r="B242" s="18" t="str">
        <f>+B241</f>
        <v>DX01</v>
      </c>
      <c r="C242" s="18" t="str">
        <f>+C241</f>
        <v>DIO1</v>
      </c>
      <c r="D242" s="84">
        <f>+D241</f>
        <v>132</v>
      </c>
      <c r="E242" s="84">
        <v>2</v>
      </c>
      <c r="F242" s="84">
        <f>+F241</f>
        <v>1</v>
      </c>
      <c r="G242" s="84">
        <v>0</v>
      </c>
      <c r="H242" s="200">
        <f>+H241</f>
        <v>7</v>
      </c>
      <c r="I242" s="187">
        <f>+I241+1</f>
        <v>24</v>
      </c>
      <c r="J242" s="205"/>
      <c r="K242" s="79"/>
      <c r="L242" s="17" t="s">
        <v>323</v>
      </c>
      <c r="N242" s="17">
        <v>3</v>
      </c>
      <c r="O242" s="217" t="s">
        <v>667</v>
      </c>
      <c r="P242" s="97" t="s">
        <v>770</v>
      </c>
      <c r="Q242" s="97"/>
      <c r="R242" s="97" t="s">
        <v>769</v>
      </c>
      <c r="S242" s="97" t="s">
        <v>211</v>
      </c>
      <c r="T242" s="97" t="s">
        <v>768</v>
      </c>
      <c r="U242" s="97" t="s">
        <v>667</v>
      </c>
      <c r="V242" s="97"/>
      <c r="W242" s="17" t="str">
        <f>+CONCATENATE(E242,".",F242,"\",G242,".",H242,":",I242)</f>
        <v>2.1\0.7:24</v>
      </c>
      <c r="X242" s="17" t="s">
        <v>666</v>
      </c>
      <c r="Y242" s="17" t="s">
        <v>289</v>
      </c>
      <c r="Z242" s="18"/>
      <c r="AC242" s="19"/>
      <c r="AH242" s="64" t="str">
        <f>+AH241</f>
        <v>F7</v>
      </c>
      <c r="AI242" s="39" t="s">
        <v>120</v>
      </c>
      <c r="AJ242" s="39" t="s">
        <v>119</v>
      </c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</row>
    <row r="243" spans="1:53" s="17" customFormat="1" ht="14.5" x14ac:dyDescent="0.3">
      <c r="A243" s="63" t="str">
        <f>A242</f>
        <v>BSR132</v>
      </c>
      <c r="B243" s="18" t="str">
        <f>+B242</f>
        <v>DX01</v>
      </c>
      <c r="C243" s="18" t="str">
        <f>+C242</f>
        <v>DIO1</v>
      </c>
      <c r="D243" s="84">
        <f>+D242</f>
        <v>132</v>
      </c>
      <c r="E243" s="84">
        <v>2</v>
      </c>
      <c r="F243" s="84">
        <f>+F242</f>
        <v>1</v>
      </c>
      <c r="G243" s="84">
        <v>0</v>
      </c>
      <c r="H243" s="200">
        <f>+H242</f>
        <v>7</v>
      </c>
      <c r="I243" s="187">
        <f>+I242+1</f>
        <v>25</v>
      </c>
      <c r="J243" s="205"/>
      <c r="K243" s="79"/>
      <c r="L243" s="17" t="s">
        <v>323</v>
      </c>
      <c r="N243" s="17">
        <v>3</v>
      </c>
      <c r="O243" s="217" t="s">
        <v>665</v>
      </c>
      <c r="P243" s="17" t="s">
        <v>770</v>
      </c>
      <c r="R243" s="97" t="s">
        <v>769</v>
      </c>
      <c r="S243" s="97" t="s">
        <v>211</v>
      </c>
      <c r="T243" s="97" t="s">
        <v>768</v>
      </c>
      <c r="U243" s="97" t="s">
        <v>665</v>
      </c>
      <c r="V243" s="216"/>
      <c r="W243" s="17" t="str">
        <f>+CONCATENATE(E243,".",F243,"\",G243,".",H243,":",I243)</f>
        <v>2.1\0.7:25</v>
      </c>
      <c r="X243" s="17" t="s">
        <v>664</v>
      </c>
      <c r="Y243" s="17" t="s">
        <v>289</v>
      </c>
      <c r="Z243" s="18"/>
      <c r="AA243" s="46"/>
      <c r="AC243" s="19"/>
      <c r="AH243" s="64" t="str">
        <f>+AH242</f>
        <v>F7</v>
      </c>
      <c r="AI243" s="39" t="s">
        <v>118</v>
      </c>
      <c r="AJ243" s="39" t="s">
        <v>730</v>
      </c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</row>
    <row r="244" spans="1:53" s="17" customFormat="1" ht="14.5" x14ac:dyDescent="0.25">
      <c r="A244" s="63" t="str">
        <f>A243</f>
        <v>BSR132</v>
      </c>
      <c r="B244" s="18" t="str">
        <f>+B243</f>
        <v>DX01</v>
      </c>
      <c r="C244" s="18" t="str">
        <f>+C243</f>
        <v>DIO1</v>
      </c>
      <c r="D244" s="84">
        <f>+D243</f>
        <v>132</v>
      </c>
      <c r="E244" s="84">
        <v>2</v>
      </c>
      <c r="F244" s="84">
        <f>+F243</f>
        <v>1</v>
      </c>
      <c r="G244" s="84">
        <v>0</v>
      </c>
      <c r="H244" s="200">
        <f>+H243</f>
        <v>7</v>
      </c>
      <c r="I244" s="187">
        <f>+I243+1</f>
        <v>26</v>
      </c>
      <c r="J244" s="205"/>
      <c r="K244" s="79"/>
      <c r="L244" s="17" t="s">
        <v>323</v>
      </c>
      <c r="N244" s="17">
        <v>3</v>
      </c>
      <c r="O244" s="217" t="s">
        <v>663</v>
      </c>
      <c r="P244" s="97" t="s">
        <v>770</v>
      </c>
      <c r="Q244" s="97"/>
      <c r="R244" s="97" t="s">
        <v>769</v>
      </c>
      <c r="S244" s="97" t="s">
        <v>211</v>
      </c>
      <c r="T244" s="97" t="s">
        <v>768</v>
      </c>
      <c r="U244" s="97" t="s">
        <v>663</v>
      </c>
      <c r="W244" s="17" t="str">
        <f>+CONCATENATE(E244,".",F244,"\",G244,".",H244,":",I244)</f>
        <v>2.1\0.7:26</v>
      </c>
      <c r="X244" s="17" t="s">
        <v>662</v>
      </c>
      <c r="Y244" s="17" t="s">
        <v>289</v>
      </c>
      <c r="Z244" s="18"/>
      <c r="AC244" s="19"/>
      <c r="AH244" s="64" t="str">
        <f>+AH243</f>
        <v>F7</v>
      </c>
      <c r="AI244" s="39" t="s">
        <v>114</v>
      </c>
      <c r="AJ244" s="39" t="s">
        <v>113</v>
      </c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</row>
    <row r="245" spans="1:53" s="17" customFormat="1" ht="14.5" x14ac:dyDescent="0.25">
      <c r="A245" s="63" t="str">
        <f>A244</f>
        <v>BSR132</v>
      </c>
      <c r="B245" s="18" t="str">
        <f>+B244</f>
        <v>DX01</v>
      </c>
      <c r="C245" s="18" t="str">
        <f>+C244</f>
        <v>DIO1</v>
      </c>
      <c r="D245" s="84">
        <f>+D244</f>
        <v>132</v>
      </c>
      <c r="E245" s="84">
        <v>2</v>
      </c>
      <c r="F245" s="84">
        <f>+F244</f>
        <v>1</v>
      </c>
      <c r="G245" s="84">
        <v>0</v>
      </c>
      <c r="H245" s="200">
        <f>+H244</f>
        <v>7</v>
      </c>
      <c r="I245" s="187">
        <f>+I244+1</f>
        <v>27</v>
      </c>
      <c r="J245" s="205"/>
      <c r="K245" s="79"/>
      <c r="L245" s="17" t="s">
        <v>323</v>
      </c>
      <c r="N245" s="17">
        <v>3</v>
      </c>
      <c r="O245" s="217" t="s">
        <v>659</v>
      </c>
      <c r="P245" s="97" t="s">
        <v>770</v>
      </c>
      <c r="Q245" s="97"/>
      <c r="R245" s="97" t="s">
        <v>769</v>
      </c>
      <c r="S245" s="97" t="s">
        <v>211</v>
      </c>
      <c r="T245" s="97" t="s">
        <v>768</v>
      </c>
      <c r="U245" s="97" t="s">
        <v>659</v>
      </c>
      <c r="W245" s="17" t="str">
        <f>+CONCATENATE(E245,".",F245,"\",G245,".",H245,":",I245)</f>
        <v>2.1\0.7:27</v>
      </c>
      <c r="X245" s="17" t="s">
        <v>658</v>
      </c>
      <c r="Y245" s="17" t="s">
        <v>289</v>
      </c>
      <c r="Z245" s="18"/>
      <c r="AC245" s="19"/>
      <c r="AH245" s="64" t="str">
        <f>+AH244</f>
        <v>F7</v>
      </c>
      <c r="AI245" s="39" t="s">
        <v>112</v>
      </c>
      <c r="AJ245" s="39" t="s">
        <v>726</v>
      </c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</row>
    <row r="246" spans="1:53" s="17" customFormat="1" ht="14.5" x14ac:dyDescent="0.3">
      <c r="A246" s="63" t="str">
        <f>A245</f>
        <v>BSR132</v>
      </c>
      <c r="B246" s="18" t="str">
        <f>+B245</f>
        <v>DX01</v>
      </c>
      <c r="C246" s="18" t="str">
        <f>+C245</f>
        <v>DIO1</v>
      </c>
      <c r="D246" s="84">
        <f>+D245</f>
        <v>132</v>
      </c>
      <c r="E246" s="84">
        <v>2</v>
      </c>
      <c r="F246" s="84">
        <f>+F245</f>
        <v>1</v>
      </c>
      <c r="G246" s="84">
        <v>0</v>
      </c>
      <c r="H246" s="200">
        <f>+H245</f>
        <v>7</v>
      </c>
      <c r="I246" s="187">
        <f>+I245+1</f>
        <v>28</v>
      </c>
      <c r="J246" s="205"/>
      <c r="K246" s="79"/>
      <c r="L246" s="17" t="s">
        <v>323</v>
      </c>
      <c r="N246" s="17">
        <v>3</v>
      </c>
      <c r="O246" s="217" t="s">
        <v>657</v>
      </c>
      <c r="P246" s="17" t="s">
        <v>770</v>
      </c>
      <c r="R246" s="97" t="s">
        <v>769</v>
      </c>
      <c r="S246" s="97" t="s">
        <v>211</v>
      </c>
      <c r="T246" s="97" t="s">
        <v>768</v>
      </c>
      <c r="U246" s="97" t="s">
        <v>657</v>
      </c>
      <c r="W246" s="17" t="str">
        <f>+CONCATENATE(E246,".",F246,"\",G246,".",H246,":",I246)</f>
        <v>2.1\0.7:28</v>
      </c>
      <c r="X246" s="17" t="s">
        <v>656</v>
      </c>
      <c r="Y246" s="17" t="s">
        <v>289</v>
      </c>
      <c r="Z246" s="18"/>
      <c r="AA246" s="46"/>
      <c r="AB246" s="46"/>
      <c r="AC246" s="19"/>
      <c r="AH246" s="64" t="str">
        <f>+AH245</f>
        <v>F7</v>
      </c>
      <c r="AI246" s="39" t="s">
        <v>109</v>
      </c>
      <c r="AJ246" s="39" t="s">
        <v>108</v>
      </c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</row>
    <row r="247" spans="1:53" s="17" customFormat="1" ht="14.5" x14ac:dyDescent="0.3">
      <c r="A247" s="63" t="str">
        <f>A246</f>
        <v>BSR132</v>
      </c>
      <c r="B247" s="18" t="str">
        <f>+B246</f>
        <v>DX01</v>
      </c>
      <c r="C247" s="18" t="str">
        <f>+C246</f>
        <v>DIO1</v>
      </c>
      <c r="D247" s="84">
        <f>+D246</f>
        <v>132</v>
      </c>
      <c r="E247" s="84">
        <v>2</v>
      </c>
      <c r="F247" s="84">
        <f>+F246</f>
        <v>1</v>
      </c>
      <c r="G247" s="84">
        <v>0</v>
      </c>
      <c r="H247" s="200">
        <f>+H246</f>
        <v>7</v>
      </c>
      <c r="I247" s="187">
        <f>+I246+1</f>
        <v>29</v>
      </c>
      <c r="J247" s="205"/>
      <c r="K247" s="79"/>
      <c r="L247" s="17" t="s">
        <v>323</v>
      </c>
      <c r="N247" s="17">
        <v>3</v>
      </c>
      <c r="O247" s="217" t="s">
        <v>655</v>
      </c>
      <c r="P247" s="97" t="s">
        <v>770</v>
      </c>
      <c r="Q247" s="97"/>
      <c r="R247" s="97" t="s">
        <v>769</v>
      </c>
      <c r="S247" s="97" t="s">
        <v>211</v>
      </c>
      <c r="T247" s="97" t="s">
        <v>768</v>
      </c>
      <c r="U247" s="97" t="s">
        <v>655</v>
      </c>
      <c r="V247" s="18"/>
      <c r="W247" s="17" t="str">
        <f>+CONCATENATE(E247,".",F247,"\",G247,".",H247,":",I247)</f>
        <v>2.1\0.7:29</v>
      </c>
      <c r="X247" s="17" t="s">
        <v>654</v>
      </c>
      <c r="Y247" s="17" t="s">
        <v>289</v>
      </c>
      <c r="Z247" s="18"/>
      <c r="AA247" s="83"/>
      <c r="AB247" s="83"/>
      <c r="AC247" s="19"/>
      <c r="AH247" s="64" t="str">
        <f>+AH246</f>
        <v>F7</v>
      </c>
      <c r="AI247" s="39" t="s">
        <v>107</v>
      </c>
      <c r="AJ247" s="39" t="s">
        <v>725</v>
      </c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</row>
    <row r="248" spans="1:53" s="17" customFormat="1" ht="14.5" x14ac:dyDescent="0.35">
      <c r="A248" s="63" t="str">
        <f>A247</f>
        <v>BSR132</v>
      </c>
      <c r="B248" s="18" t="str">
        <f>+B247</f>
        <v>DX01</v>
      </c>
      <c r="C248" s="18" t="str">
        <f>+C247</f>
        <v>DIO1</v>
      </c>
      <c r="D248" s="84">
        <f>+D247</f>
        <v>132</v>
      </c>
      <c r="E248" s="84">
        <v>2</v>
      </c>
      <c r="F248" s="84">
        <f>+F247</f>
        <v>1</v>
      </c>
      <c r="G248" s="84">
        <v>0</v>
      </c>
      <c r="H248" s="200">
        <f>+H247</f>
        <v>7</v>
      </c>
      <c r="I248" s="187">
        <f>+I247+1</f>
        <v>30</v>
      </c>
      <c r="J248" s="205"/>
      <c r="K248" s="79"/>
      <c r="L248" s="17" t="s">
        <v>323</v>
      </c>
      <c r="N248" s="17">
        <v>3</v>
      </c>
      <c r="O248" s="59" t="s">
        <v>680</v>
      </c>
      <c r="P248" s="97" t="s">
        <v>770</v>
      </c>
      <c r="Q248" s="97"/>
      <c r="R248" s="97" t="s">
        <v>769</v>
      </c>
      <c r="S248" s="97" t="s">
        <v>211</v>
      </c>
      <c r="T248" s="97" t="s">
        <v>768</v>
      </c>
      <c r="U248" s="97" t="s">
        <v>680</v>
      </c>
      <c r="V248" s="18"/>
      <c r="W248" s="17" t="str">
        <f>+CONCATENATE(E248,".",F248,"\",G248,".",H248,":",I248)</f>
        <v>2.1\0.7:30</v>
      </c>
      <c r="X248" s="17" t="s">
        <v>679</v>
      </c>
      <c r="Y248" s="17" t="s">
        <v>289</v>
      </c>
      <c r="Z248" s="18"/>
      <c r="AA248" s="83"/>
      <c r="AB248" s="83"/>
      <c r="AC248" s="19"/>
      <c r="AH248" s="64" t="str">
        <f>+AH247</f>
        <v>F7</v>
      </c>
      <c r="AI248" s="39" t="s">
        <v>104</v>
      </c>
      <c r="AJ248" s="39" t="s">
        <v>103</v>
      </c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</row>
    <row r="249" spans="1:53" s="17" customFormat="1" ht="15" thickBot="1" x14ac:dyDescent="0.4">
      <c r="A249" s="63" t="str">
        <f>A248</f>
        <v>BSR132</v>
      </c>
      <c r="B249" s="18" t="str">
        <f>+B248</f>
        <v>DX01</v>
      </c>
      <c r="C249" s="18" t="str">
        <f>+C248</f>
        <v>DIO1</v>
      </c>
      <c r="D249" s="84">
        <f>+D248</f>
        <v>132</v>
      </c>
      <c r="E249" s="84">
        <v>2</v>
      </c>
      <c r="F249" s="84">
        <f>+F248</f>
        <v>1</v>
      </c>
      <c r="G249" s="84">
        <v>0</v>
      </c>
      <c r="H249" s="200">
        <f>+H248</f>
        <v>7</v>
      </c>
      <c r="I249" s="191">
        <f>+I248+1</f>
        <v>31</v>
      </c>
      <c r="J249" s="203"/>
      <c r="K249" s="79"/>
      <c r="L249" s="17" t="s">
        <v>323</v>
      </c>
      <c r="O249" s="59"/>
      <c r="P249" s="18"/>
      <c r="Q249" s="18"/>
      <c r="R249" s="18"/>
      <c r="S249" s="18"/>
      <c r="T249" s="18"/>
      <c r="U249" s="18"/>
      <c r="V249" s="18"/>
      <c r="W249" s="17" t="str">
        <f>+CONCATENATE(E249,".",F249,"\",G249,".",H249,":",I249)</f>
        <v>2.1\0.7:31</v>
      </c>
      <c r="Y249" s="18"/>
      <c r="Z249" s="18"/>
      <c r="AA249" s="46"/>
      <c r="AB249" s="83"/>
      <c r="AC249" s="19"/>
      <c r="AH249" s="64" t="str">
        <f>+AH248</f>
        <v>F7</v>
      </c>
      <c r="AI249" s="39" t="s">
        <v>102</v>
      </c>
      <c r="AJ249" s="39" t="s">
        <v>724</v>
      </c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</row>
    <row r="250" spans="1:53" s="17" customFormat="1" ht="14.5" x14ac:dyDescent="0.35">
      <c r="A250" s="86" t="s">
        <v>273</v>
      </c>
      <c r="B250" s="18" t="str">
        <f>+B235</f>
        <v>DX01</v>
      </c>
      <c r="C250" s="18" t="str">
        <f>+C249</f>
        <v>DIO1</v>
      </c>
      <c r="D250" s="84">
        <f>+D249</f>
        <v>132</v>
      </c>
      <c r="E250" s="84">
        <v>2</v>
      </c>
      <c r="F250" s="84">
        <v>1</v>
      </c>
      <c r="G250" s="84">
        <v>0</v>
      </c>
      <c r="H250" s="214">
        <v>8</v>
      </c>
      <c r="I250" s="188">
        <v>0</v>
      </c>
      <c r="J250" s="205" t="s">
        <v>767</v>
      </c>
      <c r="K250" s="18" t="s">
        <v>766</v>
      </c>
      <c r="L250" s="17" t="s">
        <v>323</v>
      </c>
      <c r="N250" s="17">
        <v>3</v>
      </c>
      <c r="O250" s="59" t="s">
        <v>798</v>
      </c>
      <c r="P250" s="17" t="s">
        <v>770</v>
      </c>
      <c r="R250" s="97" t="s">
        <v>769</v>
      </c>
      <c r="S250" s="97" t="s">
        <v>211</v>
      </c>
      <c r="T250" s="103" t="s">
        <v>768</v>
      </c>
      <c r="U250" s="97" t="s">
        <v>798</v>
      </c>
      <c r="W250" s="17" t="str">
        <f>+CONCATENATE(E250,".",F250,"\",G250,".",H250,":",I250)</f>
        <v>2.1\0.8:0</v>
      </c>
      <c r="X250" s="17" t="s">
        <v>797</v>
      </c>
      <c r="Y250" s="17" t="s">
        <v>289</v>
      </c>
      <c r="Z250" s="18" t="s">
        <v>796</v>
      </c>
      <c r="AA250" s="46"/>
      <c r="AC250" s="19"/>
      <c r="AH250" s="64" t="s">
        <v>799</v>
      </c>
      <c r="AI250" s="39" t="s">
        <v>190</v>
      </c>
      <c r="AJ250" s="39" t="s">
        <v>189</v>
      </c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</row>
    <row r="251" spans="1:53" s="17" customFormat="1" ht="14.5" x14ac:dyDescent="0.35">
      <c r="A251" s="63" t="str">
        <f>A250</f>
        <v>BSR132</v>
      </c>
      <c r="B251" s="18" t="str">
        <f>+B236</f>
        <v>DX01</v>
      </c>
      <c r="C251" s="18" t="str">
        <f>+C250</f>
        <v>DIO1</v>
      </c>
      <c r="D251" s="84">
        <f>+D250</f>
        <v>132</v>
      </c>
      <c r="E251" s="84">
        <v>2</v>
      </c>
      <c r="F251" s="84">
        <f>+F250</f>
        <v>1</v>
      </c>
      <c r="G251" s="84">
        <v>0</v>
      </c>
      <c r="H251" s="200">
        <f>H250</f>
        <v>8</v>
      </c>
      <c r="I251" s="187">
        <f>+I250+1</f>
        <v>1</v>
      </c>
      <c r="J251" s="205"/>
      <c r="L251" s="17" t="s">
        <v>323</v>
      </c>
      <c r="N251" s="17">
        <v>3</v>
      </c>
      <c r="O251" s="59" t="s">
        <v>798</v>
      </c>
      <c r="P251" s="97" t="s">
        <v>646</v>
      </c>
      <c r="Q251" s="97"/>
      <c r="R251" s="97" t="s">
        <v>786</v>
      </c>
      <c r="S251" s="97" t="s">
        <v>247</v>
      </c>
      <c r="T251" s="97" t="s">
        <v>624</v>
      </c>
      <c r="U251" s="97" t="s">
        <v>798</v>
      </c>
      <c r="V251" s="18"/>
      <c r="W251" s="17" t="str">
        <f>+CONCATENATE(E251,".",F251,"\",G251,".",H251,":",I251)</f>
        <v>2.1\0.8:1</v>
      </c>
      <c r="X251" s="17" t="s">
        <v>797</v>
      </c>
      <c r="Y251" s="17" t="s">
        <v>289</v>
      </c>
      <c r="Z251" s="18" t="s">
        <v>796</v>
      </c>
      <c r="AA251" s="46"/>
      <c r="AC251" s="19"/>
      <c r="AH251" s="64" t="str">
        <f>+AH250</f>
        <v>F8</v>
      </c>
      <c r="AI251" s="39" t="s">
        <v>188</v>
      </c>
      <c r="AJ251" s="39" t="s">
        <v>716</v>
      </c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</row>
    <row r="252" spans="1:53" s="17" customFormat="1" ht="14.5" x14ac:dyDescent="0.35">
      <c r="A252" s="63" t="str">
        <f>A251</f>
        <v>BSR132</v>
      </c>
      <c r="B252" s="18" t="str">
        <f>+B237</f>
        <v>DX01</v>
      </c>
      <c r="C252" s="18" t="str">
        <f>+C251</f>
        <v>DIO1</v>
      </c>
      <c r="D252" s="84">
        <f>+D251</f>
        <v>132</v>
      </c>
      <c r="E252" s="84">
        <v>2</v>
      </c>
      <c r="F252" s="84">
        <f>+F251</f>
        <v>1</v>
      </c>
      <c r="G252" s="84">
        <v>0</v>
      </c>
      <c r="H252" s="200">
        <f>+H251</f>
        <v>8</v>
      </c>
      <c r="I252" s="187">
        <f>+I251+1</f>
        <v>2</v>
      </c>
      <c r="J252" s="205"/>
      <c r="K252" s="79"/>
      <c r="L252" s="17" t="s">
        <v>323</v>
      </c>
      <c r="N252" s="17">
        <v>3</v>
      </c>
      <c r="O252" s="59" t="s">
        <v>798</v>
      </c>
      <c r="P252" s="97" t="s">
        <v>433</v>
      </c>
      <c r="Q252" s="97"/>
      <c r="R252" s="97" t="s">
        <v>786</v>
      </c>
      <c r="S252" s="97" t="s">
        <v>427</v>
      </c>
      <c r="T252" s="97" t="s">
        <v>624</v>
      </c>
      <c r="U252" s="97" t="s">
        <v>798</v>
      </c>
      <c r="V252" s="18"/>
      <c r="W252" s="17" t="str">
        <f>+CONCATENATE(E252,".",F252,"\",G252,".",H252,":",I252)</f>
        <v>2.1\0.8:2</v>
      </c>
      <c r="X252" s="17" t="s">
        <v>797</v>
      </c>
      <c r="Y252" s="17" t="s">
        <v>289</v>
      </c>
      <c r="Z252" s="18" t="s">
        <v>796</v>
      </c>
      <c r="AA252" s="46"/>
      <c r="AC252" s="19"/>
      <c r="AH252" s="64" t="str">
        <f>+AH251</f>
        <v>F8</v>
      </c>
      <c r="AI252" s="39" t="s">
        <v>183</v>
      </c>
      <c r="AJ252" s="39" t="s">
        <v>182</v>
      </c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</row>
    <row r="253" spans="1:53" s="17" customFormat="1" ht="14.5" x14ac:dyDescent="0.35">
      <c r="A253" s="63" t="str">
        <f>A252</f>
        <v>BSR132</v>
      </c>
      <c r="B253" s="18" t="str">
        <f>+B238</f>
        <v>DX01</v>
      </c>
      <c r="C253" s="18" t="str">
        <f>+C252</f>
        <v>DIO1</v>
      </c>
      <c r="D253" s="84">
        <f>+D252</f>
        <v>132</v>
      </c>
      <c r="E253" s="84">
        <v>2</v>
      </c>
      <c r="F253" s="84">
        <f>+F252</f>
        <v>1</v>
      </c>
      <c r="G253" s="84">
        <v>0</v>
      </c>
      <c r="H253" s="200">
        <f>+H252</f>
        <v>8</v>
      </c>
      <c r="I253" s="187">
        <f>+I252+1</f>
        <v>3</v>
      </c>
      <c r="J253" s="205"/>
      <c r="K253" s="79"/>
      <c r="L253" s="17" t="s">
        <v>323</v>
      </c>
      <c r="N253" s="17">
        <v>3</v>
      </c>
      <c r="O253" s="59" t="s">
        <v>623</v>
      </c>
      <c r="P253" s="17" t="s">
        <v>770</v>
      </c>
      <c r="R253" s="97" t="s">
        <v>769</v>
      </c>
      <c r="S253" s="97" t="s">
        <v>211</v>
      </c>
      <c r="T253" s="103" t="s">
        <v>768</v>
      </c>
      <c r="U253" s="97" t="s">
        <v>623</v>
      </c>
      <c r="V253" s="18"/>
      <c r="W253" s="17" t="str">
        <f>+CONCATENATE(E253,".",F253,"\",G253,".",H253,":",I253)</f>
        <v>2.1\0.8:3</v>
      </c>
      <c r="X253" s="17" t="s">
        <v>98</v>
      </c>
      <c r="Y253" s="17" t="s">
        <v>289</v>
      </c>
      <c r="Z253" s="18" t="s">
        <v>795</v>
      </c>
      <c r="AA253" s="46"/>
      <c r="AC253" s="19"/>
      <c r="AH253" s="64" t="str">
        <f>+AH252</f>
        <v>F8</v>
      </c>
      <c r="AI253" s="39" t="s">
        <v>181</v>
      </c>
      <c r="AJ253" s="39" t="s">
        <v>711</v>
      </c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</row>
    <row r="254" spans="1:53" s="17" customFormat="1" ht="14.5" x14ac:dyDescent="0.35">
      <c r="A254" s="63" t="str">
        <f>A253</f>
        <v>BSR132</v>
      </c>
      <c r="B254" s="18" t="str">
        <f>+B239</f>
        <v>DX01</v>
      </c>
      <c r="C254" s="18" t="str">
        <f>+C253</f>
        <v>DIO1</v>
      </c>
      <c r="D254" s="84">
        <f>+D253</f>
        <v>132</v>
      </c>
      <c r="E254" s="84">
        <v>2</v>
      </c>
      <c r="F254" s="84">
        <f>+F253</f>
        <v>1</v>
      </c>
      <c r="G254" s="84">
        <v>0</v>
      </c>
      <c r="H254" s="200">
        <f>+H253</f>
        <v>8</v>
      </c>
      <c r="I254" s="187">
        <f>+I253+1</f>
        <v>4</v>
      </c>
      <c r="J254" s="205"/>
      <c r="K254" s="79"/>
      <c r="L254" s="17" t="s">
        <v>323</v>
      </c>
      <c r="N254" s="17">
        <v>3</v>
      </c>
      <c r="O254" s="59" t="s">
        <v>623</v>
      </c>
      <c r="P254" s="97" t="s">
        <v>794</v>
      </c>
      <c r="Q254" s="97"/>
      <c r="R254" s="97" t="s">
        <v>636</v>
      </c>
      <c r="S254" s="97" t="s">
        <v>211</v>
      </c>
      <c r="T254" s="97" t="s">
        <v>628</v>
      </c>
      <c r="U254" s="97" t="s">
        <v>623</v>
      </c>
      <c r="V254" s="18"/>
      <c r="W254" s="17" t="str">
        <f>+CONCATENATE(E254,".",F254,"\",G254,".",H254,":",I254)</f>
        <v>2.1\0.8:4</v>
      </c>
      <c r="X254" s="17" t="s">
        <v>98</v>
      </c>
      <c r="Y254" s="17" t="s">
        <v>289</v>
      </c>
      <c r="Z254" s="18" t="s">
        <v>795</v>
      </c>
      <c r="AA254" s="46"/>
      <c r="AC254" s="19"/>
      <c r="AH254" s="64" t="str">
        <f>+AH253</f>
        <v>F8</v>
      </c>
      <c r="AI254" s="39" t="s">
        <v>176</v>
      </c>
      <c r="AJ254" s="39" t="s">
        <v>175</v>
      </c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</row>
    <row r="255" spans="1:53" s="17" customFormat="1" ht="14.5" x14ac:dyDescent="0.35">
      <c r="A255" s="63" t="str">
        <f>A254</f>
        <v>BSR132</v>
      </c>
      <c r="B255" s="18" t="str">
        <f>+B240</f>
        <v>DX01</v>
      </c>
      <c r="C255" s="18" t="str">
        <f>+C254</f>
        <v>DIO1</v>
      </c>
      <c r="D255" s="84">
        <f>+D254</f>
        <v>132</v>
      </c>
      <c r="E255" s="84">
        <v>2</v>
      </c>
      <c r="F255" s="84">
        <f>+F254</f>
        <v>1</v>
      </c>
      <c r="G255" s="84">
        <v>0</v>
      </c>
      <c r="H255" s="200">
        <f>+H254</f>
        <v>8</v>
      </c>
      <c r="I255" s="187">
        <f>+I254+1</f>
        <v>5</v>
      </c>
      <c r="J255" s="205"/>
      <c r="K255" s="79"/>
      <c r="L255" s="17" t="s">
        <v>323</v>
      </c>
      <c r="N255" s="17">
        <v>3</v>
      </c>
      <c r="O255" s="59" t="s">
        <v>623</v>
      </c>
      <c r="P255" s="97" t="s">
        <v>646</v>
      </c>
      <c r="Q255" s="97"/>
      <c r="R255" s="97" t="s">
        <v>786</v>
      </c>
      <c r="S255" s="97" t="s">
        <v>247</v>
      </c>
      <c r="T255" s="97" t="s">
        <v>624</v>
      </c>
      <c r="U255" s="97" t="s">
        <v>623</v>
      </c>
      <c r="V255" s="18"/>
      <c r="W255" s="17" t="str">
        <f>+CONCATENATE(E255,".",F255,"\",G255,".",H255,":",I255)</f>
        <v>2.1\0.8:5</v>
      </c>
      <c r="X255" s="17" t="s">
        <v>98</v>
      </c>
      <c r="Y255" s="17" t="s">
        <v>289</v>
      </c>
      <c r="Z255" s="18" t="s">
        <v>795</v>
      </c>
      <c r="AA255" s="46"/>
      <c r="AC255" s="19"/>
      <c r="AH255" s="64" t="str">
        <f>+AH254</f>
        <v>F8</v>
      </c>
      <c r="AI255" s="39" t="s">
        <v>174</v>
      </c>
      <c r="AJ255" s="39" t="s">
        <v>710</v>
      </c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</row>
    <row r="256" spans="1:53" s="17" customFormat="1" ht="14.5" x14ac:dyDescent="0.35">
      <c r="A256" s="63" t="str">
        <f>A255</f>
        <v>BSR132</v>
      </c>
      <c r="B256" s="18" t="str">
        <f>+B255</f>
        <v>DX01</v>
      </c>
      <c r="C256" s="18" t="str">
        <f>+C255</f>
        <v>DIO1</v>
      </c>
      <c r="D256" s="84">
        <f>+D255</f>
        <v>132</v>
      </c>
      <c r="E256" s="84">
        <v>2</v>
      </c>
      <c r="F256" s="84">
        <f>+F255</f>
        <v>1</v>
      </c>
      <c r="G256" s="84">
        <v>0</v>
      </c>
      <c r="H256" s="200">
        <f>+H255</f>
        <v>8</v>
      </c>
      <c r="I256" s="187">
        <f>+I255+1</f>
        <v>6</v>
      </c>
      <c r="J256" s="205"/>
      <c r="K256" s="79"/>
      <c r="L256" s="17" t="s">
        <v>323</v>
      </c>
      <c r="N256" s="17">
        <v>3</v>
      </c>
      <c r="O256" s="59" t="s">
        <v>623</v>
      </c>
      <c r="P256" s="17" t="s">
        <v>433</v>
      </c>
      <c r="R256" s="97" t="s">
        <v>786</v>
      </c>
      <c r="S256" s="97" t="s">
        <v>427</v>
      </c>
      <c r="T256" s="97" t="s">
        <v>624</v>
      </c>
      <c r="U256" s="97" t="s">
        <v>623</v>
      </c>
      <c r="V256" s="18"/>
      <c r="W256" s="17" t="str">
        <f>+CONCATENATE(E256,".",F256,"\",G256,".",H256,":",I256)</f>
        <v>2.1\0.8:6</v>
      </c>
      <c r="X256" s="17" t="s">
        <v>98</v>
      </c>
      <c r="Y256" s="17" t="s">
        <v>289</v>
      </c>
      <c r="Z256" s="18" t="s">
        <v>795</v>
      </c>
      <c r="AA256" s="46"/>
      <c r="AC256" s="19"/>
      <c r="AH256" s="64" t="str">
        <f>+AH255</f>
        <v>F8</v>
      </c>
      <c r="AI256" s="39" t="s">
        <v>169</v>
      </c>
      <c r="AJ256" s="39" t="s">
        <v>168</v>
      </c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</row>
    <row r="257" spans="1:53" s="17" customFormat="1" ht="14.5" x14ac:dyDescent="0.35">
      <c r="A257" s="63" t="str">
        <f>A256</f>
        <v>BSR132</v>
      </c>
      <c r="B257" s="18" t="str">
        <f>+B256</f>
        <v>DX01</v>
      </c>
      <c r="C257" s="18" t="str">
        <f>+C256</f>
        <v>DIO1</v>
      </c>
      <c r="D257" s="84">
        <f>+D256</f>
        <v>132</v>
      </c>
      <c r="E257" s="84">
        <v>2</v>
      </c>
      <c r="F257" s="84">
        <f>+F256</f>
        <v>1</v>
      </c>
      <c r="G257" s="84">
        <v>0</v>
      </c>
      <c r="H257" s="200">
        <f>+H256</f>
        <v>8</v>
      </c>
      <c r="I257" s="187">
        <f>+I256+1</f>
        <v>7</v>
      </c>
      <c r="J257" s="205"/>
      <c r="K257" s="79"/>
      <c r="L257" s="17" t="s">
        <v>323</v>
      </c>
      <c r="N257" s="17">
        <v>3</v>
      </c>
      <c r="O257" s="59" t="s">
        <v>610</v>
      </c>
      <c r="P257" s="97" t="s">
        <v>770</v>
      </c>
      <c r="Q257" s="97"/>
      <c r="R257" s="97" t="s">
        <v>769</v>
      </c>
      <c r="S257" s="97" t="s">
        <v>211</v>
      </c>
      <c r="T257" s="103" t="s">
        <v>768</v>
      </c>
      <c r="U257" s="97" t="s">
        <v>610</v>
      </c>
      <c r="V257" s="18"/>
      <c r="W257" s="17" t="str">
        <f>+CONCATENATE(E257,".",F257,"\",G257,".",H257,":",I257)</f>
        <v>2.1\0.8:7</v>
      </c>
      <c r="X257" s="17" t="s">
        <v>91</v>
      </c>
      <c r="Y257" s="17" t="s">
        <v>289</v>
      </c>
      <c r="Z257" s="18" t="s">
        <v>793</v>
      </c>
      <c r="AA257" s="46"/>
      <c r="AC257" s="19"/>
      <c r="AH257" s="64" t="str">
        <f>+AH256</f>
        <v>F8</v>
      </c>
      <c r="AI257" s="39" t="s">
        <v>167</v>
      </c>
      <c r="AJ257" s="39" t="s">
        <v>709</v>
      </c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</row>
    <row r="258" spans="1:53" s="17" customFormat="1" ht="14.5" x14ac:dyDescent="0.35">
      <c r="A258" s="63" t="str">
        <f>A257</f>
        <v>BSR132</v>
      </c>
      <c r="B258" s="18" t="str">
        <f>+B257</f>
        <v>DX01</v>
      </c>
      <c r="C258" s="18" t="str">
        <f>+C257</f>
        <v>DIO1</v>
      </c>
      <c r="D258" s="84">
        <f>+D257</f>
        <v>132</v>
      </c>
      <c r="E258" s="84">
        <v>2</v>
      </c>
      <c r="F258" s="84">
        <f>+F257</f>
        <v>1</v>
      </c>
      <c r="G258" s="84">
        <v>0</v>
      </c>
      <c r="H258" s="200">
        <f>+H257</f>
        <v>8</v>
      </c>
      <c r="I258" s="187">
        <f>+I257+1</f>
        <v>8</v>
      </c>
      <c r="J258" s="205"/>
      <c r="K258" s="79"/>
      <c r="L258" s="17" t="s">
        <v>323</v>
      </c>
      <c r="N258" s="17">
        <v>3</v>
      </c>
      <c r="O258" s="59" t="s">
        <v>610</v>
      </c>
      <c r="P258" s="97" t="s">
        <v>794</v>
      </c>
      <c r="Q258" s="97"/>
      <c r="R258" s="97" t="s">
        <v>636</v>
      </c>
      <c r="S258" s="97" t="s">
        <v>211</v>
      </c>
      <c r="T258" s="97" t="s">
        <v>628</v>
      </c>
      <c r="U258" s="97" t="s">
        <v>610</v>
      </c>
      <c r="V258" s="18"/>
      <c r="W258" s="17" t="str">
        <f>+CONCATENATE(E258,".",F258,"\",G258,".",H258,":",I258)</f>
        <v>2.1\0.8:8</v>
      </c>
      <c r="X258" s="17" t="s">
        <v>91</v>
      </c>
      <c r="Y258" s="17" t="s">
        <v>289</v>
      </c>
      <c r="Z258" s="18" t="s">
        <v>793</v>
      </c>
      <c r="AA258" s="46"/>
      <c r="AC258" s="19"/>
      <c r="AH258" s="64" t="str">
        <f>+AH257</f>
        <v>F8</v>
      </c>
      <c r="AI258" s="39" t="s">
        <v>161</v>
      </c>
      <c r="AJ258" s="39" t="s">
        <v>160</v>
      </c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</row>
    <row r="259" spans="1:53" s="17" customFormat="1" ht="14.5" x14ac:dyDescent="0.35">
      <c r="A259" s="63" t="str">
        <f>A258</f>
        <v>BSR132</v>
      </c>
      <c r="B259" s="18" t="str">
        <f>+B258</f>
        <v>DX01</v>
      </c>
      <c r="C259" s="18" t="str">
        <f>+C258</f>
        <v>DIO1</v>
      </c>
      <c r="D259" s="84">
        <f>+D258</f>
        <v>132</v>
      </c>
      <c r="E259" s="84">
        <v>2</v>
      </c>
      <c r="F259" s="84">
        <f>+F258</f>
        <v>1</v>
      </c>
      <c r="G259" s="84">
        <v>0</v>
      </c>
      <c r="H259" s="200">
        <f>+H258</f>
        <v>8</v>
      </c>
      <c r="I259" s="187">
        <f>+I258+1</f>
        <v>9</v>
      </c>
      <c r="J259" s="205"/>
      <c r="K259" s="79"/>
      <c r="L259" s="17" t="s">
        <v>323</v>
      </c>
      <c r="N259" s="17">
        <v>3</v>
      </c>
      <c r="O259" s="59" t="s">
        <v>610</v>
      </c>
      <c r="P259" s="17" t="s">
        <v>646</v>
      </c>
      <c r="R259" s="97" t="s">
        <v>786</v>
      </c>
      <c r="S259" s="97" t="s">
        <v>427</v>
      </c>
      <c r="T259" s="97" t="s">
        <v>624</v>
      </c>
      <c r="U259" s="97" t="s">
        <v>610</v>
      </c>
      <c r="V259" s="18"/>
      <c r="W259" s="17" t="str">
        <f>+CONCATENATE(E259,".",F259,"\",G259,".",H259,":",I259)</f>
        <v>2.1\0.8:9</v>
      </c>
      <c r="X259" s="17" t="s">
        <v>91</v>
      </c>
      <c r="Y259" s="17" t="s">
        <v>289</v>
      </c>
      <c r="Z259" s="18" t="s">
        <v>793</v>
      </c>
      <c r="AA259" s="46"/>
      <c r="AC259" s="19"/>
      <c r="AH259" s="64" t="str">
        <f>+AH258</f>
        <v>F8</v>
      </c>
      <c r="AI259" s="39" t="s">
        <v>159</v>
      </c>
      <c r="AJ259" s="39" t="s">
        <v>708</v>
      </c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</row>
    <row r="260" spans="1:53" s="17" customFormat="1" ht="14.5" x14ac:dyDescent="0.35">
      <c r="A260" s="63" t="str">
        <f>A259</f>
        <v>BSR132</v>
      </c>
      <c r="B260" s="18" t="str">
        <f>+B259</f>
        <v>DX01</v>
      </c>
      <c r="C260" s="18" t="str">
        <f>+C259</f>
        <v>DIO1</v>
      </c>
      <c r="D260" s="84">
        <f>+D259</f>
        <v>132</v>
      </c>
      <c r="E260" s="84">
        <v>2</v>
      </c>
      <c r="F260" s="84">
        <f>+F259</f>
        <v>1</v>
      </c>
      <c r="G260" s="84">
        <v>0</v>
      </c>
      <c r="H260" s="200">
        <f>+H259</f>
        <v>8</v>
      </c>
      <c r="I260" s="187">
        <f>+I259+1</f>
        <v>10</v>
      </c>
      <c r="J260" s="205"/>
      <c r="K260" s="79"/>
      <c r="L260" s="17" t="s">
        <v>323</v>
      </c>
      <c r="N260" s="17">
        <v>3</v>
      </c>
      <c r="O260" s="59" t="s">
        <v>610</v>
      </c>
      <c r="P260" s="97" t="s">
        <v>433</v>
      </c>
      <c r="Q260" s="97"/>
      <c r="R260" s="97" t="s">
        <v>786</v>
      </c>
      <c r="S260" s="97" t="s">
        <v>211</v>
      </c>
      <c r="T260" s="97" t="s">
        <v>624</v>
      </c>
      <c r="U260" s="97" t="s">
        <v>610</v>
      </c>
      <c r="V260" s="18"/>
      <c r="W260" s="17" t="str">
        <f>+CONCATENATE(E260,".",F260,"\",G260,".",H260,":",I260)</f>
        <v>2.1\0.8:10</v>
      </c>
      <c r="X260" s="17" t="s">
        <v>91</v>
      </c>
      <c r="Y260" s="17" t="s">
        <v>289</v>
      </c>
      <c r="Z260" s="18" t="s">
        <v>793</v>
      </c>
      <c r="AA260" s="46"/>
      <c r="AC260" s="19"/>
      <c r="AH260" s="64" t="str">
        <f>+AH259</f>
        <v>F8</v>
      </c>
      <c r="AI260" s="39" t="s">
        <v>154</v>
      </c>
      <c r="AJ260" s="39" t="s">
        <v>153</v>
      </c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</row>
    <row r="261" spans="1:53" s="17" customFormat="1" ht="14.5" x14ac:dyDescent="0.35">
      <c r="A261" s="63" t="str">
        <f>A260</f>
        <v>BSR132</v>
      </c>
      <c r="B261" s="18" t="str">
        <f>+B260</f>
        <v>DX01</v>
      </c>
      <c r="C261" s="18" t="str">
        <f>+C260</f>
        <v>DIO1</v>
      </c>
      <c r="D261" s="84">
        <f>+D260</f>
        <v>132</v>
      </c>
      <c r="E261" s="84">
        <v>2</v>
      </c>
      <c r="F261" s="84">
        <f>+F260</f>
        <v>1</v>
      </c>
      <c r="G261" s="84">
        <v>0</v>
      </c>
      <c r="H261" s="200">
        <f>+H260</f>
        <v>8</v>
      </c>
      <c r="I261" s="187">
        <f>+I260+1</f>
        <v>11</v>
      </c>
      <c r="J261" s="205"/>
      <c r="K261" s="79"/>
      <c r="L261" s="17" t="s">
        <v>323</v>
      </c>
      <c r="N261" s="17">
        <v>3</v>
      </c>
      <c r="O261" s="59" t="s">
        <v>179</v>
      </c>
      <c r="P261" s="97" t="s">
        <v>770</v>
      </c>
      <c r="Q261" s="97"/>
      <c r="R261" s="97" t="s">
        <v>769</v>
      </c>
      <c r="S261" s="97" t="s">
        <v>211</v>
      </c>
      <c r="T261" s="103" t="s">
        <v>768</v>
      </c>
      <c r="U261" s="97" t="s">
        <v>179</v>
      </c>
      <c r="V261" s="18"/>
      <c r="W261" s="17" t="str">
        <f>+CONCATENATE(E261,".",F261,"\",G261,".",H261,":",I261)</f>
        <v>2.1\0.8:11</v>
      </c>
      <c r="X261" s="17" t="s">
        <v>792</v>
      </c>
      <c r="Y261" s="17" t="s">
        <v>289</v>
      </c>
      <c r="Z261" s="18" t="s">
        <v>791</v>
      </c>
      <c r="AA261" s="46"/>
      <c r="AC261" s="19"/>
      <c r="AH261" s="64" t="str">
        <f>+AH260</f>
        <v>F8</v>
      </c>
      <c r="AI261" s="39" t="s">
        <v>152</v>
      </c>
      <c r="AJ261" s="39" t="s">
        <v>707</v>
      </c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</row>
    <row r="262" spans="1:53" s="17" customFormat="1" ht="14.5" x14ac:dyDescent="0.35">
      <c r="A262" s="63" t="str">
        <f>A261</f>
        <v>BSR132</v>
      </c>
      <c r="B262" s="18" t="str">
        <f>+B261</f>
        <v>DX01</v>
      </c>
      <c r="C262" s="18" t="str">
        <f>+C261</f>
        <v>DIO1</v>
      </c>
      <c r="D262" s="84">
        <f>+D261</f>
        <v>132</v>
      </c>
      <c r="E262" s="84">
        <v>2</v>
      </c>
      <c r="F262" s="84">
        <f>+F261</f>
        <v>1</v>
      </c>
      <c r="G262" s="84">
        <v>0</v>
      </c>
      <c r="H262" s="200">
        <f>+H261</f>
        <v>8</v>
      </c>
      <c r="I262" s="187">
        <f>+I261+1</f>
        <v>12</v>
      </c>
      <c r="J262" s="205"/>
      <c r="K262" s="79"/>
      <c r="L262" s="17" t="s">
        <v>323</v>
      </c>
      <c r="N262" s="17">
        <v>3</v>
      </c>
      <c r="O262" s="59" t="s">
        <v>179</v>
      </c>
      <c r="P262" s="17" t="s">
        <v>646</v>
      </c>
      <c r="R262" s="97" t="s">
        <v>786</v>
      </c>
      <c r="S262" s="97" t="s">
        <v>247</v>
      </c>
      <c r="T262" s="97" t="s">
        <v>624</v>
      </c>
      <c r="U262" s="97" t="s">
        <v>179</v>
      </c>
      <c r="V262" s="18"/>
      <c r="W262" s="17" t="str">
        <f>+CONCATENATE(E262,".",F262,"\",G262,".",H262,":",I262)</f>
        <v>2.1\0.8:12</v>
      </c>
      <c r="X262" s="17" t="s">
        <v>792</v>
      </c>
      <c r="Y262" s="17" t="s">
        <v>289</v>
      </c>
      <c r="Z262" s="18" t="s">
        <v>791</v>
      </c>
      <c r="AA262" s="46"/>
      <c r="AC262" s="19"/>
      <c r="AH262" s="64" t="str">
        <f>+AH261</f>
        <v>F8</v>
      </c>
      <c r="AI262" s="39" t="s">
        <v>150</v>
      </c>
      <c r="AJ262" s="39" t="s">
        <v>149</v>
      </c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</row>
    <row r="263" spans="1:53" s="17" customFormat="1" ht="14.5" x14ac:dyDescent="0.35">
      <c r="A263" s="63" t="str">
        <f>A262</f>
        <v>BSR132</v>
      </c>
      <c r="B263" s="18" t="str">
        <f>+B262</f>
        <v>DX01</v>
      </c>
      <c r="C263" s="18" t="str">
        <f>+C262</f>
        <v>DIO1</v>
      </c>
      <c r="D263" s="84">
        <f>+D262</f>
        <v>132</v>
      </c>
      <c r="E263" s="84">
        <v>2</v>
      </c>
      <c r="F263" s="84">
        <f>+F262</f>
        <v>1</v>
      </c>
      <c r="G263" s="84">
        <v>0</v>
      </c>
      <c r="H263" s="200">
        <f>+H262</f>
        <v>8</v>
      </c>
      <c r="I263" s="187">
        <f>+I262+1</f>
        <v>13</v>
      </c>
      <c r="J263" s="205"/>
      <c r="K263" s="79"/>
      <c r="L263" s="17" t="s">
        <v>323</v>
      </c>
      <c r="N263" s="17">
        <v>3</v>
      </c>
      <c r="O263" s="59" t="s">
        <v>179</v>
      </c>
      <c r="P263" s="97" t="s">
        <v>433</v>
      </c>
      <c r="Q263" s="97"/>
      <c r="R263" s="97" t="s">
        <v>786</v>
      </c>
      <c r="S263" s="97" t="s">
        <v>427</v>
      </c>
      <c r="T263" s="97" t="s">
        <v>624</v>
      </c>
      <c r="U263" s="97" t="s">
        <v>179</v>
      </c>
      <c r="V263" s="18"/>
      <c r="W263" s="17" t="str">
        <f>+CONCATENATE(E263,".",F263,"\",G263,".",H263,":",I263)</f>
        <v>2.1\0.8:13</v>
      </c>
      <c r="X263" s="17" t="s">
        <v>792</v>
      </c>
      <c r="Y263" s="17" t="s">
        <v>289</v>
      </c>
      <c r="Z263" s="18" t="s">
        <v>791</v>
      </c>
      <c r="AA263" s="46"/>
      <c r="AC263" s="19"/>
      <c r="AH263" s="64" t="str">
        <f>+AH262</f>
        <v>F8</v>
      </c>
      <c r="AI263" s="39" t="s">
        <v>148</v>
      </c>
      <c r="AJ263" s="39" t="s">
        <v>703</v>
      </c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</row>
    <row r="264" spans="1:53" s="17" customFormat="1" ht="14.5" x14ac:dyDescent="0.35">
      <c r="A264" s="63" t="str">
        <f>A263</f>
        <v>BSR132</v>
      </c>
      <c r="B264" s="18" t="str">
        <f>+B263</f>
        <v>DX01</v>
      </c>
      <c r="C264" s="18" t="str">
        <f>+C263</f>
        <v>DIO1</v>
      </c>
      <c r="D264" s="84">
        <f>+D263</f>
        <v>132</v>
      </c>
      <c r="E264" s="84">
        <v>2</v>
      </c>
      <c r="F264" s="84">
        <f>+F263</f>
        <v>1</v>
      </c>
      <c r="G264" s="84">
        <v>0</v>
      </c>
      <c r="H264" s="200">
        <f>+H263</f>
        <v>8</v>
      </c>
      <c r="I264" s="187">
        <f>+I263+1</f>
        <v>14</v>
      </c>
      <c r="J264" s="205"/>
      <c r="K264" s="79"/>
      <c r="L264" s="17" t="s">
        <v>323</v>
      </c>
      <c r="N264" s="17">
        <v>3</v>
      </c>
      <c r="O264" s="59" t="s">
        <v>172</v>
      </c>
      <c r="P264" s="97" t="s">
        <v>770</v>
      </c>
      <c r="Q264" s="97"/>
      <c r="R264" s="97" t="s">
        <v>769</v>
      </c>
      <c r="S264" s="97" t="s">
        <v>211</v>
      </c>
      <c r="T264" s="103" t="s">
        <v>768</v>
      </c>
      <c r="U264" s="17" t="s">
        <v>172</v>
      </c>
      <c r="V264" s="18"/>
      <c r="W264" s="17" t="str">
        <f>+CONCATENATE(E264,".",F264,"\",G264,".",H264,":",I264)</f>
        <v>2.1\0.8:14</v>
      </c>
      <c r="X264" s="17" t="s">
        <v>790</v>
      </c>
      <c r="Y264" s="17" t="s">
        <v>289</v>
      </c>
      <c r="Z264" s="18" t="s">
        <v>789</v>
      </c>
      <c r="AA264" s="46"/>
      <c r="AC264" s="19"/>
      <c r="AH264" s="64" t="str">
        <f>+AH263</f>
        <v>F8</v>
      </c>
      <c r="AI264" s="39" t="s">
        <v>144</v>
      </c>
      <c r="AJ264" s="39" t="s">
        <v>143</v>
      </c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</row>
    <row r="265" spans="1:53" s="17" customFormat="1" ht="14.5" x14ac:dyDescent="0.35">
      <c r="A265" s="63" t="str">
        <f>A264</f>
        <v>BSR132</v>
      </c>
      <c r="B265" s="18" t="str">
        <f>+B264</f>
        <v>DX01</v>
      </c>
      <c r="C265" s="18" t="str">
        <f>+C264</f>
        <v>DIO1</v>
      </c>
      <c r="D265" s="84">
        <f>+D264</f>
        <v>132</v>
      </c>
      <c r="E265" s="84">
        <v>2</v>
      </c>
      <c r="F265" s="84">
        <f>+F264</f>
        <v>1</v>
      </c>
      <c r="G265" s="84">
        <v>0</v>
      </c>
      <c r="H265" s="200">
        <f>+H264</f>
        <v>8</v>
      </c>
      <c r="I265" s="187">
        <f>+I264+1</f>
        <v>15</v>
      </c>
      <c r="J265" s="205"/>
      <c r="K265" s="79"/>
      <c r="L265" s="17" t="s">
        <v>323</v>
      </c>
      <c r="N265" s="17">
        <v>3</v>
      </c>
      <c r="O265" s="59" t="s">
        <v>172</v>
      </c>
      <c r="P265" s="17" t="s">
        <v>646</v>
      </c>
      <c r="R265" s="17" t="s">
        <v>786</v>
      </c>
      <c r="S265" s="17" t="s">
        <v>247</v>
      </c>
      <c r="T265" s="97" t="s">
        <v>624</v>
      </c>
      <c r="U265" s="17" t="s">
        <v>172</v>
      </c>
      <c r="V265" s="18"/>
      <c r="W265" s="17" t="str">
        <f>+CONCATENATE(E265,".",F265,"\",G265,".",H265,":",I265)</f>
        <v>2.1\0.8:15</v>
      </c>
      <c r="X265" s="17" t="s">
        <v>790</v>
      </c>
      <c r="Y265" s="17" t="s">
        <v>289</v>
      </c>
      <c r="Z265" s="18" t="s">
        <v>789</v>
      </c>
      <c r="AA265" s="46"/>
      <c r="AC265" s="19"/>
      <c r="AH265" s="64" t="str">
        <f>+AH264</f>
        <v>F8</v>
      </c>
      <c r="AI265" s="39" t="s">
        <v>142</v>
      </c>
      <c r="AJ265" s="39" t="s">
        <v>699</v>
      </c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</row>
    <row r="266" spans="1:53" s="17" customFormat="1" ht="14.5" x14ac:dyDescent="0.35">
      <c r="A266" s="63" t="str">
        <f>A265</f>
        <v>BSR132</v>
      </c>
      <c r="B266" s="18" t="str">
        <f>+B265</f>
        <v>DX01</v>
      </c>
      <c r="C266" s="18" t="str">
        <f>+C265</f>
        <v>DIO1</v>
      </c>
      <c r="D266" s="84">
        <f>+D265</f>
        <v>132</v>
      </c>
      <c r="E266" s="84">
        <v>2</v>
      </c>
      <c r="F266" s="84">
        <f>+F265</f>
        <v>1</v>
      </c>
      <c r="G266" s="84">
        <v>0</v>
      </c>
      <c r="H266" s="200">
        <f>+H265</f>
        <v>8</v>
      </c>
      <c r="I266" s="187">
        <f>+I265+1</f>
        <v>16</v>
      </c>
      <c r="J266" s="205"/>
      <c r="K266" s="18"/>
      <c r="L266" s="17" t="s">
        <v>323</v>
      </c>
      <c r="N266" s="17">
        <v>3</v>
      </c>
      <c r="O266" s="59" t="s">
        <v>172</v>
      </c>
      <c r="P266" s="17" t="s">
        <v>433</v>
      </c>
      <c r="R266" s="97" t="s">
        <v>786</v>
      </c>
      <c r="S266" s="97" t="s">
        <v>427</v>
      </c>
      <c r="T266" s="97" t="s">
        <v>624</v>
      </c>
      <c r="U266" s="97" t="s">
        <v>172</v>
      </c>
      <c r="V266" s="18"/>
      <c r="W266" s="17" t="str">
        <f>+CONCATENATE(E266,".",F266,"\",G266,".",H266,":",I266)</f>
        <v>2.1\0.8:16</v>
      </c>
      <c r="X266" s="17" t="s">
        <v>790</v>
      </c>
      <c r="Y266" s="17" t="s">
        <v>289</v>
      </c>
      <c r="Z266" s="18" t="s">
        <v>789</v>
      </c>
      <c r="AA266" s="46"/>
      <c r="AC266" s="19"/>
      <c r="AH266" s="64" t="str">
        <f>+AH265</f>
        <v>F8</v>
      </c>
      <c r="AI266" s="39" t="s">
        <v>137</v>
      </c>
      <c r="AJ266" s="39" t="s">
        <v>136</v>
      </c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</row>
    <row r="267" spans="1:53" s="17" customFormat="1" ht="14.5" x14ac:dyDescent="0.35">
      <c r="A267" s="63" t="str">
        <f>A266</f>
        <v>BSR132</v>
      </c>
      <c r="B267" s="18" t="str">
        <f>+B266</f>
        <v>DX01</v>
      </c>
      <c r="C267" s="18" t="str">
        <f>+C266</f>
        <v>DIO1</v>
      </c>
      <c r="D267" s="84">
        <f>+D266</f>
        <v>132</v>
      </c>
      <c r="E267" s="84">
        <v>2</v>
      </c>
      <c r="F267" s="84">
        <f>+F266</f>
        <v>1</v>
      </c>
      <c r="G267" s="84">
        <v>0</v>
      </c>
      <c r="H267" s="200">
        <f>+H266</f>
        <v>8</v>
      </c>
      <c r="I267" s="187">
        <f>+I266+1</f>
        <v>17</v>
      </c>
      <c r="J267" s="205"/>
      <c r="K267" s="79"/>
      <c r="L267" s="17" t="s">
        <v>323</v>
      </c>
      <c r="N267" s="17">
        <v>3</v>
      </c>
      <c r="O267" s="59" t="s">
        <v>164</v>
      </c>
      <c r="P267" s="97" t="s">
        <v>770</v>
      </c>
      <c r="Q267" s="97"/>
      <c r="R267" s="97" t="s">
        <v>769</v>
      </c>
      <c r="S267" s="97" t="s">
        <v>211</v>
      </c>
      <c r="T267" s="103" t="s">
        <v>768</v>
      </c>
      <c r="U267" s="97" t="s">
        <v>164</v>
      </c>
      <c r="V267" s="18"/>
      <c r="W267" s="17" t="str">
        <f>+CONCATENATE(E267,".",F267,"\",G267,".",H267,":",I267)</f>
        <v>2.1\0.8:17</v>
      </c>
      <c r="X267" s="17" t="s">
        <v>788</v>
      </c>
      <c r="Y267" s="17" t="s">
        <v>289</v>
      </c>
      <c r="Z267" s="18" t="s">
        <v>787</v>
      </c>
      <c r="AA267" s="46"/>
      <c r="AC267" s="19"/>
      <c r="AH267" s="64" t="str">
        <f>+AH266</f>
        <v>F8</v>
      </c>
      <c r="AI267" s="39" t="s">
        <v>135</v>
      </c>
      <c r="AJ267" s="39" t="s">
        <v>740</v>
      </c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</row>
    <row r="268" spans="1:53" s="17" customFormat="1" ht="14.5" x14ac:dyDescent="0.35">
      <c r="A268" s="63" t="str">
        <f>A267</f>
        <v>BSR132</v>
      </c>
      <c r="B268" s="18" t="str">
        <f>+B267</f>
        <v>DX01</v>
      </c>
      <c r="C268" s="18" t="str">
        <f>+C267</f>
        <v>DIO1</v>
      </c>
      <c r="D268" s="84">
        <f>+D267</f>
        <v>132</v>
      </c>
      <c r="E268" s="84">
        <v>2</v>
      </c>
      <c r="F268" s="84">
        <f>+F267</f>
        <v>1</v>
      </c>
      <c r="G268" s="84">
        <v>0</v>
      </c>
      <c r="H268" s="200">
        <f>+H267</f>
        <v>8</v>
      </c>
      <c r="I268" s="187">
        <f>+I267+1</f>
        <v>18</v>
      </c>
      <c r="J268" s="205"/>
      <c r="K268" s="79"/>
      <c r="L268" s="17" t="s">
        <v>323</v>
      </c>
      <c r="N268" s="17">
        <v>3</v>
      </c>
      <c r="O268" s="59" t="s">
        <v>164</v>
      </c>
      <c r="P268" s="97" t="s">
        <v>646</v>
      </c>
      <c r="Q268" s="97"/>
      <c r="R268" s="97" t="s">
        <v>786</v>
      </c>
      <c r="S268" s="97" t="s">
        <v>247</v>
      </c>
      <c r="T268" s="97" t="s">
        <v>624</v>
      </c>
      <c r="U268" s="97" t="s">
        <v>164</v>
      </c>
      <c r="V268" s="18"/>
      <c r="W268" s="17" t="str">
        <f>+CONCATENATE(E268,".",F268,"\",G268,".",H268,":",I268)</f>
        <v>2.1\0.8:18</v>
      </c>
      <c r="X268" s="17" t="s">
        <v>788</v>
      </c>
      <c r="Y268" s="17" t="s">
        <v>289</v>
      </c>
      <c r="Z268" s="18" t="s">
        <v>787</v>
      </c>
      <c r="AA268" s="46"/>
      <c r="AC268" s="19"/>
      <c r="AH268" s="64" t="str">
        <f>+AH267</f>
        <v>F8</v>
      </c>
      <c r="AI268" s="39" t="s">
        <v>134</v>
      </c>
      <c r="AJ268" s="39" t="s">
        <v>133</v>
      </c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</row>
    <row r="269" spans="1:53" s="17" customFormat="1" ht="14.5" x14ac:dyDescent="0.35">
      <c r="A269" s="63" t="str">
        <f>A268</f>
        <v>BSR132</v>
      </c>
      <c r="B269" s="18" t="str">
        <f>+B268</f>
        <v>DX01</v>
      </c>
      <c r="C269" s="18" t="str">
        <f>+C268</f>
        <v>DIO1</v>
      </c>
      <c r="D269" s="84">
        <f>+D268</f>
        <v>132</v>
      </c>
      <c r="E269" s="84">
        <v>2</v>
      </c>
      <c r="F269" s="84">
        <f>+F268</f>
        <v>1</v>
      </c>
      <c r="G269" s="84">
        <v>0</v>
      </c>
      <c r="H269" s="200">
        <f>+H268</f>
        <v>8</v>
      </c>
      <c r="I269" s="187">
        <f>+I268+1</f>
        <v>19</v>
      </c>
      <c r="J269" s="205"/>
      <c r="K269" s="79"/>
      <c r="L269" s="17" t="s">
        <v>323</v>
      </c>
      <c r="N269" s="17">
        <v>3</v>
      </c>
      <c r="O269" s="59" t="s">
        <v>164</v>
      </c>
      <c r="P269" s="17" t="s">
        <v>433</v>
      </c>
      <c r="R269" s="97" t="s">
        <v>786</v>
      </c>
      <c r="S269" s="97" t="s">
        <v>427</v>
      </c>
      <c r="T269" s="97" t="s">
        <v>624</v>
      </c>
      <c r="U269" s="97" t="s">
        <v>164</v>
      </c>
      <c r="V269" s="212"/>
      <c r="W269" s="17" t="str">
        <f>+CONCATENATE(E269,".",F269,"\",G269,".",H269,":",I269)</f>
        <v>2.1\0.8:19</v>
      </c>
      <c r="X269" s="17" t="s">
        <v>788</v>
      </c>
      <c r="Y269" s="17" t="s">
        <v>289</v>
      </c>
      <c r="Z269" s="18" t="s">
        <v>787</v>
      </c>
      <c r="AA269" s="46"/>
      <c r="AC269" s="19"/>
      <c r="AH269" s="64" t="str">
        <f>+AH268</f>
        <v>F8</v>
      </c>
      <c r="AI269" s="39" t="s">
        <v>132</v>
      </c>
      <c r="AJ269" s="39" t="s">
        <v>738</v>
      </c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</row>
    <row r="270" spans="1:53" s="17" customFormat="1" ht="14.5" x14ac:dyDescent="0.35">
      <c r="A270" s="63" t="str">
        <f>A269</f>
        <v>BSR132</v>
      </c>
      <c r="B270" s="18" t="str">
        <f>+B269</f>
        <v>DX01</v>
      </c>
      <c r="C270" s="18" t="str">
        <f>+C269</f>
        <v>DIO1</v>
      </c>
      <c r="D270" s="84">
        <f>+D269</f>
        <v>132</v>
      </c>
      <c r="E270" s="84">
        <v>2</v>
      </c>
      <c r="F270" s="84">
        <f>+F269</f>
        <v>1</v>
      </c>
      <c r="G270" s="84">
        <v>0</v>
      </c>
      <c r="H270" s="200">
        <f>+H269</f>
        <v>8</v>
      </c>
      <c r="I270" s="187">
        <f>+I269+1</f>
        <v>20</v>
      </c>
      <c r="J270" s="205"/>
      <c r="K270" s="79"/>
      <c r="L270" s="17" t="s">
        <v>323</v>
      </c>
      <c r="N270" s="17">
        <v>4</v>
      </c>
      <c r="O270" s="59" t="s">
        <v>785</v>
      </c>
      <c r="P270" s="59" t="s">
        <v>770</v>
      </c>
      <c r="Q270" s="97"/>
      <c r="R270" s="97" t="s">
        <v>769</v>
      </c>
      <c r="S270" s="97" t="s">
        <v>211</v>
      </c>
      <c r="T270" s="103" t="s">
        <v>768</v>
      </c>
      <c r="U270" s="97" t="s">
        <v>785</v>
      </c>
      <c r="V270" s="97"/>
      <c r="W270" s="17" t="str">
        <f>+CONCATENATE(E270,".",F270,"\",G270,".",H270,":",I270)</f>
        <v>2.1\0.8:20</v>
      </c>
      <c r="X270" s="59" t="s">
        <v>784</v>
      </c>
      <c r="Y270" s="17" t="s">
        <v>289</v>
      </c>
      <c r="Z270" s="18"/>
      <c r="AC270" s="19"/>
      <c r="AH270" s="64" t="str">
        <f>+AH269</f>
        <v>F8</v>
      </c>
      <c r="AI270" s="39" t="s">
        <v>130</v>
      </c>
      <c r="AJ270" s="39" t="s">
        <v>129</v>
      </c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</row>
    <row r="271" spans="1:53" s="17" customFormat="1" ht="14.5" x14ac:dyDescent="0.35">
      <c r="A271" s="63" t="str">
        <f>A270</f>
        <v>BSR132</v>
      </c>
      <c r="B271" s="18" t="str">
        <f>+B270</f>
        <v>DX01</v>
      </c>
      <c r="C271" s="18" t="str">
        <f>+C270</f>
        <v>DIO1</v>
      </c>
      <c r="D271" s="84">
        <f>+D270</f>
        <v>132</v>
      </c>
      <c r="E271" s="84">
        <v>2</v>
      </c>
      <c r="F271" s="84">
        <f>+F270</f>
        <v>1</v>
      </c>
      <c r="G271" s="84">
        <v>0</v>
      </c>
      <c r="H271" s="200">
        <f>+H270</f>
        <v>8</v>
      </c>
      <c r="I271" s="187">
        <f>+I270+1</f>
        <v>21</v>
      </c>
      <c r="J271" s="205"/>
      <c r="K271" s="79"/>
      <c r="L271" s="17" t="s">
        <v>323</v>
      </c>
      <c r="N271" s="17">
        <v>4</v>
      </c>
      <c r="O271" s="59" t="s">
        <v>785</v>
      </c>
      <c r="P271" s="59" t="s">
        <v>646</v>
      </c>
      <c r="Q271" s="97"/>
      <c r="R271" s="97" t="s">
        <v>786</v>
      </c>
      <c r="S271" s="97" t="s">
        <v>247</v>
      </c>
      <c r="T271" s="97" t="s">
        <v>624</v>
      </c>
      <c r="U271" s="97" t="s">
        <v>785</v>
      </c>
      <c r="V271" s="97"/>
      <c r="W271" s="17" t="str">
        <f>+CONCATENATE(E271,".",F271,"\",G271,".",H271,":",I271)</f>
        <v>2.1\0.8:21</v>
      </c>
      <c r="X271" s="59" t="s">
        <v>784</v>
      </c>
      <c r="Y271" s="17" t="s">
        <v>289</v>
      </c>
      <c r="Z271" s="18"/>
      <c r="AC271" s="19"/>
      <c r="AH271" s="64" t="str">
        <f>+AH270</f>
        <v>F8</v>
      </c>
      <c r="AI271" s="39" t="s">
        <v>128</v>
      </c>
      <c r="AJ271" s="39" t="s">
        <v>737</v>
      </c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</row>
    <row r="272" spans="1:53" s="17" customFormat="1" ht="14.5" x14ac:dyDescent="0.35">
      <c r="A272" s="63" t="str">
        <f>A271</f>
        <v>BSR132</v>
      </c>
      <c r="B272" s="18" t="str">
        <f>+B271</f>
        <v>DX01</v>
      </c>
      <c r="C272" s="18" t="str">
        <f>+C271</f>
        <v>DIO1</v>
      </c>
      <c r="D272" s="84">
        <f>+D271</f>
        <v>132</v>
      </c>
      <c r="E272" s="84">
        <v>2</v>
      </c>
      <c r="F272" s="84">
        <f>+F271</f>
        <v>1</v>
      </c>
      <c r="G272" s="84">
        <v>0</v>
      </c>
      <c r="H272" s="200">
        <f>+H271</f>
        <v>8</v>
      </c>
      <c r="I272" s="187">
        <f>+I271+1</f>
        <v>22</v>
      </c>
      <c r="J272" s="205"/>
      <c r="K272" s="79"/>
      <c r="L272" s="17" t="s">
        <v>323</v>
      </c>
      <c r="N272" s="17">
        <v>4</v>
      </c>
      <c r="O272" s="59" t="s">
        <v>785</v>
      </c>
      <c r="P272" s="59" t="s">
        <v>433</v>
      </c>
      <c r="R272" s="97" t="s">
        <v>786</v>
      </c>
      <c r="S272" s="97" t="s">
        <v>427</v>
      </c>
      <c r="T272" s="97" t="s">
        <v>624</v>
      </c>
      <c r="U272" s="97" t="s">
        <v>785</v>
      </c>
      <c r="V272" s="97"/>
      <c r="W272" s="17" t="str">
        <f>+CONCATENATE(E272,".",F272,"\",G272,".",H272,":",I272)</f>
        <v>2.1\0.8:22</v>
      </c>
      <c r="X272" s="59" t="s">
        <v>784</v>
      </c>
      <c r="Y272" s="17" t="s">
        <v>289</v>
      </c>
      <c r="Z272" s="18"/>
      <c r="AA272" s="46"/>
      <c r="AC272" s="19"/>
      <c r="AH272" s="64" t="str">
        <f>+AH271</f>
        <v>F8</v>
      </c>
      <c r="AI272" s="39" t="s">
        <v>125</v>
      </c>
      <c r="AJ272" s="39" t="s">
        <v>124</v>
      </c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</row>
    <row r="273" spans="1:53" s="17" customFormat="1" ht="14.5" x14ac:dyDescent="0.35">
      <c r="A273" s="63" t="str">
        <f>A272</f>
        <v>BSR132</v>
      </c>
      <c r="B273" s="18" t="str">
        <f>+B272</f>
        <v>DX01</v>
      </c>
      <c r="C273" s="18" t="str">
        <f>+C272</f>
        <v>DIO1</v>
      </c>
      <c r="D273" s="84">
        <f>+D272</f>
        <v>132</v>
      </c>
      <c r="E273" s="84">
        <v>2</v>
      </c>
      <c r="F273" s="84">
        <f>+F272</f>
        <v>1</v>
      </c>
      <c r="G273" s="84">
        <v>0</v>
      </c>
      <c r="H273" s="200">
        <f>+H272</f>
        <v>8</v>
      </c>
      <c r="I273" s="187">
        <f>+I272+1</f>
        <v>23</v>
      </c>
      <c r="J273" s="205"/>
      <c r="K273" s="79"/>
      <c r="L273" s="17" t="s">
        <v>323</v>
      </c>
      <c r="N273" s="83">
        <v>6</v>
      </c>
      <c r="O273" s="215" t="s">
        <v>782</v>
      </c>
      <c r="P273" s="216" t="s">
        <v>567</v>
      </c>
      <c r="Q273" s="216"/>
      <c r="R273" s="216" t="s">
        <v>781</v>
      </c>
      <c r="S273" s="216" t="s">
        <v>399</v>
      </c>
      <c r="T273" s="216"/>
      <c r="U273" s="216" t="s">
        <v>185</v>
      </c>
      <c r="V273" s="216"/>
      <c r="W273" s="83" t="s">
        <v>783</v>
      </c>
      <c r="X273" s="83" t="s">
        <v>771</v>
      </c>
      <c r="Y273" s="83">
        <v>1</v>
      </c>
      <c r="Z273" s="18"/>
      <c r="AC273" s="19"/>
      <c r="AH273" s="64" t="str">
        <f>+AH272</f>
        <v>F8</v>
      </c>
      <c r="AI273" s="39" t="s">
        <v>123</v>
      </c>
      <c r="AJ273" s="39" t="s">
        <v>735</v>
      </c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</row>
    <row r="274" spans="1:53" s="17" customFormat="1" ht="14.5" x14ac:dyDescent="0.35">
      <c r="A274" s="63" t="str">
        <f>A273</f>
        <v>BSR132</v>
      </c>
      <c r="B274" s="18" t="str">
        <f>+B273</f>
        <v>DX01</v>
      </c>
      <c r="C274" s="18" t="str">
        <f>+C273</f>
        <v>DIO1</v>
      </c>
      <c r="D274" s="84">
        <f>+D273</f>
        <v>132</v>
      </c>
      <c r="E274" s="84">
        <v>2</v>
      </c>
      <c r="F274" s="84">
        <f>+F273</f>
        <v>1</v>
      </c>
      <c r="G274" s="84">
        <v>0</v>
      </c>
      <c r="H274" s="200">
        <f>+H273</f>
        <v>8</v>
      </c>
      <c r="I274" s="187">
        <f>+I273+1</f>
        <v>24</v>
      </c>
      <c r="J274" s="205"/>
      <c r="K274" s="79"/>
      <c r="L274" s="17" t="s">
        <v>323</v>
      </c>
      <c r="N274" s="83">
        <v>6</v>
      </c>
      <c r="O274" s="215" t="s">
        <v>782</v>
      </c>
      <c r="P274" s="216" t="s">
        <v>570</v>
      </c>
      <c r="Q274" s="216"/>
      <c r="R274" s="216" t="s">
        <v>781</v>
      </c>
      <c r="S274" s="216" t="s">
        <v>395</v>
      </c>
      <c r="T274" s="216"/>
      <c r="U274" s="216" t="s">
        <v>185</v>
      </c>
      <c r="V274" s="216"/>
      <c r="W274" s="83" t="s">
        <v>780</v>
      </c>
      <c r="X274" s="83" t="s">
        <v>771</v>
      </c>
      <c r="Y274" s="83">
        <v>1</v>
      </c>
      <c r="Z274" s="18"/>
      <c r="AC274" s="19"/>
      <c r="AH274" s="64" t="str">
        <f>+AH273</f>
        <v>F8</v>
      </c>
      <c r="AI274" s="39" t="s">
        <v>120</v>
      </c>
      <c r="AJ274" s="39" t="s">
        <v>119</v>
      </c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</row>
    <row r="275" spans="1:53" s="17" customFormat="1" ht="14.5" x14ac:dyDescent="0.35">
      <c r="A275" s="63" t="str">
        <f>A274</f>
        <v>BSR132</v>
      </c>
      <c r="B275" s="18" t="str">
        <f>+B274</f>
        <v>DX01</v>
      </c>
      <c r="C275" s="18" t="str">
        <f>+C274</f>
        <v>DIO1</v>
      </c>
      <c r="D275" s="84">
        <f>+D274</f>
        <v>132</v>
      </c>
      <c r="E275" s="84">
        <v>2</v>
      </c>
      <c r="F275" s="84">
        <f>+F274</f>
        <v>1</v>
      </c>
      <c r="G275" s="84">
        <v>0</v>
      </c>
      <c r="H275" s="200">
        <f>+H274</f>
        <v>8</v>
      </c>
      <c r="I275" s="187">
        <f>+I274+1</f>
        <v>25</v>
      </c>
      <c r="J275" s="205"/>
      <c r="K275" s="79"/>
      <c r="L275" s="17" t="s">
        <v>323</v>
      </c>
      <c r="N275" s="83">
        <v>6</v>
      </c>
      <c r="O275" s="215" t="s">
        <v>777</v>
      </c>
      <c r="P275" s="83" t="s">
        <v>567</v>
      </c>
      <c r="Q275" s="83"/>
      <c r="R275" s="216" t="s">
        <v>779</v>
      </c>
      <c r="S275" s="216" t="s">
        <v>399</v>
      </c>
      <c r="T275" s="216"/>
      <c r="U275" s="216" t="s">
        <v>185</v>
      </c>
      <c r="V275" s="216"/>
      <c r="W275" s="83" t="s">
        <v>778</v>
      </c>
      <c r="X275" s="83" t="s">
        <v>771</v>
      </c>
      <c r="Y275" s="83">
        <v>1</v>
      </c>
      <c r="Z275" s="18"/>
      <c r="AA275" s="46"/>
      <c r="AC275" s="19"/>
      <c r="AH275" s="64" t="str">
        <f>+AH274</f>
        <v>F8</v>
      </c>
      <c r="AI275" s="39" t="s">
        <v>118</v>
      </c>
      <c r="AJ275" s="39" t="s">
        <v>730</v>
      </c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</row>
    <row r="276" spans="1:53" s="17" customFormat="1" ht="14.5" x14ac:dyDescent="0.35">
      <c r="A276" s="63" t="str">
        <f>A275</f>
        <v>BSR132</v>
      </c>
      <c r="B276" s="18" t="str">
        <f>+B275</f>
        <v>DX01</v>
      </c>
      <c r="C276" s="18" t="str">
        <f>+C275</f>
        <v>DIO1</v>
      </c>
      <c r="D276" s="84">
        <f>+D275</f>
        <v>132</v>
      </c>
      <c r="E276" s="84">
        <v>2</v>
      </c>
      <c r="F276" s="84">
        <f>+F275</f>
        <v>1</v>
      </c>
      <c r="G276" s="84">
        <v>0</v>
      </c>
      <c r="H276" s="200">
        <f>+H275</f>
        <v>8</v>
      </c>
      <c r="I276" s="187">
        <f>+I275+1</f>
        <v>26</v>
      </c>
      <c r="J276" s="205"/>
      <c r="K276" s="79"/>
      <c r="L276" s="17" t="s">
        <v>323</v>
      </c>
      <c r="N276" s="83">
        <v>6</v>
      </c>
      <c r="O276" s="215" t="s">
        <v>777</v>
      </c>
      <c r="P276" s="216" t="s">
        <v>570</v>
      </c>
      <c r="Q276" s="216"/>
      <c r="R276" s="216" t="s">
        <v>776</v>
      </c>
      <c r="S276" s="216" t="s">
        <v>395</v>
      </c>
      <c r="T276" s="216"/>
      <c r="U276" s="216" t="s">
        <v>185</v>
      </c>
      <c r="V276" s="83"/>
      <c r="W276" s="83" t="s">
        <v>775</v>
      </c>
      <c r="X276" s="83" t="s">
        <v>771</v>
      </c>
      <c r="Y276" s="83">
        <v>1</v>
      </c>
      <c r="Z276" s="18"/>
      <c r="AC276" s="19"/>
      <c r="AH276" s="64" t="str">
        <f>+AH275</f>
        <v>F8</v>
      </c>
      <c r="AI276" s="39" t="s">
        <v>114</v>
      </c>
      <c r="AJ276" s="39" t="s">
        <v>113</v>
      </c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</row>
    <row r="277" spans="1:53" s="17" customFormat="1" ht="14.5" x14ac:dyDescent="0.35">
      <c r="A277" s="63" t="str">
        <f>A276</f>
        <v>BSR132</v>
      </c>
      <c r="B277" s="18" t="str">
        <f>+B276</f>
        <v>DX01</v>
      </c>
      <c r="C277" s="18" t="str">
        <f>+C276</f>
        <v>DIO1</v>
      </c>
      <c r="D277" s="84">
        <f>+D276</f>
        <v>132</v>
      </c>
      <c r="E277" s="84">
        <v>2</v>
      </c>
      <c r="F277" s="84">
        <f>+F276</f>
        <v>1</v>
      </c>
      <c r="G277" s="84">
        <v>0</v>
      </c>
      <c r="H277" s="200">
        <f>+H276</f>
        <v>8</v>
      </c>
      <c r="I277" s="187">
        <f>+I276+1</f>
        <v>27</v>
      </c>
      <c r="J277" s="205"/>
      <c r="K277" s="79"/>
      <c r="L277" s="17" t="s">
        <v>323</v>
      </c>
      <c r="N277" s="83">
        <v>6</v>
      </c>
      <c r="O277" s="215" t="s">
        <v>185</v>
      </c>
      <c r="P277" s="216" t="s">
        <v>567</v>
      </c>
      <c r="Q277" s="216"/>
      <c r="R277" s="216" t="s">
        <v>774</v>
      </c>
      <c r="S277" s="216" t="s">
        <v>773</v>
      </c>
      <c r="T277" s="216"/>
      <c r="U277" s="216" t="s">
        <v>185</v>
      </c>
      <c r="V277" s="83"/>
      <c r="W277" s="83" t="s">
        <v>772</v>
      </c>
      <c r="X277" s="83" t="s">
        <v>771</v>
      </c>
      <c r="Y277" s="83">
        <v>1</v>
      </c>
      <c r="Z277" s="18"/>
      <c r="AC277" s="19"/>
      <c r="AH277" s="64" t="str">
        <f>+AH276</f>
        <v>F8</v>
      </c>
      <c r="AI277" s="39" t="s">
        <v>112</v>
      </c>
      <c r="AJ277" s="39" t="s">
        <v>726</v>
      </c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</row>
    <row r="278" spans="1:53" s="17" customFormat="1" ht="14.5" x14ac:dyDescent="0.35">
      <c r="A278" s="63" t="str">
        <f>A277</f>
        <v>BSR132</v>
      </c>
      <c r="B278" s="18" t="str">
        <f>+B277</f>
        <v>DX01</v>
      </c>
      <c r="C278" s="18" t="str">
        <f>+C277</f>
        <v>DIO1</v>
      </c>
      <c r="D278" s="84">
        <f>+D277</f>
        <v>132</v>
      </c>
      <c r="E278" s="84">
        <v>2</v>
      </c>
      <c r="F278" s="84">
        <f>+F277</f>
        <v>1</v>
      </c>
      <c r="G278" s="84">
        <v>0</v>
      </c>
      <c r="H278" s="200">
        <f>+H277</f>
        <v>8</v>
      </c>
      <c r="I278" s="187">
        <f>+I277+1</f>
        <v>28</v>
      </c>
      <c r="J278" s="205"/>
      <c r="K278" s="79"/>
      <c r="L278" s="17" t="s">
        <v>323</v>
      </c>
      <c r="O278" s="59"/>
      <c r="R278" s="97"/>
      <c r="S278" s="97"/>
      <c r="T278" s="97"/>
      <c r="U278" s="97"/>
      <c r="W278" s="17" t="str">
        <f>+CONCATENATE(E278,".",F278,"\",G278,".",H278,":",I278)</f>
        <v>2.1\0.8:28</v>
      </c>
      <c r="Z278" s="18"/>
      <c r="AA278" s="46"/>
      <c r="AB278" s="46"/>
      <c r="AC278" s="19"/>
      <c r="AH278" s="64" t="str">
        <f>+AH277</f>
        <v>F8</v>
      </c>
      <c r="AI278" s="39" t="s">
        <v>109</v>
      </c>
      <c r="AJ278" s="39" t="s">
        <v>108</v>
      </c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</row>
    <row r="279" spans="1:53" s="17" customFormat="1" ht="14.5" x14ac:dyDescent="0.35">
      <c r="A279" s="63" t="str">
        <f>A278</f>
        <v>BSR132</v>
      </c>
      <c r="B279" s="18" t="str">
        <f>+B278</f>
        <v>DX01</v>
      </c>
      <c r="C279" s="18" t="str">
        <f>+C278</f>
        <v>DIO1</v>
      </c>
      <c r="D279" s="84">
        <f>+D278</f>
        <v>132</v>
      </c>
      <c r="E279" s="84">
        <v>2</v>
      </c>
      <c r="F279" s="84">
        <f>+F278</f>
        <v>1</v>
      </c>
      <c r="G279" s="84">
        <v>0</v>
      </c>
      <c r="H279" s="200">
        <f>+H278</f>
        <v>8</v>
      </c>
      <c r="I279" s="187">
        <f>+I278+1</f>
        <v>29</v>
      </c>
      <c r="J279" s="205"/>
      <c r="K279" s="79"/>
      <c r="L279" s="17" t="s">
        <v>323</v>
      </c>
      <c r="N279" s="83">
        <v>4</v>
      </c>
      <c r="O279" s="215" t="s">
        <v>669</v>
      </c>
      <c r="P279" s="216" t="s">
        <v>770</v>
      </c>
      <c r="Q279" s="216"/>
      <c r="R279" s="216" t="s">
        <v>769</v>
      </c>
      <c r="S279" s="216" t="s">
        <v>211</v>
      </c>
      <c r="T279" s="196" t="s">
        <v>768</v>
      </c>
      <c r="U279" s="215" t="s">
        <v>669</v>
      </c>
      <c r="W279" s="17" t="str">
        <f>+CONCATENATE(E279,".",F279,"\",G279,".",H279,":",I279)</f>
        <v>2.1\0.8:29</v>
      </c>
      <c r="X279" s="64" t="s">
        <v>668</v>
      </c>
      <c r="Y279" s="17" t="s">
        <v>289</v>
      </c>
      <c r="Z279" s="18"/>
      <c r="AA279" s="83"/>
      <c r="AB279" s="83"/>
      <c r="AC279" s="19"/>
      <c r="AH279" s="64" t="str">
        <f>+AH278</f>
        <v>F8</v>
      </c>
      <c r="AI279" s="39" t="s">
        <v>107</v>
      </c>
      <c r="AJ279" s="39" t="s">
        <v>725</v>
      </c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</row>
    <row r="280" spans="1:53" s="17" customFormat="1" ht="14.5" x14ac:dyDescent="0.35">
      <c r="A280" s="63" t="str">
        <f>A279</f>
        <v>BSR132</v>
      </c>
      <c r="B280" s="18" t="str">
        <f>+B279</f>
        <v>DX01</v>
      </c>
      <c r="C280" s="18" t="str">
        <f>+C279</f>
        <v>DIO1</v>
      </c>
      <c r="D280" s="84">
        <f>+D279</f>
        <v>132</v>
      </c>
      <c r="E280" s="84">
        <v>2</v>
      </c>
      <c r="F280" s="84">
        <f>+F279</f>
        <v>1</v>
      </c>
      <c r="G280" s="84">
        <v>0</v>
      </c>
      <c r="H280" s="200">
        <f>+H279</f>
        <v>8</v>
      </c>
      <c r="I280" s="187">
        <f>+I279+1</f>
        <v>30</v>
      </c>
      <c r="J280" s="205"/>
      <c r="K280" s="79"/>
      <c r="L280" s="17" t="s">
        <v>323</v>
      </c>
      <c r="N280" s="83">
        <v>4</v>
      </c>
      <c r="O280" s="215" t="s">
        <v>661</v>
      </c>
      <c r="P280" s="216" t="s">
        <v>770</v>
      </c>
      <c r="Q280" s="216"/>
      <c r="R280" s="216" t="s">
        <v>769</v>
      </c>
      <c r="S280" s="216" t="s">
        <v>211</v>
      </c>
      <c r="T280" s="196" t="s">
        <v>768</v>
      </c>
      <c r="U280" s="215" t="s">
        <v>661</v>
      </c>
      <c r="V280" s="18"/>
      <c r="W280" s="17" t="str">
        <f>+CONCATENATE(E280,".",F280,"\",G280,".",H280,":",I280)</f>
        <v>2.1\0.8:30</v>
      </c>
      <c r="X280" s="64" t="s">
        <v>660</v>
      </c>
      <c r="Y280" s="17" t="s">
        <v>289</v>
      </c>
      <c r="Z280" s="18"/>
      <c r="AA280" s="83"/>
      <c r="AB280" s="83"/>
      <c r="AC280" s="19"/>
      <c r="AH280" s="64" t="str">
        <f>+AH279</f>
        <v>F8</v>
      </c>
      <c r="AI280" s="39" t="s">
        <v>104</v>
      </c>
      <c r="AJ280" s="39" t="s">
        <v>103</v>
      </c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</row>
    <row r="281" spans="1:53" s="17" customFormat="1" ht="15" thickBot="1" x14ac:dyDescent="0.4">
      <c r="A281" s="63" t="str">
        <f>A280</f>
        <v>BSR132</v>
      </c>
      <c r="B281" s="18" t="str">
        <f>+B280</f>
        <v>DX01</v>
      </c>
      <c r="C281" s="18" t="str">
        <f>+C280</f>
        <v>DIO1</v>
      </c>
      <c r="D281" s="84">
        <f>+D280</f>
        <v>132</v>
      </c>
      <c r="E281" s="84">
        <v>2</v>
      </c>
      <c r="F281" s="84">
        <f>+F280</f>
        <v>1</v>
      </c>
      <c r="G281" s="84">
        <v>0</v>
      </c>
      <c r="H281" s="200">
        <f>+H280</f>
        <v>8</v>
      </c>
      <c r="I281" s="191">
        <f>+I280+1</f>
        <v>31</v>
      </c>
      <c r="J281" s="203"/>
      <c r="K281" s="79"/>
      <c r="L281" s="17" t="s">
        <v>323</v>
      </c>
      <c r="N281" s="83">
        <v>4</v>
      </c>
      <c r="O281" s="215" t="s">
        <v>653</v>
      </c>
      <c r="P281" s="216" t="s">
        <v>770</v>
      </c>
      <c r="Q281" s="216"/>
      <c r="R281" s="216" t="s">
        <v>769</v>
      </c>
      <c r="S281" s="216" t="s">
        <v>211</v>
      </c>
      <c r="T281" s="196" t="s">
        <v>768</v>
      </c>
      <c r="U281" s="215" t="s">
        <v>653</v>
      </c>
      <c r="V281" s="18"/>
      <c r="W281" s="17" t="str">
        <f>+CONCATENATE(E281,".",F281,"\",G281,".",H281,":",I281)</f>
        <v>2.1\0.8:31</v>
      </c>
      <c r="X281" s="64" t="s">
        <v>652</v>
      </c>
      <c r="Y281" s="17" t="s">
        <v>289</v>
      </c>
      <c r="Z281" s="18"/>
      <c r="AA281" s="46"/>
      <c r="AB281" s="83"/>
      <c r="AC281" s="19"/>
      <c r="AH281" s="64" t="str">
        <f>+AH280</f>
        <v>F8</v>
      </c>
      <c r="AI281" s="39" t="s">
        <v>102</v>
      </c>
      <c r="AJ281" s="39" t="s">
        <v>724</v>
      </c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</row>
    <row r="282" spans="1:53" s="17" customFormat="1" ht="14.5" x14ac:dyDescent="0.35">
      <c r="A282" s="86" t="s">
        <v>273</v>
      </c>
      <c r="B282" s="18" t="str">
        <f>+B267</f>
        <v>DX01</v>
      </c>
      <c r="C282" s="18" t="str">
        <f>+C281</f>
        <v>DIO1</v>
      </c>
      <c r="D282" s="84">
        <f>+D281</f>
        <v>132</v>
      </c>
      <c r="E282" s="84">
        <v>2</v>
      </c>
      <c r="F282" s="84">
        <v>1</v>
      </c>
      <c r="G282" s="84">
        <v>0</v>
      </c>
      <c r="H282" s="214">
        <v>9</v>
      </c>
      <c r="I282" s="188">
        <v>0</v>
      </c>
      <c r="J282" s="205" t="s">
        <v>767</v>
      </c>
      <c r="K282" s="18" t="s">
        <v>766</v>
      </c>
      <c r="L282" s="17" t="s">
        <v>323</v>
      </c>
      <c r="O282" s="59"/>
      <c r="R282" s="97"/>
      <c r="S282" s="97"/>
      <c r="T282" s="97"/>
      <c r="U282" s="97"/>
      <c r="W282" s="17" t="str">
        <f>+CONCATENATE(E282,".",F282,"\",G282,".",H282,":",I282)</f>
        <v>2.1\0.9:0</v>
      </c>
      <c r="Z282" s="18"/>
      <c r="AA282" s="46"/>
      <c r="AC282" s="19"/>
      <c r="AH282" s="64" t="s">
        <v>765</v>
      </c>
      <c r="AI282" s="39" t="s">
        <v>190</v>
      </c>
      <c r="AJ282" s="39" t="s">
        <v>189</v>
      </c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</row>
    <row r="283" spans="1:53" s="17" customFormat="1" ht="14.5" x14ac:dyDescent="0.35">
      <c r="A283" s="63" t="str">
        <f>A282</f>
        <v>BSR132</v>
      </c>
      <c r="B283" s="18" t="str">
        <f>+B268</f>
        <v>DX01</v>
      </c>
      <c r="C283" s="18" t="str">
        <f>+C282</f>
        <v>DIO1</v>
      </c>
      <c r="D283" s="84">
        <f>+D282</f>
        <v>132</v>
      </c>
      <c r="E283" s="84">
        <v>2</v>
      </c>
      <c r="F283" s="84">
        <f>+F282</f>
        <v>1</v>
      </c>
      <c r="G283" s="84">
        <v>0</v>
      </c>
      <c r="H283" s="200">
        <f>H282</f>
        <v>9</v>
      </c>
      <c r="I283" s="187">
        <f>+I282+1</f>
        <v>1</v>
      </c>
      <c r="J283" s="205"/>
      <c r="L283" s="17" t="s">
        <v>323</v>
      </c>
      <c r="O283" s="59"/>
      <c r="P283" s="97"/>
      <c r="Q283" s="97"/>
      <c r="R283" s="97"/>
      <c r="S283" s="97"/>
      <c r="T283" s="97"/>
      <c r="U283" s="97"/>
      <c r="V283" s="18"/>
      <c r="W283" s="17" t="str">
        <f>+CONCATENATE(E283,".",F283,"\",G283,".",H283,":",I283)</f>
        <v>2.1\0.9:1</v>
      </c>
      <c r="Z283" s="18"/>
      <c r="AA283" s="46"/>
      <c r="AC283" s="19"/>
      <c r="AH283" s="64" t="str">
        <f>+AH282</f>
        <v>F9</v>
      </c>
      <c r="AI283" s="39" t="s">
        <v>188</v>
      </c>
      <c r="AJ283" s="39" t="s">
        <v>716</v>
      </c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</row>
    <row r="284" spans="1:53" s="17" customFormat="1" ht="14.5" x14ac:dyDescent="0.35">
      <c r="A284" s="63" t="str">
        <f>A283</f>
        <v>BSR132</v>
      </c>
      <c r="B284" s="18" t="str">
        <f>+B269</f>
        <v>DX01</v>
      </c>
      <c r="C284" s="18" t="str">
        <f>+C283</f>
        <v>DIO1</v>
      </c>
      <c r="D284" s="84">
        <f>+D283</f>
        <v>132</v>
      </c>
      <c r="E284" s="84">
        <v>2</v>
      </c>
      <c r="F284" s="84">
        <f>+F283</f>
        <v>1</v>
      </c>
      <c r="G284" s="84">
        <v>0</v>
      </c>
      <c r="H284" s="200">
        <f>+H283</f>
        <v>9</v>
      </c>
      <c r="I284" s="187">
        <f>+I283+1</f>
        <v>2</v>
      </c>
      <c r="J284" s="205"/>
      <c r="K284" s="79"/>
      <c r="L284" s="17" t="s">
        <v>323</v>
      </c>
      <c r="N284" s="17">
        <v>3</v>
      </c>
      <c r="O284" s="59" t="s">
        <v>111</v>
      </c>
      <c r="P284" s="97" t="s">
        <v>637</v>
      </c>
      <c r="Q284" s="97"/>
      <c r="R284" s="97" t="s">
        <v>764</v>
      </c>
      <c r="S284" s="97" t="s">
        <v>211</v>
      </c>
      <c r="T284" s="97" t="s">
        <v>121</v>
      </c>
      <c r="U284" s="97" t="s">
        <v>111</v>
      </c>
      <c r="V284" s="18"/>
      <c r="W284" s="17" t="str">
        <f>+CONCATENATE(E284,".",F284,"\",G284,".",H284,":",I284)</f>
        <v>2.1\0.9:2</v>
      </c>
      <c r="X284" s="17" t="s">
        <v>66</v>
      </c>
      <c r="Y284" s="17">
        <v>0</v>
      </c>
      <c r="Z284" s="18"/>
      <c r="AA284" s="46"/>
      <c r="AC284" s="19"/>
      <c r="AH284" s="64" t="str">
        <f>+AH283</f>
        <v>F9</v>
      </c>
      <c r="AI284" s="39" t="s">
        <v>183</v>
      </c>
      <c r="AJ284" s="39" t="s">
        <v>182</v>
      </c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</row>
    <row r="285" spans="1:53" s="17" customFormat="1" ht="14.5" x14ac:dyDescent="0.35">
      <c r="A285" s="63" t="str">
        <f>A284</f>
        <v>BSR132</v>
      </c>
      <c r="B285" s="18" t="str">
        <f>+B270</f>
        <v>DX01</v>
      </c>
      <c r="C285" s="18" t="str">
        <f>+C284</f>
        <v>DIO1</v>
      </c>
      <c r="D285" s="84">
        <f>+D284</f>
        <v>132</v>
      </c>
      <c r="E285" s="84">
        <v>2</v>
      </c>
      <c r="F285" s="84">
        <f>+F284</f>
        <v>1</v>
      </c>
      <c r="G285" s="84">
        <v>0</v>
      </c>
      <c r="H285" s="200">
        <f>+H284</f>
        <v>9</v>
      </c>
      <c r="I285" s="187">
        <f>+I284+1</f>
        <v>3</v>
      </c>
      <c r="J285" s="205"/>
      <c r="K285" s="79"/>
      <c r="L285" s="17" t="s">
        <v>323</v>
      </c>
      <c r="N285" s="17">
        <v>3</v>
      </c>
      <c r="O285" s="59" t="s">
        <v>763</v>
      </c>
      <c r="P285" s="17" t="s">
        <v>637</v>
      </c>
      <c r="R285" s="97" t="s">
        <v>762</v>
      </c>
      <c r="S285" s="97" t="s">
        <v>211</v>
      </c>
      <c r="T285" s="97" t="s">
        <v>60</v>
      </c>
      <c r="U285" s="97" t="s">
        <v>673</v>
      </c>
      <c r="V285" s="18"/>
      <c r="W285" s="17" t="str">
        <f>+CONCATENATE(E285,".",F285,"\",G285,".",H285,":",I285)</f>
        <v>2.1\0.9:3</v>
      </c>
      <c r="X285" s="17" t="s">
        <v>31</v>
      </c>
      <c r="Y285" s="17">
        <v>0</v>
      </c>
      <c r="Z285" s="18"/>
      <c r="AA285" s="46"/>
      <c r="AC285" s="19"/>
      <c r="AH285" s="64" t="str">
        <f>+AH284</f>
        <v>F9</v>
      </c>
      <c r="AI285" s="39" t="s">
        <v>181</v>
      </c>
      <c r="AJ285" s="39" t="s">
        <v>711</v>
      </c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</row>
    <row r="286" spans="1:53" s="17" customFormat="1" ht="14.5" x14ac:dyDescent="0.35">
      <c r="A286" s="63" t="str">
        <f>A285</f>
        <v>BSR132</v>
      </c>
      <c r="B286" s="18" t="str">
        <f>+B271</f>
        <v>DX01</v>
      </c>
      <c r="C286" s="18" t="str">
        <f>+C285</f>
        <v>DIO1</v>
      </c>
      <c r="D286" s="84">
        <f>+D285</f>
        <v>132</v>
      </c>
      <c r="E286" s="84">
        <v>2</v>
      </c>
      <c r="F286" s="84">
        <f>+F285</f>
        <v>1</v>
      </c>
      <c r="G286" s="84">
        <v>0</v>
      </c>
      <c r="H286" s="200">
        <f>+H285</f>
        <v>9</v>
      </c>
      <c r="I286" s="187">
        <f>+I285+1</f>
        <v>4</v>
      </c>
      <c r="J286" s="205"/>
      <c r="K286" s="79"/>
      <c r="L286" s="17" t="s">
        <v>323</v>
      </c>
      <c r="N286" s="17">
        <v>3</v>
      </c>
      <c r="O286" s="59" t="s">
        <v>761</v>
      </c>
      <c r="P286" s="97" t="s">
        <v>637</v>
      </c>
      <c r="Q286" s="97"/>
      <c r="R286" s="97" t="s">
        <v>760</v>
      </c>
      <c r="S286" s="97" t="s">
        <v>211</v>
      </c>
      <c r="T286" s="97" t="s">
        <v>44</v>
      </c>
      <c r="U286" s="97" t="s">
        <v>665</v>
      </c>
      <c r="V286" s="18"/>
      <c r="W286" s="17" t="str">
        <f>+CONCATENATE(E286,".",F286,"\",G286,".",H286,":",I286)</f>
        <v>2.1\0.9:4</v>
      </c>
      <c r="X286" s="17" t="s">
        <v>31</v>
      </c>
      <c r="Y286" s="17">
        <v>0</v>
      </c>
      <c r="Z286" s="18"/>
      <c r="AA286" s="46"/>
      <c r="AC286" s="19"/>
      <c r="AH286" s="64" t="str">
        <f>+AH285</f>
        <v>F9</v>
      </c>
      <c r="AI286" s="39" t="s">
        <v>176</v>
      </c>
      <c r="AJ286" s="39" t="s">
        <v>175</v>
      </c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</row>
    <row r="287" spans="1:53" s="17" customFormat="1" ht="14.5" x14ac:dyDescent="0.35">
      <c r="A287" s="63" t="str">
        <f>A286</f>
        <v>BSR132</v>
      </c>
      <c r="B287" s="18" t="str">
        <f>+B272</f>
        <v>DX01</v>
      </c>
      <c r="C287" s="18" t="str">
        <f>+C286</f>
        <v>DIO1</v>
      </c>
      <c r="D287" s="84">
        <f>+D286</f>
        <v>132</v>
      </c>
      <c r="E287" s="84">
        <v>2</v>
      </c>
      <c r="F287" s="84">
        <f>+F286</f>
        <v>1</v>
      </c>
      <c r="G287" s="84">
        <v>0</v>
      </c>
      <c r="H287" s="200">
        <f>+H286</f>
        <v>9</v>
      </c>
      <c r="I287" s="187">
        <f>+I286+1</f>
        <v>5</v>
      </c>
      <c r="J287" s="205"/>
      <c r="K287" s="79"/>
      <c r="L287" s="17" t="s">
        <v>323</v>
      </c>
      <c r="N287" s="17">
        <v>3</v>
      </c>
      <c r="O287" s="59" t="s">
        <v>759</v>
      </c>
      <c r="P287" s="97" t="s">
        <v>637</v>
      </c>
      <c r="Q287" s="97"/>
      <c r="R287" s="97" t="s">
        <v>758</v>
      </c>
      <c r="S287" s="97" t="s">
        <v>211</v>
      </c>
      <c r="T287" s="97" t="s">
        <v>25</v>
      </c>
      <c r="U287" s="97" t="s">
        <v>657</v>
      </c>
      <c r="V287" s="18"/>
      <c r="W287" s="17" t="str">
        <f>+CONCATENATE(E287,".",F287,"\",G287,".",H287,":",I287)</f>
        <v>2.1\0.9:5</v>
      </c>
      <c r="X287" s="17" t="s">
        <v>31</v>
      </c>
      <c r="Y287" s="17">
        <v>0</v>
      </c>
      <c r="Z287" s="18"/>
      <c r="AA287" s="46"/>
      <c r="AC287" s="19"/>
      <c r="AH287" s="64" t="str">
        <f>+AH286</f>
        <v>F9</v>
      </c>
      <c r="AI287" s="39" t="s">
        <v>174</v>
      </c>
      <c r="AJ287" s="39" t="s">
        <v>710</v>
      </c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</row>
    <row r="288" spans="1:53" s="17" customFormat="1" ht="14.5" x14ac:dyDescent="0.35">
      <c r="A288" s="63" t="str">
        <f>A287</f>
        <v>BSR132</v>
      </c>
      <c r="B288" s="18" t="str">
        <f>+B287</f>
        <v>DX01</v>
      </c>
      <c r="C288" s="18" t="str">
        <f>+C287</f>
        <v>DIO1</v>
      </c>
      <c r="D288" s="84">
        <f>+D287</f>
        <v>132</v>
      </c>
      <c r="E288" s="84">
        <v>2</v>
      </c>
      <c r="F288" s="84">
        <f>+F287</f>
        <v>1</v>
      </c>
      <c r="G288" s="84">
        <v>0</v>
      </c>
      <c r="H288" s="200">
        <f>+H287</f>
        <v>9</v>
      </c>
      <c r="I288" s="187">
        <f>+I287+1</f>
        <v>6</v>
      </c>
      <c r="J288" s="205"/>
      <c r="K288" s="79"/>
      <c r="L288" s="17" t="s">
        <v>323</v>
      </c>
      <c r="N288" s="83">
        <v>4</v>
      </c>
      <c r="O288" s="59"/>
      <c r="P288" s="97" t="s">
        <v>637</v>
      </c>
      <c r="Q288" s="97"/>
      <c r="R288" s="97" t="s">
        <v>757</v>
      </c>
      <c r="S288" s="97" t="s">
        <v>211</v>
      </c>
      <c r="T288" s="97" t="s">
        <v>756</v>
      </c>
      <c r="U288" s="97" t="s">
        <v>755</v>
      </c>
      <c r="V288" s="18"/>
      <c r="W288" s="17" t="str">
        <f>+CONCATENATE(E288,".",F288,"\",G288,".",H288,":",I288)</f>
        <v>2.1\0.9:6</v>
      </c>
      <c r="X288" s="17" t="s">
        <v>31</v>
      </c>
      <c r="Y288" s="17">
        <v>1</v>
      </c>
      <c r="Z288" s="18"/>
      <c r="AA288" s="46"/>
      <c r="AC288" s="19"/>
      <c r="AH288" s="64" t="str">
        <f>+AH287</f>
        <v>F9</v>
      </c>
      <c r="AI288" s="39" t="s">
        <v>169</v>
      </c>
      <c r="AJ288" s="39" t="s">
        <v>168</v>
      </c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</row>
    <row r="289" spans="1:53" s="17" customFormat="1" ht="14.5" x14ac:dyDescent="0.35">
      <c r="A289" s="63" t="str">
        <f>A288</f>
        <v>BSR132</v>
      </c>
      <c r="B289" s="18" t="str">
        <f>+B288</f>
        <v>DX01</v>
      </c>
      <c r="C289" s="18" t="str">
        <f>+C288</f>
        <v>DIO1</v>
      </c>
      <c r="D289" s="84">
        <f>+D288</f>
        <v>132</v>
      </c>
      <c r="E289" s="84">
        <v>2</v>
      </c>
      <c r="F289" s="84">
        <f>+F288</f>
        <v>1</v>
      </c>
      <c r="G289" s="84">
        <v>0</v>
      </c>
      <c r="H289" s="200">
        <f>+H288</f>
        <v>9</v>
      </c>
      <c r="I289" s="187">
        <f>+I288+1</f>
        <v>7</v>
      </c>
      <c r="J289" s="205"/>
      <c r="K289" s="79"/>
      <c r="L289" s="17" t="s">
        <v>323</v>
      </c>
      <c r="N289" s="83">
        <v>4</v>
      </c>
      <c r="O289" s="59"/>
      <c r="P289" s="97" t="s">
        <v>637</v>
      </c>
      <c r="Q289" s="97"/>
      <c r="R289" s="97" t="s">
        <v>754</v>
      </c>
      <c r="S289" s="97" t="s">
        <v>211</v>
      </c>
      <c r="T289" s="97" t="s">
        <v>753</v>
      </c>
      <c r="U289" s="97" t="s">
        <v>752</v>
      </c>
      <c r="V289" s="18"/>
      <c r="W289" s="17" t="str">
        <f>+CONCATENATE(E289,".",F289,"\",G289,".",H289,":",I289)</f>
        <v>2.1\0.9:7</v>
      </c>
      <c r="X289" s="17" t="s">
        <v>31</v>
      </c>
      <c r="Y289" s="17">
        <v>1</v>
      </c>
      <c r="Z289" s="18"/>
      <c r="AA289" s="46"/>
      <c r="AC289" s="19"/>
      <c r="AH289" s="64" t="str">
        <f>+AH288</f>
        <v>F9</v>
      </c>
      <c r="AI289" s="39" t="s">
        <v>167</v>
      </c>
      <c r="AJ289" s="39" t="s">
        <v>709</v>
      </c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</row>
    <row r="290" spans="1:53" s="17" customFormat="1" ht="14.5" x14ac:dyDescent="0.35">
      <c r="A290" s="63" t="str">
        <f>A289</f>
        <v>BSR132</v>
      </c>
      <c r="B290" s="18" t="str">
        <f>+B289</f>
        <v>DX01</v>
      </c>
      <c r="C290" s="18" t="str">
        <f>+C289</f>
        <v>DIO1</v>
      </c>
      <c r="D290" s="84">
        <f>+D289</f>
        <v>132</v>
      </c>
      <c r="E290" s="84">
        <v>2</v>
      </c>
      <c r="F290" s="84">
        <f>+F289</f>
        <v>1</v>
      </c>
      <c r="G290" s="84">
        <v>0</v>
      </c>
      <c r="H290" s="200">
        <f>+H289</f>
        <v>9</v>
      </c>
      <c r="I290" s="187">
        <f>+I289+1</f>
        <v>8</v>
      </c>
      <c r="J290" s="205"/>
      <c r="K290" s="79"/>
      <c r="L290" s="17" t="s">
        <v>323</v>
      </c>
      <c r="N290" s="83">
        <v>4</v>
      </c>
      <c r="O290" s="59"/>
      <c r="P290" s="97" t="s">
        <v>637</v>
      </c>
      <c r="Q290" s="97"/>
      <c r="R290" s="97" t="s">
        <v>751</v>
      </c>
      <c r="S290" s="97" t="s">
        <v>211</v>
      </c>
      <c r="T290" s="97" t="s">
        <v>750</v>
      </c>
      <c r="U290" s="97" t="s">
        <v>749</v>
      </c>
      <c r="V290" s="18"/>
      <c r="W290" s="17" t="str">
        <f>+CONCATENATE(E290,".",F290,"\",G290,".",H290,":",I290)</f>
        <v>2.1\0.9:8</v>
      </c>
      <c r="X290" s="17" t="s">
        <v>31</v>
      </c>
      <c r="Y290" s="17">
        <v>1</v>
      </c>
      <c r="Z290" s="18"/>
      <c r="AA290" s="46"/>
      <c r="AC290" s="19"/>
      <c r="AH290" s="64" t="str">
        <f>+AH289</f>
        <v>F9</v>
      </c>
      <c r="AI290" s="39" t="s">
        <v>161</v>
      </c>
      <c r="AJ290" s="39" t="s">
        <v>160</v>
      </c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</row>
    <row r="291" spans="1:53" s="17" customFormat="1" ht="14.5" x14ac:dyDescent="0.35">
      <c r="A291" s="63" t="str">
        <f>A290</f>
        <v>BSR132</v>
      </c>
      <c r="B291" s="18" t="str">
        <f>+B290</f>
        <v>DX01</v>
      </c>
      <c r="C291" s="18" t="str">
        <f>+C290</f>
        <v>DIO1</v>
      </c>
      <c r="D291" s="84">
        <f>+D290</f>
        <v>132</v>
      </c>
      <c r="E291" s="84">
        <v>2</v>
      </c>
      <c r="F291" s="84">
        <f>+F290</f>
        <v>1</v>
      </c>
      <c r="G291" s="84">
        <v>0</v>
      </c>
      <c r="H291" s="200">
        <f>+H290</f>
        <v>9</v>
      </c>
      <c r="I291" s="187">
        <f>+I290+1</f>
        <v>9</v>
      </c>
      <c r="J291" s="205"/>
      <c r="K291" s="79"/>
      <c r="L291" s="17" t="s">
        <v>323</v>
      </c>
      <c r="O291" s="213"/>
      <c r="R291" s="97" t="s">
        <v>127</v>
      </c>
      <c r="S291" s="97" t="s">
        <v>127</v>
      </c>
      <c r="T291" s="97"/>
      <c r="U291" s="97"/>
      <c r="V291" s="18"/>
      <c r="W291" s="17" t="str">
        <f>+CONCATENATE(E291,".",F291,"\",G291,".",H291,":",I291)</f>
        <v>2.1\0.9:9</v>
      </c>
      <c r="Z291" s="18"/>
      <c r="AA291" s="46"/>
      <c r="AC291" s="19"/>
      <c r="AH291" s="64" t="str">
        <f>+AH290</f>
        <v>F9</v>
      </c>
      <c r="AI291" s="39" t="s">
        <v>159</v>
      </c>
      <c r="AJ291" s="39" t="s">
        <v>708</v>
      </c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</row>
    <row r="292" spans="1:53" s="17" customFormat="1" ht="14.5" x14ac:dyDescent="0.35">
      <c r="A292" s="63" t="str">
        <f>A291</f>
        <v>BSR132</v>
      </c>
      <c r="B292" s="18" t="str">
        <f>+B291</f>
        <v>DX01</v>
      </c>
      <c r="C292" s="18" t="str">
        <f>+C291</f>
        <v>DIO1</v>
      </c>
      <c r="D292" s="84">
        <f>+D291</f>
        <v>132</v>
      </c>
      <c r="E292" s="84">
        <v>2</v>
      </c>
      <c r="F292" s="84">
        <f>+F291</f>
        <v>1</v>
      </c>
      <c r="G292" s="84">
        <v>0</v>
      </c>
      <c r="H292" s="200">
        <f>+H291</f>
        <v>9</v>
      </c>
      <c r="I292" s="187">
        <f>+I291+1</f>
        <v>10</v>
      </c>
      <c r="J292" s="205"/>
      <c r="K292" s="79"/>
      <c r="L292" s="17" t="s">
        <v>323</v>
      </c>
      <c r="N292" s="17">
        <v>3</v>
      </c>
      <c r="O292" s="59" t="s">
        <v>194</v>
      </c>
      <c r="P292" s="97" t="s">
        <v>748</v>
      </c>
      <c r="Q292" s="97"/>
      <c r="R292" s="97" t="s">
        <v>747</v>
      </c>
      <c r="S292" s="97" t="s">
        <v>211</v>
      </c>
      <c r="T292" s="97" t="s">
        <v>746</v>
      </c>
      <c r="U292" s="97" t="s">
        <v>194</v>
      </c>
      <c r="V292" s="18"/>
      <c r="W292" s="17" t="str">
        <f>+CONCATENATE(E292,".",F292,"\",G292,".",H292,":",I292)</f>
        <v>2.1\0.9:10</v>
      </c>
      <c r="X292" s="17" t="s">
        <v>145</v>
      </c>
      <c r="Y292" s="17">
        <v>0</v>
      </c>
      <c r="Z292" s="18"/>
      <c r="AA292" s="46"/>
      <c r="AC292" s="19"/>
      <c r="AH292" s="64" t="str">
        <f>+AH291</f>
        <v>F9</v>
      </c>
      <c r="AI292" s="39" t="s">
        <v>154</v>
      </c>
      <c r="AJ292" s="39" t="s">
        <v>153</v>
      </c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</row>
    <row r="293" spans="1:53" s="17" customFormat="1" ht="14.5" x14ac:dyDescent="0.35">
      <c r="A293" s="63" t="str">
        <f>A292</f>
        <v>BSR132</v>
      </c>
      <c r="B293" s="18" t="str">
        <f>+B292</f>
        <v>DX01</v>
      </c>
      <c r="C293" s="18" t="str">
        <f>+C292</f>
        <v>DIO1</v>
      </c>
      <c r="D293" s="84">
        <f>+D292</f>
        <v>132</v>
      </c>
      <c r="E293" s="84">
        <v>2</v>
      </c>
      <c r="F293" s="84">
        <f>+F292</f>
        <v>1</v>
      </c>
      <c r="G293" s="84">
        <v>0</v>
      </c>
      <c r="H293" s="200">
        <f>+H292</f>
        <v>9</v>
      </c>
      <c r="I293" s="187">
        <f>+I292+1</f>
        <v>11</v>
      </c>
      <c r="J293" s="205"/>
      <c r="K293" s="79"/>
      <c r="L293" s="17" t="s">
        <v>323</v>
      </c>
      <c r="N293" s="17">
        <v>3</v>
      </c>
      <c r="O293" s="59" t="s">
        <v>194</v>
      </c>
      <c r="P293" s="97" t="s">
        <v>637</v>
      </c>
      <c r="Q293" s="97"/>
      <c r="R293" s="97" t="s">
        <v>636</v>
      </c>
      <c r="S293" s="97" t="s">
        <v>211</v>
      </c>
      <c r="T293" s="97" t="s">
        <v>192</v>
      </c>
      <c r="U293" s="97" t="s">
        <v>194</v>
      </c>
      <c r="V293" s="18"/>
      <c r="W293" s="17" t="str">
        <f>+CONCATENATE(E293,".",F293,"\",G293,".",H293,":",I293)</f>
        <v>2.1\0.9:11</v>
      </c>
      <c r="X293" s="17" t="s">
        <v>145</v>
      </c>
      <c r="Y293" s="17">
        <v>0</v>
      </c>
      <c r="Z293" s="18"/>
      <c r="AA293" s="46"/>
      <c r="AC293" s="19"/>
      <c r="AH293" s="64" t="str">
        <f>+AH292</f>
        <v>F9</v>
      </c>
      <c r="AI293" s="39" t="s">
        <v>152</v>
      </c>
      <c r="AJ293" s="39" t="s">
        <v>707</v>
      </c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</row>
    <row r="294" spans="1:53" s="17" customFormat="1" ht="14.5" x14ac:dyDescent="0.35">
      <c r="A294" s="63" t="str">
        <f>A293</f>
        <v>BSR132</v>
      </c>
      <c r="B294" s="18" t="str">
        <f>+B293</f>
        <v>DX01</v>
      </c>
      <c r="C294" s="18" t="str">
        <f>+C293</f>
        <v>DIO1</v>
      </c>
      <c r="D294" s="84">
        <f>+D293</f>
        <v>132</v>
      </c>
      <c r="E294" s="84">
        <v>2</v>
      </c>
      <c r="F294" s="84">
        <f>+F293</f>
        <v>1</v>
      </c>
      <c r="G294" s="84">
        <v>0</v>
      </c>
      <c r="H294" s="200">
        <f>+H293</f>
        <v>9</v>
      </c>
      <c r="I294" s="187">
        <f>+I293+1</f>
        <v>12</v>
      </c>
      <c r="J294" s="205"/>
      <c r="K294" s="79"/>
      <c r="L294" s="17" t="s">
        <v>323</v>
      </c>
      <c r="O294" s="213"/>
      <c r="R294" s="97" t="s">
        <v>127</v>
      </c>
      <c r="S294" s="97" t="s">
        <v>127</v>
      </c>
      <c r="T294" s="97"/>
      <c r="U294" s="97"/>
      <c r="V294" s="18"/>
      <c r="W294" s="17" t="str">
        <f>+CONCATENATE(E294,".",F294,"\",G294,".",H294,":",I294)</f>
        <v>2.1\0.9:12</v>
      </c>
      <c r="Z294" s="18"/>
      <c r="AA294" s="46"/>
      <c r="AC294" s="19"/>
      <c r="AH294" s="64" t="str">
        <f>+AH293</f>
        <v>F9</v>
      </c>
      <c r="AI294" s="39" t="s">
        <v>150</v>
      </c>
      <c r="AJ294" s="39" t="s">
        <v>149</v>
      </c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</row>
    <row r="295" spans="1:53" s="17" customFormat="1" ht="14.5" x14ac:dyDescent="0.35">
      <c r="A295" s="63" t="str">
        <f>A294</f>
        <v>BSR132</v>
      </c>
      <c r="B295" s="18" t="str">
        <f>+B294</f>
        <v>DX01</v>
      </c>
      <c r="C295" s="18" t="str">
        <f>+C294</f>
        <v>DIO1</v>
      </c>
      <c r="D295" s="84">
        <f>+D294</f>
        <v>132</v>
      </c>
      <c r="E295" s="84">
        <v>2</v>
      </c>
      <c r="F295" s="84">
        <f>+F294</f>
        <v>1</v>
      </c>
      <c r="G295" s="84">
        <v>0</v>
      </c>
      <c r="H295" s="200">
        <f>+H294</f>
        <v>9</v>
      </c>
      <c r="I295" s="187">
        <f>+I294+1</f>
        <v>13</v>
      </c>
      <c r="J295" s="205"/>
      <c r="K295" s="79"/>
      <c r="L295" s="17" t="s">
        <v>323</v>
      </c>
      <c r="N295" s="17">
        <v>3</v>
      </c>
      <c r="O295" s="59" t="s">
        <v>194</v>
      </c>
      <c r="P295" s="97" t="s">
        <v>745</v>
      </c>
      <c r="Q295" s="97"/>
      <c r="R295" s="97" t="s">
        <v>744</v>
      </c>
      <c r="S295" s="97" t="s">
        <v>211</v>
      </c>
      <c r="T295" s="97" t="s">
        <v>743</v>
      </c>
      <c r="U295" s="97" t="s">
        <v>194</v>
      </c>
      <c r="V295" s="18"/>
      <c r="W295" s="17" t="str">
        <f>+CONCATENATE(E295,".",F295,"\",G295,".",H295,":",I295)</f>
        <v>2.1\0.9:13</v>
      </c>
      <c r="X295" s="17" t="s">
        <v>138</v>
      </c>
      <c r="Y295" s="17">
        <v>0</v>
      </c>
      <c r="Z295" s="18"/>
      <c r="AA295" s="46"/>
      <c r="AC295" s="19"/>
      <c r="AH295" s="64" t="str">
        <f>+AH294</f>
        <v>F9</v>
      </c>
      <c r="AI295" s="39" t="s">
        <v>148</v>
      </c>
      <c r="AJ295" s="39" t="s">
        <v>703</v>
      </c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</row>
    <row r="296" spans="1:53" s="17" customFormat="1" ht="14.5" x14ac:dyDescent="0.35">
      <c r="A296" s="63" t="str">
        <f>A295</f>
        <v>BSR132</v>
      </c>
      <c r="B296" s="18" t="str">
        <f>+B295</f>
        <v>DX01</v>
      </c>
      <c r="C296" s="18" t="str">
        <f>+C295</f>
        <v>DIO1</v>
      </c>
      <c r="D296" s="84">
        <f>+D295</f>
        <v>132</v>
      </c>
      <c r="E296" s="84">
        <v>2</v>
      </c>
      <c r="F296" s="84">
        <f>+F295</f>
        <v>1</v>
      </c>
      <c r="G296" s="84">
        <v>0</v>
      </c>
      <c r="H296" s="200">
        <f>+H295</f>
        <v>9</v>
      </c>
      <c r="I296" s="187">
        <f>+I295+1</f>
        <v>14</v>
      </c>
      <c r="J296" s="205"/>
      <c r="K296" s="79"/>
      <c r="L296" s="17" t="s">
        <v>323</v>
      </c>
      <c r="N296" s="17">
        <v>3</v>
      </c>
      <c r="O296" s="59" t="s">
        <v>742</v>
      </c>
      <c r="P296" s="97" t="s">
        <v>637</v>
      </c>
      <c r="Q296" s="97"/>
      <c r="R296" s="97" t="s">
        <v>636</v>
      </c>
      <c r="S296" s="97" t="s">
        <v>211</v>
      </c>
      <c r="T296" s="97" t="s">
        <v>156</v>
      </c>
      <c r="U296" s="97" t="s">
        <v>742</v>
      </c>
      <c r="V296" s="18"/>
      <c r="W296" s="17" t="str">
        <f>+CONCATENATE(E296,".",F296,"\",G296,".",H296,":",I296)</f>
        <v>2.1\0.9:14</v>
      </c>
      <c r="X296" s="17" t="s">
        <v>138</v>
      </c>
      <c r="Y296" s="17">
        <v>0</v>
      </c>
      <c r="Z296" s="18"/>
      <c r="AA296" s="46"/>
      <c r="AC296" s="19"/>
      <c r="AH296" s="64" t="str">
        <f>+AH295</f>
        <v>F9</v>
      </c>
      <c r="AI296" s="39" t="s">
        <v>144</v>
      </c>
      <c r="AJ296" s="39" t="s">
        <v>143</v>
      </c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</row>
    <row r="297" spans="1:53" s="17" customFormat="1" x14ac:dyDescent="0.3">
      <c r="A297" s="63" t="str">
        <f>A296</f>
        <v>BSR132</v>
      </c>
      <c r="B297" s="18" t="str">
        <f>+B296</f>
        <v>DX01</v>
      </c>
      <c r="C297" s="18" t="str">
        <f>+C296</f>
        <v>DIO1</v>
      </c>
      <c r="D297" s="84">
        <f>+D296</f>
        <v>132</v>
      </c>
      <c r="E297" s="84">
        <v>2</v>
      </c>
      <c r="F297" s="84">
        <f>+F296</f>
        <v>1</v>
      </c>
      <c r="G297" s="84">
        <v>0</v>
      </c>
      <c r="H297" s="200">
        <f>+H296</f>
        <v>9</v>
      </c>
      <c r="I297" s="187">
        <f>+I296+1</f>
        <v>15</v>
      </c>
      <c r="J297" s="205"/>
      <c r="K297" s="79"/>
      <c r="L297" s="17" t="s">
        <v>323</v>
      </c>
      <c r="O297" s="18"/>
      <c r="P297" s="97"/>
      <c r="Q297" s="97"/>
      <c r="S297" s="97"/>
      <c r="T297" s="97"/>
      <c r="U297" s="97"/>
      <c r="V297" s="18"/>
      <c r="W297" s="17" t="str">
        <f>+CONCATENATE(E297,".",F297,"\",G297,".",H297,":",I297)</f>
        <v>2.1\0.9:15</v>
      </c>
      <c r="Y297" s="33"/>
      <c r="Z297" s="18"/>
      <c r="AA297" s="46"/>
      <c r="AC297" s="19"/>
      <c r="AH297" s="64" t="str">
        <f>+AH296</f>
        <v>F9</v>
      </c>
      <c r="AI297" s="39" t="s">
        <v>142</v>
      </c>
      <c r="AJ297" s="39" t="s">
        <v>699</v>
      </c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</row>
    <row r="298" spans="1:53" s="17" customFormat="1" x14ac:dyDescent="0.3">
      <c r="A298" s="63" t="str">
        <f>A297</f>
        <v>BSR132</v>
      </c>
      <c r="B298" s="18" t="str">
        <f>+B297</f>
        <v>DX01</v>
      </c>
      <c r="C298" s="18" t="str">
        <f>+C297</f>
        <v>DIO1</v>
      </c>
      <c r="D298" s="84">
        <f>+D297</f>
        <v>132</v>
      </c>
      <c r="E298" s="84">
        <v>2</v>
      </c>
      <c r="F298" s="84">
        <f>+F297</f>
        <v>1</v>
      </c>
      <c r="G298" s="84">
        <v>0</v>
      </c>
      <c r="H298" s="200">
        <f>+H297</f>
        <v>9</v>
      </c>
      <c r="I298" s="187">
        <f>+I297+1</f>
        <v>16</v>
      </c>
      <c r="J298" s="205"/>
      <c r="K298" s="18"/>
      <c r="L298" s="17" t="s">
        <v>323</v>
      </c>
      <c r="N298" s="83">
        <v>6</v>
      </c>
      <c r="O298" s="18"/>
      <c r="P298" s="209" t="s">
        <v>370</v>
      </c>
      <c r="Q298" s="211"/>
      <c r="R298" s="209" t="s">
        <v>733</v>
      </c>
      <c r="S298" s="210" t="s">
        <v>734</v>
      </c>
      <c r="T298" s="209" t="s">
        <v>731</v>
      </c>
      <c r="U298" s="78" t="s">
        <v>739</v>
      </c>
      <c r="V298" s="18"/>
      <c r="W298" s="17" t="str">
        <f>+CONCATENATE(E298,".",F298,"\",G298,".",H298,":",I298)</f>
        <v>2.1\0.9:16</v>
      </c>
      <c r="X298" s="17" t="s">
        <v>720</v>
      </c>
      <c r="Y298" s="17" t="s">
        <v>289</v>
      </c>
      <c r="Z298" s="17" t="s">
        <v>741</v>
      </c>
      <c r="AA298" s="46"/>
      <c r="AC298" s="19"/>
      <c r="AH298" s="64" t="str">
        <f>+AH297</f>
        <v>F9</v>
      </c>
      <c r="AI298" s="39" t="s">
        <v>137</v>
      </c>
      <c r="AJ298" s="39" t="s">
        <v>136</v>
      </c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</row>
    <row r="299" spans="1:53" s="17" customFormat="1" ht="14.5" x14ac:dyDescent="0.35">
      <c r="A299" s="63" t="str">
        <f>A298</f>
        <v>BSR132</v>
      </c>
      <c r="B299" s="18" t="str">
        <f>+B298</f>
        <v>DX01</v>
      </c>
      <c r="C299" s="18" t="str">
        <f>+C298</f>
        <v>DIO1</v>
      </c>
      <c r="D299" s="84">
        <f>+D298</f>
        <v>132</v>
      </c>
      <c r="E299" s="84">
        <v>2</v>
      </c>
      <c r="F299" s="84">
        <f>+F298</f>
        <v>1</v>
      </c>
      <c r="G299" s="84">
        <v>0</v>
      </c>
      <c r="H299" s="200">
        <f>+H298</f>
        <v>9</v>
      </c>
      <c r="I299" s="187">
        <f>+I298+1</f>
        <v>17</v>
      </c>
      <c r="J299" s="205"/>
      <c r="K299" s="79"/>
      <c r="L299" s="17" t="s">
        <v>323</v>
      </c>
      <c r="N299" s="83">
        <v>6</v>
      </c>
      <c r="O299" s="204"/>
      <c r="P299" s="209" t="s">
        <v>366</v>
      </c>
      <c r="Q299" s="211"/>
      <c r="R299" s="209" t="s">
        <v>733</v>
      </c>
      <c r="S299" s="210" t="s">
        <v>732</v>
      </c>
      <c r="T299" s="209" t="s">
        <v>731</v>
      </c>
      <c r="U299" s="78" t="s">
        <v>739</v>
      </c>
      <c r="V299" s="18"/>
      <c r="W299" s="17" t="str">
        <f>+CONCATENATE(E299,".",F299,"\",G299,".",H299,":",I299)</f>
        <v>2.1\0.9:17</v>
      </c>
      <c r="X299" s="17" t="s">
        <v>720</v>
      </c>
      <c r="Y299" s="17" t="s">
        <v>289</v>
      </c>
      <c r="Z299" s="18"/>
      <c r="AA299" s="46"/>
      <c r="AC299" s="19"/>
      <c r="AH299" s="64" t="str">
        <f>+AH298</f>
        <v>F9</v>
      </c>
      <c r="AI299" s="39" t="s">
        <v>135</v>
      </c>
      <c r="AJ299" s="39" t="s">
        <v>740</v>
      </c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</row>
    <row r="300" spans="1:53" s="17" customFormat="1" ht="14.5" x14ac:dyDescent="0.35">
      <c r="A300" s="63" t="str">
        <f>A299</f>
        <v>BSR132</v>
      </c>
      <c r="B300" s="18" t="str">
        <f>+B299</f>
        <v>DX01</v>
      </c>
      <c r="C300" s="18" t="str">
        <f>+C299</f>
        <v>DIO1</v>
      </c>
      <c r="D300" s="84">
        <f>+D299</f>
        <v>132</v>
      </c>
      <c r="E300" s="84">
        <v>2</v>
      </c>
      <c r="F300" s="84">
        <f>+F299</f>
        <v>1</v>
      </c>
      <c r="G300" s="84">
        <v>0</v>
      </c>
      <c r="H300" s="200">
        <f>+H299</f>
        <v>9</v>
      </c>
      <c r="I300" s="187">
        <f>+I299+1</f>
        <v>18</v>
      </c>
      <c r="J300" s="205"/>
      <c r="K300" s="79"/>
      <c r="L300" s="17" t="s">
        <v>323</v>
      </c>
      <c r="N300" s="83">
        <v>6</v>
      </c>
      <c r="O300" s="204"/>
      <c r="P300" s="90" t="s">
        <v>637</v>
      </c>
      <c r="Q300" s="68"/>
      <c r="R300" s="207" t="s">
        <v>729</v>
      </c>
      <c r="S300" s="90" t="s">
        <v>211</v>
      </c>
      <c r="T300" s="90" t="s">
        <v>728</v>
      </c>
      <c r="U300" s="17" t="s">
        <v>739</v>
      </c>
      <c r="V300" s="18"/>
      <c r="W300" s="17" t="str">
        <f>+CONCATENATE(E300,".",F300,"\",G300,".",H300,":",I300)</f>
        <v>2.1\0.9:18</v>
      </c>
      <c r="X300" s="17" t="s">
        <v>720</v>
      </c>
      <c r="Y300" s="17" t="s">
        <v>289</v>
      </c>
      <c r="Z300" s="18"/>
      <c r="AA300" s="46"/>
      <c r="AC300" s="19"/>
      <c r="AH300" s="64" t="str">
        <f>+AH299</f>
        <v>F9</v>
      </c>
      <c r="AI300" s="39" t="s">
        <v>134</v>
      </c>
      <c r="AJ300" s="39" t="s">
        <v>133</v>
      </c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</row>
    <row r="301" spans="1:53" s="17" customFormat="1" ht="14.5" x14ac:dyDescent="0.35">
      <c r="A301" s="63" t="str">
        <f>A300</f>
        <v>BSR132</v>
      </c>
      <c r="B301" s="18" t="str">
        <f>+B300</f>
        <v>DX01</v>
      </c>
      <c r="C301" s="18" t="str">
        <f>+C300</f>
        <v>DIO1</v>
      </c>
      <c r="D301" s="84">
        <f>+D300</f>
        <v>132</v>
      </c>
      <c r="E301" s="84">
        <v>2</v>
      </c>
      <c r="F301" s="84">
        <f>+F300</f>
        <v>1</v>
      </c>
      <c r="G301" s="84">
        <v>0</v>
      </c>
      <c r="H301" s="200">
        <f>+H300</f>
        <v>9</v>
      </c>
      <c r="I301" s="187">
        <f>+I300+1</f>
        <v>19</v>
      </c>
      <c r="J301" s="205"/>
      <c r="K301" s="79"/>
      <c r="L301" s="17" t="s">
        <v>323</v>
      </c>
      <c r="N301" s="83">
        <v>6</v>
      </c>
      <c r="O301" s="204"/>
      <c r="P301" s="68"/>
      <c r="Q301" s="68"/>
      <c r="R301" s="206"/>
      <c r="S301" s="68"/>
      <c r="T301" s="68"/>
      <c r="V301" s="212"/>
      <c r="W301" s="17" t="str">
        <f>+CONCATENATE(E301,".",F301,"\",G301,".",H301,":",I301)</f>
        <v>2.1\0.9:19</v>
      </c>
      <c r="X301" s="17" t="s">
        <v>720</v>
      </c>
      <c r="Y301" s="17" t="s">
        <v>289</v>
      </c>
      <c r="Z301" s="18"/>
      <c r="AA301" s="46"/>
      <c r="AC301" s="19"/>
      <c r="AH301" s="64" t="str">
        <f>+AH300</f>
        <v>F9</v>
      </c>
      <c r="AI301" s="39" t="s">
        <v>132</v>
      </c>
      <c r="AJ301" s="39" t="s">
        <v>738</v>
      </c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</row>
    <row r="302" spans="1:53" s="17" customFormat="1" ht="14.5" x14ac:dyDescent="0.35">
      <c r="A302" s="63" t="str">
        <f>A301</f>
        <v>BSR132</v>
      </c>
      <c r="B302" s="18" t="str">
        <f>+B301</f>
        <v>DX01</v>
      </c>
      <c r="C302" s="18" t="str">
        <f>+C301</f>
        <v>DIO1</v>
      </c>
      <c r="D302" s="84">
        <f>+D301</f>
        <v>132</v>
      </c>
      <c r="E302" s="84">
        <v>2</v>
      </c>
      <c r="F302" s="84">
        <f>+F301</f>
        <v>1</v>
      </c>
      <c r="G302" s="84">
        <v>0</v>
      </c>
      <c r="H302" s="200">
        <f>+H301</f>
        <v>9</v>
      </c>
      <c r="I302" s="187">
        <f>+I301+1</f>
        <v>20</v>
      </c>
      <c r="J302" s="205"/>
      <c r="K302" s="79"/>
      <c r="L302" s="17" t="s">
        <v>323</v>
      </c>
      <c r="N302" s="83">
        <v>6</v>
      </c>
      <c r="O302" s="204"/>
      <c r="P302" s="209" t="s">
        <v>370</v>
      </c>
      <c r="Q302" s="211"/>
      <c r="R302" s="209" t="s">
        <v>733</v>
      </c>
      <c r="S302" s="210" t="s">
        <v>734</v>
      </c>
      <c r="T302" s="209" t="s">
        <v>731</v>
      </c>
      <c r="U302" s="208" t="s">
        <v>736</v>
      </c>
      <c r="V302" s="97"/>
      <c r="W302" s="17" t="str">
        <f>+CONCATENATE(E302,".",F302,"\",G302,".",H302,":",I302)</f>
        <v>2.1\0.9:20</v>
      </c>
      <c r="X302" s="17" t="s">
        <v>715</v>
      </c>
      <c r="Z302" s="18"/>
      <c r="AC302" s="19"/>
      <c r="AH302" s="64" t="str">
        <f>+AH301</f>
        <v>F9</v>
      </c>
      <c r="AI302" s="39" t="s">
        <v>130</v>
      </c>
      <c r="AJ302" s="39" t="s">
        <v>129</v>
      </c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</row>
    <row r="303" spans="1:53" s="17" customFormat="1" ht="14.5" x14ac:dyDescent="0.35">
      <c r="A303" s="63" t="str">
        <f>A302</f>
        <v>BSR132</v>
      </c>
      <c r="B303" s="18" t="str">
        <f>+B302</f>
        <v>DX01</v>
      </c>
      <c r="C303" s="18" t="str">
        <f>+C302</f>
        <v>DIO1</v>
      </c>
      <c r="D303" s="84">
        <f>+D302</f>
        <v>132</v>
      </c>
      <c r="E303" s="84">
        <v>2</v>
      </c>
      <c r="F303" s="84">
        <f>+F302</f>
        <v>1</v>
      </c>
      <c r="G303" s="84">
        <v>0</v>
      </c>
      <c r="H303" s="200">
        <f>+H302</f>
        <v>9</v>
      </c>
      <c r="I303" s="187">
        <f>+I302+1</f>
        <v>21</v>
      </c>
      <c r="J303" s="205"/>
      <c r="K303" s="79"/>
      <c r="L303" s="17" t="s">
        <v>323</v>
      </c>
      <c r="N303" s="83">
        <v>6</v>
      </c>
      <c r="O303" s="204"/>
      <c r="P303" s="209" t="s">
        <v>366</v>
      </c>
      <c r="Q303" s="211"/>
      <c r="R303" s="209" t="s">
        <v>733</v>
      </c>
      <c r="S303" s="210" t="s">
        <v>732</v>
      </c>
      <c r="T303" s="209" t="s">
        <v>731</v>
      </c>
      <c r="U303" s="208" t="s">
        <v>736</v>
      </c>
      <c r="V303" s="97"/>
      <c r="W303" s="17" t="str">
        <f>+CONCATENATE(E303,".",F303,"\",G303,".",H303,":",I303)</f>
        <v>2.1\0.9:21</v>
      </c>
      <c r="X303" s="17" t="s">
        <v>715</v>
      </c>
      <c r="Z303" s="18"/>
      <c r="AC303" s="19"/>
      <c r="AH303" s="64" t="str">
        <f>+AH302</f>
        <v>F9</v>
      </c>
      <c r="AI303" s="39" t="s">
        <v>128</v>
      </c>
      <c r="AJ303" s="39" t="s">
        <v>737</v>
      </c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</row>
    <row r="304" spans="1:53" s="17" customFormat="1" ht="14.5" x14ac:dyDescent="0.35">
      <c r="A304" s="63" t="str">
        <f>A303</f>
        <v>BSR132</v>
      </c>
      <c r="B304" s="18" t="str">
        <f>+B303</f>
        <v>DX01</v>
      </c>
      <c r="C304" s="18" t="str">
        <f>+C303</f>
        <v>DIO1</v>
      </c>
      <c r="D304" s="84">
        <f>+D303</f>
        <v>132</v>
      </c>
      <c r="E304" s="84">
        <v>2</v>
      </c>
      <c r="F304" s="84">
        <f>+F303</f>
        <v>1</v>
      </c>
      <c r="G304" s="84">
        <v>0</v>
      </c>
      <c r="H304" s="200">
        <f>+H303</f>
        <v>9</v>
      </c>
      <c r="I304" s="187">
        <f>+I303+1</f>
        <v>22</v>
      </c>
      <c r="J304" s="205"/>
      <c r="K304" s="79"/>
      <c r="L304" s="17" t="s">
        <v>323</v>
      </c>
      <c r="N304" s="83">
        <v>6</v>
      </c>
      <c r="O304" s="204"/>
      <c r="P304" s="90" t="s">
        <v>637</v>
      </c>
      <c r="Q304" s="68"/>
      <c r="R304" s="207" t="s">
        <v>729</v>
      </c>
      <c r="S304" s="90" t="s">
        <v>211</v>
      </c>
      <c r="T304" s="90" t="s">
        <v>728</v>
      </c>
      <c r="U304" s="103" t="s">
        <v>736</v>
      </c>
      <c r="V304" s="97"/>
      <c r="W304" s="17" t="str">
        <f>+CONCATENATE(E304,".",F304,"\",G304,".",H304,":",I304)</f>
        <v>2.1\0.9:22</v>
      </c>
      <c r="X304" s="17" t="s">
        <v>715</v>
      </c>
      <c r="Z304" s="18"/>
      <c r="AA304" s="46"/>
      <c r="AC304" s="19"/>
      <c r="AH304" s="64" t="str">
        <f>+AH303</f>
        <v>F9</v>
      </c>
      <c r="AI304" s="39" t="s">
        <v>125</v>
      </c>
      <c r="AJ304" s="39" t="s">
        <v>124</v>
      </c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</row>
    <row r="305" spans="1:53" s="17" customFormat="1" ht="14.5" x14ac:dyDescent="0.35">
      <c r="A305" s="63" t="str">
        <f>A304</f>
        <v>BSR132</v>
      </c>
      <c r="B305" s="18" t="str">
        <f>+B304</f>
        <v>DX01</v>
      </c>
      <c r="C305" s="18" t="str">
        <f>+C304</f>
        <v>DIO1</v>
      </c>
      <c r="D305" s="84">
        <f>+D304</f>
        <v>132</v>
      </c>
      <c r="E305" s="84">
        <v>2</v>
      </c>
      <c r="F305" s="84">
        <f>+F304</f>
        <v>1</v>
      </c>
      <c r="G305" s="84">
        <v>0</v>
      </c>
      <c r="H305" s="200">
        <f>+H304</f>
        <v>9</v>
      </c>
      <c r="I305" s="187">
        <f>+I304+1</f>
        <v>23</v>
      </c>
      <c r="J305" s="205"/>
      <c r="K305" s="79"/>
      <c r="L305" s="17" t="s">
        <v>323</v>
      </c>
      <c r="N305" s="83">
        <v>6</v>
      </c>
      <c r="O305" s="204"/>
      <c r="P305" s="68"/>
      <c r="Q305" s="68"/>
      <c r="R305" s="206"/>
      <c r="S305" s="68"/>
      <c r="T305" s="68"/>
      <c r="U305" s="103"/>
      <c r="V305" s="97"/>
      <c r="W305" s="17" t="str">
        <f>+CONCATENATE(E305,".",F305,"\",G305,".",H305,":",I305)</f>
        <v>2.1\0.9:23</v>
      </c>
      <c r="X305" s="17" t="s">
        <v>715</v>
      </c>
      <c r="Z305" s="18"/>
      <c r="AC305" s="19"/>
      <c r="AH305" s="64" t="str">
        <f>+AH304</f>
        <v>F9</v>
      </c>
      <c r="AI305" s="39" t="s">
        <v>123</v>
      </c>
      <c r="AJ305" s="39" t="s">
        <v>735</v>
      </c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</row>
    <row r="306" spans="1:53" s="17" customFormat="1" ht="14.5" x14ac:dyDescent="0.35">
      <c r="A306" s="63" t="str">
        <f>A305</f>
        <v>BSR132</v>
      </c>
      <c r="B306" s="18" t="str">
        <f>+B305</f>
        <v>DX01</v>
      </c>
      <c r="C306" s="18" t="str">
        <f>+C305</f>
        <v>DIO1</v>
      </c>
      <c r="D306" s="84">
        <f>+D305</f>
        <v>132</v>
      </c>
      <c r="E306" s="84">
        <v>2</v>
      </c>
      <c r="F306" s="84">
        <f>+F305</f>
        <v>1</v>
      </c>
      <c r="G306" s="84">
        <v>0</v>
      </c>
      <c r="H306" s="200">
        <f>+H305</f>
        <v>9</v>
      </c>
      <c r="I306" s="187">
        <f>+I305+1</f>
        <v>24</v>
      </c>
      <c r="J306" s="205"/>
      <c r="K306" s="79"/>
      <c r="L306" s="17" t="s">
        <v>323</v>
      </c>
      <c r="N306" s="83">
        <v>6</v>
      </c>
      <c r="O306" s="204"/>
      <c r="P306" s="209" t="s">
        <v>370</v>
      </c>
      <c r="Q306" s="211"/>
      <c r="R306" s="209" t="s">
        <v>733</v>
      </c>
      <c r="S306" s="210" t="s">
        <v>734</v>
      </c>
      <c r="T306" s="209" t="s">
        <v>731</v>
      </c>
      <c r="U306" s="208" t="s">
        <v>727</v>
      </c>
      <c r="V306" s="18"/>
      <c r="W306" s="17" t="str">
        <f>+CONCATENATE(E306,".",F306,"\",G306,".",H306,":",I306)</f>
        <v>2.1\0.9:24</v>
      </c>
      <c r="X306" s="17" t="s">
        <v>712</v>
      </c>
      <c r="Z306" s="18"/>
      <c r="AC306" s="19"/>
      <c r="AH306" s="64" t="str">
        <f>+AH305</f>
        <v>F9</v>
      </c>
      <c r="AI306" s="39" t="s">
        <v>120</v>
      </c>
      <c r="AJ306" s="39" t="s">
        <v>119</v>
      </c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</row>
    <row r="307" spans="1:53" s="17" customFormat="1" ht="14.5" x14ac:dyDescent="0.35">
      <c r="A307" s="63" t="str">
        <f>A306</f>
        <v>BSR132</v>
      </c>
      <c r="B307" s="18" t="str">
        <f>+B306</f>
        <v>DX01</v>
      </c>
      <c r="C307" s="18" t="str">
        <f>+C306</f>
        <v>DIO1</v>
      </c>
      <c r="D307" s="84">
        <f>+D306</f>
        <v>132</v>
      </c>
      <c r="E307" s="84">
        <v>2</v>
      </c>
      <c r="F307" s="84">
        <f>+F306</f>
        <v>1</v>
      </c>
      <c r="G307" s="84">
        <v>0</v>
      </c>
      <c r="H307" s="200">
        <f>+H306</f>
        <v>9</v>
      </c>
      <c r="I307" s="187">
        <f>+I306+1</f>
        <v>25</v>
      </c>
      <c r="J307" s="205"/>
      <c r="K307" s="79"/>
      <c r="L307" s="17" t="s">
        <v>323</v>
      </c>
      <c r="N307" s="83">
        <v>6</v>
      </c>
      <c r="O307" s="204"/>
      <c r="P307" s="209" t="s">
        <v>366</v>
      </c>
      <c r="Q307" s="211"/>
      <c r="R307" s="209" t="s">
        <v>733</v>
      </c>
      <c r="S307" s="210" t="s">
        <v>732</v>
      </c>
      <c r="T307" s="209" t="s">
        <v>731</v>
      </c>
      <c r="U307" s="208" t="s">
        <v>727</v>
      </c>
      <c r="V307" s="18"/>
      <c r="W307" s="17" t="str">
        <f>+CONCATENATE(E307,".",F307,"\",G307,".",H307,":",I307)</f>
        <v>2.1\0.9:25</v>
      </c>
      <c r="X307" s="17" t="s">
        <v>712</v>
      </c>
      <c r="Z307" s="18"/>
      <c r="AA307" s="46"/>
      <c r="AC307" s="19"/>
      <c r="AH307" s="64" t="str">
        <f>+AH306</f>
        <v>F9</v>
      </c>
      <c r="AI307" s="39" t="s">
        <v>118</v>
      </c>
      <c r="AJ307" s="39" t="s">
        <v>730</v>
      </c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</row>
    <row r="308" spans="1:53" s="17" customFormat="1" ht="14.5" x14ac:dyDescent="0.35">
      <c r="A308" s="63" t="str">
        <f>A307</f>
        <v>BSR132</v>
      </c>
      <c r="B308" s="18" t="str">
        <f>+B307</f>
        <v>DX01</v>
      </c>
      <c r="C308" s="18" t="str">
        <f>+C307</f>
        <v>DIO1</v>
      </c>
      <c r="D308" s="84">
        <f>+D307</f>
        <v>132</v>
      </c>
      <c r="E308" s="84">
        <v>2</v>
      </c>
      <c r="F308" s="84">
        <f>+F307</f>
        <v>1</v>
      </c>
      <c r="G308" s="84">
        <v>0</v>
      </c>
      <c r="H308" s="200">
        <f>+H307</f>
        <v>9</v>
      </c>
      <c r="I308" s="187">
        <f>+I307+1</f>
        <v>26</v>
      </c>
      <c r="J308" s="205"/>
      <c r="K308" s="79"/>
      <c r="L308" s="17" t="s">
        <v>323</v>
      </c>
      <c r="N308" s="83">
        <v>6</v>
      </c>
      <c r="O308" s="204"/>
      <c r="P308" s="90" t="s">
        <v>637</v>
      </c>
      <c r="Q308" s="68"/>
      <c r="R308" s="207" t="s">
        <v>729</v>
      </c>
      <c r="S308" s="90" t="s">
        <v>211</v>
      </c>
      <c r="T308" s="90" t="s">
        <v>728</v>
      </c>
      <c r="U308" s="103" t="s">
        <v>727</v>
      </c>
      <c r="V308" s="18"/>
      <c r="W308" s="17" t="str">
        <f>+CONCATENATE(E308,".",F308,"\",G308,".",H308,":",I308)</f>
        <v>2.1\0.9:26</v>
      </c>
      <c r="X308" s="17" t="s">
        <v>712</v>
      </c>
      <c r="Z308" s="18"/>
      <c r="AC308" s="19"/>
      <c r="AH308" s="64" t="str">
        <f>+AH307</f>
        <v>F9</v>
      </c>
      <c r="AI308" s="39" t="s">
        <v>114</v>
      </c>
      <c r="AJ308" s="39" t="s">
        <v>113</v>
      </c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</row>
    <row r="309" spans="1:53" s="17" customFormat="1" ht="14.5" x14ac:dyDescent="0.35">
      <c r="A309" s="63" t="str">
        <f>A308</f>
        <v>BSR132</v>
      </c>
      <c r="B309" s="18" t="str">
        <f>+B308</f>
        <v>DX01</v>
      </c>
      <c r="C309" s="18" t="str">
        <f>+C308</f>
        <v>DIO1</v>
      </c>
      <c r="D309" s="84">
        <f>+D308</f>
        <v>132</v>
      </c>
      <c r="E309" s="84">
        <v>2</v>
      </c>
      <c r="F309" s="84">
        <f>+F308</f>
        <v>1</v>
      </c>
      <c r="G309" s="84">
        <v>0</v>
      </c>
      <c r="H309" s="200">
        <f>+H308</f>
        <v>9</v>
      </c>
      <c r="I309" s="187">
        <f>+I308+1</f>
        <v>27</v>
      </c>
      <c r="J309" s="205"/>
      <c r="K309" s="79"/>
      <c r="L309" s="17" t="s">
        <v>323</v>
      </c>
      <c r="N309" s="83">
        <v>6</v>
      </c>
      <c r="O309" s="204"/>
      <c r="P309" s="68"/>
      <c r="Q309" s="68"/>
      <c r="R309" s="206"/>
      <c r="S309" s="68"/>
      <c r="T309" s="68"/>
      <c r="U309" s="103"/>
      <c r="V309" s="18"/>
      <c r="W309" s="17" t="str">
        <f>+CONCATENATE(E309,".",F309,"\",G309,".",H309,":",I309)</f>
        <v>2.1\0.9:27</v>
      </c>
      <c r="X309" s="17" t="s">
        <v>712</v>
      </c>
      <c r="Z309" s="18"/>
      <c r="AC309" s="19"/>
      <c r="AH309" s="64" t="str">
        <f>+AH308</f>
        <v>F9</v>
      </c>
      <c r="AI309" s="39" t="s">
        <v>112</v>
      </c>
      <c r="AJ309" s="39" t="s">
        <v>726</v>
      </c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</row>
    <row r="310" spans="1:53" s="17" customFormat="1" ht="14.5" x14ac:dyDescent="0.35">
      <c r="A310" s="63" t="str">
        <f>A309</f>
        <v>BSR132</v>
      </c>
      <c r="B310" s="18" t="str">
        <f>+B309</f>
        <v>DX01</v>
      </c>
      <c r="C310" s="18" t="str">
        <f>+C309</f>
        <v>DIO1</v>
      </c>
      <c r="D310" s="84">
        <f>+D309</f>
        <v>132</v>
      </c>
      <c r="E310" s="84">
        <v>2</v>
      </c>
      <c r="F310" s="84">
        <f>+F309</f>
        <v>1</v>
      </c>
      <c r="G310" s="84">
        <v>0</v>
      </c>
      <c r="H310" s="200">
        <f>+H309</f>
        <v>9</v>
      </c>
      <c r="I310" s="187">
        <f>+I309+1</f>
        <v>28</v>
      </c>
      <c r="J310" s="205"/>
      <c r="K310" s="79"/>
      <c r="L310" s="17" t="s">
        <v>323</v>
      </c>
      <c r="O310" s="204"/>
      <c r="P310" s="97"/>
      <c r="Q310" s="97"/>
      <c r="R310" s="97"/>
      <c r="S310" s="97"/>
      <c r="T310" s="97"/>
      <c r="U310" s="97"/>
      <c r="W310" s="17" t="str">
        <f>+CONCATENATE(E310,".",F310,"\",G310,".",H310,":",I310)</f>
        <v>2.1\0.9:28</v>
      </c>
      <c r="Z310" s="18"/>
      <c r="AA310" s="46"/>
      <c r="AB310" s="46"/>
      <c r="AC310" s="19"/>
      <c r="AH310" s="64" t="str">
        <f>+AH309</f>
        <v>F9</v>
      </c>
      <c r="AI310" s="39" t="s">
        <v>109</v>
      </c>
      <c r="AJ310" s="39" t="s">
        <v>108</v>
      </c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</row>
    <row r="311" spans="1:53" s="17" customFormat="1" ht="14.5" x14ac:dyDescent="0.35">
      <c r="A311" s="63" t="str">
        <f>A310</f>
        <v>BSR132</v>
      </c>
      <c r="B311" s="18" t="str">
        <f>+B310</f>
        <v>DX01</v>
      </c>
      <c r="C311" s="18" t="str">
        <f>+C310</f>
        <v>DIO1</v>
      </c>
      <c r="D311" s="84">
        <f>+D310</f>
        <v>132</v>
      </c>
      <c r="E311" s="84">
        <v>2</v>
      </c>
      <c r="F311" s="84">
        <f>+F310</f>
        <v>1</v>
      </c>
      <c r="G311" s="84">
        <v>0</v>
      </c>
      <c r="H311" s="200">
        <f>+H310</f>
        <v>9</v>
      </c>
      <c r="I311" s="187">
        <f>+I310+1</f>
        <v>29</v>
      </c>
      <c r="J311" s="205"/>
      <c r="K311" s="79"/>
      <c r="L311" s="17" t="s">
        <v>323</v>
      </c>
      <c r="O311" s="204"/>
      <c r="P311" s="97"/>
      <c r="Q311" s="97"/>
      <c r="R311" s="97"/>
      <c r="S311" s="97"/>
      <c r="T311" s="97"/>
      <c r="U311" s="97"/>
      <c r="V311" s="18"/>
      <c r="W311" s="17" t="str">
        <f>+CONCATENATE(E311,".",F311,"\",G311,".",H311,":",I311)</f>
        <v>2.1\0.9:29</v>
      </c>
      <c r="Z311" s="18"/>
      <c r="AA311" s="83"/>
      <c r="AB311" s="83"/>
      <c r="AC311" s="19"/>
      <c r="AH311" s="64" t="str">
        <f>+AH310</f>
        <v>F9</v>
      </c>
      <c r="AI311" s="39" t="s">
        <v>107</v>
      </c>
      <c r="AJ311" s="39" t="s">
        <v>725</v>
      </c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</row>
    <row r="312" spans="1:53" s="17" customFormat="1" ht="14.5" x14ac:dyDescent="0.35">
      <c r="A312" s="63" t="str">
        <f>A311</f>
        <v>BSR132</v>
      </c>
      <c r="B312" s="18" t="str">
        <f>+B311</f>
        <v>DX01</v>
      </c>
      <c r="C312" s="18" t="str">
        <f>+C311</f>
        <v>DIO1</v>
      </c>
      <c r="D312" s="84">
        <f>+D311</f>
        <v>132</v>
      </c>
      <c r="E312" s="84">
        <v>2</v>
      </c>
      <c r="F312" s="84">
        <f>+F311</f>
        <v>1</v>
      </c>
      <c r="G312" s="84">
        <v>0</v>
      </c>
      <c r="H312" s="200">
        <f>+H311</f>
        <v>9</v>
      </c>
      <c r="I312" s="187">
        <f>+I311+1</f>
        <v>30</v>
      </c>
      <c r="J312" s="205"/>
      <c r="K312" s="79"/>
      <c r="L312" s="17" t="s">
        <v>323</v>
      </c>
      <c r="O312" s="204"/>
      <c r="P312" s="97"/>
      <c r="Q312" s="97"/>
      <c r="R312" s="97"/>
      <c r="S312" s="97"/>
      <c r="T312" s="97"/>
      <c r="U312" s="97"/>
      <c r="V312" s="18"/>
      <c r="W312" s="17" t="str">
        <f>+CONCATENATE(E312,".",F312,"\",G312,".",H312,":",I312)</f>
        <v>2.1\0.9:30</v>
      </c>
      <c r="Z312" s="18"/>
      <c r="AA312" s="83"/>
      <c r="AB312" s="83"/>
      <c r="AC312" s="19"/>
      <c r="AH312" s="64" t="str">
        <f>+AH311</f>
        <v>F9</v>
      </c>
      <c r="AI312" s="39" t="s">
        <v>104</v>
      </c>
      <c r="AJ312" s="39" t="s">
        <v>103</v>
      </c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</row>
    <row r="313" spans="1:53" s="17" customFormat="1" ht="13.5" thickBot="1" x14ac:dyDescent="0.35">
      <c r="A313" s="63" t="str">
        <f>A312</f>
        <v>BSR132</v>
      </c>
      <c r="B313" s="18" t="str">
        <f>+B312</f>
        <v>DX01</v>
      </c>
      <c r="C313" s="18" t="str">
        <f>+C312</f>
        <v>DIO1</v>
      </c>
      <c r="D313" s="84">
        <f>+D312</f>
        <v>132</v>
      </c>
      <c r="E313" s="84">
        <v>2</v>
      </c>
      <c r="F313" s="84">
        <f>+F312</f>
        <v>1</v>
      </c>
      <c r="G313" s="84">
        <v>0</v>
      </c>
      <c r="H313" s="200">
        <f>+H312</f>
        <v>9</v>
      </c>
      <c r="I313" s="191">
        <f>+I312+1</f>
        <v>31</v>
      </c>
      <c r="J313" s="203"/>
      <c r="K313" s="79"/>
      <c r="L313" s="17" t="s">
        <v>323</v>
      </c>
      <c r="O313" s="165"/>
      <c r="P313" s="97"/>
      <c r="Q313" s="97"/>
      <c r="R313" s="18"/>
      <c r="S313" s="97"/>
      <c r="T313" s="18"/>
      <c r="U313" s="97"/>
      <c r="V313" s="18"/>
      <c r="W313" s="17" t="str">
        <f>+CONCATENATE(E313,".",F313,"\",G313,".",H313,":",I313)</f>
        <v>2.1\0.9:31</v>
      </c>
      <c r="Y313" s="18"/>
      <c r="Z313" s="18"/>
      <c r="AA313" s="46"/>
      <c r="AB313" s="83"/>
      <c r="AC313" s="19"/>
      <c r="AH313" s="64" t="str">
        <f>+AH312</f>
        <v>F9</v>
      </c>
      <c r="AI313" s="39" t="s">
        <v>102</v>
      </c>
      <c r="AJ313" s="39" t="s">
        <v>724</v>
      </c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</row>
    <row r="314" spans="1:53" s="17" customFormat="1" x14ac:dyDescent="0.3">
      <c r="A314" s="86" t="s">
        <v>273</v>
      </c>
      <c r="B314" s="18" t="s">
        <v>272</v>
      </c>
      <c r="C314" s="18" t="s">
        <v>723</v>
      </c>
      <c r="D314" s="84">
        <f>+D313</f>
        <v>132</v>
      </c>
      <c r="E314" s="84">
        <v>2</v>
      </c>
      <c r="F314" s="84">
        <v>1</v>
      </c>
      <c r="G314" s="84">
        <v>0</v>
      </c>
      <c r="H314" s="202">
        <v>10</v>
      </c>
      <c r="I314" s="188">
        <v>0</v>
      </c>
      <c r="J314" s="201" t="s">
        <v>722</v>
      </c>
      <c r="K314" s="18" t="s">
        <v>721</v>
      </c>
      <c r="L314" s="79" t="s">
        <v>292</v>
      </c>
      <c r="M314" s="79"/>
      <c r="N314" s="83">
        <v>4</v>
      </c>
      <c r="O314" s="17" t="s">
        <v>179</v>
      </c>
      <c r="P314" s="198" t="s">
        <v>714</v>
      </c>
      <c r="Q314" s="97"/>
      <c r="R314" s="198" t="s">
        <v>713</v>
      </c>
      <c r="S314" s="198" t="s">
        <v>299</v>
      </c>
      <c r="T314" s="197"/>
      <c r="U314" s="83" t="s">
        <v>179</v>
      </c>
      <c r="V314" s="18"/>
      <c r="W314" s="17" t="str">
        <f>+CONCATENATE(E314,".",F314,"\",G314,".",H314,":",I314)</f>
        <v>2.1\0.10:0</v>
      </c>
      <c r="X314" s="17" t="s">
        <v>720</v>
      </c>
      <c r="Y314" s="18"/>
      <c r="Z314" s="18"/>
      <c r="AA314" s="46"/>
      <c r="AB314" s="83"/>
      <c r="AC314" s="19"/>
      <c r="AH314" s="64" t="s">
        <v>719</v>
      </c>
      <c r="AI314" s="39" t="s">
        <v>190</v>
      </c>
      <c r="AJ314" s="39" t="s">
        <v>189</v>
      </c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</row>
    <row r="315" spans="1:53" s="17" customFormat="1" x14ac:dyDescent="0.3">
      <c r="A315" s="63" t="str">
        <f>A314</f>
        <v>BSR132</v>
      </c>
      <c r="B315" s="18" t="s">
        <v>272</v>
      </c>
      <c r="C315" s="18" t="str">
        <f>+C314</f>
        <v>DIO1</v>
      </c>
      <c r="D315" s="84">
        <f>+D314</f>
        <v>132</v>
      </c>
      <c r="E315" s="84">
        <v>2</v>
      </c>
      <c r="F315" s="84">
        <f>+F314</f>
        <v>1</v>
      </c>
      <c r="G315" s="84">
        <v>0</v>
      </c>
      <c r="H315" s="200">
        <f>H314</f>
        <v>10</v>
      </c>
      <c r="I315" s="187">
        <f>+I314+1</f>
        <v>1</v>
      </c>
      <c r="J315" s="193"/>
      <c r="K315" s="79"/>
      <c r="L315" s="79" t="s">
        <v>292</v>
      </c>
      <c r="M315" s="79"/>
      <c r="N315" s="17">
        <v>4</v>
      </c>
      <c r="O315" s="97" t="s">
        <v>718</v>
      </c>
      <c r="P315" s="198" t="s">
        <v>517</v>
      </c>
      <c r="Q315" s="97"/>
      <c r="R315" s="198" t="s">
        <v>632</v>
      </c>
      <c r="S315" s="198" t="s">
        <v>247</v>
      </c>
      <c r="T315" s="199"/>
      <c r="U315" s="198" t="s">
        <v>718</v>
      </c>
      <c r="V315" s="18"/>
      <c r="W315" s="17" t="str">
        <f>+CONCATENATE(E315,".",F315,"\",G315,".",H315,":",I315)</f>
        <v>2.1\0.10:1</v>
      </c>
      <c r="X315" s="17" t="s">
        <v>717</v>
      </c>
      <c r="Y315" s="17" t="s">
        <v>289</v>
      </c>
      <c r="Z315" s="18"/>
      <c r="AA315" s="46"/>
      <c r="AB315" s="83"/>
      <c r="AC315" s="19"/>
      <c r="AH315" s="64" t="str">
        <f>+AH314</f>
        <v>F10</v>
      </c>
      <c r="AI315" s="39" t="s">
        <v>188</v>
      </c>
      <c r="AJ315" s="39" t="s">
        <v>716</v>
      </c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</row>
    <row r="316" spans="1:53" s="17" customFormat="1" x14ac:dyDescent="0.3">
      <c r="A316" s="63" t="str">
        <f>A315</f>
        <v>BSR132</v>
      </c>
      <c r="B316" s="18" t="s">
        <v>272</v>
      </c>
      <c r="C316" s="18" t="str">
        <f>+C315</f>
        <v>DIO1</v>
      </c>
      <c r="D316" s="84">
        <f>+D315</f>
        <v>132</v>
      </c>
      <c r="E316" s="84">
        <v>2</v>
      </c>
      <c r="F316" s="84">
        <f>+F315</f>
        <v>1</v>
      </c>
      <c r="G316" s="84">
        <v>0</v>
      </c>
      <c r="H316" s="186">
        <f>+H315</f>
        <v>10</v>
      </c>
      <c r="I316" s="187">
        <f>+I315+1</f>
        <v>2</v>
      </c>
      <c r="J316" s="193"/>
      <c r="K316" s="65"/>
      <c r="L316" s="79" t="s">
        <v>292</v>
      </c>
      <c r="M316" s="79"/>
      <c r="N316" s="83">
        <v>4</v>
      </c>
      <c r="O316" s="103" t="s">
        <v>172</v>
      </c>
      <c r="P316" s="198" t="s">
        <v>714</v>
      </c>
      <c r="Q316" s="97"/>
      <c r="R316" s="198" t="s">
        <v>713</v>
      </c>
      <c r="S316" s="198" t="s">
        <v>299</v>
      </c>
      <c r="T316" s="197"/>
      <c r="U316" s="196" t="s">
        <v>172</v>
      </c>
      <c r="V316" s="18"/>
      <c r="W316" s="17" t="str">
        <f>+CONCATENATE(E316,".",F316,"\",G316,".",H316,":",I316)</f>
        <v>2.1\0.10:2</v>
      </c>
      <c r="X316" s="17" t="s">
        <v>715</v>
      </c>
      <c r="Y316" s="18"/>
      <c r="Z316" s="18"/>
      <c r="AA316" s="46"/>
      <c r="AB316" s="83"/>
      <c r="AC316" s="19"/>
      <c r="AH316" s="64" t="str">
        <f>+AH315</f>
        <v>F10</v>
      </c>
      <c r="AI316" s="39" t="s">
        <v>183</v>
      </c>
      <c r="AJ316" s="39" t="s">
        <v>182</v>
      </c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</row>
    <row r="317" spans="1:53" s="17" customFormat="1" x14ac:dyDescent="0.3">
      <c r="A317" s="63" t="str">
        <f>A316</f>
        <v>BSR132</v>
      </c>
      <c r="B317" s="18" t="s">
        <v>272</v>
      </c>
      <c r="C317" s="18" t="str">
        <f>+C316</f>
        <v>DIO1</v>
      </c>
      <c r="D317" s="84">
        <f>+D316</f>
        <v>132</v>
      </c>
      <c r="E317" s="84">
        <v>2</v>
      </c>
      <c r="F317" s="84">
        <f>+F316</f>
        <v>1</v>
      </c>
      <c r="G317" s="84">
        <v>0</v>
      </c>
      <c r="H317" s="186">
        <f>+H316</f>
        <v>10</v>
      </c>
      <c r="I317" s="187">
        <f>+I316+1</f>
        <v>3</v>
      </c>
      <c r="J317" s="193"/>
      <c r="K317" s="65"/>
      <c r="L317" s="79" t="s">
        <v>292</v>
      </c>
      <c r="M317" s="79"/>
      <c r="N317" s="83">
        <v>4</v>
      </c>
      <c r="O317" s="103" t="s">
        <v>164</v>
      </c>
      <c r="P317" s="198" t="s">
        <v>714</v>
      </c>
      <c r="Q317" s="97"/>
      <c r="R317" s="198" t="s">
        <v>713</v>
      </c>
      <c r="S317" s="198" t="s">
        <v>299</v>
      </c>
      <c r="T317" s="197"/>
      <c r="U317" s="196" t="s">
        <v>164</v>
      </c>
      <c r="V317" s="18"/>
      <c r="W317" s="17" t="str">
        <f>+CONCATENATE(E317,".",F317,"\",G317,".",H317,":",I317)</f>
        <v>2.1\0.10:3</v>
      </c>
      <c r="X317" s="17" t="s">
        <v>712</v>
      </c>
      <c r="Y317" s="18"/>
      <c r="Z317" s="18"/>
      <c r="AA317" s="46"/>
      <c r="AB317" s="83"/>
      <c r="AC317" s="19"/>
      <c r="AH317" s="64" t="str">
        <f>+AH316</f>
        <v>F10</v>
      </c>
      <c r="AI317" s="39" t="s">
        <v>181</v>
      </c>
      <c r="AJ317" s="39" t="s">
        <v>711</v>
      </c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</row>
    <row r="318" spans="1:53" s="17" customFormat="1" x14ac:dyDescent="0.3">
      <c r="A318" s="63" t="str">
        <f>A317</f>
        <v>BSR132</v>
      </c>
      <c r="B318" s="18" t="s">
        <v>272</v>
      </c>
      <c r="C318" s="18" t="str">
        <f>+C317</f>
        <v>DIO1</v>
      </c>
      <c r="D318" s="84">
        <f>+D317</f>
        <v>132</v>
      </c>
      <c r="E318" s="84">
        <v>2</v>
      </c>
      <c r="F318" s="84">
        <f>+F317</f>
        <v>1</v>
      </c>
      <c r="G318" s="84">
        <v>0</v>
      </c>
      <c r="H318" s="186">
        <f>+H317</f>
        <v>10</v>
      </c>
      <c r="I318" s="187">
        <f>+I317+1</f>
        <v>4</v>
      </c>
      <c r="J318" s="193"/>
      <c r="K318" s="65"/>
      <c r="L318" s="79" t="s">
        <v>292</v>
      </c>
      <c r="M318" s="79"/>
      <c r="O318" s="165"/>
      <c r="P318" s="97"/>
      <c r="Q318" s="97"/>
      <c r="R318" s="97" t="s">
        <v>127</v>
      </c>
      <c r="S318" s="97"/>
      <c r="T318" s="195"/>
      <c r="U318" s="97"/>
      <c r="V318" s="18"/>
      <c r="W318" s="17" t="str">
        <f>+CONCATENATE(E318,".",F318,"\",G318,".",H318,":",I318)</f>
        <v>2.1\0.10:4</v>
      </c>
      <c r="Z318" s="18"/>
      <c r="AA318" s="46"/>
      <c r="AB318" s="83"/>
      <c r="AC318" s="19"/>
      <c r="AH318" s="64" t="str">
        <f>+AH317</f>
        <v>F10</v>
      </c>
      <c r="AI318" s="39" t="s">
        <v>176</v>
      </c>
      <c r="AJ318" s="39" t="s">
        <v>175</v>
      </c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</row>
    <row r="319" spans="1:53" s="17" customFormat="1" x14ac:dyDescent="0.3">
      <c r="A319" s="63" t="str">
        <f>A318</f>
        <v>BSR132</v>
      </c>
      <c r="B319" s="18" t="s">
        <v>272</v>
      </c>
      <c r="C319" s="18" t="str">
        <f>+C318</f>
        <v>DIO1</v>
      </c>
      <c r="D319" s="84">
        <f>+D318</f>
        <v>132</v>
      </c>
      <c r="E319" s="84">
        <v>2</v>
      </c>
      <c r="F319" s="84">
        <f>+F318</f>
        <v>1</v>
      </c>
      <c r="G319" s="84">
        <v>0</v>
      </c>
      <c r="H319" s="186">
        <f>+H318</f>
        <v>10</v>
      </c>
      <c r="I319" s="187">
        <f>+I318+1</f>
        <v>5</v>
      </c>
      <c r="J319" s="193"/>
      <c r="K319" s="65"/>
      <c r="L319" s="79" t="s">
        <v>292</v>
      </c>
      <c r="M319" s="79"/>
      <c r="O319" s="165"/>
      <c r="P319" s="97"/>
      <c r="Q319" s="97"/>
      <c r="R319" s="97" t="s">
        <v>127</v>
      </c>
      <c r="S319" s="97"/>
      <c r="T319" s="100"/>
      <c r="U319" s="97"/>
      <c r="V319" s="18"/>
      <c r="W319" s="17" t="str">
        <f>+CONCATENATE(E319,".",F319,"\",G319,".",H319,":",I319)</f>
        <v>2.1\0.10:5</v>
      </c>
      <c r="Y319" s="18"/>
      <c r="Z319" s="18"/>
      <c r="AA319" s="46"/>
      <c r="AB319" s="83"/>
      <c r="AC319" s="19"/>
      <c r="AH319" s="64" t="str">
        <f>+AH318</f>
        <v>F10</v>
      </c>
      <c r="AI319" s="39" t="s">
        <v>174</v>
      </c>
      <c r="AJ319" s="39" t="s">
        <v>710</v>
      </c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</row>
    <row r="320" spans="1:53" s="17" customFormat="1" x14ac:dyDescent="0.3">
      <c r="A320" s="63" t="str">
        <f>A319</f>
        <v>BSR132</v>
      </c>
      <c r="B320" s="18" t="s">
        <v>272</v>
      </c>
      <c r="C320" s="18" t="str">
        <f>+C319</f>
        <v>DIO1</v>
      </c>
      <c r="D320" s="84">
        <f>+D319</f>
        <v>132</v>
      </c>
      <c r="E320" s="84">
        <v>2</v>
      </c>
      <c r="F320" s="84">
        <f>+F319</f>
        <v>1</v>
      </c>
      <c r="G320" s="84">
        <v>0</v>
      </c>
      <c r="H320" s="186">
        <f>+H319</f>
        <v>10</v>
      </c>
      <c r="I320" s="187">
        <f>+I319+1</f>
        <v>6</v>
      </c>
      <c r="J320" s="193"/>
      <c r="K320" s="65"/>
      <c r="L320" s="79" t="s">
        <v>292</v>
      </c>
      <c r="M320" s="79"/>
      <c r="O320" s="165"/>
      <c r="P320" s="97"/>
      <c r="Q320" s="97"/>
      <c r="R320" s="97" t="s">
        <v>127</v>
      </c>
      <c r="S320" s="97"/>
      <c r="T320" s="100"/>
      <c r="U320" s="97"/>
      <c r="V320" s="18"/>
      <c r="W320" s="17" t="str">
        <f>+CONCATENATE(E320,".",F320,"\",G320,".",H320,":",I320)</f>
        <v>2.1\0.10:6</v>
      </c>
      <c r="Y320" s="18"/>
      <c r="Z320" s="18"/>
      <c r="AA320" s="46"/>
      <c r="AB320" s="83"/>
      <c r="AC320" s="19"/>
      <c r="AH320" s="64" t="str">
        <f>+AH319</f>
        <v>F10</v>
      </c>
      <c r="AI320" s="39" t="s">
        <v>169</v>
      </c>
      <c r="AJ320" s="39" t="s">
        <v>168</v>
      </c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</row>
    <row r="321" spans="1:53" s="17" customFormat="1" x14ac:dyDescent="0.3">
      <c r="A321" s="63" t="str">
        <f>A320</f>
        <v>BSR132</v>
      </c>
      <c r="B321" s="18" t="s">
        <v>272</v>
      </c>
      <c r="C321" s="18" t="str">
        <f>+C320</f>
        <v>DIO1</v>
      </c>
      <c r="D321" s="84">
        <f>+D320</f>
        <v>132</v>
      </c>
      <c r="E321" s="84">
        <v>2</v>
      </c>
      <c r="F321" s="84">
        <f>+F320</f>
        <v>1</v>
      </c>
      <c r="G321" s="84">
        <v>0</v>
      </c>
      <c r="H321" s="186">
        <f>+H320</f>
        <v>10</v>
      </c>
      <c r="I321" s="187">
        <f>+I320+1</f>
        <v>7</v>
      </c>
      <c r="J321" s="193"/>
      <c r="K321" s="65"/>
      <c r="L321" s="79" t="s">
        <v>292</v>
      </c>
      <c r="M321" s="79"/>
      <c r="O321" s="165"/>
      <c r="P321" s="97"/>
      <c r="Q321" s="97"/>
      <c r="R321" s="97" t="s">
        <v>127</v>
      </c>
      <c r="S321" s="97"/>
      <c r="T321" s="100"/>
      <c r="U321" s="97"/>
      <c r="V321" s="18"/>
      <c r="W321" s="17" t="str">
        <f>+CONCATENATE(E321,".",F321,"\",G321,".",H321,":",I321)</f>
        <v>2.1\0.10:7</v>
      </c>
      <c r="Y321" s="18"/>
      <c r="Z321" s="18"/>
      <c r="AA321" s="46"/>
      <c r="AB321" s="83"/>
      <c r="AC321" s="19"/>
      <c r="AH321" s="64" t="str">
        <f>+AH320</f>
        <v>F10</v>
      </c>
      <c r="AI321" s="39" t="s">
        <v>167</v>
      </c>
      <c r="AJ321" s="39" t="s">
        <v>709</v>
      </c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</row>
    <row r="322" spans="1:53" s="17" customFormat="1" x14ac:dyDescent="0.3">
      <c r="A322" s="63" t="str">
        <f>A321</f>
        <v>BSR132</v>
      </c>
      <c r="B322" s="18" t="s">
        <v>272</v>
      </c>
      <c r="C322" s="18" t="str">
        <f>+C321</f>
        <v>DIO1</v>
      </c>
      <c r="D322" s="84">
        <f>+D321</f>
        <v>132</v>
      </c>
      <c r="E322" s="84">
        <v>2</v>
      </c>
      <c r="F322" s="84">
        <f>+F321</f>
        <v>1</v>
      </c>
      <c r="G322" s="84">
        <v>0</v>
      </c>
      <c r="H322" s="186">
        <f>+H321</f>
        <v>10</v>
      </c>
      <c r="I322" s="187">
        <f>+I321+1</f>
        <v>8</v>
      </c>
      <c r="J322" s="193"/>
      <c r="K322" s="65"/>
      <c r="L322" s="79" t="s">
        <v>292</v>
      </c>
      <c r="M322" s="79"/>
      <c r="O322" s="165"/>
      <c r="P322" s="97"/>
      <c r="Q322" s="97"/>
      <c r="R322" s="97" t="s">
        <v>127</v>
      </c>
      <c r="S322" s="97"/>
      <c r="T322" s="100"/>
      <c r="U322" s="97"/>
      <c r="V322" s="18"/>
      <c r="W322" s="17" t="str">
        <f>+CONCATENATE(E322,".",F322,"\",G322,".",H322,":",I322)</f>
        <v>2.1\0.10:8</v>
      </c>
      <c r="Y322" s="18"/>
      <c r="Z322" s="18"/>
      <c r="AA322" s="46"/>
      <c r="AB322" s="83"/>
      <c r="AC322" s="19"/>
      <c r="AH322" s="64" t="str">
        <f>+AH321</f>
        <v>F10</v>
      </c>
      <c r="AI322" s="39" t="s">
        <v>161</v>
      </c>
      <c r="AJ322" s="39" t="s">
        <v>160</v>
      </c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</row>
    <row r="323" spans="1:53" s="17" customFormat="1" x14ac:dyDescent="0.3">
      <c r="A323" s="63" t="str">
        <f>A322</f>
        <v>BSR132</v>
      </c>
      <c r="B323" s="18" t="s">
        <v>272</v>
      </c>
      <c r="C323" s="18" t="str">
        <f>+C322</f>
        <v>DIO1</v>
      </c>
      <c r="D323" s="84">
        <f>+D322</f>
        <v>132</v>
      </c>
      <c r="E323" s="84">
        <v>2</v>
      </c>
      <c r="F323" s="84">
        <f>+F322</f>
        <v>1</v>
      </c>
      <c r="G323" s="84">
        <v>0</v>
      </c>
      <c r="H323" s="186">
        <f>+H322</f>
        <v>10</v>
      </c>
      <c r="I323" s="187">
        <f>+I322+1</f>
        <v>9</v>
      </c>
      <c r="J323" s="193"/>
      <c r="K323" s="65"/>
      <c r="L323" s="79" t="s">
        <v>292</v>
      </c>
      <c r="M323" s="79"/>
      <c r="O323" s="165"/>
      <c r="P323" s="97"/>
      <c r="Q323" s="97"/>
      <c r="R323" s="97" t="s">
        <v>127</v>
      </c>
      <c r="S323" s="97"/>
      <c r="T323" s="100"/>
      <c r="U323" s="97"/>
      <c r="V323" s="18"/>
      <c r="W323" s="17" t="str">
        <f>+CONCATENATE(E323,".",F323,"\",G323,".",H323,":",I323)</f>
        <v>2.1\0.10:9</v>
      </c>
      <c r="Y323" s="18"/>
      <c r="Z323" s="18"/>
      <c r="AA323" s="46"/>
      <c r="AB323" s="83"/>
      <c r="AC323" s="19"/>
      <c r="AH323" s="64" t="str">
        <f>+AH322</f>
        <v>F10</v>
      </c>
      <c r="AI323" s="39" t="s">
        <v>159</v>
      </c>
      <c r="AJ323" s="39" t="s">
        <v>708</v>
      </c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</row>
    <row r="324" spans="1:53" s="17" customFormat="1" x14ac:dyDescent="0.3">
      <c r="A324" s="63" t="str">
        <f>A323</f>
        <v>BSR132</v>
      </c>
      <c r="B324" s="18" t="s">
        <v>272</v>
      </c>
      <c r="C324" s="18" t="str">
        <f>+C323</f>
        <v>DIO1</v>
      </c>
      <c r="D324" s="84">
        <f>+D323</f>
        <v>132</v>
      </c>
      <c r="E324" s="84">
        <v>2</v>
      </c>
      <c r="F324" s="84">
        <f>+F323</f>
        <v>1</v>
      </c>
      <c r="G324" s="84">
        <v>0</v>
      </c>
      <c r="H324" s="186">
        <f>+H323</f>
        <v>10</v>
      </c>
      <c r="I324" s="187">
        <f>+I323+1</f>
        <v>10</v>
      </c>
      <c r="J324" s="193"/>
      <c r="K324" s="65"/>
      <c r="L324" s="79" t="s">
        <v>292</v>
      </c>
      <c r="M324" s="79"/>
      <c r="N324" s="83"/>
      <c r="O324" s="165"/>
      <c r="P324" s="97"/>
      <c r="Q324" s="97"/>
      <c r="R324" s="97" t="s">
        <v>127</v>
      </c>
      <c r="S324" s="97"/>
      <c r="T324" s="100"/>
      <c r="U324" s="97"/>
      <c r="V324" s="18"/>
      <c r="W324" s="17" t="str">
        <f>+CONCATENATE(E324,".",F324,"\",G324,".",H324,":",I324)</f>
        <v>2.1\0.10:10</v>
      </c>
      <c r="Y324" s="18"/>
      <c r="Z324" s="18"/>
      <c r="AA324" s="46"/>
      <c r="AB324" s="83"/>
      <c r="AC324" s="19"/>
      <c r="AH324" s="64" t="str">
        <f>+AH323</f>
        <v>F10</v>
      </c>
      <c r="AI324" s="39" t="s">
        <v>154</v>
      </c>
      <c r="AJ324" s="39" t="s">
        <v>153</v>
      </c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</row>
    <row r="325" spans="1:53" s="17" customFormat="1" x14ac:dyDescent="0.3">
      <c r="A325" s="63" t="str">
        <f>A324</f>
        <v>BSR132</v>
      </c>
      <c r="B325" s="18" t="s">
        <v>272</v>
      </c>
      <c r="C325" s="18" t="str">
        <f>+C324</f>
        <v>DIO1</v>
      </c>
      <c r="D325" s="84">
        <f>+D324</f>
        <v>132</v>
      </c>
      <c r="E325" s="84">
        <v>2</v>
      </c>
      <c r="F325" s="84">
        <f>+F324</f>
        <v>1</v>
      </c>
      <c r="G325" s="84">
        <v>0</v>
      </c>
      <c r="H325" s="186">
        <f>+H324</f>
        <v>10</v>
      </c>
      <c r="I325" s="187">
        <f>+I324+1</f>
        <v>11</v>
      </c>
      <c r="J325" s="193"/>
      <c r="K325" s="65"/>
      <c r="L325" s="79" t="s">
        <v>292</v>
      </c>
      <c r="M325" s="79"/>
      <c r="N325" s="83"/>
      <c r="O325" s="165"/>
      <c r="P325" s="97"/>
      <c r="Q325" s="97"/>
      <c r="R325" s="97" t="s">
        <v>127</v>
      </c>
      <c r="S325" s="97"/>
      <c r="T325" s="100"/>
      <c r="U325" s="97"/>
      <c r="V325" s="18"/>
      <c r="W325" s="17" t="str">
        <f>+CONCATENATE(E325,".",F325,"\",G325,".",H325,":",I325)</f>
        <v>2.1\0.10:11</v>
      </c>
      <c r="Y325" s="18"/>
      <c r="Z325" s="18"/>
      <c r="AA325" s="46"/>
      <c r="AB325" s="83"/>
      <c r="AC325" s="19"/>
      <c r="AH325" s="64" t="str">
        <f>+AH324</f>
        <v>F10</v>
      </c>
      <c r="AI325" s="39" t="s">
        <v>152</v>
      </c>
      <c r="AJ325" s="39" t="s">
        <v>707</v>
      </c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</row>
    <row r="326" spans="1:53" s="17" customFormat="1" x14ac:dyDescent="0.3">
      <c r="A326" s="63" t="str">
        <f>A325</f>
        <v>BSR132</v>
      </c>
      <c r="B326" s="18" t="s">
        <v>272</v>
      </c>
      <c r="C326" s="18" t="str">
        <f>+C325</f>
        <v>DIO1</v>
      </c>
      <c r="D326" s="84">
        <f>+D325</f>
        <v>132</v>
      </c>
      <c r="E326" s="84">
        <v>2</v>
      </c>
      <c r="F326" s="84">
        <f>+F325</f>
        <v>1</v>
      </c>
      <c r="G326" s="84">
        <v>0</v>
      </c>
      <c r="H326" s="186">
        <f>+H325</f>
        <v>10</v>
      </c>
      <c r="I326" s="187">
        <f>+I325+1</f>
        <v>12</v>
      </c>
      <c r="J326" s="193"/>
      <c r="K326" s="65"/>
      <c r="L326" s="79" t="s">
        <v>292</v>
      </c>
      <c r="M326" s="79"/>
      <c r="N326" s="83"/>
      <c r="O326" s="165"/>
      <c r="P326" s="97"/>
      <c r="Q326" s="97"/>
      <c r="R326" s="97" t="s">
        <v>127</v>
      </c>
      <c r="S326" s="97"/>
      <c r="T326" s="100"/>
      <c r="U326" s="97"/>
      <c r="V326" s="18"/>
      <c r="W326" s="17" t="str">
        <f>+CONCATENATE(E326,".",F326,"\",G326,".",H326,":",I326)</f>
        <v>2.1\0.10:12</v>
      </c>
      <c r="Y326" s="18"/>
      <c r="Z326" s="18"/>
      <c r="AA326" s="46"/>
      <c r="AB326" s="83"/>
      <c r="AC326" s="19"/>
      <c r="AH326" s="64" t="str">
        <f>+AH325</f>
        <v>F10</v>
      </c>
      <c r="AI326" s="39" t="s">
        <v>150</v>
      </c>
      <c r="AJ326" s="39" t="s">
        <v>149</v>
      </c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</row>
    <row r="327" spans="1:53" s="17" customFormat="1" ht="14.5" x14ac:dyDescent="0.3">
      <c r="A327" s="63" t="str">
        <f>A326</f>
        <v>BSR132</v>
      </c>
      <c r="B327" s="18" t="s">
        <v>272</v>
      </c>
      <c r="C327" s="18" t="str">
        <f>+C326</f>
        <v>DIO1</v>
      </c>
      <c r="D327" s="84">
        <f>+D326</f>
        <v>132</v>
      </c>
      <c r="E327" s="84">
        <v>2</v>
      </c>
      <c r="F327" s="84">
        <f>+F326</f>
        <v>1</v>
      </c>
      <c r="G327" s="84">
        <v>0</v>
      </c>
      <c r="H327" s="186">
        <f>+H326</f>
        <v>10</v>
      </c>
      <c r="I327" s="187">
        <f>+I326+1</f>
        <v>13</v>
      </c>
      <c r="J327" s="193"/>
      <c r="K327" s="65"/>
      <c r="L327" s="79" t="s">
        <v>292</v>
      </c>
      <c r="M327" s="79"/>
      <c r="N327" s="83"/>
      <c r="O327" s="194" t="s">
        <v>706</v>
      </c>
      <c r="P327" s="194" t="s">
        <v>517</v>
      </c>
      <c r="Q327" s="97"/>
      <c r="R327" s="194" t="s">
        <v>705</v>
      </c>
      <c r="S327" s="97"/>
      <c r="T327" s="100"/>
      <c r="U327" s="97"/>
      <c r="V327" s="18"/>
      <c r="W327" s="17" t="str">
        <f>+CONCATENATE(E327,".",F327,"\",G327,".",H327,":",I327)</f>
        <v>2.1\0.10:13</v>
      </c>
      <c r="Y327" s="18"/>
      <c r="Z327" s="194" t="s">
        <v>704</v>
      </c>
      <c r="AA327" s="46"/>
      <c r="AB327" s="83"/>
      <c r="AC327" s="19"/>
      <c r="AH327" s="64" t="str">
        <f>+AH326</f>
        <v>F10</v>
      </c>
      <c r="AI327" s="39" t="s">
        <v>148</v>
      </c>
      <c r="AJ327" s="39" t="s">
        <v>703</v>
      </c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</row>
    <row r="328" spans="1:53" s="17" customFormat="1" ht="14.5" x14ac:dyDescent="0.3">
      <c r="A328" s="63" t="str">
        <f>A327</f>
        <v>BSR132</v>
      </c>
      <c r="B328" s="18" t="s">
        <v>272</v>
      </c>
      <c r="C328" s="18" t="str">
        <f>+C327</f>
        <v>DIO1</v>
      </c>
      <c r="D328" s="84">
        <f>+D327</f>
        <v>132</v>
      </c>
      <c r="E328" s="84">
        <v>2</v>
      </c>
      <c r="F328" s="84">
        <f>+F327</f>
        <v>1</v>
      </c>
      <c r="G328" s="84">
        <v>0</v>
      </c>
      <c r="H328" s="186">
        <f>+H327</f>
        <v>10</v>
      </c>
      <c r="I328" s="187">
        <f>+I327+1</f>
        <v>14</v>
      </c>
      <c r="J328" s="193"/>
      <c r="K328" s="65"/>
      <c r="L328" s="79" t="s">
        <v>292</v>
      </c>
      <c r="M328" s="79"/>
      <c r="N328" s="83">
        <v>6</v>
      </c>
      <c r="O328" s="192"/>
      <c r="P328" s="119"/>
      <c r="Q328" s="119"/>
      <c r="R328" s="119"/>
      <c r="S328" s="119"/>
      <c r="T328" s="117"/>
      <c r="U328" s="119"/>
      <c r="V328" s="18"/>
      <c r="W328" s="17" t="str">
        <f>+CONCATENATE(E328,".",F328,"\",G328,".",H328,":",I328)</f>
        <v>2.1\0.10:14</v>
      </c>
      <c r="Y328" s="18"/>
      <c r="Z328" s="18"/>
      <c r="AA328" s="46"/>
      <c r="AB328" s="83"/>
      <c r="AC328" s="19"/>
      <c r="AH328" s="64" t="str">
        <f>+AH327</f>
        <v>F10</v>
      </c>
      <c r="AI328" s="39" t="s">
        <v>144</v>
      </c>
      <c r="AJ328" s="39" t="s">
        <v>143</v>
      </c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</row>
    <row r="329" spans="1:53" s="17" customFormat="1" ht="13.5" thickBot="1" x14ac:dyDescent="0.35">
      <c r="A329" s="63" t="str">
        <f>A328</f>
        <v>BSR132</v>
      </c>
      <c r="B329" s="18" t="s">
        <v>272</v>
      </c>
      <c r="C329" s="18" t="str">
        <f>+C328</f>
        <v>DIO1</v>
      </c>
      <c r="D329" s="84">
        <f>+D328</f>
        <v>132</v>
      </c>
      <c r="E329" s="84">
        <v>2</v>
      </c>
      <c r="F329" s="84">
        <f>+F328</f>
        <v>1</v>
      </c>
      <c r="G329" s="84">
        <v>0</v>
      </c>
      <c r="H329" s="186">
        <f>+H328</f>
        <v>10</v>
      </c>
      <c r="I329" s="191">
        <f>+I328+1</f>
        <v>15</v>
      </c>
      <c r="J329" s="190"/>
      <c r="K329" s="65"/>
      <c r="L329" s="79" t="s">
        <v>292</v>
      </c>
      <c r="M329" s="79"/>
      <c r="N329" s="83">
        <v>6</v>
      </c>
      <c r="O329" s="17" t="s">
        <v>701</v>
      </c>
      <c r="P329" s="97" t="s">
        <v>517</v>
      </c>
      <c r="Q329" s="97"/>
      <c r="R329" s="97" t="s">
        <v>702</v>
      </c>
      <c r="S329" s="97" t="s">
        <v>247</v>
      </c>
      <c r="T329" s="97"/>
      <c r="U329" s="97" t="s">
        <v>701</v>
      </c>
      <c r="V329" s="18"/>
      <c r="W329" s="17" t="str">
        <f>+CONCATENATE(E329,".",F329,"\",G329,".",H329,":",I329)</f>
        <v>2.1\0.10:15</v>
      </c>
      <c r="X329" s="17" t="s">
        <v>700</v>
      </c>
      <c r="Z329" s="18"/>
      <c r="AA329" s="46"/>
      <c r="AB329" s="83"/>
      <c r="AC329" s="19"/>
      <c r="AH329" s="64" t="str">
        <f>+AH328</f>
        <v>F10</v>
      </c>
      <c r="AI329" s="39" t="s">
        <v>142</v>
      </c>
      <c r="AJ329" s="39" t="s">
        <v>699</v>
      </c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</row>
    <row r="330" spans="1:53" s="17" customFormat="1" x14ac:dyDescent="0.3">
      <c r="A330" s="86" t="s">
        <v>273</v>
      </c>
      <c r="B330" s="18" t="s">
        <v>272</v>
      </c>
      <c r="C330" s="18" t="str">
        <f>+C329</f>
        <v>DIO1</v>
      </c>
      <c r="D330" s="84">
        <f>+D329</f>
        <v>132</v>
      </c>
      <c r="E330" s="84">
        <v>2</v>
      </c>
      <c r="F330" s="84">
        <f>+F329</f>
        <v>1</v>
      </c>
      <c r="G330" s="84">
        <v>0</v>
      </c>
      <c r="H330" s="189">
        <f>+H314+1</f>
        <v>11</v>
      </c>
      <c r="I330" s="188">
        <v>0</v>
      </c>
      <c r="K330" s="68" t="s">
        <v>698</v>
      </c>
      <c r="L330" s="64"/>
      <c r="M330" s="64"/>
      <c r="P330" s="100"/>
      <c r="Q330" s="100"/>
      <c r="R330" s="100"/>
      <c r="S330" s="100"/>
      <c r="T330" s="100"/>
      <c r="U330" s="100"/>
      <c r="W330" s="17" t="str">
        <f>+CONCATENATE(E330,".",F330,"\",G330,".",H330,":",I330)</f>
        <v>2.1\0.11:0</v>
      </c>
      <c r="X330" s="33"/>
      <c r="Y330" s="33"/>
      <c r="Z330" s="18"/>
      <c r="AA330" s="83"/>
      <c r="AB330" s="83"/>
      <c r="AC330" s="19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</row>
    <row r="331" spans="1:53" s="17" customFormat="1" x14ac:dyDescent="0.3">
      <c r="A331" s="63" t="str">
        <f>A330</f>
        <v>BSR132</v>
      </c>
      <c r="B331" s="18" t="s">
        <v>272</v>
      </c>
      <c r="C331" s="18" t="str">
        <f>+C330</f>
        <v>DIO1</v>
      </c>
      <c r="D331" s="84">
        <f>+D330</f>
        <v>132</v>
      </c>
      <c r="E331" s="84">
        <v>2</v>
      </c>
      <c r="F331" s="84">
        <f>+F330</f>
        <v>1</v>
      </c>
      <c r="G331" s="84">
        <v>0</v>
      </c>
      <c r="H331" s="186">
        <f>+H330</f>
        <v>11</v>
      </c>
      <c r="I331" s="187">
        <f>+I330+1</f>
        <v>1</v>
      </c>
      <c r="K331" s="84"/>
      <c r="L331" s="64"/>
      <c r="M331" s="64"/>
      <c r="P331" s="100"/>
      <c r="Q331" s="100"/>
      <c r="R331" s="100"/>
      <c r="S331" s="100"/>
      <c r="T331" s="100"/>
      <c r="U331" s="100"/>
      <c r="W331" s="17" t="str">
        <f>+CONCATENATE(E331,".",F331,"\",G331,".",H331,":",I331)</f>
        <v>2.1\0.11:1</v>
      </c>
      <c r="X331" s="33"/>
      <c r="Y331" s="33"/>
      <c r="Z331" s="18"/>
      <c r="AA331" s="83"/>
      <c r="AB331" s="83"/>
      <c r="AC331" s="19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</row>
    <row r="332" spans="1:53" s="17" customFormat="1" x14ac:dyDescent="0.3">
      <c r="A332" s="63" t="str">
        <f>A331</f>
        <v>BSR132</v>
      </c>
      <c r="B332" s="18" t="s">
        <v>272</v>
      </c>
      <c r="C332" s="18" t="str">
        <f>+C331</f>
        <v>DIO1</v>
      </c>
      <c r="D332" s="84">
        <f>+D331</f>
        <v>132</v>
      </c>
      <c r="E332" s="84">
        <v>2</v>
      </c>
      <c r="F332" s="84">
        <f>+F331</f>
        <v>1</v>
      </c>
      <c r="G332" s="84">
        <v>0</v>
      </c>
      <c r="H332" s="186">
        <f>+H331</f>
        <v>11</v>
      </c>
      <c r="I332" s="187">
        <f>+I331+1</f>
        <v>2</v>
      </c>
      <c r="K332" s="84"/>
      <c r="L332" s="64"/>
      <c r="M332" s="64"/>
      <c r="P332" s="100"/>
      <c r="Q332" s="100"/>
      <c r="R332" s="100"/>
      <c r="S332" s="100"/>
      <c r="T332" s="100"/>
      <c r="U332" s="100"/>
      <c r="W332" s="17" t="str">
        <f>+CONCATENATE(E332,".",F332,"\",G332,".",H332,":",I332)</f>
        <v>2.1\0.11:2</v>
      </c>
      <c r="X332" s="33"/>
      <c r="Y332" s="33"/>
      <c r="Z332" s="18"/>
      <c r="AA332" s="83"/>
      <c r="AB332" s="83"/>
      <c r="AC332" s="19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</row>
    <row r="333" spans="1:53" s="17" customFormat="1" x14ac:dyDescent="0.3">
      <c r="A333" s="63" t="str">
        <f>A332</f>
        <v>BSR132</v>
      </c>
      <c r="B333" s="18" t="s">
        <v>272</v>
      </c>
      <c r="C333" s="18" t="str">
        <f>+C332</f>
        <v>DIO1</v>
      </c>
      <c r="D333" s="84">
        <f>+D332</f>
        <v>132</v>
      </c>
      <c r="E333" s="84">
        <v>2</v>
      </c>
      <c r="F333" s="84">
        <f>+F332</f>
        <v>1</v>
      </c>
      <c r="G333" s="84">
        <v>0</v>
      </c>
      <c r="H333" s="186">
        <f>+H332</f>
        <v>11</v>
      </c>
      <c r="I333" s="187">
        <f>+I332+1</f>
        <v>3</v>
      </c>
      <c r="K333" s="84"/>
      <c r="L333" s="64"/>
      <c r="M333" s="64"/>
      <c r="P333" s="100"/>
      <c r="Q333" s="100"/>
      <c r="R333" s="100"/>
      <c r="S333" s="100"/>
      <c r="T333" s="100"/>
      <c r="U333" s="100"/>
      <c r="W333" s="17" t="str">
        <f>+CONCATENATE(E333,".",F333,"\",G333,".",H333,":",I333)</f>
        <v>2.1\0.11:3</v>
      </c>
      <c r="X333" s="33"/>
      <c r="Y333" s="33"/>
      <c r="Z333" s="18"/>
      <c r="AA333" s="83"/>
      <c r="AB333" s="83"/>
      <c r="AC333" s="19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</row>
    <row r="334" spans="1:53" s="17" customFormat="1" x14ac:dyDescent="0.3">
      <c r="A334" s="63"/>
      <c r="B334" s="18"/>
      <c r="C334" s="18"/>
      <c r="D334" s="65"/>
      <c r="E334" s="66"/>
      <c r="F334" s="65"/>
      <c r="G334" s="65"/>
      <c r="H334" s="186"/>
      <c r="I334" s="186"/>
      <c r="K334" s="84"/>
      <c r="L334" s="64"/>
      <c r="M334" s="64"/>
      <c r="N334" s="33"/>
      <c r="O334" s="33"/>
      <c r="P334" s="33"/>
      <c r="Q334" s="33"/>
      <c r="R334" s="33"/>
      <c r="S334" s="33"/>
      <c r="T334" s="33"/>
      <c r="X334" s="33"/>
      <c r="Y334" s="33"/>
      <c r="Z334" s="18"/>
      <c r="AA334" s="46"/>
      <c r="AB334" s="46"/>
      <c r="AC334" s="19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</row>
    <row r="335" spans="1:53" s="17" customFormat="1" x14ac:dyDescent="0.3">
      <c r="A335" s="63"/>
      <c r="B335" s="67"/>
      <c r="C335" s="18"/>
      <c r="D335" s="65"/>
      <c r="E335" s="66"/>
      <c r="F335" s="65"/>
      <c r="G335" s="65"/>
      <c r="H335" s="65"/>
      <c r="I335" s="65"/>
      <c r="J335" s="65"/>
      <c r="K335" s="65"/>
      <c r="L335" s="64"/>
      <c r="M335" s="65"/>
      <c r="P335" s="18"/>
      <c r="Q335" s="18"/>
      <c r="S335" s="18"/>
      <c r="U335" s="63"/>
      <c r="X335" s="33"/>
      <c r="Y335" s="33"/>
      <c r="Z335" s="33"/>
      <c r="AC335" s="19"/>
      <c r="AH335" s="23" t="e">
        <f>+#REF!</f>
        <v>#REF!</v>
      </c>
      <c r="AI335" s="39" t="s">
        <v>72</v>
      </c>
      <c r="AJ335" s="39" t="s">
        <v>71</v>
      </c>
      <c r="AK335" s="39" t="s">
        <v>697</v>
      </c>
      <c r="AL335" s="64">
        <v>84</v>
      </c>
      <c r="AM335" s="64"/>
      <c r="AN335" s="64"/>
      <c r="AO335" s="64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</row>
    <row r="336" spans="1:53" s="17" customFormat="1" x14ac:dyDescent="0.3">
      <c r="A336" s="63"/>
      <c r="B336" s="67"/>
      <c r="C336" s="67"/>
      <c r="D336" s="133"/>
      <c r="E336" s="185"/>
      <c r="F336" s="133"/>
      <c r="G336" s="133"/>
      <c r="H336" s="67"/>
      <c r="I336" s="67"/>
      <c r="J336" s="67"/>
      <c r="K336" s="33"/>
      <c r="L336" s="122"/>
      <c r="M336" s="122"/>
      <c r="N336" s="33"/>
      <c r="O336" s="33"/>
      <c r="X336" s="33"/>
      <c r="Y336" s="33"/>
      <c r="Z336" s="33"/>
      <c r="AC336" s="19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</row>
    <row r="337" spans="1:53" s="17" customFormat="1" ht="13.5" thickBot="1" x14ac:dyDescent="0.35">
      <c r="A337" s="33"/>
      <c r="B337" s="67"/>
      <c r="C337" s="68"/>
      <c r="D337" s="183"/>
      <c r="E337" s="184"/>
      <c r="F337" s="183"/>
      <c r="G337" s="183"/>
      <c r="H337" s="84"/>
      <c r="I337" s="65"/>
      <c r="J337" s="65"/>
      <c r="K337" s="65"/>
      <c r="L337" s="64"/>
      <c r="M337" s="64"/>
      <c r="P337" s="64"/>
      <c r="Q337" s="64"/>
      <c r="R337" s="64"/>
      <c r="S337" s="139"/>
      <c r="U337" s="33"/>
      <c r="V337" s="33"/>
      <c r="W337" s="33"/>
      <c r="X337" s="33"/>
      <c r="Y337" s="33"/>
      <c r="Z337" s="33"/>
      <c r="AA337" s="20"/>
      <c r="AB337" s="20"/>
      <c r="AC337" s="19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</row>
    <row r="338" spans="1:53" s="17" customFormat="1" x14ac:dyDescent="0.3">
      <c r="A338" s="33"/>
      <c r="C338" s="18" t="s">
        <v>647</v>
      </c>
      <c r="D338" s="18"/>
      <c r="E338" s="18"/>
      <c r="F338" s="18"/>
      <c r="G338" s="18" t="s">
        <v>481</v>
      </c>
      <c r="H338" s="144">
        <v>1</v>
      </c>
      <c r="I338" s="167">
        <v>1</v>
      </c>
      <c r="J338" s="166" t="s">
        <v>648</v>
      </c>
      <c r="K338" s="65" t="s">
        <v>647</v>
      </c>
      <c r="L338" s="79" t="s">
        <v>323</v>
      </c>
      <c r="M338" s="18"/>
      <c r="N338" s="18">
        <v>3</v>
      </c>
      <c r="O338" s="18"/>
      <c r="P338" s="79" t="s">
        <v>646</v>
      </c>
      <c r="Q338" s="79"/>
      <c r="R338" s="64" t="s">
        <v>626</v>
      </c>
      <c r="S338" s="64" t="s">
        <v>247</v>
      </c>
      <c r="T338" s="163" t="s">
        <v>624</v>
      </c>
      <c r="U338" s="64" t="s">
        <v>696</v>
      </c>
      <c r="X338" s="64" t="s">
        <v>695</v>
      </c>
      <c r="Y338" s="17" t="s">
        <v>289</v>
      </c>
      <c r="AA338" s="20"/>
      <c r="AB338" s="20"/>
      <c r="AC338" s="19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</row>
    <row r="339" spans="1:53" s="17" customFormat="1" x14ac:dyDescent="0.3">
      <c r="A339" s="33"/>
      <c r="C339" s="18"/>
      <c r="D339" s="18"/>
      <c r="E339" s="18"/>
      <c r="F339" s="18"/>
      <c r="G339" s="18" t="s">
        <v>481</v>
      </c>
      <c r="H339" s="65">
        <f>H338</f>
        <v>1</v>
      </c>
      <c r="I339" s="161">
        <v>2</v>
      </c>
      <c r="J339" s="164" t="s">
        <v>642</v>
      </c>
      <c r="K339" s="99" t="s">
        <v>287</v>
      </c>
      <c r="L339" s="79" t="s">
        <v>323</v>
      </c>
      <c r="M339" s="18"/>
      <c r="N339" s="83">
        <v>4</v>
      </c>
      <c r="O339" s="83"/>
      <c r="P339" s="92" t="s">
        <v>429</v>
      </c>
      <c r="Q339" s="92"/>
      <c r="R339" s="92" t="s">
        <v>626</v>
      </c>
      <c r="S339" s="64" t="s">
        <v>427</v>
      </c>
      <c r="T339" s="163" t="s">
        <v>624</v>
      </c>
      <c r="U339" s="156" t="str">
        <f>+U338</f>
        <v>BCV131PP02</v>
      </c>
      <c r="X339" s="64" t="str">
        <f>+X338</f>
        <v>BR4-2150-E-00073</v>
      </c>
      <c r="Y339" s="17" t="str">
        <f>+Y338</f>
        <v>A</v>
      </c>
      <c r="AA339" s="20"/>
      <c r="AB339" s="20"/>
      <c r="AC339" s="19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</row>
    <row r="340" spans="1:53" s="17" customFormat="1" x14ac:dyDescent="0.3">
      <c r="A340" s="33"/>
      <c r="C340" s="18"/>
      <c r="D340" s="18"/>
      <c r="E340" s="18"/>
      <c r="F340" s="18"/>
      <c r="G340" s="18" t="s">
        <v>481</v>
      </c>
      <c r="H340" s="65">
        <f>H339</f>
        <v>1</v>
      </c>
      <c r="I340" s="161">
        <v>3</v>
      </c>
      <c r="J340" s="164" t="s">
        <v>641</v>
      </c>
      <c r="K340" s="65"/>
      <c r="L340" s="79" t="s">
        <v>323</v>
      </c>
      <c r="M340" s="18"/>
      <c r="N340" s="18">
        <v>3</v>
      </c>
      <c r="O340" s="18"/>
      <c r="P340" s="97" t="s">
        <v>252</v>
      </c>
      <c r="Q340" s="97"/>
      <c r="R340" s="18" t="s">
        <v>640</v>
      </c>
      <c r="S340" s="18" t="s">
        <v>247</v>
      </c>
      <c r="T340" s="73" t="s">
        <v>639</v>
      </c>
      <c r="U340" s="156" t="str">
        <f>+U339</f>
        <v>BCV131PP02</v>
      </c>
      <c r="X340" s="64" t="str">
        <f>+X339</f>
        <v>BR4-2150-E-00073</v>
      </c>
      <c r="Y340" s="17" t="str">
        <f>+Y339</f>
        <v>A</v>
      </c>
      <c r="AC340" s="19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</row>
    <row r="341" spans="1:53" s="17" customFormat="1" x14ac:dyDescent="0.3">
      <c r="A341" s="33"/>
      <c r="C341" s="18"/>
      <c r="D341" s="18"/>
      <c r="E341" s="18"/>
      <c r="F341" s="18"/>
      <c r="G341" s="18" t="s">
        <v>481</v>
      </c>
      <c r="H341" s="65">
        <f>H340</f>
        <v>1</v>
      </c>
      <c r="I341" s="161">
        <v>4</v>
      </c>
      <c r="J341" s="164" t="s">
        <v>638</v>
      </c>
      <c r="K341" s="65"/>
      <c r="L341" s="79" t="s">
        <v>323</v>
      </c>
      <c r="M341" s="18"/>
      <c r="N341" s="18">
        <v>3</v>
      </c>
      <c r="O341" s="18"/>
      <c r="P341" s="79" t="s">
        <v>637</v>
      </c>
      <c r="Q341" s="79"/>
      <c r="R341" s="18" t="s">
        <v>636</v>
      </c>
      <c r="S341" s="18" t="s">
        <v>211</v>
      </c>
      <c r="T341" s="163" t="s">
        <v>635</v>
      </c>
      <c r="U341" s="156" t="str">
        <f>+U340</f>
        <v>BCV131PP02</v>
      </c>
      <c r="X341" s="64" t="str">
        <f>+X340</f>
        <v>BR4-2150-E-00073</v>
      </c>
      <c r="Y341" s="17" t="str">
        <f>+Y340</f>
        <v>A</v>
      </c>
      <c r="AC341" s="19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</row>
    <row r="342" spans="1:53" s="17" customFormat="1" x14ac:dyDescent="0.3">
      <c r="A342" s="33"/>
      <c r="C342" s="18"/>
      <c r="D342" s="18"/>
      <c r="E342" s="18"/>
      <c r="F342" s="18"/>
      <c r="G342" s="18" t="s">
        <v>481</v>
      </c>
      <c r="H342" s="65">
        <f>H341</f>
        <v>1</v>
      </c>
      <c r="I342" s="161">
        <v>5</v>
      </c>
      <c r="J342" s="164" t="s">
        <v>634</v>
      </c>
      <c r="K342" s="65"/>
      <c r="L342" s="79" t="s">
        <v>323</v>
      </c>
      <c r="M342" s="18"/>
      <c r="N342" s="18"/>
      <c r="O342" s="18"/>
      <c r="P342" s="79"/>
      <c r="Q342" s="79"/>
      <c r="R342" s="18"/>
      <c r="S342" s="163"/>
      <c r="T342" s="163"/>
      <c r="U342" s="156" t="str">
        <f>+U341</f>
        <v>BCV131PP02</v>
      </c>
      <c r="X342" s="64" t="str">
        <f>+X341</f>
        <v>BR4-2150-E-00073</v>
      </c>
      <c r="Y342" s="17" t="str">
        <f>+Y341</f>
        <v>A</v>
      </c>
      <c r="AC342" s="19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</row>
    <row r="343" spans="1:53" s="17" customFormat="1" x14ac:dyDescent="0.3">
      <c r="A343" s="33"/>
      <c r="C343" s="18"/>
      <c r="D343" s="18"/>
      <c r="E343" s="18"/>
      <c r="F343" s="18"/>
      <c r="G343" s="18" t="s">
        <v>481</v>
      </c>
      <c r="H343" s="65">
        <f>H342</f>
        <v>1</v>
      </c>
      <c r="I343" s="161">
        <v>6</v>
      </c>
      <c r="J343" s="164" t="s">
        <v>633</v>
      </c>
      <c r="K343" s="65"/>
      <c r="L343" s="79" t="s">
        <v>323</v>
      </c>
      <c r="M343" s="18"/>
      <c r="N343" s="18">
        <v>3</v>
      </c>
      <c r="O343" s="18"/>
      <c r="P343" s="79" t="s">
        <v>589</v>
      </c>
      <c r="Q343" s="79"/>
      <c r="R343" s="18" t="s">
        <v>365</v>
      </c>
      <c r="S343" s="163" t="s">
        <v>364</v>
      </c>
      <c r="T343" s="163"/>
      <c r="U343" s="156" t="str">
        <f>+U342</f>
        <v>BCV131PP02</v>
      </c>
      <c r="X343" s="64" t="str">
        <f>+X342</f>
        <v>BR4-2150-E-00073</v>
      </c>
      <c r="Y343" s="17" t="str">
        <f>+Y342</f>
        <v>A</v>
      </c>
      <c r="AC343" s="19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</row>
    <row r="344" spans="1:53" s="17" customFormat="1" x14ac:dyDescent="0.3">
      <c r="A344" s="33"/>
      <c r="C344" s="18"/>
      <c r="D344" s="18"/>
      <c r="E344" s="18"/>
      <c r="F344" s="18"/>
      <c r="G344" s="18" t="s">
        <v>481</v>
      </c>
      <c r="H344" s="65">
        <f>H343</f>
        <v>1</v>
      </c>
      <c r="I344" s="161">
        <v>1</v>
      </c>
      <c r="J344" s="164" t="s">
        <v>233</v>
      </c>
      <c r="K344" s="65"/>
      <c r="L344" s="79" t="s">
        <v>292</v>
      </c>
      <c r="M344" s="18"/>
      <c r="N344" s="18">
        <v>3</v>
      </c>
      <c r="O344" s="18"/>
      <c r="P344" s="79" t="s">
        <v>517</v>
      </c>
      <c r="Q344" s="79"/>
      <c r="R344" s="18" t="s">
        <v>632</v>
      </c>
      <c r="S344" s="18" t="s">
        <v>247</v>
      </c>
      <c r="T344" s="163" t="s">
        <v>631</v>
      </c>
      <c r="U344" s="156" t="str">
        <f>+U343</f>
        <v>BCV131PP02</v>
      </c>
      <c r="X344" s="64" t="str">
        <f>+X343</f>
        <v>BR4-2150-E-00073</v>
      </c>
      <c r="Y344" s="17" t="str">
        <f>+Y343</f>
        <v>A</v>
      </c>
      <c r="AC344" s="19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</row>
    <row r="345" spans="1:53" s="17" customFormat="1" x14ac:dyDescent="0.3">
      <c r="A345" s="33"/>
      <c r="C345" s="18"/>
      <c r="D345" s="18"/>
      <c r="E345" s="18"/>
      <c r="F345" s="18"/>
      <c r="G345" s="18" t="s">
        <v>481</v>
      </c>
      <c r="H345" s="65">
        <f>H344</f>
        <v>1</v>
      </c>
      <c r="I345" s="161">
        <v>2</v>
      </c>
      <c r="J345" s="160" t="s">
        <v>229</v>
      </c>
      <c r="K345" s="65"/>
      <c r="L345" s="79" t="s">
        <v>292</v>
      </c>
      <c r="M345" s="18"/>
      <c r="N345" s="83">
        <v>6</v>
      </c>
      <c r="O345" s="83"/>
      <c r="P345" s="92" t="s">
        <v>630</v>
      </c>
      <c r="Q345" s="92"/>
      <c r="R345" s="92" t="s">
        <v>629</v>
      </c>
      <c r="S345" s="83" t="s">
        <v>299</v>
      </c>
      <c r="T345" s="162" t="s">
        <v>628</v>
      </c>
      <c r="U345" s="156" t="str">
        <f>+U344</f>
        <v>BCV131PP02</v>
      </c>
      <c r="W345" s="33"/>
      <c r="X345" s="64" t="str">
        <f>+X344</f>
        <v>BR4-2150-E-00073</v>
      </c>
      <c r="Y345" s="17" t="str">
        <f>+Y344</f>
        <v>A</v>
      </c>
      <c r="AC345" s="19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</row>
    <row r="346" spans="1:53" s="17" customFormat="1" x14ac:dyDescent="0.3">
      <c r="A346" s="33"/>
      <c r="C346" s="18"/>
      <c r="D346" s="18"/>
      <c r="E346" s="18"/>
      <c r="F346" s="18"/>
      <c r="G346" s="18" t="s">
        <v>481</v>
      </c>
      <c r="H346" s="65">
        <f>H345</f>
        <v>1</v>
      </c>
      <c r="I346" s="161">
        <v>3</v>
      </c>
      <c r="J346" s="160" t="s">
        <v>218</v>
      </c>
      <c r="K346" s="65"/>
      <c r="L346" s="79" t="s">
        <v>292</v>
      </c>
      <c r="M346" s="18"/>
      <c r="N346" s="33"/>
      <c r="O346" s="33"/>
      <c r="U346" s="156" t="str">
        <f>+U345</f>
        <v>BCV131PP02</v>
      </c>
      <c r="W346" s="33"/>
      <c r="X346" s="64" t="str">
        <f>+X345</f>
        <v>BR4-2150-E-00073</v>
      </c>
      <c r="Y346" s="17" t="str">
        <f>+Y345</f>
        <v>A</v>
      </c>
      <c r="AC346" s="19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</row>
    <row r="347" spans="1:53" s="17" customFormat="1" ht="13.5" thickBot="1" x14ac:dyDescent="0.35">
      <c r="A347" s="33"/>
      <c r="C347" s="18"/>
      <c r="D347" s="18"/>
      <c r="E347" s="18"/>
      <c r="F347" s="18"/>
      <c r="G347" s="18" t="s">
        <v>481</v>
      </c>
      <c r="H347" s="65">
        <f>H346</f>
        <v>1</v>
      </c>
      <c r="I347" s="159">
        <v>4</v>
      </c>
      <c r="J347" s="158" t="s">
        <v>627</v>
      </c>
      <c r="K347" s="65"/>
      <c r="L347" s="79" t="s">
        <v>292</v>
      </c>
      <c r="M347" s="18"/>
      <c r="N347" s="83">
        <v>4</v>
      </c>
      <c r="O347" s="83"/>
      <c r="P347" s="92" t="s">
        <v>433</v>
      </c>
      <c r="Q347" s="92"/>
      <c r="R347" s="92" t="s">
        <v>626</v>
      </c>
      <c r="S347" s="83" t="s">
        <v>625</v>
      </c>
      <c r="T347" s="157" t="s">
        <v>624</v>
      </c>
      <c r="U347" s="156" t="str">
        <f>+U346</f>
        <v>BCV131PP02</v>
      </c>
      <c r="W347" s="33"/>
      <c r="X347" s="64" t="str">
        <f>+X346</f>
        <v>BR4-2150-E-00073</v>
      </c>
      <c r="Y347" s="17" t="str">
        <f>+Y346</f>
        <v>A</v>
      </c>
      <c r="AC347" s="19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</row>
    <row r="348" spans="1:53" s="17" customFormat="1" ht="13.5" thickBot="1" x14ac:dyDescent="0.35">
      <c r="A348" s="33"/>
      <c r="B348" s="33"/>
      <c r="C348" s="18"/>
      <c r="D348" s="65"/>
      <c r="E348" s="66"/>
      <c r="F348" s="65"/>
      <c r="G348" s="65"/>
      <c r="H348" s="65"/>
      <c r="I348" s="65"/>
      <c r="J348" s="65"/>
      <c r="K348" s="65"/>
      <c r="L348" s="64"/>
      <c r="M348" s="64"/>
      <c r="P348" s="18"/>
      <c r="Q348" s="18"/>
      <c r="S348" s="18"/>
      <c r="U348" s="33"/>
      <c r="V348" s="33"/>
      <c r="W348" s="33"/>
      <c r="X348" s="33"/>
      <c r="Y348" s="33"/>
      <c r="Z348" s="33"/>
      <c r="AC348" s="19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</row>
    <row r="349" spans="1:53" s="17" customFormat="1" x14ac:dyDescent="0.3">
      <c r="A349" s="33"/>
      <c r="B349" s="33"/>
      <c r="C349" s="18" t="s">
        <v>647</v>
      </c>
      <c r="D349" s="18"/>
      <c r="E349" s="18"/>
      <c r="F349" s="18"/>
      <c r="G349" s="18" t="s">
        <v>481</v>
      </c>
      <c r="H349" s="144">
        <v>1</v>
      </c>
      <c r="I349" s="167">
        <v>1</v>
      </c>
      <c r="J349" s="166" t="s">
        <v>648</v>
      </c>
      <c r="K349" s="65" t="s">
        <v>647</v>
      </c>
      <c r="L349" s="79" t="s">
        <v>323</v>
      </c>
      <c r="M349" s="18"/>
      <c r="N349" s="18">
        <v>3</v>
      </c>
      <c r="O349" s="18"/>
      <c r="P349" s="79" t="s">
        <v>646</v>
      </c>
      <c r="Q349" s="79"/>
      <c r="R349" s="64" t="s">
        <v>626</v>
      </c>
      <c r="S349" s="64" t="s">
        <v>247</v>
      </c>
      <c r="T349" s="163" t="s">
        <v>624</v>
      </c>
      <c r="U349" s="64" t="s">
        <v>694</v>
      </c>
      <c r="X349" s="64" t="s">
        <v>693</v>
      </c>
      <c r="Y349" s="17" t="s">
        <v>289</v>
      </c>
      <c r="AA349" s="46"/>
      <c r="AC349" s="19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</row>
    <row r="350" spans="1:53" s="17" customFormat="1" x14ac:dyDescent="0.3">
      <c r="A350" s="33"/>
      <c r="B350" s="33"/>
      <c r="C350" s="18"/>
      <c r="D350" s="18"/>
      <c r="E350" s="18"/>
      <c r="F350" s="18"/>
      <c r="G350" s="18" t="s">
        <v>481</v>
      </c>
      <c r="H350" s="65">
        <f>H349</f>
        <v>1</v>
      </c>
      <c r="I350" s="161">
        <v>2</v>
      </c>
      <c r="J350" s="164" t="s">
        <v>642</v>
      </c>
      <c r="K350" s="99" t="s">
        <v>287</v>
      </c>
      <c r="L350" s="79" t="s">
        <v>323</v>
      </c>
      <c r="M350" s="18"/>
      <c r="N350" s="83">
        <v>4</v>
      </c>
      <c r="O350" s="83"/>
      <c r="P350" s="92" t="s">
        <v>429</v>
      </c>
      <c r="Q350" s="92"/>
      <c r="R350" s="92" t="s">
        <v>626</v>
      </c>
      <c r="S350" s="64" t="s">
        <v>427</v>
      </c>
      <c r="T350" s="163" t="s">
        <v>624</v>
      </c>
      <c r="U350" s="156" t="str">
        <f>+U349</f>
        <v>BCV131PP03</v>
      </c>
      <c r="X350" s="64" t="str">
        <f>+X349</f>
        <v>BR4-2150-E-00075</v>
      </c>
      <c r="Y350" s="17" t="str">
        <f>+Y349</f>
        <v>A</v>
      </c>
      <c r="AA350" s="46"/>
      <c r="AC350" s="19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</row>
    <row r="351" spans="1:53" s="17" customFormat="1" x14ac:dyDescent="0.3">
      <c r="A351" s="33"/>
      <c r="B351" s="33"/>
      <c r="C351" s="18"/>
      <c r="D351" s="18"/>
      <c r="E351" s="18"/>
      <c r="F351" s="18"/>
      <c r="G351" s="18" t="s">
        <v>481</v>
      </c>
      <c r="H351" s="65">
        <f>H350</f>
        <v>1</v>
      </c>
      <c r="I351" s="161">
        <v>3</v>
      </c>
      <c r="J351" s="164" t="s">
        <v>641</v>
      </c>
      <c r="K351" s="65"/>
      <c r="L351" s="79" t="s">
        <v>323</v>
      </c>
      <c r="M351" s="18"/>
      <c r="N351" s="18">
        <v>3</v>
      </c>
      <c r="O351" s="18"/>
      <c r="P351" s="97" t="s">
        <v>252</v>
      </c>
      <c r="Q351" s="97"/>
      <c r="R351" s="18" t="s">
        <v>640</v>
      </c>
      <c r="S351" s="18" t="s">
        <v>247</v>
      </c>
      <c r="T351" s="73" t="s">
        <v>639</v>
      </c>
      <c r="U351" s="156" t="str">
        <f>+U350</f>
        <v>BCV131PP03</v>
      </c>
      <c r="X351" s="64" t="str">
        <f>+X350</f>
        <v>BR4-2150-E-00075</v>
      </c>
      <c r="Y351" s="17" t="str">
        <f>+Y350</f>
        <v>A</v>
      </c>
      <c r="AA351" s="46"/>
      <c r="AC351" s="19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</row>
    <row r="352" spans="1:53" s="17" customFormat="1" x14ac:dyDescent="0.3">
      <c r="A352" s="33"/>
      <c r="B352" s="33"/>
      <c r="C352" s="18"/>
      <c r="D352" s="18"/>
      <c r="E352" s="18"/>
      <c r="F352" s="18"/>
      <c r="G352" s="18" t="s">
        <v>481</v>
      </c>
      <c r="H352" s="65">
        <f>H351</f>
        <v>1</v>
      </c>
      <c r="I352" s="161">
        <v>4</v>
      </c>
      <c r="J352" s="164" t="s">
        <v>638</v>
      </c>
      <c r="K352" s="65"/>
      <c r="L352" s="79" t="s">
        <v>323</v>
      </c>
      <c r="M352" s="18"/>
      <c r="N352" s="18">
        <v>3</v>
      </c>
      <c r="O352" s="18"/>
      <c r="P352" s="79" t="s">
        <v>637</v>
      </c>
      <c r="Q352" s="79"/>
      <c r="R352" s="18" t="s">
        <v>636</v>
      </c>
      <c r="S352" s="18" t="s">
        <v>211</v>
      </c>
      <c r="T352" s="163" t="s">
        <v>635</v>
      </c>
      <c r="U352" s="156" t="str">
        <f>+U351</f>
        <v>BCV131PP03</v>
      </c>
      <c r="X352" s="64" t="str">
        <f>+X351</f>
        <v>BR4-2150-E-00075</v>
      </c>
      <c r="Y352" s="17" t="str">
        <f>+Y351</f>
        <v>A</v>
      </c>
      <c r="AA352" s="46"/>
      <c r="AC352" s="19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</row>
    <row r="353" spans="1:53" s="17" customFormat="1" x14ac:dyDescent="0.3">
      <c r="A353" s="33"/>
      <c r="B353" s="33"/>
      <c r="C353" s="18"/>
      <c r="D353" s="18"/>
      <c r="E353" s="18"/>
      <c r="F353" s="18"/>
      <c r="G353" s="18" t="s">
        <v>481</v>
      </c>
      <c r="H353" s="65">
        <f>H352</f>
        <v>1</v>
      </c>
      <c r="I353" s="161">
        <v>5</v>
      </c>
      <c r="J353" s="164" t="s">
        <v>634</v>
      </c>
      <c r="K353" s="65"/>
      <c r="L353" s="79" t="s">
        <v>323</v>
      </c>
      <c r="M353" s="18"/>
      <c r="N353" s="18"/>
      <c r="O353" s="18"/>
      <c r="P353" s="79"/>
      <c r="Q353" s="79"/>
      <c r="R353" s="18"/>
      <c r="S353" s="163"/>
      <c r="T353" s="163"/>
      <c r="U353" s="156" t="str">
        <f>+U352</f>
        <v>BCV131PP03</v>
      </c>
      <c r="X353" s="64" t="str">
        <f>+X352</f>
        <v>BR4-2150-E-00075</v>
      </c>
      <c r="Y353" s="17" t="str">
        <f>+Y352</f>
        <v>A</v>
      </c>
      <c r="AC353" s="19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</row>
    <row r="354" spans="1:53" s="17" customFormat="1" x14ac:dyDescent="0.3">
      <c r="A354" s="33"/>
      <c r="B354" s="33"/>
      <c r="C354" s="18"/>
      <c r="D354" s="18"/>
      <c r="E354" s="18"/>
      <c r="F354" s="18"/>
      <c r="G354" s="18" t="s">
        <v>481</v>
      </c>
      <c r="H354" s="65">
        <f>H353</f>
        <v>1</v>
      </c>
      <c r="I354" s="161">
        <v>6</v>
      </c>
      <c r="J354" s="164" t="s">
        <v>633</v>
      </c>
      <c r="K354" s="65"/>
      <c r="L354" s="79" t="s">
        <v>323</v>
      </c>
      <c r="M354" s="18"/>
      <c r="N354" s="18">
        <v>3</v>
      </c>
      <c r="O354" s="18"/>
      <c r="P354" s="79" t="s">
        <v>589</v>
      </c>
      <c r="Q354" s="79"/>
      <c r="R354" s="18" t="s">
        <v>365</v>
      </c>
      <c r="S354" s="163" t="s">
        <v>364</v>
      </c>
      <c r="T354" s="163"/>
      <c r="U354" s="156" t="str">
        <f>+U353</f>
        <v>BCV131PP03</v>
      </c>
      <c r="X354" s="64" t="str">
        <f>+X353</f>
        <v>BR4-2150-E-00075</v>
      </c>
      <c r="Y354" s="17" t="str">
        <f>+Y353</f>
        <v>A</v>
      </c>
      <c r="AC354" s="19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</row>
    <row r="355" spans="1:53" s="17" customFormat="1" x14ac:dyDescent="0.3">
      <c r="A355" s="33"/>
      <c r="B355" s="33"/>
      <c r="C355" s="18"/>
      <c r="D355" s="18"/>
      <c r="E355" s="18"/>
      <c r="F355" s="18"/>
      <c r="G355" s="18" t="s">
        <v>481</v>
      </c>
      <c r="H355" s="65">
        <f>H354</f>
        <v>1</v>
      </c>
      <c r="I355" s="161">
        <v>1</v>
      </c>
      <c r="J355" s="164" t="s">
        <v>233</v>
      </c>
      <c r="K355" s="65"/>
      <c r="L355" s="79" t="s">
        <v>292</v>
      </c>
      <c r="M355" s="18"/>
      <c r="N355" s="18">
        <v>3</v>
      </c>
      <c r="O355" s="18"/>
      <c r="P355" s="79" t="s">
        <v>517</v>
      </c>
      <c r="Q355" s="79"/>
      <c r="R355" s="18" t="s">
        <v>632</v>
      </c>
      <c r="S355" s="18" t="s">
        <v>247</v>
      </c>
      <c r="T355" s="163" t="s">
        <v>631</v>
      </c>
      <c r="U355" s="156" t="str">
        <f>+U354</f>
        <v>BCV131PP03</v>
      </c>
      <c r="X355" s="64" t="str">
        <f>+X354</f>
        <v>BR4-2150-E-00075</v>
      </c>
      <c r="Y355" s="17" t="str">
        <f>+Y354</f>
        <v>A</v>
      </c>
      <c r="AA355" s="46"/>
      <c r="AC355" s="19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</row>
    <row r="356" spans="1:53" s="17" customFormat="1" x14ac:dyDescent="0.3">
      <c r="A356" s="33"/>
      <c r="B356" s="33"/>
      <c r="C356" s="18"/>
      <c r="D356" s="18"/>
      <c r="E356" s="18"/>
      <c r="F356" s="18"/>
      <c r="G356" s="18" t="s">
        <v>481</v>
      </c>
      <c r="H356" s="65">
        <f>H355</f>
        <v>1</v>
      </c>
      <c r="I356" s="161">
        <v>2</v>
      </c>
      <c r="J356" s="160" t="s">
        <v>229</v>
      </c>
      <c r="K356" s="65"/>
      <c r="L356" s="79" t="s">
        <v>292</v>
      </c>
      <c r="M356" s="18"/>
      <c r="N356" s="83">
        <v>6</v>
      </c>
      <c r="O356" s="83"/>
      <c r="P356" s="92" t="s">
        <v>630</v>
      </c>
      <c r="Q356" s="92"/>
      <c r="R356" s="92" t="s">
        <v>629</v>
      </c>
      <c r="S356" s="83" t="s">
        <v>299</v>
      </c>
      <c r="T356" s="162" t="s">
        <v>628</v>
      </c>
      <c r="U356" s="156" t="str">
        <f>+U355</f>
        <v>BCV131PP03</v>
      </c>
      <c r="W356" s="33"/>
      <c r="X356" s="64" t="str">
        <f>+X355</f>
        <v>BR4-2150-E-00075</v>
      </c>
      <c r="Y356" s="17" t="str">
        <f>+Y355</f>
        <v>A</v>
      </c>
      <c r="Z356" s="33"/>
      <c r="AC356" s="19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</row>
    <row r="357" spans="1:53" s="17" customFormat="1" x14ac:dyDescent="0.3">
      <c r="A357" s="33"/>
      <c r="B357" s="33"/>
      <c r="C357" s="18"/>
      <c r="D357" s="18"/>
      <c r="E357" s="18"/>
      <c r="F357" s="18"/>
      <c r="G357" s="18" t="s">
        <v>481</v>
      </c>
      <c r="H357" s="65">
        <f>H356</f>
        <v>1</v>
      </c>
      <c r="I357" s="161">
        <v>3</v>
      </c>
      <c r="J357" s="160" t="s">
        <v>218</v>
      </c>
      <c r="K357" s="65"/>
      <c r="L357" s="79" t="s">
        <v>292</v>
      </c>
      <c r="M357" s="18"/>
      <c r="N357" s="33"/>
      <c r="O357" s="33"/>
      <c r="U357" s="156" t="str">
        <f>+U356</f>
        <v>BCV131PP03</v>
      </c>
      <c r="W357" s="33"/>
      <c r="X357" s="64" t="str">
        <f>+X356</f>
        <v>BR4-2150-E-00075</v>
      </c>
      <c r="Y357" s="17" t="str">
        <f>+Y356</f>
        <v>A</v>
      </c>
      <c r="AA357" s="46"/>
      <c r="AC357" s="19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</row>
    <row r="358" spans="1:53" s="17" customFormat="1" ht="13.5" thickBot="1" x14ac:dyDescent="0.35">
      <c r="A358" s="33"/>
      <c r="B358" s="33"/>
      <c r="C358" s="18"/>
      <c r="D358" s="18"/>
      <c r="E358" s="18"/>
      <c r="F358" s="18"/>
      <c r="G358" s="18" t="s">
        <v>481</v>
      </c>
      <c r="H358" s="65">
        <f>H357</f>
        <v>1</v>
      </c>
      <c r="I358" s="159">
        <v>4</v>
      </c>
      <c r="J358" s="158" t="s">
        <v>627</v>
      </c>
      <c r="K358" s="65"/>
      <c r="L358" s="79" t="s">
        <v>292</v>
      </c>
      <c r="M358" s="18"/>
      <c r="N358" s="83">
        <v>4</v>
      </c>
      <c r="O358" s="83"/>
      <c r="P358" s="92" t="s">
        <v>433</v>
      </c>
      <c r="Q358" s="92"/>
      <c r="R358" s="92" t="s">
        <v>626</v>
      </c>
      <c r="S358" s="83" t="s">
        <v>625</v>
      </c>
      <c r="T358" s="157" t="s">
        <v>624</v>
      </c>
      <c r="U358" s="156" t="str">
        <f>+U357</f>
        <v>BCV131PP03</v>
      </c>
      <c r="W358" s="33"/>
      <c r="X358" s="64" t="str">
        <f>+X357</f>
        <v>BR4-2150-E-00075</v>
      </c>
      <c r="Y358" s="17" t="str">
        <f>+Y357</f>
        <v>A</v>
      </c>
      <c r="AA358" s="46"/>
      <c r="AC358" s="19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</row>
    <row r="359" spans="1:53" s="17" customFormat="1" ht="13.5" thickBot="1" x14ac:dyDescent="0.35">
      <c r="A359" s="33"/>
      <c r="B359" s="33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AA359" s="46"/>
      <c r="AC359" s="19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</row>
    <row r="360" spans="1:53" s="17" customFormat="1" x14ac:dyDescent="0.3">
      <c r="A360" s="33"/>
      <c r="B360" s="33"/>
      <c r="C360" s="18" t="s">
        <v>647</v>
      </c>
      <c r="D360" s="18"/>
      <c r="E360" s="18"/>
      <c r="F360" s="18"/>
      <c r="G360" s="18" t="s">
        <v>481</v>
      </c>
      <c r="H360" s="144">
        <v>1</v>
      </c>
      <c r="I360" s="167">
        <v>1</v>
      </c>
      <c r="J360" s="166" t="s">
        <v>648</v>
      </c>
      <c r="K360" s="65" t="s">
        <v>647</v>
      </c>
      <c r="L360" s="79" t="s">
        <v>323</v>
      </c>
      <c r="M360" s="18"/>
      <c r="N360" s="18">
        <v>3</v>
      </c>
      <c r="O360" s="18"/>
      <c r="P360" s="79" t="s">
        <v>646</v>
      </c>
      <c r="Q360" s="79"/>
      <c r="R360" s="64" t="s">
        <v>626</v>
      </c>
      <c r="S360" s="64" t="s">
        <v>247</v>
      </c>
      <c r="T360" s="163" t="s">
        <v>624</v>
      </c>
      <c r="U360" s="64" t="s">
        <v>692</v>
      </c>
      <c r="X360" s="64" t="s">
        <v>83</v>
      </c>
      <c r="Y360" s="17" t="s">
        <v>289</v>
      </c>
      <c r="AA360" s="46"/>
      <c r="AC360" s="19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</row>
    <row r="361" spans="1:53" s="17" customFormat="1" x14ac:dyDescent="0.3">
      <c r="A361" s="33"/>
      <c r="B361" s="33"/>
      <c r="C361" s="18"/>
      <c r="D361" s="18"/>
      <c r="E361" s="18"/>
      <c r="F361" s="18"/>
      <c r="G361" s="18" t="s">
        <v>481</v>
      </c>
      <c r="H361" s="65">
        <f>H360</f>
        <v>1</v>
      </c>
      <c r="I361" s="161">
        <v>2</v>
      </c>
      <c r="J361" s="164" t="s">
        <v>642</v>
      </c>
      <c r="K361" s="99" t="s">
        <v>287</v>
      </c>
      <c r="L361" s="79" t="s">
        <v>323</v>
      </c>
      <c r="M361" s="18"/>
      <c r="N361" s="83">
        <v>4</v>
      </c>
      <c r="O361" s="83"/>
      <c r="P361" s="92" t="s">
        <v>429</v>
      </c>
      <c r="Q361" s="92"/>
      <c r="R361" s="92" t="s">
        <v>626</v>
      </c>
      <c r="S361" s="64" t="s">
        <v>427</v>
      </c>
      <c r="T361" s="163" t="s">
        <v>624</v>
      </c>
      <c r="U361" s="156" t="str">
        <f>+U360</f>
        <v>BBD131PP01</v>
      </c>
      <c r="X361" s="64" t="str">
        <f>+X360</f>
        <v>BR4-2150-E-00077</v>
      </c>
      <c r="Y361" s="17" t="str">
        <f>+Y360</f>
        <v>A</v>
      </c>
      <c r="AC361" s="19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</row>
    <row r="362" spans="1:53" s="17" customFormat="1" x14ac:dyDescent="0.3">
      <c r="A362" s="33"/>
      <c r="B362" s="33"/>
      <c r="C362" s="18"/>
      <c r="D362" s="18"/>
      <c r="E362" s="18"/>
      <c r="F362" s="18"/>
      <c r="G362" s="18" t="s">
        <v>481</v>
      </c>
      <c r="H362" s="65">
        <f>H361</f>
        <v>1</v>
      </c>
      <c r="I362" s="161">
        <v>3</v>
      </c>
      <c r="J362" s="164" t="s">
        <v>641</v>
      </c>
      <c r="K362" s="65"/>
      <c r="L362" s="79" t="s">
        <v>323</v>
      </c>
      <c r="M362" s="18"/>
      <c r="N362" s="18">
        <v>3</v>
      </c>
      <c r="O362" s="18"/>
      <c r="P362" s="97" t="s">
        <v>252</v>
      </c>
      <c r="Q362" s="97"/>
      <c r="R362" s="18" t="s">
        <v>640</v>
      </c>
      <c r="S362" s="18" t="s">
        <v>247</v>
      </c>
      <c r="T362" s="73" t="s">
        <v>639</v>
      </c>
      <c r="U362" s="156" t="str">
        <f>+U361</f>
        <v>BBD131PP01</v>
      </c>
      <c r="X362" s="64" t="str">
        <f>+X361</f>
        <v>BR4-2150-E-00077</v>
      </c>
      <c r="Y362" s="17" t="str">
        <f>+Y361</f>
        <v>A</v>
      </c>
      <c r="AC362" s="19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</row>
    <row r="363" spans="1:53" s="17" customFormat="1" x14ac:dyDescent="0.3">
      <c r="A363" s="33"/>
      <c r="B363" s="33"/>
      <c r="C363" s="18"/>
      <c r="D363" s="18"/>
      <c r="E363" s="18"/>
      <c r="F363" s="18"/>
      <c r="G363" s="18" t="s">
        <v>481</v>
      </c>
      <c r="H363" s="65">
        <f>H362</f>
        <v>1</v>
      </c>
      <c r="I363" s="161">
        <v>4</v>
      </c>
      <c r="J363" s="164" t="s">
        <v>638</v>
      </c>
      <c r="K363" s="65"/>
      <c r="L363" s="79" t="s">
        <v>323</v>
      </c>
      <c r="M363" s="18"/>
      <c r="N363" s="18">
        <v>3</v>
      </c>
      <c r="O363" s="18"/>
      <c r="P363" s="79" t="s">
        <v>637</v>
      </c>
      <c r="Q363" s="79"/>
      <c r="R363" s="18" t="s">
        <v>636</v>
      </c>
      <c r="S363" s="18" t="s">
        <v>211</v>
      </c>
      <c r="T363" s="163" t="s">
        <v>635</v>
      </c>
      <c r="U363" s="156" t="str">
        <f>+U362</f>
        <v>BBD131PP01</v>
      </c>
      <c r="X363" s="64" t="str">
        <f>+X362</f>
        <v>BR4-2150-E-00077</v>
      </c>
      <c r="Y363" s="17" t="str">
        <f>+Y362</f>
        <v>A</v>
      </c>
      <c r="AA363" s="46"/>
      <c r="AC363" s="19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</row>
    <row r="364" spans="1:53" s="17" customFormat="1" x14ac:dyDescent="0.3">
      <c r="A364" s="33"/>
      <c r="B364" s="33"/>
      <c r="C364" s="18"/>
      <c r="D364" s="18"/>
      <c r="E364" s="18"/>
      <c r="F364" s="18"/>
      <c r="G364" s="18" t="s">
        <v>481</v>
      </c>
      <c r="H364" s="65">
        <f>H363</f>
        <v>1</v>
      </c>
      <c r="I364" s="161">
        <v>5</v>
      </c>
      <c r="J364" s="164" t="s">
        <v>634</v>
      </c>
      <c r="K364" s="65"/>
      <c r="L364" s="79" t="s">
        <v>323</v>
      </c>
      <c r="M364" s="18"/>
      <c r="N364" s="18"/>
      <c r="O364" s="18"/>
      <c r="P364" s="79"/>
      <c r="Q364" s="79"/>
      <c r="R364" s="18"/>
      <c r="S364" s="163"/>
      <c r="T364" s="163"/>
      <c r="U364" s="156" t="str">
        <f>+U363</f>
        <v>BBD131PP01</v>
      </c>
      <c r="X364" s="64" t="str">
        <f>+X363</f>
        <v>BR4-2150-E-00077</v>
      </c>
      <c r="Y364" s="17" t="str">
        <f>+Y363</f>
        <v>A</v>
      </c>
      <c r="Z364" s="33"/>
      <c r="AC364" s="19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</row>
    <row r="365" spans="1:53" s="17" customFormat="1" x14ac:dyDescent="0.3">
      <c r="A365" s="33"/>
      <c r="B365" s="33"/>
      <c r="C365" s="18"/>
      <c r="D365" s="18"/>
      <c r="E365" s="18"/>
      <c r="F365" s="18"/>
      <c r="G365" s="18" t="s">
        <v>481</v>
      </c>
      <c r="H365" s="65">
        <f>H364</f>
        <v>1</v>
      </c>
      <c r="I365" s="161">
        <v>6</v>
      </c>
      <c r="J365" s="164" t="s">
        <v>633</v>
      </c>
      <c r="K365" s="65"/>
      <c r="L365" s="79" t="s">
        <v>323</v>
      </c>
      <c r="M365" s="18"/>
      <c r="N365" s="18">
        <v>3</v>
      </c>
      <c r="O365" s="18"/>
      <c r="P365" s="79" t="s">
        <v>589</v>
      </c>
      <c r="Q365" s="79"/>
      <c r="R365" s="18" t="s">
        <v>365</v>
      </c>
      <c r="S365" s="163" t="s">
        <v>364</v>
      </c>
      <c r="T365" s="163"/>
      <c r="U365" s="156" t="str">
        <f>+U364</f>
        <v>BBD131PP01</v>
      </c>
      <c r="X365" s="64" t="str">
        <f>+X364</f>
        <v>BR4-2150-E-00077</v>
      </c>
      <c r="Y365" s="17" t="str">
        <f>+Y364</f>
        <v>A</v>
      </c>
      <c r="AA365" s="46"/>
      <c r="AC365" s="19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</row>
    <row r="366" spans="1:53" s="17" customFormat="1" x14ac:dyDescent="0.3">
      <c r="A366" s="33"/>
      <c r="B366" s="33"/>
      <c r="C366" s="18"/>
      <c r="D366" s="18"/>
      <c r="E366" s="18"/>
      <c r="F366" s="18"/>
      <c r="G366" s="18" t="s">
        <v>481</v>
      </c>
      <c r="H366" s="65">
        <f>H365</f>
        <v>1</v>
      </c>
      <c r="I366" s="161">
        <v>1</v>
      </c>
      <c r="J366" s="164" t="s">
        <v>233</v>
      </c>
      <c r="K366" s="65"/>
      <c r="L366" s="79" t="s">
        <v>292</v>
      </c>
      <c r="M366" s="18"/>
      <c r="N366" s="18">
        <v>3</v>
      </c>
      <c r="O366" s="18"/>
      <c r="P366" s="79" t="s">
        <v>517</v>
      </c>
      <c r="Q366" s="79"/>
      <c r="R366" s="18" t="s">
        <v>632</v>
      </c>
      <c r="S366" s="18" t="s">
        <v>247</v>
      </c>
      <c r="T366" s="163" t="s">
        <v>631</v>
      </c>
      <c r="U366" s="156" t="str">
        <f>+U365</f>
        <v>BBD131PP01</v>
      </c>
      <c r="X366" s="64" t="str">
        <f>+X365</f>
        <v>BR4-2150-E-00077</v>
      </c>
      <c r="Y366" s="17" t="str">
        <f>+Y365</f>
        <v>A</v>
      </c>
      <c r="AA366" s="46"/>
      <c r="AC366" s="19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</row>
    <row r="367" spans="1:53" s="17" customFormat="1" x14ac:dyDescent="0.3">
      <c r="A367" s="33"/>
      <c r="B367" s="33"/>
      <c r="C367" s="18"/>
      <c r="D367" s="18"/>
      <c r="E367" s="18"/>
      <c r="F367" s="18"/>
      <c r="G367" s="18" t="s">
        <v>481</v>
      </c>
      <c r="H367" s="65">
        <f>H366</f>
        <v>1</v>
      </c>
      <c r="I367" s="161">
        <v>2</v>
      </c>
      <c r="J367" s="160" t="s">
        <v>229</v>
      </c>
      <c r="K367" s="65"/>
      <c r="L367" s="79" t="s">
        <v>292</v>
      </c>
      <c r="M367" s="18"/>
      <c r="N367" s="83">
        <v>6</v>
      </c>
      <c r="O367" s="83"/>
      <c r="P367" s="92" t="s">
        <v>630</v>
      </c>
      <c r="Q367" s="92"/>
      <c r="R367" s="92" t="s">
        <v>629</v>
      </c>
      <c r="S367" s="83" t="s">
        <v>299</v>
      </c>
      <c r="T367" s="162" t="s">
        <v>628</v>
      </c>
      <c r="U367" s="156" t="str">
        <f>+U366</f>
        <v>BBD131PP01</v>
      </c>
      <c r="W367" s="33"/>
      <c r="X367" s="64" t="str">
        <f>+X366</f>
        <v>BR4-2150-E-00077</v>
      </c>
      <c r="Y367" s="17" t="str">
        <f>+Y366</f>
        <v>A</v>
      </c>
      <c r="AA367" s="46"/>
      <c r="AC367" s="19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</row>
    <row r="368" spans="1:53" s="17" customFormat="1" x14ac:dyDescent="0.3">
      <c r="A368" s="33"/>
      <c r="B368" s="33"/>
      <c r="C368" s="18"/>
      <c r="D368" s="18"/>
      <c r="E368" s="18"/>
      <c r="F368" s="18"/>
      <c r="G368" s="18" t="s">
        <v>481</v>
      </c>
      <c r="H368" s="65">
        <f>H367</f>
        <v>1</v>
      </c>
      <c r="I368" s="161">
        <v>3</v>
      </c>
      <c r="J368" s="160" t="s">
        <v>218</v>
      </c>
      <c r="K368" s="65"/>
      <c r="L368" s="79" t="s">
        <v>292</v>
      </c>
      <c r="M368" s="18"/>
      <c r="N368" s="33"/>
      <c r="O368" s="33"/>
      <c r="U368" s="156" t="str">
        <f>+U367</f>
        <v>BBD131PP01</v>
      </c>
      <c r="W368" s="33"/>
      <c r="X368" s="64" t="str">
        <f>+X367</f>
        <v>BR4-2150-E-00077</v>
      </c>
      <c r="Y368" s="17" t="str">
        <f>+Y367</f>
        <v>A</v>
      </c>
      <c r="AA368" s="46"/>
      <c r="AC368" s="19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</row>
    <row r="369" spans="1:53" s="17" customFormat="1" ht="13.5" thickBot="1" x14ac:dyDescent="0.35">
      <c r="A369" s="33"/>
      <c r="B369" s="33"/>
      <c r="C369" s="18"/>
      <c r="D369" s="18"/>
      <c r="E369" s="18"/>
      <c r="F369" s="18"/>
      <c r="G369" s="18" t="s">
        <v>481</v>
      </c>
      <c r="H369" s="65">
        <f>H368</f>
        <v>1</v>
      </c>
      <c r="I369" s="159">
        <v>4</v>
      </c>
      <c r="J369" s="158" t="s">
        <v>627</v>
      </c>
      <c r="K369" s="65"/>
      <c r="L369" s="79" t="s">
        <v>292</v>
      </c>
      <c r="M369" s="18"/>
      <c r="N369" s="83">
        <v>4</v>
      </c>
      <c r="O369" s="83"/>
      <c r="P369" s="92" t="s">
        <v>433</v>
      </c>
      <c r="Q369" s="92"/>
      <c r="R369" s="92" t="s">
        <v>626</v>
      </c>
      <c r="S369" s="83" t="s">
        <v>625</v>
      </c>
      <c r="T369" s="157" t="s">
        <v>624</v>
      </c>
      <c r="U369" s="156" t="str">
        <f>+U368</f>
        <v>BBD131PP01</v>
      </c>
      <c r="W369" s="33"/>
      <c r="X369" s="64" t="str">
        <f>+X368</f>
        <v>BR4-2150-E-00077</v>
      </c>
      <c r="Y369" s="17" t="str">
        <f>+Y368</f>
        <v>A</v>
      </c>
      <c r="AC369" s="19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</row>
    <row r="370" spans="1:53" s="17" customFormat="1" ht="13.5" thickBot="1" x14ac:dyDescent="0.35">
      <c r="A370" s="33"/>
      <c r="B370" s="33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AC370" s="19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</row>
    <row r="371" spans="1:53" s="17" customFormat="1" x14ac:dyDescent="0.3">
      <c r="A371" s="33"/>
      <c r="B371" s="33"/>
      <c r="C371" s="17" t="s">
        <v>647</v>
      </c>
      <c r="D371" s="18"/>
      <c r="E371" s="18"/>
      <c r="F371" s="18"/>
      <c r="G371" s="18" t="s">
        <v>481</v>
      </c>
      <c r="H371" s="144">
        <v>1</v>
      </c>
      <c r="I371" s="167">
        <v>1</v>
      </c>
      <c r="J371" s="166" t="s">
        <v>648</v>
      </c>
      <c r="K371" s="65" t="s">
        <v>647</v>
      </c>
      <c r="L371" s="79" t="s">
        <v>323</v>
      </c>
      <c r="M371" s="18"/>
      <c r="N371" s="18">
        <v>3</v>
      </c>
      <c r="O371" s="18"/>
      <c r="P371" s="79" t="s">
        <v>646</v>
      </c>
      <c r="Q371" s="79"/>
      <c r="R371" s="64" t="s">
        <v>626</v>
      </c>
      <c r="S371" s="64" t="s">
        <v>247</v>
      </c>
      <c r="T371" s="163" t="s">
        <v>624</v>
      </c>
      <c r="U371" s="17" t="s">
        <v>691</v>
      </c>
      <c r="X371" s="64" t="s">
        <v>690</v>
      </c>
      <c r="Y371" s="17">
        <v>0</v>
      </c>
      <c r="AA371" s="46"/>
      <c r="AC371" s="19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</row>
    <row r="372" spans="1:53" s="17" customFormat="1" x14ac:dyDescent="0.3">
      <c r="A372" s="33"/>
      <c r="B372" s="33"/>
      <c r="C372" s="18"/>
      <c r="D372" s="18"/>
      <c r="E372" s="18"/>
      <c r="F372" s="18"/>
      <c r="G372" s="18" t="s">
        <v>481</v>
      </c>
      <c r="H372" s="65">
        <f>H371</f>
        <v>1</v>
      </c>
      <c r="I372" s="161">
        <v>2</v>
      </c>
      <c r="J372" s="164" t="s">
        <v>642</v>
      </c>
      <c r="K372" s="99" t="s">
        <v>287</v>
      </c>
      <c r="L372" s="79" t="s">
        <v>323</v>
      </c>
      <c r="M372" s="18"/>
      <c r="N372" s="83">
        <v>6</v>
      </c>
      <c r="O372" s="18"/>
      <c r="P372" s="92" t="s">
        <v>429</v>
      </c>
      <c r="Q372" s="92"/>
      <c r="R372" s="92" t="s">
        <v>626</v>
      </c>
      <c r="S372" s="64" t="s">
        <v>427</v>
      </c>
      <c r="T372" s="163" t="s">
        <v>624</v>
      </c>
      <c r="U372" s="156" t="str">
        <f>+U371</f>
        <v>BAF131PP01</v>
      </c>
      <c r="X372" s="64" t="str">
        <f>+X371</f>
        <v>BR4-2150-E-00099</v>
      </c>
      <c r="Y372" s="17">
        <f>+Y371</f>
        <v>0</v>
      </c>
      <c r="AA372" s="46"/>
      <c r="AC372" s="19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</row>
    <row r="373" spans="1:53" s="17" customFormat="1" x14ac:dyDescent="0.3">
      <c r="A373" s="33"/>
      <c r="B373" s="33"/>
      <c r="C373" s="18"/>
      <c r="D373" s="18"/>
      <c r="E373" s="18"/>
      <c r="F373" s="18"/>
      <c r="G373" s="18" t="s">
        <v>481</v>
      </c>
      <c r="H373" s="65">
        <f>H372</f>
        <v>1</v>
      </c>
      <c r="I373" s="161">
        <v>3</v>
      </c>
      <c r="J373" s="164" t="s">
        <v>641</v>
      </c>
      <c r="K373" s="65"/>
      <c r="L373" s="79" t="s">
        <v>323</v>
      </c>
      <c r="M373" s="18"/>
      <c r="N373" s="18">
        <v>3</v>
      </c>
      <c r="O373" s="18"/>
      <c r="P373" s="97" t="s">
        <v>252</v>
      </c>
      <c r="Q373" s="97"/>
      <c r="R373" s="18" t="s">
        <v>640</v>
      </c>
      <c r="S373" s="18" t="s">
        <v>247</v>
      </c>
      <c r="T373" s="73" t="s">
        <v>639</v>
      </c>
      <c r="U373" s="156" t="str">
        <f>+U372</f>
        <v>BAF131PP01</v>
      </c>
      <c r="X373" s="64" t="str">
        <f>+X372</f>
        <v>BR4-2150-E-00099</v>
      </c>
      <c r="Y373" s="17">
        <f>+Y372</f>
        <v>0</v>
      </c>
      <c r="AA373" s="46"/>
      <c r="AC373" s="19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</row>
    <row r="374" spans="1:53" s="17" customFormat="1" x14ac:dyDescent="0.3">
      <c r="A374" s="33"/>
      <c r="B374" s="33"/>
      <c r="C374" s="18"/>
      <c r="D374" s="18"/>
      <c r="E374" s="18"/>
      <c r="F374" s="18"/>
      <c r="G374" s="18" t="s">
        <v>481</v>
      </c>
      <c r="H374" s="65">
        <f>H373</f>
        <v>1</v>
      </c>
      <c r="I374" s="161">
        <v>4</v>
      </c>
      <c r="J374" s="164" t="s">
        <v>638</v>
      </c>
      <c r="K374" s="65"/>
      <c r="L374" s="79" t="s">
        <v>323</v>
      </c>
      <c r="M374" s="18"/>
      <c r="N374" s="18">
        <v>3</v>
      </c>
      <c r="O374" s="18"/>
      <c r="P374" s="79" t="s">
        <v>637</v>
      </c>
      <c r="Q374" s="79"/>
      <c r="R374" s="18" t="s">
        <v>636</v>
      </c>
      <c r="S374" s="18" t="s">
        <v>211</v>
      </c>
      <c r="T374" s="163" t="s">
        <v>635</v>
      </c>
      <c r="U374" s="156" t="str">
        <f>+U373</f>
        <v>BAF131PP01</v>
      </c>
      <c r="X374" s="64" t="str">
        <f>+X373</f>
        <v>BR4-2150-E-00099</v>
      </c>
      <c r="Y374" s="17">
        <f>+Y373</f>
        <v>0</v>
      </c>
      <c r="AA374" s="46"/>
      <c r="AC374" s="19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</row>
    <row r="375" spans="1:53" s="17" customFormat="1" x14ac:dyDescent="0.3">
      <c r="A375" s="33"/>
      <c r="B375" s="33"/>
      <c r="C375" s="18"/>
      <c r="D375" s="18"/>
      <c r="E375" s="18"/>
      <c r="F375" s="18"/>
      <c r="G375" s="18" t="s">
        <v>481</v>
      </c>
      <c r="H375" s="65">
        <f>H374</f>
        <v>1</v>
      </c>
      <c r="I375" s="161">
        <v>5</v>
      </c>
      <c r="J375" s="164" t="s">
        <v>634</v>
      </c>
      <c r="K375" s="65"/>
      <c r="L375" s="79" t="s">
        <v>323</v>
      </c>
      <c r="M375" s="18"/>
      <c r="N375" s="18"/>
      <c r="O375" s="78"/>
      <c r="P375" s="182" t="s">
        <v>429</v>
      </c>
      <c r="Q375" s="182"/>
      <c r="R375" s="182" t="s">
        <v>626</v>
      </c>
      <c r="S375" s="113" t="s">
        <v>427</v>
      </c>
      <c r="T375" s="181" t="s">
        <v>624</v>
      </c>
      <c r="U375" s="180" t="str">
        <f>+U374</f>
        <v>BAF131PP01</v>
      </c>
      <c r="V375" s="78"/>
      <c r="W375" s="78"/>
      <c r="X375" s="113" t="str">
        <f>+X374</f>
        <v>BR4-2150-E-00099</v>
      </c>
      <c r="Y375" s="78">
        <f>+Y374</f>
        <v>0</v>
      </c>
      <c r="AA375" s="46"/>
      <c r="AC375" s="19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</row>
    <row r="376" spans="1:53" s="17" customFormat="1" x14ac:dyDescent="0.3">
      <c r="A376" s="33"/>
      <c r="B376" s="33"/>
      <c r="C376" s="18"/>
      <c r="D376" s="18"/>
      <c r="E376" s="18"/>
      <c r="F376" s="18"/>
      <c r="G376" s="18" t="s">
        <v>481</v>
      </c>
      <c r="H376" s="65">
        <f>H375</f>
        <v>1</v>
      </c>
      <c r="I376" s="161">
        <v>6</v>
      </c>
      <c r="J376" s="164" t="s">
        <v>633</v>
      </c>
      <c r="K376" s="65"/>
      <c r="L376" s="79" t="s">
        <v>323</v>
      </c>
      <c r="M376" s="18"/>
      <c r="N376" s="18">
        <v>3</v>
      </c>
      <c r="O376" s="18"/>
      <c r="P376" s="79" t="s">
        <v>589</v>
      </c>
      <c r="Q376" s="79"/>
      <c r="R376" s="18" t="s">
        <v>365</v>
      </c>
      <c r="S376" s="163" t="s">
        <v>364</v>
      </c>
      <c r="T376" s="163"/>
      <c r="U376" s="156" t="str">
        <f>+U375</f>
        <v>BAF131PP01</v>
      </c>
      <c r="X376" s="64" t="str">
        <f>+X375</f>
        <v>BR4-2150-E-00099</v>
      </c>
      <c r="Y376" s="17">
        <f>+Y375</f>
        <v>0</v>
      </c>
      <c r="AA376" s="46"/>
      <c r="AC376" s="19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</row>
    <row r="377" spans="1:53" s="17" customFormat="1" x14ac:dyDescent="0.3">
      <c r="A377" s="33"/>
      <c r="B377" s="33"/>
      <c r="C377" s="18"/>
      <c r="D377" s="18"/>
      <c r="E377" s="18"/>
      <c r="F377" s="18"/>
      <c r="G377" s="18" t="s">
        <v>481</v>
      </c>
      <c r="H377" s="65">
        <f>H376</f>
        <v>1</v>
      </c>
      <c r="I377" s="161">
        <v>7</v>
      </c>
      <c r="J377" s="164" t="s">
        <v>689</v>
      </c>
      <c r="K377" s="65"/>
      <c r="L377" s="79" t="s">
        <v>323</v>
      </c>
      <c r="M377" s="18"/>
      <c r="N377" s="18"/>
      <c r="O377" s="18"/>
      <c r="P377" s="79"/>
      <c r="Q377" s="79"/>
      <c r="R377" s="18"/>
      <c r="S377" s="163"/>
      <c r="T377" s="163"/>
      <c r="U377" s="156"/>
      <c r="X377" s="64"/>
      <c r="AA377" s="46"/>
      <c r="AC377" s="19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</row>
    <row r="378" spans="1:53" s="17" customFormat="1" x14ac:dyDescent="0.3">
      <c r="A378" s="33"/>
      <c r="B378" s="33"/>
      <c r="C378" s="18"/>
      <c r="D378" s="18"/>
      <c r="E378" s="18"/>
      <c r="F378" s="18"/>
      <c r="G378" s="18" t="s">
        <v>481</v>
      </c>
      <c r="H378" s="65">
        <f>H377</f>
        <v>1</v>
      </c>
      <c r="I378" s="161">
        <v>8</v>
      </c>
      <c r="J378" s="164" t="s">
        <v>688</v>
      </c>
      <c r="K378" s="65"/>
      <c r="L378" s="79" t="s">
        <v>323</v>
      </c>
      <c r="M378" s="18"/>
      <c r="N378" s="83">
        <v>6</v>
      </c>
      <c r="O378" s="83"/>
      <c r="P378" s="17" t="s">
        <v>687</v>
      </c>
      <c r="R378" s="17" t="s">
        <v>686</v>
      </c>
      <c r="S378" s="18" t="s">
        <v>211</v>
      </c>
      <c r="T378" s="17" t="s">
        <v>685</v>
      </c>
      <c r="U378" s="156">
        <f>+U377</f>
        <v>0</v>
      </c>
      <c r="X378" s="64">
        <f>+X377</f>
        <v>0</v>
      </c>
      <c r="Y378" s="17">
        <f>+Y377</f>
        <v>0</v>
      </c>
      <c r="AA378" s="46"/>
      <c r="AC378" s="19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</row>
    <row r="379" spans="1:53" s="17" customFormat="1" x14ac:dyDescent="0.3">
      <c r="A379" s="33"/>
      <c r="B379" s="33"/>
      <c r="C379" s="18"/>
      <c r="D379" s="18"/>
      <c r="E379" s="18"/>
      <c r="F379" s="18"/>
      <c r="G379" s="18" t="s">
        <v>481</v>
      </c>
      <c r="H379" s="65">
        <f>H378</f>
        <v>1</v>
      </c>
      <c r="I379" s="161">
        <v>9</v>
      </c>
      <c r="J379" s="164" t="s">
        <v>684</v>
      </c>
      <c r="K379" s="65"/>
      <c r="L379" s="79" t="s">
        <v>323</v>
      </c>
      <c r="M379" s="18"/>
      <c r="N379" s="18"/>
      <c r="O379" s="18"/>
      <c r="P379" s="79"/>
      <c r="Q379" s="79"/>
      <c r="R379" s="18"/>
      <c r="S379" s="163"/>
      <c r="T379" s="163"/>
      <c r="U379" s="156"/>
      <c r="X379" s="64"/>
      <c r="AA379" s="46"/>
      <c r="AC379" s="19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</row>
    <row r="380" spans="1:53" s="17" customFormat="1" x14ac:dyDescent="0.3">
      <c r="A380" s="33"/>
      <c r="B380" s="33"/>
      <c r="C380" s="18"/>
      <c r="D380" s="18"/>
      <c r="E380" s="18"/>
      <c r="F380" s="18"/>
      <c r="G380" s="18" t="s">
        <v>481</v>
      </c>
      <c r="H380" s="65">
        <f>H379</f>
        <v>1</v>
      </c>
      <c r="I380" s="161">
        <v>10</v>
      </c>
      <c r="J380" s="164" t="s">
        <v>683</v>
      </c>
      <c r="K380" s="65"/>
      <c r="L380" s="79" t="s">
        <v>323</v>
      </c>
      <c r="M380" s="18"/>
      <c r="N380" s="18"/>
      <c r="O380" s="18"/>
      <c r="P380" s="79"/>
      <c r="Q380" s="79"/>
      <c r="R380" s="18"/>
      <c r="S380" s="163"/>
      <c r="T380" s="163"/>
      <c r="U380" s="156"/>
      <c r="X380" s="64"/>
      <c r="AA380" s="46"/>
      <c r="AC380" s="19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</row>
    <row r="381" spans="1:53" s="17" customFormat="1" x14ac:dyDescent="0.3">
      <c r="A381" s="33"/>
      <c r="B381" s="33"/>
      <c r="C381" s="18"/>
      <c r="D381" s="18"/>
      <c r="E381" s="18"/>
      <c r="F381" s="18"/>
      <c r="G381" s="18" t="s">
        <v>481</v>
      </c>
      <c r="H381" s="65">
        <f>H376</f>
        <v>1</v>
      </c>
      <c r="I381" s="161">
        <v>1</v>
      </c>
      <c r="J381" s="164" t="s">
        <v>233</v>
      </c>
      <c r="K381" s="65"/>
      <c r="L381" s="79" t="s">
        <v>292</v>
      </c>
      <c r="M381" s="18"/>
      <c r="N381" s="18">
        <v>3</v>
      </c>
      <c r="O381" s="18"/>
      <c r="P381" s="79" t="s">
        <v>517</v>
      </c>
      <c r="Q381" s="79"/>
      <c r="R381" s="18" t="s">
        <v>632</v>
      </c>
      <c r="S381" s="18" t="s">
        <v>247</v>
      </c>
      <c r="T381" s="163" t="s">
        <v>631</v>
      </c>
      <c r="U381" s="156" t="str">
        <f>+U376</f>
        <v>BAF131PP01</v>
      </c>
      <c r="X381" s="64" t="str">
        <f>+X376</f>
        <v>BR4-2150-E-00099</v>
      </c>
      <c r="Y381" s="17">
        <f>+Y376</f>
        <v>0</v>
      </c>
      <c r="AA381" s="46"/>
      <c r="AC381" s="19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</row>
    <row r="382" spans="1:53" s="17" customFormat="1" x14ac:dyDescent="0.3">
      <c r="A382" s="33"/>
      <c r="B382" s="33"/>
      <c r="C382" s="18"/>
      <c r="D382" s="18"/>
      <c r="E382" s="18"/>
      <c r="F382" s="18"/>
      <c r="G382" s="18" t="s">
        <v>481</v>
      </c>
      <c r="H382" s="65">
        <f>H381</f>
        <v>1</v>
      </c>
      <c r="I382" s="161">
        <v>2</v>
      </c>
      <c r="J382" s="160" t="s">
        <v>229</v>
      </c>
      <c r="K382" s="65"/>
      <c r="L382" s="79" t="s">
        <v>292</v>
      </c>
      <c r="M382" s="18"/>
      <c r="N382" s="83">
        <v>6</v>
      </c>
      <c r="O382" s="83"/>
      <c r="P382" s="92" t="s">
        <v>630</v>
      </c>
      <c r="Q382" s="92"/>
      <c r="R382" s="92" t="s">
        <v>629</v>
      </c>
      <c r="S382" s="83" t="s">
        <v>299</v>
      </c>
      <c r="T382" s="162" t="s">
        <v>628</v>
      </c>
      <c r="U382" s="156" t="str">
        <f>+U381</f>
        <v>BAF131PP01</v>
      </c>
      <c r="W382" s="33"/>
      <c r="X382" s="64" t="str">
        <f>+X381</f>
        <v>BR4-2150-E-00099</v>
      </c>
      <c r="Y382" s="17">
        <f>+Y381</f>
        <v>0</v>
      </c>
      <c r="AA382" s="46"/>
      <c r="AC382" s="19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</row>
    <row r="383" spans="1:53" s="17" customFormat="1" x14ac:dyDescent="0.3">
      <c r="A383" s="33"/>
      <c r="B383" s="33"/>
      <c r="C383" s="18"/>
      <c r="D383" s="18"/>
      <c r="E383" s="18"/>
      <c r="F383" s="18"/>
      <c r="G383" s="18" t="s">
        <v>481</v>
      </c>
      <c r="H383" s="65">
        <f>H382</f>
        <v>1</v>
      </c>
      <c r="I383" s="161">
        <v>3</v>
      </c>
      <c r="J383" s="160" t="s">
        <v>218</v>
      </c>
      <c r="K383" s="65"/>
      <c r="L383" s="79" t="s">
        <v>292</v>
      </c>
      <c r="M383" s="18"/>
      <c r="N383" s="33"/>
      <c r="O383" s="33"/>
      <c r="U383" s="156" t="str">
        <f>+U382</f>
        <v>BAF131PP01</v>
      </c>
      <c r="W383" s="33"/>
      <c r="X383" s="64" t="str">
        <f>+X382</f>
        <v>BR4-2150-E-00099</v>
      </c>
      <c r="Y383" s="17">
        <f>+Y382</f>
        <v>0</v>
      </c>
      <c r="AA383" s="46"/>
      <c r="AC383" s="19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</row>
    <row r="384" spans="1:53" s="17" customFormat="1" ht="13.5" thickBot="1" x14ac:dyDescent="0.35">
      <c r="A384" s="33"/>
      <c r="B384" s="33"/>
      <c r="C384" s="18"/>
      <c r="D384" s="18"/>
      <c r="E384" s="18"/>
      <c r="F384" s="18"/>
      <c r="G384" s="18" t="s">
        <v>481</v>
      </c>
      <c r="H384" s="65">
        <f>H383</f>
        <v>1</v>
      </c>
      <c r="I384" s="159">
        <v>4</v>
      </c>
      <c r="J384" s="158" t="s">
        <v>627</v>
      </c>
      <c r="K384" s="65"/>
      <c r="L384" s="79" t="s">
        <v>292</v>
      </c>
      <c r="M384" s="18"/>
      <c r="N384" s="83">
        <v>4</v>
      </c>
      <c r="O384" s="83"/>
      <c r="P384" s="92" t="s">
        <v>433</v>
      </c>
      <c r="Q384" s="92"/>
      <c r="R384" s="92" t="s">
        <v>626</v>
      </c>
      <c r="S384" s="83" t="s">
        <v>625</v>
      </c>
      <c r="T384" s="157" t="s">
        <v>624</v>
      </c>
      <c r="U384" s="156" t="str">
        <f>+U383</f>
        <v>BAF131PP01</v>
      </c>
      <c r="W384" s="33"/>
      <c r="X384" s="64" t="str">
        <f>+X383</f>
        <v>BR4-2150-E-00099</v>
      </c>
      <c r="Y384" s="17">
        <f>+Y383</f>
        <v>0</v>
      </c>
      <c r="AA384" s="46"/>
      <c r="AC384" s="19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</row>
    <row r="385" spans="1:53" s="17" customFormat="1" ht="13.5" thickBot="1" x14ac:dyDescent="0.35">
      <c r="A385" s="33"/>
      <c r="B385" s="33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AA385" s="46"/>
      <c r="AC385" s="19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</row>
    <row r="386" spans="1:53" s="17" customFormat="1" x14ac:dyDescent="0.3">
      <c r="A386" s="33"/>
      <c r="B386" s="33"/>
      <c r="C386" s="18" t="s">
        <v>647</v>
      </c>
      <c r="D386" s="18"/>
      <c r="E386" s="18"/>
      <c r="F386" s="18"/>
      <c r="G386" s="18" t="s">
        <v>481</v>
      </c>
      <c r="H386" s="144">
        <v>1</v>
      </c>
      <c r="I386" s="167">
        <v>1</v>
      </c>
      <c r="J386" s="166" t="s">
        <v>648</v>
      </c>
      <c r="K386" s="65" t="s">
        <v>647</v>
      </c>
      <c r="L386" s="79" t="s">
        <v>323</v>
      </c>
      <c r="M386" s="18"/>
      <c r="N386" s="18">
        <v>3</v>
      </c>
      <c r="O386" s="18"/>
      <c r="P386" s="79" t="s">
        <v>646</v>
      </c>
      <c r="Q386" s="79"/>
      <c r="R386" s="64" t="s">
        <v>626</v>
      </c>
      <c r="S386" s="64" t="s">
        <v>247</v>
      </c>
      <c r="T386" s="163" t="s">
        <v>624</v>
      </c>
      <c r="U386" s="18" t="s">
        <v>682</v>
      </c>
      <c r="X386" s="64" t="s">
        <v>681</v>
      </c>
      <c r="Y386" s="17" t="s">
        <v>289</v>
      </c>
      <c r="AA386" s="46"/>
      <c r="AC386" s="19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</row>
    <row r="387" spans="1:53" s="17" customFormat="1" x14ac:dyDescent="0.3">
      <c r="A387" s="33"/>
      <c r="B387" s="33"/>
      <c r="C387" s="18"/>
      <c r="D387" s="18"/>
      <c r="E387" s="18"/>
      <c r="F387" s="18"/>
      <c r="G387" s="18" t="s">
        <v>481</v>
      </c>
      <c r="H387" s="65">
        <f>H386</f>
        <v>1</v>
      </c>
      <c r="I387" s="161">
        <v>2</v>
      </c>
      <c r="J387" s="164" t="s">
        <v>642</v>
      </c>
      <c r="K387" s="99" t="s">
        <v>287</v>
      </c>
      <c r="L387" s="79" t="s">
        <v>323</v>
      </c>
      <c r="M387" s="18"/>
      <c r="N387" s="83">
        <v>4</v>
      </c>
      <c r="O387" s="83"/>
      <c r="P387" s="92" t="s">
        <v>429</v>
      </c>
      <c r="Q387" s="92"/>
      <c r="R387" s="92" t="s">
        <v>626</v>
      </c>
      <c r="S387" s="64" t="s">
        <v>427</v>
      </c>
      <c r="T387" s="163" t="s">
        <v>624</v>
      </c>
      <c r="U387" s="156" t="str">
        <f>+U386</f>
        <v>BAF131PP02</v>
      </c>
      <c r="X387" s="64" t="str">
        <f>+X386</f>
        <v>BR4-2150-E-00103</v>
      </c>
      <c r="Y387" s="17" t="str">
        <f>+Y386</f>
        <v>A</v>
      </c>
      <c r="AA387" s="46"/>
      <c r="AC387" s="19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</row>
    <row r="388" spans="1:53" s="17" customFormat="1" x14ac:dyDescent="0.3">
      <c r="A388" s="33"/>
      <c r="B388" s="33"/>
      <c r="C388" s="18"/>
      <c r="D388" s="18"/>
      <c r="E388" s="18"/>
      <c r="F388" s="18"/>
      <c r="G388" s="18" t="s">
        <v>481</v>
      </c>
      <c r="H388" s="65">
        <f>H387</f>
        <v>1</v>
      </c>
      <c r="I388" s="161">
        <v>3</v>
      </c>
      <c r="J388" s="164" t="s">
        <v>641</v>
      </c>
      <c r="K388" s="65"/>
      <c r="L388" s="79" t="s">
        <v>323</v>
      </c>
      <c r="M388" s="18"/>
      <c r="N388" s="18">
        <v>3</v>
      </c>
      <c r="O388" s="18"/>
      <c r="P388" s="97" t="s">
        <v>252</v>
      </c>
      <c r="Q388" s="97"/>
      <c r="R388" s="18" t="s">
        <v>640</v>
      </c>
      <c r="S388" s="18" t="s">
        <v>247</v>
      </c>
      <c r="T388" s="73" t="s">
        <v>639</v>
      </c>
      <c r="U388" s="156" t="str">
        <f>+U387</f>
        <v>BAF131PP02</v>
      </c>
      <c r="X388" s="64" t="str">
        <f>+X387</f>
        <v>BR4-2150-E-00103</v>
      </c>
      <c r="Y388" s="17" t="str">
        <f>+Y387</f>
        <v>A</v>
      </c>
      <c r="AA388" s="46"/>
      <c r="AC388" s="19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</row>
    <row r="389" spans="1:53" s="17" customFormat="1" x14ac:dyDescent="0.3">
      <c r="A389" s="33"/>
      <c r="B389" s="33"/>
      <c r="C389" s="18"/>
      <c r="D389" s="18"/>
      <c r="E389" s="18"/>
      <c r="F389" s="18"/>
      <c r="G389" s="18" t="s">
        <v>481</v>
      </c>
      <c r="H389" s="65">
        <f>H388</f>
        <v>1</v>
      </c>
      <c r="I389" s="161">
        <v>4</v>
      </c>
      <c r="J389" s="164" t="s">
        <v>638</v>
      </c>
      <c r="K389" s="65"/>
      <c r="L389" s="79" t="s">
        <v>323</v>
      </c>
      <c r="M389" s="18"/>
      <c r="N389" s="18">
        <v>3</v>
      </c>
      <c r="O389" s="18"/>
      <c r="P389" s="79" t="s">
        <v>637</v>
      </c>
      <c r="Q389" s="79"/>
      <c r="R389" s="18" t="s">
        <v>636</v>
      </c>
      <c r="S389" s="18" t="s">
        <v>211</v>
      </c>
      <c r="T389" s="163" t="s">
        <v>635</v>
      </c>
      <c r="U389" s="156" t="str">
        <f>+U388</f>
        <v>BAF131PP02</v>
      </c>
      <c r="X389" s="64" t="str">
        <f>+X388</f>
        <v>BR4-2150-E-00103</v>
      </c>
      <c r="Y389" s="17" t="str">
        <f>+Y388</f>
        <v>A</v>
      </c>
      <c r="AA389" s="46"/>
      <c r="AC389" s="19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</row>
    <row r="390" spans="1:53" s="17" customFormat="1" x14ac:dyDescent="0.3">
      <c r="A390" s="33"/>
      <c r="B390" s="33"/>
      <c r="C390" s="18"/>
      <c r="D390" s="18"/>
      <c r="E390" s="18"/>
      <c r="F390" s="18"/>
      <c r="G390" s="18" t="s">
        <v>481</v>
      </c>
      <c r="H390" s="65">
        <f>H389</f>
        <v>1</v>
      </c>
      <c r="I390" s="161">
        <v>5</v>
      </c>
      <c r="J390" s="164" t="s">
        <v>634</v>
      </c>
      <c r="K390" s="65"/>
      <c r="L390" s="79" t="s">
        <v>323</v>
      </c>
      <c r="M390" s="18"/>
      <c r="N390" s="18"/>
      <c r="O390" s="18"/>
      <c r="P390" s="79"/>
      <c r="Q390" s="79"/>
      <c r="R390" s="18"/>
      <c r="S390" s="163"/>
      <c r="T390" s="163"/>
      <c r="U390" s="156" t="str">
        <f>+U389</f>
        <v>BAF131PP02</v>
      </c>
      <c r="X390" s="64" t="str">
        <f>+X389</f>
        <v>BR4-2150-E-00103</v>
      </c>
      <c r="Y390" s="17" t="str">
        <f>+Y389</f>
        <v>A</v>
      </c>
      <c r="AA390" s="46"/>
      <c r="AC390" s="19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</row>
    <row r="391" spans="1:53" s="17" customFormat="1" x14ac:dyDescent="0.3">
      <c r="A391" s="33"/>
      <c r="B391" s="33"/>
      <c r="C391" s="18"/>
      <c r="D391" s="18"/>
      <c r="E391" s="18"/>
      <c r="F391" s="18"/>
      <c r="G391" s="18" t="s">
        <v>481</v>
      </c>
      <c r="H391" s="65">
        <f>H390</f>
        <v>1</v>
      </c>
      <c r="I391" s="161">
        <v>6</v>
      </c>
      <c r="J391" s="164" t="s">
        <v>633</v>
      </c>
      <c r="K391" s="65"/>
      <c r="L391" s="79" t="s">
        <v>323</v>
      </c>
      <c r="M391" s="18"/>
      <c r="N391" s="18">
        <v>3</v>
      </c>
      <c r="O391" s="18"/>
      <c r="P391" s="79" t="s">
        <v>589</v>
      </c>
      <c r="Q391" s="79"/>
      <c r="R391" s="18" t="s">
        <v>365</v>
      </c>
      <c r="S391" s="163" t="s">
        <v>364</v>
      </c>
      <c r="T391" s="163"/>
      <c r="U391" s="156" t="str">
        <f>+U390</f>
        <v>BAF131PP02</v>
      </c>
      <c r="X391" s="64" t="str">
        <f>+X390</f>
        <v>BR4-2150-E-00103</v>
      </c>
      <c r="Y391" s="17" t="str">
        <f>+Y390</f>
        <v>A</v>
      </c>
      <c r="AA391" s="46"/>
      <c r="AC391" s="19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</row>
    <row r="392" spans="1:53" s="17" customFormat="1" x14ac:dyDescent="0.3">
      <c r="A392" s="33"/>
      <c r="B392" s="33"/>
      <c r="C392" s="18"/>
      <c r="D392" s="18"/>
      <c r="E392" s="18"/>
      <c r="F392" s="18"/>
      <c r="G392" s="18" t="s">
        <v>481</v>
      </c>
      <c r="H392" s="65">
        <f>H391</f>
        <v>1</v>
      </c>
      <c r="I392" s="161">
        <v>1</v>
      </c>
      <c r="J392" s="164" t="s">
        <v>233</v>
      </c>
      <c r="K392" s="65"/>
      <c r="L392" s="79" t="s">
        <v>292</v>
      </c>
      <c r="M392" s="18"/>
      <c r="N392" s="18">
        <v>3</v>
      </c>
      <c r="O392" s="18"/>
      <c r="P392" s="79" t="s">
        <v>517</v>
      </c>
      <c r="Q392" s="79"/>
      <c r="R392" s="18" t="s">
        <v>632</v>
      </c>
      <c r="S392" s="18" t="s">
        <v>247</v>
      </c>
      <c r="T392" s="163" t="s">
        <v>631</v>
      </c>
      <c r="U392" s="156" t="str">
        <f>+U391</f>
        <v>BAF131PP02</v>
      </c>
      <c r="X392" s="64" t="str">
        <f>+X391</f>
        <v>BR4-2150-E-00103</v>
      </c>
      <c r="Y392" s="17" t="str">
        <f>+Y391</f>
        <v>A</v>
      </c>
      <c r="AA392" s="46"/>
      <c r="AC392" s="19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</row>
    <row r="393" spans="1:53" s="17" customFormat="1" x14ac:dyDescent="0.3">
      <c r="A393" s="33"/>
      <c r="B393" s="33"/>
      <c r="C393" s="18"/>
      <c r="D393" s="18"/>
      <c r="E393" s="18"/>
      <c r="F393" s="18"/>
      <c r="G393" s="18" t="s">
        <v>481</v>
      </c>
      <c r="H393" s="65">
        <f>H392</f>
        <v>1</v>
      </c>
      <c r="I393" s="161">
        <v>2</v>
      </c>
      <c r="J393" s="160" t="s">
        <v>229</v>
      </c>
      <c r="K393" s="65"/>
      <c r="L393" s="79" t="s">
        <v>292</v>
      </c>
      <c r="M393" s="18"/>
      <c r="N393" s="83">
        <v>6</v>
      </c>
      <c r="O393" s="83"/>
      <c r="P393" s="92" t="s">
        <v>630</v>
      </c>
      <c r="Q393" s="92"/>
      <c r="R393" s="92" t="s">
        <v>629</v>
      </c>
      <c r="S393" s="83" t="s">
        <v>299</v>
      </c>
      <c r="T393" s="162" t="s">
        <v>628</v>
      </c>
      <c r="U393" s="156" t="str">
        <f>+U392</f>
        <v>BAF131PP02</v>
      </c>
      <c r="W393" s="33"/>
      <c r="X393" s="64" t="str">
        <f>+X392</f>
        <v>BR4-2150-E-00103</v>
      </c>
      <c r="Y393" s="17" t="str">
        <f>+Y392</f>
        <v>A</v>
      </c>
      <c r="AA393" s="46"/>
      <c r="AC393" s="19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</row>
    <row r="394" spans="1:53" s="17" customFormat="1" x14ac:dyDescent="0.3">
      <c r="A394" s="33"/>
      <c r="B394" s="33"/>
      <c r="C394" s="18"/>
      <c r="D394" s="18"/>
      <c r="E394" s="18"/>
      <c r="F394" s="18"/>
      <c r="G394" s="18" t="s">
        <v>481</v>
      </c>
      <c r="H394" s="65">
        <f>H393</f>
        <v>1</v>
      </c>
      <c r="I394" s="161">
        <v>3</v>
      </c>
      <c r="J394" s="160" t="s">
        <v>218</v>
      </c>
      <c r="K394" s="65"/>
      <c r="L394" s="79" t="s">
        <v>292</v>
      </c>
      <c r="M394" s="18"/>
      <c r="N394" s="33"/>
      <c r="O394" s="33"/>
      <c r="U394" s="156" t="str">
        <f>+U393</f>
        <v>BAF131PP02</v>
      </c>
      <c r="W394" s="33"/>
      <c r="X394" s="64" t="str">
        <f>+X393</f>
        <v>BR4-2150-E-00103</v>
      </c>
      <c r="Y394" s="17" t="str">
        <f>+Y393</f>
        <v>A</v>
      </c>
      <c r="AA394" s="46"/>
      <c r="AC394" s="19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</row>
    <row r="395" spans="1:53" s="17" customFormat="1" ht="13.5" thickBot="1" x14ac:dyDescent="0.35">
      <c r="A395" s="33"/>
      <c r="B395" s="33"/>
      <c r="C395" s="18"/>
      <c r="D395" s="18"/>
      <c r="E395" s="18"/>
      <c r="F395" s="18"/>
      <c r="G395" s="18" t="s">
        <v>481</v>
      </c>
      <c r="H395" s="65">
        <f>H394</f>
        <v>1</v>
      </c>
      <c r="I395" s="159">
        <v>4</v>
      </c>
      <c r="J395" s="158" t="s">
        <v>627</v>
      </c>
      <c r="K395" s="65"/>
      <c r="L395" s="79" t="s">
        <v>292</v>
      </c>
      <c r="M395" s="18"/>
      <c r="N395" s="83">
        <v>4</v>
      </c>
      <c r="O395" s="83"/>
      <c r="P395" s="92" t="s">
        <v>433</v>
      </c>
      <c r="Q395" s="92"/>
      <c r="R395" s="92" t="s">
        <v>626</v>
      </c>
      <c r="S395" s="83" t="s">
        <v>625</v>
      </c>
      <c r="T395" s="157" t="s">
        <v>624</v>
      </c>
      <c r="U395" s="156" t="str">
        <f>+U394</f>
        <v>BAF131PP02</v>
      </c>
      <c r="W395" s="33"/>
      <c r="X395" s="64" t="str">
        <f>+X394</f>
        <v>BR4-2150-E-00103</v>
      </c>
      <c r="Y395" s="17" t="str">
        <f>+Y394</f>
        <v>A</v>
      </c>
      <c r="AA395" s="46"/>
      <c r="AC395" s="19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</row>
    <row r="396" spans="1:53" s="17" customFormat="1" ht="13.5" thickBot="1" x14ac:dyDescent="0.35">
      <c r="A396" s="33"/>
      <c r="B396" s="33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AA396" s="46"/>
      <c r="AC396" s="19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</row>
    <row r="397" spans="1:53" s="17" customFormat="1" x14ac:dyDescent="0.3">
      <c r="A397" s="33"/>
      <c r="B397" s="33"/>
      <c r="C397" s="18" t="s">
        <v>647</v>
      </c>
      <c r="D397" s="18"/>
      <c r="E397" s="18"/>
      <c r="F397" s="18"/>
      <c r="G397" s="18" t="s">
        <v>481</v>
      </c>
      <c r="H397" s="144">
        <v>1</v>
      </c>
      <c r="I397" s="167">
        <v>1</v>
      </c>
      <c r="J397" s="166" t="s">
        <v>648</v>
      </c>
      <c r="K397" s="65" t="s">
        <v>647</v>
      </c>
      <c r="L397" s="79" t="s">
        <v>323</v>
      </c>
      <c r="M397" s="18"/>
      <c r="N397" s="18">
        <v>3</v>
      </c>
      <c r="O397" s="18"/>
      <c r="P397" s="79" t="s">
        <v>646</v>
      </c>
      <c r="Q397" s="79"/>
      <c r="R397" s="64" t="s">
        <v>626</v>
      </c>
      <c r="S397" s="64" t="s">
        <v>247</v>
      </c>
      <c r="T397" s="163" t="s">
        <v>624</v>
      </c>
      <c r="U397" s="18" t="s">
        <v>680</v>
      </c>
      <c r="X397" s="64" t="s">
        <v>679</v>
      </c>
      <c r="Y397" s="17" t="s">
        <v>289</v>
      </c>
      <c r="AA397" s="46"/>
      <c r="AC397" s="19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</row>
    <row r="398" spans="1:53" s="17" customFormat="1" x14ac:dyDescent="0.3">
      <c r="A398" s="33"/>
      <c r="B398" s="33"/>
      <c r="C398" s="18"/>
      <c r="D398" s="18"/>
      <c r="E398" s="18"/>
      <c r="F398" s="18"/>
      <c r="G398" s="18" t="s">
        <v>481</v>
      </c>
      <c r="H398" s="65">
        <f>H397</f>
        <v>1</v>
      </c>
      <c r="I398" s="161">
        <v>2</v>
      </c>
      <c r="J398" s="164" t="s">
        <v>642</v>
      </c>
      <c r="K398" s="99" t="s">
        <v>287</v>
      </c>
      <c r="L398" s="79" t="s">
        <v>323</v>
      </c>
      <c r="M398" s="18"/>
      <c r="N398" s="83">
        <v>4</v>
      </c>
      <c r="O398" s="83"/>
      <c r="P398" s="92" t="s">
        <v>429</v>
      </c>
      <c r="Q398" s="92"/>
      <c r="R398" s="92" t="s">
        <v>626</v>
      </c>
      <c r="S398" s="64" t="s">
        <v>427</v>
      </c>
      <c r="T398" s="163" t="s">
        <v>624</v>
      </c>
      <c r="U398" s="156" t="str">
        <f>+U397</f>
        <v>BAF131PP04</v>
      </c>
      <c r="X398" s="64" t="str">
        <f>+X397</f>
        <v>BR4-2150-E-00061</v>
      </c>
      <c r="Y398" s="17" t="str">
        <f>+Y397</f>
        <v>A</v>
      </c>
      <c r="AA398" s="46"/>
      <c r="AC398" s="19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</row>
    <row r="399" spans="1:53" s="17" customFormat="1" x14ac:dyDescent="0.3">
      <c r="A399" s="33"/>
      <c r="B399" s="33"/>
      <c r="C399" s="18"/>
      <c r="D399" s="18"/>
      <c r="E399" s="18"/>
      <c r="F399" s="18"/>
      <c r="G399" s="18" t="s">
        <v>481</v>
      </c>
      <c r="H399" s="65">
        <f>H398</f>
        <v>1</v>
      </c>
      <c r="I399" s="161">
        <v>3</v>
      </c>
      <c r="J399" s="164" t="s">
        <v>641</v>
      </c>
      <c r="K399" s="65"/>
      <c r="L399" s="79" t="s">
        <v>323</v>
      </c>
      <c r="M399" s="18"/>
      <c r="N399" s="18">
        <v>3</v>
      </c>
      <c r="O399" s="18"/>
      <c r="P399" s="97" t="s">
        <v>252</v>
      </c>
      <c r="Q399" s="97"/>
      <c r="R399" s="18" t="s">
        <v>640</v>
      </c>
      <c r="S399" s="18" t="s">
        <v>247</v>
      </c>
      <c r="T399" s="73" t="s">
        <v>639</v>
      </c>
      <c r="U399" s="156" t="str">
        <f>+U398</f>
        <v>BAF131PP04</v>
      </c>
      <c r="X399" s="64" t="str">
        <f>+X398</f>
        <v>BR4-2150-E-00061</v>
      </c>
      <c r="Y399" s="17" t="str">
        <f>+Y398</f>
        <v>A</v>
      </c>
      <c r="AA399" s="46"/>
      <c r="AC399" s="19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</row>
    <row r="400" spans="1:53" s="17" customFormat="1" x14ac:dyDescent="0.3">
      <c r="A400" s="33"/>
      <c r="B400" s="33"/>
      <c r="C400" s="18"/>
      <c r="D400" s="18"/>
      <c r="E400" s="18"/>
      <c r="F400" s="18"/>
      <c r="G400" s="18" t="s">
        <v>481</v>
      </c>
      <c r="H400" s="65">
        <f>H399</f>
        <v>1</v>
      </c>
      <c r="I400" s="161">
        <v>4</v>
      </c>
      <c r="J400" s="164" t="s">
        <v>638</v>
      </c>
      <c r="K400" s="65"/>
      <c r="L400" s="79" t="s">
        <v>323</v>
      </c>
      <c r="M400" s="18"/>
      <c r="N400" s="18">
        <v>3</v>
      </c>
      <c r="O400" s="18"/>
      <c r="P400" s="79" t="s">
        <v>637</v>
      </c>
      <c r="Q400" s="79"/>
      <c r="R400" s="18" t="s">
        <v>636</v>
      </c>
      <c r="S400" s="18" t="s">
        <v>211</v>
      </c>
      <c r="T400" s="163" t="s">
        <v>635</v>
      </c>
      <c r="U400" s="156" t="str">
        <f>+U399</f>
        <v>BAF131PP04</v>
      </c>
      <c r="X400" s="64" t="str">
        <f>+X399</f>
        <v>BR4-2150-E-00061</v>
      </c>
      <c r="Y400" s="17" t="str">
        <f>+Y399</f>
        <v>A</v>
      </c>
      <c r="AA400" s="46"/>
      <c r="AC400" s="19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</row>
    <row r="401" spans="1:53" s="17" customFormat="1" x14ac:dyDescent="0.3">
      <c r="A401" s="33"/>
      <c r="B401" s="33"/>
      <c r="C401" s="18"/>
      <c r="D401" s="18"/>
      <c r="E401" s="18"/>
      <c r="F401" s="18"/>
      <c r="G401" s="18" t="s">
        <v>481</v>
      </c>
      <c r="H401" s="65">
        <f>H400</f>
        <v>1</v>
      </c>
      <c r="I401" s="161">
        <v>5</v>
      </c>
      <c r="J401" s="164" t="s">
        <v>634</v>
      </c>
      <c r="K401" s="65"/>
      <c r="L401" s="79" t="s">
        <v>323</v>
      </c>
      <c r="M401" s="18"/>
      <c r="N401" s="18"/>
      <c r="O401" s="18"/>
      <c r="P401" s="79"/>
      <c r="Q401" s="79"/>
      <c r="R401" s="18"/>
      <c r="S401" s="163"/>
      <c r="T401" s="163"/>
      <c r="U401" s="156" t="str">
        <f>+U400</f>
        <v>BAF131PP04</v>
      </c>
      <c r="X401" s="64" t="str">
        <f>+X400</f>
        <v>BR4-2150-E-00061</v>
      </c>
      <c r="Y401" s="17" t="str">
        <f>+Y400</f>
        <v>A</v>
      </c>
      <c r="AA401" s="46"/>
      <c r="AC401" s="19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</row>
    <row r="402" spans="1:53" s="17" customFormat="1" x14ac:dyDescent="0.3">
      <c r="A402" s="33"/>
      <c r="B402" s="33"/>
      <c r="C402" s="18"/>
      <c r="D402" s="18"/>
      <c r="E402" s="18"/>
      <c r="F402" s="18"/>
      <c r="G402" s="18" t="s">
        <v>481</v>
      </c>
      <c r="H402" s="65">
        <f>H401</f>
        <v>1</v>
      </c>
      <c r="I402" s="161">
        <v>6</v>
      </c>
      <c r="J402" s="164" t="s">
        <v>633</v>
      </c>
      <c r="K402" s="65"/>
      <c r="L402" s="79" t="s">
        <v>323</v>
      </c>
      <c r="M402" s="18"/>
      <c r="N402" s="18">
        <v>3</v>
      </c>
      <c r="O402" s="18"/>
      <c r="P402" s="79" t="s">
        <v>589</v>
      </c>
      <c r="Q402" s="79"/>
      <c r="R402" s="18" t="s">
        <v>365</v>
      </c>
      <c r="S402" s="163" t="s">
        <v>364</v>
      </c>
      <c r="T402" s="163"/>
      <c r="U402" s="156" t="str">
        <f>+U401</f>
        <v>BAF131PP04</v>
      </c>
      <c r="X402" s="64" t="str">
        <f>+X401</f>
        <v>BR4-2150-E-00061</v>
      </c>
      <c r="Y402" s="17" t="str">
        <f>+Y401</f>
        <v>A</v>
      </c>
      <c r="AA402" s="46"/>
      <c r="AC402" s="19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</row>
    <row r="403" spans="1:53" s="17" customFormat="1" x14ac:dyDescent="0.3">
      <c r="A403" s="33"/>
      <c r="B403" s="33"/>
      <c r="C403" s="18"/>
      <c r="D403" s="18"/>
      <c r="E403" s="18"/>
      <c r="F403" s="18"/>
      <c r="G403" s="18" t="s">
        <v>481</v>
      </c>
      <c r="H403" s="65">
        <f>H402</f>
        <v>1</v>
      </c>
      <c r="I403" s="161">
        <v>1</v>
      </c>
      <c r="J403" s="164" t="s">
        <v>233</v>
      </c>
      <c r="K403" s="65"/>
      <c r="L403" s="79" t="s">
        <v>292</v>
      </c>
      <c r="M403" s="18"/>
      <c r="N403" s="18">
        <v>3</v>
      </c>
      <c r="O403" s="18"/>
      <c r="P403" s="79" t="s">
        <v>517</v>
      </c>
      <c r="Q403" s="79"/>
      <c r="R403" s="18" t="s">
        <v>632</v>
      </c>
      <c r="S403" s="18" t="s">
        <v>247</v>
      </c>
      <c r="T403" s="163" t="s">
        <v>631</v>
      </c>
      <c r="U403" s="156" t="str">
        <f>+U402</f>
        <v>BAF131PP04</v>
      </c>
      <c r="X403" s="64" t="str">
        <f>+X402</f>
        <v>BR4-2150-E-00061</v>
      </c>
      <c r="Y403" s="17" t="str">
        <f>+Y402</f>
        <v>A</v>
      </c>
      <c r="AA403" s="46"/>
      <c r="AC403" s="19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</row>
    <row r="404" spans="1:53" s="17" customFormat="1" x14ac:dyDescent="0.3">
      <c r="A404" s="33"/>
      <c r="B404" s="33"/>
      <c r="C404" s="18"/>
      <c r="D404" s="18"/>
      <c r="E404" s="18"/>
      <c r="F404" s="18"/>
      <c r="G404" s="18" t="s">
        <v>481</v>
      </c>
      <c r="H404" s="65">
        <f>H403</f>
        <v>1</v>
      </c>
      <c r="I404" s="161">
        <v>2</v>
      </c>
      <c r="J404" s="160" t="s">
        <v>229</v>
      </c>
      <c r="K404" s="65"/>
      <c r="L404" s="79" t="s">
        <v>292</v>
      </c>
      <c r="M404" s="18"/>
      <c r="N404" s="83">
        <v>6</v>
      </c>
      <c r="O404" s="83"/>
      <c r="P404" s="92" t="s">
        <v>630</v>
      </c>
      <c r="Q404" s="92"/>
      <c r="R404" s="92" t="s">
        <v>629</v>
      </c>
      <c r="S404" s="83" t="s">
        <v>299</v>
      </c>
      <c r="T404" s="162" t="s">
        <v>628</v>
      </c>
      <c r="U404" s="156" t="str">
        <f>+U403</f>
        <v>BAF131PP04</v>
      </c>
      <c r="W404" s="33"/>
      <c r="X404" s="64" t="str">
        <f>+X403</f>
        <v>BR4-2150-E-00061</v>
      </c>
      <c r="Y404" s="17" t="str">
        <f>+Y403</f>
        <v>A</v>
      </c>
      <c r="AA404" s="46"/>
      <c r="AC404" s="19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</row>
    <row r="405" spans="1:53" s="17" customFormat="1" x14ac:dyDescent="0.3">
      <c r="A405" s="33"/>
      <c r="B405" s="33"/>
      <c r="C405" s="18"/>
      <c r="D405" s="18"/>
      <c r="E405" s="18"/>
      <c r="F405" s="18"/>
      <c r="G405" s="18" t="s">
        <v>481</v>
      </c>
      <c r="H405" s="65">
        <f>H404</f>
        <v>1</v>
      </c>
      <c r="I405" s="161">
        <v>3</v>
      </c>
      <c r="J405" s="160" t="s">
        <v>218</v>
      </c>
      <c r="K405" s="65"/>
      <c r="L405" s="79" t="s">
        <v>292</v>
      </c>
      <c r="M405" s="18"/>
      <c r="N405" s="33"/>
      <c r="O405" s="33"/>
      <c r="U405" s="156" t="str">
        <f>+U404</f>
        <v>BAF131PP04</v>
      </c>
      <c r="W405" s="33"/>
      <c r="X405" s="64" t="str">
        <f>+X404</f>
        <v>BR4-2150-E-00061</v>
      </c>
      <c r="Y405" s="17" t="str">
        <f>+Y404</f>
        <v>A</v>
      </c>
      <c r="AA405" s="46"/>
      <c r="AC405" s="19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</row>
    <row r="406" spans="1:53" s="17" customFormat="1" ht="13.5" thickBot="1" x14ac:dyDescent="0.35">
      <c r="A406" s="33"/>
      <c r="B406" s="33"/>
      <c r="C406" s="18"/>
      <c r="D406" s="18"/>
      <c r="E406" s="18"/>
      <c r="F406" s="18"/>
      <c r="G406" s="18" t="s">
        <v>481</v>
      </c>
      <c r="H406" s="65">
        <f>H405</f>
        <v>1</v>
      </c>
      <c r="I406" s="159">
        <v>4</v>
      </c>
      <c r="J406" s="158" t="s">
        <v>627</v>
      </c>
      <c r="K406" s="65"/>
      <c r="L406" s="79" t="s">
        <v>292</v>
      </c>
      <c r="M406" s="18"/>
      <c r="N406" s="83">
        <v>4</v>
      </c>
      <c r="O406" s="83"/>
      <c r="P406" s="92" t="s">
        <v>433</v>
      </c>
      <c r="Q406" s="92"/>
      <c r="R406" s="92" t="s">
        <v>626</v>
      </c>
      <c r="S406" s="83" t="s">
        <v>625</v>
      </c>
      <c r="T406" s="157" t="s">
        <v>624</v>
      </c>
      <c r="U406" s="156" t="str">
        <f>+U405</f>
        <v>BAF131PP04</v>
      </c>
      <c r="W406" s="33"/>
      <c r="X406" s="64" t="str">
        <f>+X405</f>
        <v>BR4-2150-E-00061</v>
      </c>
      <c r="Y406" s="17" t="str">
        <f>+Y405</f>
        <v>A</v>
      </c>
      <c r="AA406" s="46"/>
      <c r="AC406" s="19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</row>
    <row r="407" spans="1:53" s="17" customFormat="1" ht="13.5" thickBot="1" x14ac:dyDescent="0.35">
      <c r="A407" s="33"/>
      <c r="B407" s="33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AA407" s="46"/>
      <c r="AC407" s="19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</row>
    <row r="408" spans="1:53" s="17" customFormat="1" x14ac:dyDescent="0.3">
      <c r="A408" s="33"/>
      <c r="B408" s="33"/>
      <c r="C408" s="18" t="s">
        <v>647</v>
      </c>
      <c r="D408" s="18"/>
      <c r="E408" s="18"/>
      <c r="F408" s="18"/>
      <c r="G408" s="18" t="s">
        <v>481</v>
      </c>
      <c r="H408" s="144">
        <v>1</v>
      </c>
      <c r="I408" s="167">
        <v>1</v>
      </c>
      <c r="J408" s="166" t="s">
        <v>648</v>
      </c>
      <c r="K408" s="65" t="s">
        <v>647</v>
      </c>
      <c r="L408" s="79" t="s">
        <v>323</v>
      </c>
      <c r="M408" s="18"/>
      <c r="N408" s="18">
        <v>3</v>
      </c>
      <c r="O408" s="18"/>
      <c r="P408" s="79" t="s">
        <v>646</v>
      </c>
      <c r="Q408" s="79"/>
      <c r="R408" s="64" t="s">
        <v>626</v>
      </c>
      <c r="S408" s="64" t="s">
        <v>247</v>
      </c>
      <c r="T408" s="163" t="s">
        <v>624</v>
      </c>
      <c r="U408" s="18" t="s">
        <v>106</v>
      </c>
      <c r="X408" s="64" t="s">
        <v>678</v>
      </c>
      <c r="Y408" s="17" t="s">
        <v>289</v>
      </c>
      <c r="AA408" s="46"/>
      <c r="AC408" s="19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</row>
    <row r="409" spans="1:53" s="17" customFormat="1" x14ac:dyDescent="0.3">
      <c r="A409" s="33"/>
      <c r="B409" s="33"/>
      <c r="C409" s="18"/>
      <c r="D409" s="18"/>
      <c r="E409" s="18"/>
      <c r="F409" s="18"/>
      <c r="G409" s="18" t="s">
        <v>481</v>
      </c>
      <c r="H409" s="65">
        <f>H408</f>
        <v>1</v>
      </c>
      <c r="I409" s="161">
        <v>2</v>
      </c>
      <c r="J409" s="164" t="s">
        <v>642</v>
      </c>
      <c r="K409" s="99" t="s">
        <v>287</v>
      </c>
      <c r="L409" s="79" t="s">
        <v>323</v>
      </c>
      <c r="M409" s="18"/>
      <c r="N409" s="83">
        <v>4</v>
      </c>
      <c r="O409" s="83"/>
      <c r="P409" s="92" t="s">
        <v>429</v>
      </c>
      <c r="Q409" s="92"/>
      <c r="R409" s="92" t="s">
        <v>626</v>
      </c>
      <c r="S409" s="64" t="s">
        <v>427</v>
      </c>
      <c r="T409" s="163" t="s">
        <v>624</v>
      </c>
      <c r="U409" s="156" t="str">
        <f>+U408</f>
        <v>BAF131FN01</v>
      </c>
      <c r="X409" s="64" t="str">
        <f>+X408</f>
        <v>BR4-2150-E-00104</v>
      </c>
      <c r="Y409" s="17" t="str">
        <f>+Y408</f>
        <v>A</v>
      </c>
      <c r="AA409" s="46"/>
      <c r="AC409" s="19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</row>
    <row r="410" spans="1:53" s="17" customFormat="1" x14ac:dyDescent="0.3">
      <c r="A410" s="33"/>
      <c r="B410" s="33"/>
      <c r="C410" s="18"/>
      <c r="D410" s="18"/>
      <c r="E410" s="18"/>
      <c r="F410" s="18"/>
      <c r="G410" s="18" t="s">
        <v>481</v>
      </c>
      <c r="H410" s="65">
        <f>H409</f>
        <v>1</v>
      </c>
      <c r="I410" s="161">
        <v>3</v>
      </c>
      <c r="J410" s="164" t="s">
        <v>641</v>
      </c>
      <c r="K410" s="65"/>
      <c r="L410" s="79" t="s">
        <v>323</v>
      </c>
      <c r="M410" s="18"/>
      <c r="N410" s="18">
        <v>3</v>
      </c>
      <c r="O410" s="18"/>
      <c r="P410" s="97" t="s">
        <v>252</v>
      </c>
      <c r="Q410" s="97"/>
      <c r="R410" s="18" t="s">
        <v>640</v>
      </c>
      <c r="S410" s="18" t="s">
        <v>247</v>
      </c>
      <c r="T410" s="73" t="s">
        <v>639</v>
      </c>
      <c r="U410" s="156" t="str">
        <f>+U409</f>
        <v>BAF131FN01</v>
      </c>
      <c r="X410" s="64" t="str">
        <f>+X409</f>
        <v>BR4-2150-E-00104</v>
      </c>
      <c r="Y410" s="17" t="str">
        <f>+Y409</f>
        <v>A</v>
      </c>
      <c r="AA410" s="46"/>
      <c r="AC410" s="19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</row>
    <row r="411" spans="1:53" s="17" customFormat="1" x14ac:dyDescent="0.3">
      <c r="A411" s="33"/>
      <c r="B411" s="33"/>
      <c r="C411" s="18"/>
      <c r="D411" s="18"/>
      <c r="E411" s="18"/>
      <c r="F411" s="18"/>
      <c r="G411" s="18" t="s">
        <v>481</v>
      </c>
      <c r="H411" s="65">
        <f>H410</f>
        <v>1</v>
      </c>
      <c r="I411" s="161">
        <v>4</v>
      </c>
      <c r="J411" s="164" t="s">
        <v>638</v>
      </c>
      <c r="K411" s="65"/>
      <c r="L411" s="79" t="s">
        <v>323</v>
      </c>
      <c r="M411" s="18"/>
      <c r="N411" s="18">
        <v>3</v>
      </c>
      <c r="O411" s="18"/>
      <c r="P411" s="79" t="s">
        <v>637</v>
      </c>
      <c r="Q411" s="79"/>
      <c r="R411" s="18" t="s">
        <v>636</v>
      </c>
      <c r="S411" s="18" t="s">
        <v>211</v>
      </c>
      <c r="T411" s="163" t="s">
        <v>635</v>
      </c>
      <c r="U411" s="156" t="str">
        <f>+U410</f>
        <v>BAF131FN01</v>
      </c>
      <c r="X411" s="64" t="str">
        <f>+X410</f>
        <v>BR4-2150-E-00104</v>
      </c>
      <c r="Y411" s="17" t="str">
        <f>+Y410</f>
        <v>A</v>
      </c>
      <c r="AA411" s="46"/>
      <c r="AC411" s="19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</row>
    <row r="412" spans="1:53" s="17" customFormat="1" x14ac:dyDescent="0.3">
      <c r="A412" s="33"/>
      <c r="B412" s="33"/>
      <c r="C412" s="18"/>
      <c r="D412" s="18"/>
      <c r="E412" s="18"/>
      <c r="F412" s="18"/>
      <c r="G412" s="18" t="s">
        <v>481</v>
      </c>
      <c r="H412" s="65">
        <f>H411</f>
        <v>1</v>
      </c>
      <c r="I412" s="161">
        <v>5</v>
      </c>
      <c r="J412" s="164" t="s">
        <v>634</v>
      </c>
      <c r="K412" s="65"/>
      <c r="L412" s="79" t="s">
        <v>323</v>
      </c>
      <c r="M412" s="18"/>
      <c r="N412" s="18"/>
      <c r="O412" s="18"/>
      <c r="P412" s="79"/>
      <c r="Q412" s="79"/>
      <c r="R412" s="18"/>
      <c r="S412" s="163"/>
      <c r="T412" s="163"/>
      <c r="U412" s="156" t="str">
        <f>+U411</f>
        <v>BAF131FN01</v>
      </c>
      <c r="X412" s="64" t="str">
        <f>+X411</f>
        <v>BR4-2150-E-00104</v>
      </c>
      <c r="Y412" s="17" t="str">
        <f>+Y411</f>
        <v>A</v>
      </c>
      <c r="AA412" s="46"/>
      <c r="AC412" s="19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</row>
    <row r="413" spans="1:53" s="17" customFormat="1" x14ac:dyDescent="0.3">
      <c r="A413" s="33"/>
      <c r="B413" s="33"/>
      <c r="C413" s="18"/>
      <c r="D413" s="18"/>
      <c r="E413" s="18"/>
      <c r="F413" s="18"/>
      <c r="G413" s="18" t="s">
        <v>481</v>
      </c>
      <c r="H413" s="65">
        <f>H412</f>
        <v>1</v>
      </c>
      <c r="I413" s="161">
        <v>6</v>
      </c>
      <c r="J413" s="164" t="s">
        <v>633</v>
      </c>
      <c r="K413" s="65"/>
      <c r="L413" s="79" t="s">
        <v>323</v>
      </c>
      <c r="M413" s="18"/>
      <c r="N413" s="18">
        <v>3</v>
      </c>
      <c r="O413" s="18"/>
      <c r="P413" s="79" t="s">
        <v>589</v>
      </c>
      <c r="Q413" s="79"/>
      <c r="R413" s="18" t="s">
        <v>365</v>
      </c>
      <c r="S413" s="163" t="s">
        <v>364</v>
      </c>
      <c r="T413" s="163"/>
      <c r="U413" s="156" t="str">
        <f>+U412</f>
        <v>BAF131FN01</v>
      </c>
      <c r="X413" s="64" t="str">
        <f>+X412</f>
        <v>BR4-2150-E-00104</v>
      </c>
      <c r="Y413" s="17" t="str">
        <f>+Y412</f>
        <v>A</v>
      </c>
      <c r="AA413" s="46"/>
      <c r="AC413" s="19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</row>
    <row r="414" spans="1:53" s="17" customFormat="1" x14ac:dyDescent="0.3">
      <c r="A414" s="33"/>
      <c r="B414" s="33"/>
      <c r="C414" s="18"/>
      <c r="D414" s="18"/>
      <c r="E414" s="18"/>
      <c r="F414" s="18"/>
      <c r="G414" s="18" t="s">
        <v>481</v>
      </c>
      <c r="H414" s="65">
        <f>H413</f>
        <v>1</v>
      </c>
      <c r="I414" s="161">
        <v>1</v>
      </c>
      <c r="J414" s="164" t="s">
        <v>233</v>
      </c>
      <c r="K414" s="65"/>
      <c r="L414" s="79" t="s">
        <v>292</v>
      </c>
      <c r="M414" s="18"/>
      <c r="N414" s="18">
        <v>3</v>
      </c>
      <c r="O414" s="18"/>
      <c r="P414" s="79" t="s">
        <v>517</v>
      </c>
      <c r="Q414" s="79"/>
      <c r="R414" s="18" t="s">
        <v>632</v>
      </c>
      <c r="S414" s="18" t="s">
        <v>247</v>
      </c>
      <c r="T414" s="163" t="s">
        <v>631</v>
      </c>
      <c r="U414" s="156" t="str">
        <f>+U413</f>
        <v>BAF131FN01</v>
      </c>
      <c r="X414" s="64" t="str">
        <f>+X413</f>
        <v>BR4-2150-E-00104</v>
      </c>
      <c r="Y414" s="17" t="str">
        <f>+Y413</f>
        <v>A</v>
      </c>
      <c r="AA414" s="46"/>
      <c r="AC414" s="19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</row>
    <row r="415" spans="1:53" s="17" customFormat="1" x14ac:dyDescent="0.3">
      <c r="A415" s="33"/>
      <c r="B415" s="33"/>
      <c r="C415" s="18"/>
      <c r="D415" s="18"/>
      <c r="E415" s="18"/>
      <c r="F415" s="18"/>
      <c r="G415" s="18" t="s">
        <v>481</v>
      </c>
      <c r="H415" s="65">
        <f>H414</f>
        <v>1</v>
      </c>
      <c r="I415" s="161">
        <v>2</v>
      </c>
      <c r="J415" s="160" t="s">
        <v>229</v>
      </c>
      <c r="K415" s="65"/>
      <c r="L415" s="79" t="s">
        <v>292</v>
      </c>
      <c r="M415" s="18"/>
      <c r="N415" s="83">
        <v>6</v>
      </c>
      <c r="O415" s="83"/>
      <c r="P415" s="92" t="s">
        <v>630</v>
      </c>
      <c r="Q415" s="92"/>
      <c r="R415" s="92" t="s">
        <v>629</v>
      </c>
      <c r="S415" s="83" t="s">
        <v>299</v>
      </c>
      <c r="T415" s="162" t="s">
        <v>628</v>
      </c>
      <c r="U415" s="156" t="str">
        <f>+U414</f>
        <v>BAF131FN01</v>
      </c>
      <c r="W415" s="33"/>
      <c r="X415" s="64" t="str">
        <f>+X414</f>
        <v>BR4-2150-E-00104</v>
      </c>
      <c r="Y415" s="17" t="str">
        <f>+Y414</f>
        <v>A</v>
      </c>
      <c r="AA415" s="46"/>
      <c r="AC415" s="19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</row>
    <row r="416" spans="1:53" s="17" customFormat="1" x14ac:dyDescent="0.3">
      <c r="A416" s="33"/>
      <c r="B416" s="33"/>
      <c r="C416" s="18"/>
      <c r="D416" s="18"/>
      <c r="E416" s="18"/>
      <c r="F416" s="18"/>
      <c r="G416" s="18" t="s">
        <v>481</v>
      </c>
      <c r="H416" s="65">
        <f>H415</f>
        <v>1</v>
      </c>
      <c r="I416" s="161">
        <v>3</v>
      </c>
      <c r="J416" s="160" t="s">
        <v>218</v>
      </c>
      <c r="K416" s="65"/>
      <c r="L416" s="79" t="s">
        <v>292</v>
      </c>
      <c r="M416" s="18"/>
      <c r="N416" s="33"/>
      <c r="O416" s="33"/>
      <c r="U416" s="156" t="str">
        <f>+U415</f>
        <v>BAF131FN01</v>
      </c>
      <c r="W416" s="33"/>
      <c r="X416" s="64" t="str">
        <f>+X415</f>
        <v>BR4-2150-E-00104</v>
      </c>
      <c r="Y416" s="17" t="str">
        <f>+Y415</f>
        <v>A</v>
      </c>
      <c r="AA416" s="46"/>
      <c r="AC416" s="19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</row>
    <row r="417" spans="1:53" s="17" customFormat="1" ht="13.5" thickBot="1" x14ac:dyDescent="0.35">
      <c r="A417" s="33"/>
      <c r="B417" s="33"/>
      <c r="C417" s="18"/>
      <c r="D417" s="18"/>
      <c r="E417" s="18"/>
      <c r="F417" s="18"/>
      <c r="G417" s="18" t="s">
        <v>481</v>
      </c>
      <c r="H417" s="65">
        <f>H416</f>
        <v>1</v>
      </c>
      <c r="I417" s="159">
        <v>4</v>
      </c>
      <c r="J417" s="158" t="s">
        <v>627</v>
      </c>
      <c r="K417" s="65"/>
      <c r="L417" s="79" t="s">
        <v>292</v>
      </c>
      <c r="M417" s="18"/>
      <c r="N417" s="83">
        <v>4</v>
      </c>
      <c r="O417" s="83"/>
      <c r="P417" s="92" t="s">
        <v>433</v>
      </c>
      <c r="Q417" s="92"/>
      <c r="R417" s="92" t="s">
        <v>626</v>
      </c>
      <c r="S417" s="83" t="s">
        <v>625</v>
      </c>
      <c r="T417" s="157" t="s">
        <v>624</v>
      </c>
      <c r="U417" s="156" t="str">
        <f>+U416</f>
        <v>BAF131FN01</v>
      </c>
      <c r="W417" s="33"/>
      <c r="X417" s="64" t="str">
        <f>+X416</f>
        <v>BR4-2150-E-00104</v>
      </c>
      <c r="Y417" s="17" t="str">
        <f>+Y416</f>
        <v>A</v>
      </c>
      <c r="AA417" s="46"/>
      <c r="AC417" s="19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</row>
    <row r="418" spans="1:53" s="17" customFormat="1" ht="13.5" thickBot="1" x14ac:dyDescent="0.35">
      <c r="A418" s="33"/>
      <c r="B418" s="33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AA418" s="46"/>
      <c r="AC418" s="19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</row>
    <row r="419" spans="1:53" s="17" customFormat="1" x14ac:dyDescent="0.3">
      <c r="A419" s="33"/>
      <c r="B419" s="33"/>
      <c r="C419" s="18" t="s">
        <v>647</v>
      </c>
      <c r="D419" s="18"/>
      <c r="E419" s="18"/>
      <c r="F419" s="18"/>
      <c r="G419" s="18" t="s">
        <v>481</v>
      </c>
      <c r="H419" s="144">
        <v>1</v>
      </c>
      <c r="I419" s="167">
        <v>1</v>
      </c>
      <c r="J419" s="166" t="s">
        <v>648</v>
      </c>
      <c r="K419" s="65" t="s">
        <v>647</v>
      </c>
      <c r="L419" s="79" t="s">
        <v>323</v>
      </c>
      <c r="M419" s="18"/>
      <c r="N419" s="18">
        <v>3</v>
      </c>
      <c r="O419" s="18"/>
      <c r="P419" s="79" t="s">
        <v>646</v>
      </c>
      <c r="Q419" s="79"/>
      <c r="R419" s="64" t="s">
        <v>626</v>
      </c>
      <c r="S419" s="64" t="s">
        <v>247</v>
      </c>
      <c r="T419" s="163" t="s">
        <v>624</v>
      </c>
      <c r="U419" s="18" t="s">
        <v>677</v>
      </c>
      <c r="X419" s="64" t="s">
        <v>676</v>
      </c>
      <c r="Y419" s="17" t="s">
        <v>289</v>
      </c>
      <c r="AA419" s="46"/>
      <c r="AC419" s="19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</row>
    <row r="420" spans="1:53" s="17" customFormat="1" x14ac:dyDescent="0.3">
      <c r="A420" s="33"/>
      <c r="B420" s="33"/>
      <c r="C420" s="18"/>
      <c r="D420" s="18"/>
      <c r="E420" s="18"/>
      <c r="F420" s="18"/>
      <c r="G420" s="18" t="s">
        <v>481</v>
      </c>
      <c r="H420" s="65">
        <f>H419</f>
        <v>1</v>
      </c>
      <c r="I420" s="161">
        <v>2</v>
      </c>
      <c r="J420" s="164" t="s">
        <v>642</v>
      </c>
      <c r="K420" s="99" t="s">
        <v>287</v>
      </c>
      <c r="L420" s="79" t="s">
        <v>323</v>
      </c>
      <c r="M420" s="18"/>
      <c r="N420" s="83">
        <v>4</v>
      </c>
      <c r="O420" s="83"/>
      <c r="P420" s="92" t="s">
        <v>429</v>
      </c>
      <c r="Q420" s="92"/>
      <c r="R420" s="92" t="s">
        <v>626</v>
      </c>
      <c r="S420" s="64" t="s">
        <v>427</v>
      </c>
      <c r="T420" s="163" t="s">
        <v>624</v>
      </c>
      <c r="U420" s="156" t="str">
        <f>+U419</f>
        <v>BDU131FN01</v>
      </c>
      <c r="X420" s="64" t="str">
        <f>+X419</f>
        <v>BR4-2150-E-00106</v>
      </c>
      <c r="Y420" s="17" t="str">
        <f>+Y419</f>
        <v>A</v>
      </c>
      <c r="AA420" s="46"/>
      <c r="AC420" s="19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</row>
    <row r="421" spans="1:53" s="17" customFormat="1" x14ac:dyDescent="0.3">
      <c r="A421" s="33"/>
      <c r="B421" s="33"/>
      <c r="C421" s="18"/>
      <c r="D421" s="18"/>
      <c r="E421" s="18"/>
      <c r="F421" s="18"/>
      <c r="G421" s="18" t="s">
        <v>481</v>
      </c>
      <c r="H421" s="65">
        <f>H420</f>
        <v>1</v>
      </c>
      <c r="I421" s="161">
        <v>3</v>
      </c>
      <c r="J421" s="164" t="s">
        <v>641</v>
      </c>
      <c r="K421" s="65"/>
      <c r="L421" s="79" t="s">
        <v>323</v>
      </c>
      <c r="M421" s="18"/>
      <c r="N421" s="18">
        <v>3</v>
      </c>
      <c r="O421" s="18"/>
      <c r="P421" s="97" t="s">
        <v>252</v>
      </c>
      <c r="Q421" s="97"/>
      <c r="R421" s="18" t="s">
        <v>640</v>
      </c>
      <c r="S421" s="18" t="s">
        <v>247</v>
      </c>
      <c r="T421" s="73" t="s">
        <v>639</v>
      </c>
      <c r="U421" s="156" t="str">
        <f>+U420</f>
        <v>BDU131FN01</v>
      </c>
      <c r="X421" s="64" t="str">
        <f>+X420</f>
        <v>BR4-2150-E-00106</v>
      </c>
      <c r="Y421" s="17" t="str">
        <f>+Y420</f>
        <v>A</v>
      </c>
      <c r="AA421" s="46"/>
      <c r="AC421" s="19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</row>
    <row r="422" spans="1:53" s="17" customFormat="1" x14ac:dyDescent="0.3">
      <c r="A422" s="33"/>
      <c r="B422" s="33"/>
      <c r="C422" s="18"/>
      <c r="D422" s="18"/>
      <c r="E422" s="18"/>
      <c r="F422" s="18"/>
      <c r="G422" s="18" t="s">
        <v>481</v>
      </c>
      <c r="H422" s="65">
        <f>H421</f>
        <v>1</v>
      </c>
      <c r="I422" s="161">
        <v>4</v>
      </c>
      <c r="J422" s="164" t="s">
        <v>638</v>
      </c>
      <c r="K422" s="65"/>
      <c r="L422" s="79" t="s">
        <v>323</v>
      </c>
      <c r="M422" s="18"/>
      <c r="N422" s="18">
        <v>3</v>
      </c>
      <c r="O422" s="18"/>
      <c r="P422" s="79" t="s">
        <v>637</v>
      </c>
      <c r="Q422" s="79"/>
      <c r="R422" s="18" t="s">
        <v>636</v>
      </c>
      <c r="S422" s="18" t="s">
        <v>211</v>
      </c>
      <c r="T422" s="163" t="s">
        <v>635</v>
      </c>
      <c r="U422" s="156" t="str">
        <f>+U421</f>
        <v>BDU131FN01</v>
      </c>
      <c r="X422" s="64" t="str">
        <f>+X421</f>
        <v>BR4-2150-E-00106</v>
      </c>
      <c r="Y422" s="17" t="str">
        <f>+Y421</f>
        <v>A</v>
      </c>
      <c r="AA422" s="46"/>
      <c r="AC422" s="19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</row>
    <row r="423" spans="1:53" s="17" customFormat="1" x14ac:dyDescent="0.3">
      <c r="A423" s="33"/>
      <c r="B423" s="33"/>
      <c r="C423" s="18"/>
      <c r="D423" s="18"/>
      <c r="E423" s="18"/>
      <c r="F423" s="18"/>
      <c r="G423" s="18" t="s">
        <v>481</v>
      </c>
      <c r="H423" s="65">
        <f>H422</f>
        <v>1</v>
      </c>
      <c r="I423" s="161">
        <v>5</v>
      </c>
      <c r="J423" s="164" t="s">
        <v>634</v>
      </c>
      <c r="K423" s="65"/>
      <c r="L423" s="79" t="s">
        <v>323</v>
      </c>
      <c r="M423" s="18"/>
      <c r="N423" s="18"/>
      <c r="O423" s="18"/>
      <c r="P423" s="79"/>
      <c r="Q423" s="79"/>
      <c r="R423" s="18"/>
      <c r="S423" s="163"/>
      <c r="T423" s="163"/>
      <c r="U423" s="156" t="str">
        <f>+U422</f>
        <v>BDU131FN01</v>
      </c>
      <c r="X423" s="64" t="str">
        <f>+X422</f>
        <v>BR4-2150-E-00106</v>
      </c>
      <c r="Y423" s="17" t="str">
        <f>+Y422</f>
        <v>A</v>
      </c>
      <c r="AA423" s="46"/>
      <c r="AC423" s="19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</row>
    <row r="424" spans="1:53" s="17" customFormat="1" x14ac:dyDescent="0.3">
      <c r="A424" s="33"/>
      <c r="B424" s="33"/>
      <c r="C424" s="18"/>
      <c r="D424" s="18"/>
      <c r="E424" s="18"/>
      <c r="F424" s="18"/>
      <c r="G424" s="18" t="s">
        <v>481</v>
      </c>
      <c r="H424" s="65">
        <f>H423</f>
        <v>1</v>
      </c>
      <c r="I424" s="161">
        <v>6</v>
      </c>
      <c r="J424" s="164" t="s">
        <v>633</v>
      </c>
      <c r="K424" s="65"/>
      <c r="L424" s="79" t="s">
        <v>323</v>
      </c>
      <c r="M424" s="18"/>
      <c r="N424" s="18">
        <v>3</v>
      </c>
      <c r="O424" s="18"/>
      <c r="P424" s="79" t="s">
        <v>589</v>
      </c>
      <c r="Q424" s="79"/>
      <c r="R424" s="18" t="s">
        <v>365</v>
      </c>
      <c r="S424" s="163" t="s">
        <v>364</v>
      </c>
      <c r="T424" s="163"/>
      <c r="U424" s="156" t="str">
        <f>+U423</f>
        <v>BDU131FN01</v>
      </c>
      <c r="X424" s="64" t="str">
        <f>+X423</f>
        <v>BR4-2150-E-00106</v>
      </c>
      <c r="Y424" s="17" t="str">
        <f>+Y423</f>
        <v>A</v>
      </c>
      <c r="AA424" s="46"/>
      <c r="AC424" s="19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</row>
    <row r="425" spans="1:53" s="17" customFormat="1" x14ac:dyDescent="0.3">
      <c r="A425" s="33"/>
      <c r="B425" s="33"/>
      <c r="C425" s="18"/>
      <c r="D425" s="18"/>
      <c r="E425" s="18"/>
      <c r="F425" s="18"/>
      <c r="G425" s="18" t="s">
        <v>481</v>
      </c>
      <c r="H425" s="65">
        <f>H424</f>
        <v>1</v>
      </c>
      <c r="I425" s="161">
        <v>1</v>
      </c>
      <c r="J425" s="164" t="s">
        <v>233</v>
      </c>
      <c r="K425" s="65"/>
      <c r="L425" s="79" t="s">
        <v>292</v>
      </c>
      <c r="M425" s="18"/>
      <c r="N425" s="18">
        <v>3</v>
      </c>
      <c r="O425" s="18"/>
      <c r="P425" s="79" t="s">
        <v>517</v>
      </c>
      <c r="Q425" s="79"/>
      <c r="R425" s="18" t="s">
        <v>632</v>
      </c>
      <c r="S425" s="18" t="s">
        <v>247</v>
      </c>
      <c r="T425" s="163" t="s">
        <v>631</v>
      </c>
      <c r="U425" s="156" t="str">
        <f>+U424</f>
        <v>BDU131FN01</v>
      </c>
      <c r="X425" s="64" t="str">
        <f>+X424</f>
        <v>BR4-2150-E-00106</v>
      </c>
      <c r="Y425" s="17" t="str">
        <f>+Y424</f>
        <v>A</v>
      </c>
      <c r="AA425" s="46"/>
      <c r="AC425" s="19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</row>
    <row r="426" spans="1:53" s="17" customFormat="1" x14ac:dyDescent="0.3">
      <c r="A426" s="33"/>
      <c r="B426" s="33"/>
      <c r="C426" s="18"/>
      <c r="D426" s="18"/>
      <c r="E426" s="18"/>
      <c r="F426" s="18"/>
      <c r="G426" s="18" t="s">
        <v>481</v>
      </c>
      <c r="H426" s="65">
        <f>H425</f>
        <v>1</v>
      </c>
      <c r="I426" s="161">
        <v>2</v>
      </c>
      <c r="J426" s="160" t="s">
        <v>229</v>
      </c>
      <c r="K426" s="65"/>
      <c r="L426" s="79" t="s">
        <v>292</v>
      </c>
      <c r="M426" s="18"/>
      <c r="N426" s="83">
        <v>6</v>
      </c>
      <c r="O426" s="83"/>
      <c r="P426" s="92" t="s">
        <v>630</v>
      </c>
      <c r="Q426" s="92"/>
      <c r="R426" s="92" t="s">
        <v>629</v>
      </c>
      <c r="S426" s="83" t="s">
        <v>299</v>
      </c>
      <c r="T426" s="162" t="s">
        <v>628</v>
      </c>
      <c r="U426" s="156" t="str">
        <f>+U425</f>
        <v>BDU131FN01</v>
      </c>
      <c r="W426" s="33"/>
      <c r="X426" s="64" t="str">
        <f>+X425</f>
        <v>BR4-2150-E-00106</v>
      </c>
      <c r="Y426" s="17" t="str">
        <f>+Y425</f>
        <v>A</v>
      </c>
      <c r="AA426" s="46"/>
      <c r="AC426" s="19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</row>
    <row r="427" spans="1:53" s="17" customFormat="1" x14ac:dyDescent="0.3">
      <c r="A427" s="33"/>
      <c r="B427" s="33"/>
      <c r="C427" s="18"/>
      <c r="D427" s="18"/>
      <c r="E427" s="18"/>
      <c r="F427" s="18"/>
      <c r="G427" s="18" t="s">
        <v>481</v>
      </c>
      <c r="H427" s="65">
        <f>H426</f>
        <v>1</v>
      </c>
      <c r="I427" s="161">
        <v>3</v>
      </c>
      <c r="J427" s="160" t="s">
        <v>218</v>
      </c>
      <c r="K427" s="65"/>
      <c r="L427" s="79" t="s">
        <v>292</v>
      </c>
      <c r="M427" s="18"/>
      <c r="N427" s="33"/>
      <c r="O427" s="33"/>
      <c r="U427" s="156" t="str">
        <f>+U426</f>
        <v>BDU131FN01</v>
      </c>
      <c r="W427" s="33"/>
      <c r="X427" s="64" t="str">
        <f>+X426</f>
        <v>BR4-2150-E-00106</v>
      </c>
      <c r="Y427" s="17" t="str">
        <f>+Y426</f>
        <v>A</v>
      </c>
      <c r="AA427" s="46"/>
      <c r="AC427" s="19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</row>
    <row r="428" spans="1:53" s="17" customFormat="1" ht="13.5" thickBot="1" x14ac:dyDescent="0.35">
      <c r="A428" s="33"/>
      <c r="B428" s="33"/>
      <c r="C428" s="18"/>
      <c r="D428" s="18"/>
      <c r="E428" s="18"/>
      <c r="F428" s="18"/>
      <c r="G428" s="18" t="s">
        <v>481</v>
      </c>
      <c r="H428" s="65">
        <f>H427</f>
        <v>1</v>
      </c>
      <c r="I428" s="159">
        <v>4</v>
      </c>
      <c r="J428" s="158" t="s">
        <v>627</v>
      </c>
      <c r="K428" s="65"/>
      <c r="L428" s="79" t="s">
        <v>292</v>
      </c>
      <c r="M428" s="18"/>
      <c r="N428" s="83">
        <v>4</v>
      </c>
      <c r="O428" s="83"/>
      <c r="P428" s="92" t="s">
        <v>433</v>
      </c>
      <c r="Q428" s="92"/>
      <c r="R428" s="92" t="s">
        <v>626</v>
      </c>
      <c r="S428" s="83" t="s">
        <v>625</v>
      </c>
      <c r="T428" s="157" t="s">
        <v>624</v>
      </c>
      <c r="U428" s="156" t="str">
        <f>+U427</f>
        <v>BDU131FN01</v>
      </c>
      <c r="W428" s="33"/>
      <c r="X428" s="64" t="str">
        <f>+X427</f>
        <v>BR4-2150-E-00106</v>
      </c>
      <c r="Y428" s="17" t="str">
        <f>+Y427</f>
        <v>A</v>
      </c>
      <c r="AA428" s="46"/>
      <c r="AC428" s="19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</row>
    <row r="429" spans="1:53" s="17" customFormat="1" ht="13.5" thickBot="1" x14ac:dyDescent="0.35">
      <c r="A429" s="33"/>
      <c r="B429" s="33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AA429" s="46"/>
      <c r="AC429" s="19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</row>
    <row r="430" spans="1:53" s="17" customFormat="1" x14ac:dyDescent="0.3">
      <c r="A430" s="33"/>
      <c r="B430" s="33"/>
      <c r="C430" s="18" t="s">
        <v>647</v>
      </c>
      <c r="D430" s="18"/>
      <c r="E430" s="18"/>
      <c r="F430" s="18"/>
      <c r="G430" s="18" t="s">
        <v>481</v>
      </c>
      <c r="H430" s="144">
        <v>1</v>
      </c>
      <c r="I430" s="167">
        <v>1</v>
      </c>
      <c r="J430" s="166" t="s">
        <v>648</v>
      </c>
      <c r="K430" s="65" t="s">
        <v>647</v>
      </c>
      <c r="L430" s="79" t="s">
        <v>323</v>
      </c>
      <c r="M430" s="18"/>
      <c r="N430" s="18">
        <v>3</v>
      </c>
      <c r="O430" s="18"/>
      <c r="P430" s="79" t="s">
        <v>646</v>
      </c>
      <c r="Q430" s="79"/>
      <c r="R430" s="64" t="s">
        <v>626</v>
      </c>
      <c r="S430" s="64" t="s">
        <v>247</v>
      </c>
      <c r="T430" s="163" t="s">
        <v>624</v>
      </c>
      <c r="U430" s="165" t="s">
        <v>675</v>
      </c>
      <c r="X430" s="64" t="s">
        <v>674</v>
      </c>
      <c r="Y430" s="17" t="s">
        <v>289</v>
      </c>
      <c r="AA430" s="46"/>
      <c r="AC430" s="19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</row>
    <row r="431" spans="1:53" s="17" customFormat="1" x14ac:dyDescent="0.3">
      <c r="A431" s="33"/>
      <c r="B431" s="33"/>
      <c r="C431" s="18"/>
      <c r="D431" s="18"/>
      <c r="E431" s="18"/>
      <c r="F431" s="18"/>
      <c r="G431" s="18" t="s">
        <v>481</v>
      </c>
      <c r="H431" s="65">
        <f>H430</f>
        <v>1</v>
      </c>
      <c r="I431" s="161">
        <v>2</v>
      </c>
      <c r="J431" s="164" t="s">
        <v>642</v>
      </c>
      <c r="K431" s="99" t="s">
        <v>287</v>
      </c>
      <c r="L431" s="79" t="s">
        <v>323</v>
      </c>
      <c r="M431" s="18"/>
      <c r="N431" s="83">
        <v>4</v>
      </c>
      <c r="O431" s="83"/>
      <c r="P431" s="92" t="s">
        <v>429</v>
      </c>
      <c r="Q431" s="92"/>
      <c r="R431" s="92" t="s">
        <v>626</v>
      </c>
      <c r="S431" s="64" t="s">
        <v>427</v>
      </c>
      <c r="T431" s="163" t="s">
        <v>624</v>
      </c>
      <c r="U431" s="156" t="str">
        <f>+U430</f>
        <v>BCV131AFN01</v>
      </c>
      <c r="X431" s="64" t="str">
        <f>+X430</f>
        <v>BR4-2150-E-00096</v>
      </c>
      <c r="Y431" s="17" t="str">
        <f>+Y430</f>
        <v>A</v>
      </c>
      <c r="AA431" s="46"/>
      <c r="AC431" s="19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</row>
    <row r="432" spans="1:53" s="17" customFormat="1" x14ac:dyDescent="0.3">
      <c r="A432" s="33"/>
      <c r="B432" s="33"/>
      <c r="C432" s="18"/>
      <c r="D432" s="18"/>
      <c r="E432" s="18"/>
      <c r="F432" s="18"/>
      <c r="G432" s="18" t="s">
        <v>481</v>
      </c>
      <c r="H432" s="65">
        <f>H431</f>
        <v>1</v>
      </c>
      <c r="I432" s="161">
        <v>3</v>
      </c>
      <c r="J432" s="164" t="s">
        <v>641</v>
      </c>
      <c r="K432" s="65"/>
      <c r="L432" s="79" t="s">
        <v>323</v>
      </c>
      <c r="M432" s="18"/>
      <c r="N432" s="18">
        <v>3</v>
      </c>
      <c r="O432" s="18"/>
      <c r="P432" s="97" t="s">
        <v>252</v>
      </c>
      <c r="Q432" s="97"/>
      <c r="R432" s="18" t="s">
        <v>640</v>
      </c>
      <c r="S432" s="18" t="s">
        <v>247</v>
      </c>
      <c r="T432" s="73" t="s">
        <v>639</v>
      </c>
      <c r="U432" s="156" t="str">
        <f>+U431</f>
        <v>BCV131AFN01</v>
      </c>
      <c r="X432" s="64" t="str">
        <f>+X431</f>
        <v>BR4-2150-E-00096</v>
      </c>
      <c r="Y432" s="17" t="str">
        <f>+Y431</f>
        <v>A</v>
      </c>
      <c r="AA432" s="46"/>
      <c r="AC432" s="19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</row>
    <row r="433" spans="1:53" s="17" customFormat="1" x14ac:dyDescent="0.3">
      <c r="A433" s="33"/>
      <c r="B433" s="33"/>
      <c r="C433" s="18"/>
      <c r="D433" s="18"/>
      <c r="E433" s="18"/>
      <c r="F433" s="18"/>
      <c r="G433" s="18" t="s">
        <v>481</v>
      </c>
      <c r="H433" s="65">
        <f>H432</f>
        <v>1</v>
      </c>
      <c r="I433" s="161">
        <v>4</v>
      </c>
      <c r="J433" s="164" t="s">
        <v>638</v>
      </c>
      <c r="K433" s="65"/>
      <c r="L433" s="79" t="s">
        <v>323</v>
      </c>
      <c r="M433" s="18"/>
      <c r="N433" s="18">
        <v>3</v>
      </c>
      <c r="O433" s="18"/>
      <c r="P433" s="79" t="s">
        <v>637</v>
      </c>
      <c r="Q433" s="79"/>
      <c r="R433" s="18" t="s">
        <v>636</v>
      </c>
      <c r="S433" s="18" t="s">
        <v>211</v>
      </c>
      <c r="T433" s="163" t="s">
        <v>635</v>
      </c>
      <c r="U433" s="156" t="str">
        <f>+U432</f>
        <v>BCV131AFN01</v>
      </c>
      <c r="X433" s="64" t="str">
        <f>+X432</f>
        <v>BR4-2150-E-00096</v>
      </c>
      <c r="Y433" s="17" t="str">
        <f>+Y432</f>
        <v>A</v>
      </c>
      <c r="AA433" s="46"/>
      <c r="AC433" s="19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</row>
    <row r="434" spans="1:53" s="17" customFormat="1" x14ac:dyDescent="0.3">
      <c r="A434" s="33"/>
      <c r="B434" s="33"/>
      <c r="C434" s="18"/>
      <c r="D434" s="18"/>
      <c r="E434" s="18"/>
      <c r="F434" s="18"/>
      <c r="G434" s="18" t="s">
        <v>481</v>
      </c>
      <c r="H434" s="65">
        <f>H433</f>
        <v>1</v>
      </c>
      <c r="I434" s="161">
        <v>5</v>
      </c>
      <c r="J434" s="164" t="s">
        <v>634</v>
      </c>
      <c r="K434" s="65"/>
      <c r="L434" s="79" t="s">
        <v>323</v>
      </c>
      <c r="M434" s="18"/>
      <c r="N434" s="18"/>
      <c r="O434" s="18"/>
      <c r="P434" s="79"/>
      <c r="Q434" s="79"/>
      <c r="R434" s="18"/>
      <c r="S434" s="163"/>
      <c r="T434" s="163"/>
      <c r="U434" s="156" t="str">
        <f>+U433</f>
        <v>BCV131AFN01</v>
      </c>
      <c r="X434" s="64" t="str">
        <f>+X433</f>
        <v>BR4-2150-E-00096</v>
      </c>
      <c r="Y434" s="17" t="str">
        <f>+Y433</f>
        <v>A</v>
      </c>
      <c r="AA434" s="46"/>
      <c r="AC434" s="19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</row>
    <row r="435" spans="1:53" s="17" customFormat="1" x14ac:dyDescent="0.3">
      <c r="A435" s="33"/>
      <c r="B435" s="33"/>
      <c r="C435" s="18"/>
      <c r="D435" s="18"/>
      <c r="E435" s="18"/>
      <c r="F435" s="18"/>
      <c r="G435" s="18" t="s">
        <v>481</v>
      </c>
      <c r="H435" s="65">
        <f>H434</f>
        <v>1</v>
      </c>
      <c r="I435" s="161">
        <v>6</v>
      </c>
      <c r="J435" s="164" t="s">
        <v>633</v>
      </c>
      <c r="K435" s="65"/>
      <c r="L435" s="79" t="s">
        <v>323</v>
      </c>
      <c r="M435" s="18"/>
      <c r="N435" s="18">
        <v>3</v>
      </c>
      <c r="O435" s="18"/>
      <c r="P435" s="79" t="s">
        <v>589</v>
      </c>
      <c r="Q435" s="79"/>
      <c r="R435" s="18" t="s">
        <v>365</v>
      </c>
      <c r="S435" s="163" t="s">
        <v>364</v>
      </c>
      <c r="T435" s="163"/>
      <c r="U435" s="156" t="str">
        <f>+U434</f>
        <v>BCV131AFN01</v>
      </c>
      <c r="X435" s="64" t="str">
        <f>+X434</f>
        <v>BR4-2150-E-00096</v>
      </c>
      <c r="Y435" s="17" t="str">
        <f>+Y434</f>
        <v>A</v>
      </c>
      <c r="AA435" s="46"/>
      <c r="AC435" s="19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</row>
    <row r="436" spans="1:53" s="17" customFormat="1" x14ac:dyDescent="0.3">
      <c r="A436" s="33"/>
      <c r="B436" s="33"/>
      <c r="C436" s="18"/>
      <c r="D436" s="18"/>
      <c r="E436" s="18"/>
      <c r="F436" s="18"/>
      <c r="G436" s="18" t="s">
        <v>481</v>
      </c>
      <c r="H436" s="65">
        <f>H435</f>
        <v>1</v>
      </c>
      <c r="I436" s="161">
        <v>1</v>
      </c>
      <c r="J436" s="164" t="s">
        <v>233</v>
      </c>
      <c r="K436" s="65"/>
      <c r="L436" s="79" t="s">
        <v>292</v>
      </c>
      <c r="M436" s="18"/>
      <c r="N436" s="18">
        <v>3</v>
      </c>
      <c r="O436" s="18"/>
      <c r="P436" s="79" t="s">
        <v>517</v>
      </c>
      <c r="Q436" s="79"/>
      <c r="R436" s="18" t="s">
        <v>632</v>
      </c>
      <c r="S436" s="18" t="s">
        <v>247</v>
      </c>
      <c r="T436" s="163" t="s">
        <v>631</v>
      </c>
      <c r="U436" s="156" t="str">
        <f>+U435</f>
        <v>BCV131AFN01</v>
      </c>
      <c r="X436" s="64" t="str">
        <f>+X435</f>
        <v>BR4-2150-E-00096</v>
      </c>
      <c r="Y436" s="17" t="str">
        <f>+Y435</f>
        <v>A</v>
      </c>
      <c r="AA436" s="46"/>
      <c r="AC436" s="19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</row>
    <row r="437" spans="1:53" s="17" customFormat="1" x14ac:dyDescent="0.3">
      <c r="A437" s="33"/>
      <c r="B437" s="33"/>
      <c r="C437" s="18"/>
      <c r="D437" s="18"/>
      <c r="E437" s="18"/>
      <c r="F437" s="18"/>
      <c r="G437" s="18" t="s">
        <v>481</v>
      </c>
      <c r="H437" s="65">
        <f>H436</f>
        <v>1</v>
      </c>
      <c r="I437" s="161">
        <v>2</v>
      </c>
      <c r="J437" s="160" t="s">
        <v>229</v>
      </c>
      <c r="K437" s="65"/>
      <c r="L437" s="79" t="s">
        <v>292</v>
      </c>
      <c r="M437" s="18"/>
      <c r="N437" s="83">
        <v>6</v>
      </c>
      <c r="O437" s="83"/>
      <c r="P437" s="92" t="s">
        <v>630</v>
      </c>
      <c r="Q437" s="92"/>
      <c r="R437" s="92" t="s">
        <v>629</v>
      </c>
      <c r="S437" s="83" t="s">
        <v>299</v>
      </c>
      <c r="T437" s="162" t="s">
        <v>628</v>
      </c>
      <c r="U437" s="156" t="str">
        <f>+U436</f>
        <v>BCV131AFN01</v>
      </c>
      <c r="W437" s="33"/>
      <c r="X437" s="64" t="str">
        <f>+X436</f>
        <v>BR4-2150-E-00096</v>
      </c>
      <c r="Y437" s="17" t="str">
        <f>+Y436</f>
        <v>A</v>
      </c>
      <c r="AA437" s="46"/>
      <c r="AC437" s="19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</row>
    <row r="438" spans="1:53" s="17" customFormat="1" x14ac:dyDescent="0.3">
      <c r="A438" s="33"/>
      <c r="B438" s="33"/>
      <c r="C438" s="18"/>
      <c r="D438" s="18"/>
      <c r="E438" s="18"/>
      <c r="F438" s="18"/>
      <c r="G438" s="18" t="s">
        <v>481</v>
      </c>
      <c r="H438" s="65">
        <f>H437</f>
        <v>1</v>
      </c>
      <c r="I438" s="161">
        <v>3</v>
      </c>
      <c r="J438" s="160" t="s">
        <v>218</v>
      </c>
      <c r="K438" s="65"/>
      <c r="L438" s="79" t="s">
        <v>292</v>
      </c>
      <c r="M438" s="18"/>
      <c r="N438" s="33"/>
      <c r="O438" s="33"/>
      <c r="U438" s="156" t="str">
        <f>+U437</f>
        <v>BCV131AFN01</v>
      </c>
      <c r="W438" s="33"/>
      <c r="X438" s="64" t="str">
        <f>+X437</f>
        <v>BR4-2150-E-00096</v>
      </c>
      <c r="Y438" s="17" t="str">
        <f>+Y437</f>
        <v>A</v>
      </c>
      <c r="AA438" s="46"/>
      <c r="AC438" s="19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</row>
    <row r="439" spans="1:53" s="17" customFormat="1" ht="13.5" thickBot="1" x14ac:dyDescent="0.35">
      <c r="A439" s="33"/>
      <c r="B439" s="33"/>
      <c r="C439" s="18"/>
      <c r="D439" s="18"/>
      <c r="E439" s="18"/>
      <c r="F439" s="18"/>
      <c r="G439" s="18" t="s">
        <v>481</v>
      </c>
      <c r="H439" s="65">
        <f>H438</f>
        <v>1</v>
      </c>
      <c r="I439" s="159">
        <v>4</v>
      </c>
      <c r="J439" s="158" t="s">
        <v>627</v>
      </c>
      <c r="K439" s="65"/>
      <c r="L439" s="79" t="s">
        <v>292</v>
      </c>
      <c r="M439" s="18"/>
      <c r="N439" s="83">
        <v>4</v>
      </c>
      <c r="O439" s="83"/>
      <c r="P439" s="92" t="s">
        <v>433</v>
      </c>
      <c r="Q439" s="92"/>
      <c r="R439" s="92" t="s">
        <v>626</v>
      </c>
      <c r="S439" s="83" t="s">
        <v>625</v>
      </c>
      <c r="T439" s="157" t="s">
        <v>624</v>
      </c>
      <c r="U439" s="156" t="str">
        <f>+U438</f>
        <v>BCV131AFN01</v>
      </c>
      <c r="W439" s="33"/>
      <c r="X439" s="64" t="str">
        <f>+X438</f>
        <v>BR4-2150-E-00096</v>
      </c>
      <c r="Y439" s="17" t="str">
        <f>+Y438</f>
        <v>A</v>
      </c>
      <c r="AA439" s="46"/>
      <c r="AC439" s="19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</row>
    <row r="440" spans="1:53" s="17" customFormat="1" ht="13.5" thickBot="1" x14ac:dyDescent="0.35">
      <c r="A440" s="33"/>
      <c r="B440" s="33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A440" s="46"/>
      <c r="AC440" s="19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</row>
    <row r="441" spans="1:53" s="17" customFormat="1" x14ac:dyDescent="0.3">
      <c r="A441" s="33"/>
      <c r="B441" s="33"/>
      <c r="C441" s="18" t="s">
        <v>647</v>
      </c>
      <c r="D441" s="18"/>
      <c r="E441" s="18"/>
      <c r="F441" s="18"/>
      <c r="G441" s="18" t="s">
        <v>481</v>
      </c>
      <c r="H441" s="144">
        <v>1</v>
      </c>
      <c r="I441" s="167">
        <v>1</v>
      </c>
      <c r="J441" s="166" t="s">
        <v>648</v>
      </c>
      <c r="K441" s="65" t="s">
        <v>647</v>
      </c>
      <c r="L441" s="79" t="s">
        <v>323</v>
      </c>
      <c r="M441" s="18"/>
      <c r="N441" s="18">
        <v>3</v>
      </c>
      <c r="O441" s="18"/>
      <c r="P441" s="79" t="s">
        <v>646</v>
      </c>
      <c r="Q441" s="79"/>
      <c r="R441" s="64" t="s">
        <v>626</v>
      </c>
      <c r="S441" s="64" t="s">
        <v>247</v>
      </c>
      <c r="T441" s="163" t="s">
        <v>624</v>
      </c>
      <c r="U441" s="165" t="s">
        <v>673</v>
      </c>
      <c r="X441" s="64" t="s">
        <v>672</v>
      </c>
      <c r="Y441" s="17" t="s">
        <v>289</v>
      </c>
      <c r="AA441" s="46"/>
      <c r="AC441" s="19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</row>
    <row r="442" spans="1:53" s="17" customFormat="1" x14ac:dyDescent="0.3">
      <c r="A442" s="33"/>
      <c r="B442" s="33"/>
      <c r="C442" s="18"/>
      <c r="D442" s="18"/>
      <c r="E442" s="18"/>
      <c r="F442" s="18"/>
      <c r="G442" s="18" t="s">
        <v>481</v>
      </c>
      <c r="H442" s="65">
        <f>H441</f>
        <v>1</v>
      </c>
      <c r="I442" s="161">
        <v>2</v>
      </c>
      <c r="J442" s="164" t="s">
        <v>642</v>
      </c>
      <c r="K442" s="99" t="s">
        <v>287</v>
      </c>
      <c r="L442" s="79" t="s">
        <v>323</v>
      </c>
      <c r="M442" s="18"/>
      <c r="N442" s="83">
        <v>4</v>
      </c>
      <c r="O442" s="83"/>
      <c r="P442" s="92" t="s">
        <v>429</v>
      </c>
      <c r="Q442" s="92"/>
      <c r="R442" s="92" t="s">
        <v>626</v>
      </c>
      <c r="S442" s="64" t="s">
        <v>427</v>
      </c>
      <c r="T442" s="163" t="s">
        <v>624</v>
      </c>
      <c r="U442" s="156" t="str">
        <f>+U441</f>
        <v>BCV131AFN02</v>
      </c>
      <c r="X442" s="64" t="str">
        <f>+X441</f>
        <v>BR4-2150-E-00090</v>
      </c>
      <c r="Y442" s="17" t="s">
        <v>289</v>
      </c>
      <c r="AA442" s="46"/>
      <c r="AC442" s="19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</row>
    <row r="443" spans="1:53" s="17" customFormat="1" x14ac:dyDescent="0.3">
      <c r="A443" s="33"/>
      <c r="B443" s="33"/>
      <c r="C443" s="18"/>
      <c r="D443" s="18"/>
      <c r="E443" s="18"/>
      <c r="F443" s="18"/>
      <c r="G443" s="18" t="s">
        <v>481</v>
      </c>
      <c r="H443" s="65">
        <f>H442</f>
        <v>1</v>
      </c>
      <c r="I443" s="161">
        <v>3</v>
      </c>
      <c r="J443" s="164" t="s">
        <v>641</v>
      </c>
      <c r="K443" s="65"/>
      <c r="L443" s="79" t="s">
        <v>323</v>
      </c>
      <c r="M443" s="18"/>
      <c r="N443" s="18">
        <v>3</v>
      </c>
      <c r="O443" s="18"/>
      <c r="P443" s="97" t="s">
        <v>252</v>
      </c>
      <c r="Q443" s="97"/>
      <c r="R443" s="18" t="s">
        <v>640</v>
      </c>
      <c r="S443" s="18" t="s">
        <v>247</v>
      </c>
      <c r="T443" s="73" t="s">
        <v>639</v>
      </c>
      <c r="U443" s="156" t="str">
        <f>+U442</f>
        <v>BCV131AFN02</v>
      </c>
      <c r="X443" s="64" t="str">
        <f>+X442</f>
        <v>BR4-2150-E-00090</v>
      </c>
      <c r="Y443" s="17" t="s">
        <v>289</v>
      </c>
      <c r="AA443" s="46"/>
      <c r="AC443" s="19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</row>
    <row r="444" spans="1:53" s="17" customFormat="1" x14ac:dyDescent="0.3">
      <c r="A444" s="33"/>
      <c r="B444" s="33"/>
      <c r="C444" s="18"/>
      <c r="D444" s="18"/>
      <c r="E444" s="18"/>
      <c r="F444" s="18"/>
      <c r="G444" s="18" t="s">
        <v>481</v>
      </c>
      <c r="H444" s="65">
        <f>H443</f>
        <v>1</v>
      </c>
      <c r="I444" s="161">
        <v>4</v>
      </c>
      <c r="J444" s="164" t="s">
        <v>638</v>
      </c>
      <c r="K444" s="65"/>
      <c r="L444" s="79" t="s">
        <v>323</v>
      </c>
      <c r="M444" s="18"/>
      <c r="N444" s="18">
        <v>3</v>
      </c>
      <c r="O444" s="18"/>
      <c r="P444" s="79" t="s">
        <v>637</v>
      </c>
      <c r="Q444" s="79"/>
      <c r="R444" s="18" t="s">
        <v>636</v>
      </c>
      <c r="S444" s="18" t="s">
        <v>211</v>
      </c>
      <c r="T444" s="163" t="s">
        <v>635</v>
      </c>
      <c r="U444" s="156" t="str">
        <f>+U443</f>
        <v>BCV131AFN02</v>
      </c>
      <c r="X444" s="64" t="str">
        <f>+X443</f>
        <v>BR4-2150-E-00090</v>
      </c>
      <c r="Y444" s="17" t="s">
        <v>289</v>
      </c>
      <c r="AA444" s="46"/>
      <c r="AC444" s="19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</row>
    <row r="445" spans="1:53" s="17" customFormat="1" x14ac:dyDescent="0.3">
      <c r="A445" s="33"/>
      <c r="B445" s="33"/>
      <c r="C445" s="18"/>
      <c r="D445" s="18"/>
      <c r="E445" s="18"/>
      <c r="F445" s="18"/>
      <c r="G445" s="18" t="s">
        <v>481</v>
      </c>
      <c r="H445" s="65">
        <f>H444</f>
        <v>1</v>
      </c>
      <c r="I445" s="161">
        <v>5</v>
      </c>
      <c r="J445" s="164" t="s">
        <v>634</v>
      </c>
      <c r="K445" s="65"/>
      <c r="L445" s="79" t="s">
        <v>323</v>
      </c>
      <c r="M445" s="18"/>
      <c r="N445" s="18"/>
      <c r="O445" s="18"/>
      <c r="P445" s="79"/>
      <c r="Q445" s="79"/>
      <c r="R445" s="18"/>
      <c r="S445" s="163"/>
      <c r="T445" s="163"/>
      <c r="U445" s="156" t="str">
        <f>+U444</f>
        <v>BCV131AFN02</v>
      </c>
      <c r="X445" s="64" t="str">
        <f>+X444</f>
        <v>BR4-2150-E-00090</v>
      </c>
      <c r="Y445" s="17" t="s">
        <v>289</v>
      </c>
      <c r="AA445" s="46"/>
      <c r="AC445" s="19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</row>
    <row r="446" spans="1:53" s="17" customFormat="1" x14ac:dyDescent="0.3">
      <c r="A446" s="33"/>
      <c r="B446" s="33"/>
      <c r="C446" s="18"/>
      <c r="D446" s="18"/>
      <c r="E446" s="18"/>
      <c r="F446" s="18"/>
      <c r="G446" s="18" t="s">
        <v>481</v>
      </c>
      <c r="H446" s="65">
        <f>H445</f>
        <v>1</v>
      </c>
      <c r="I446" s="161">
        <v>6</v>
      </c>
      <c r="J446" s="164" t="s">
        <v>633</v>
      </c>
      <c r="K446" s="65"/>
      <c r="L446" s="79" t="s">
        <v>323</v>
      </c>
      <c r="M446" s="18"/>
      <c r="N446" s="18">
        <v>3</v>
      </c>
      <c r="O446" s="18"/>
      <c r="P446" s="79" t="s">
        <v>589</v>
      </c>
      <c r="Q446" s="79"/>
      <c r="R446" s="18" t="s">
        <v>365</v>
      </c>
      <c r="S446" s="163" t="s">
        <v>364</v>
      </c>
      <c r="T446" s="163"/>
      <c r="U446" s="156" t="str">
        <f>+U445</f>
        <v>BCV131AFN02</v>
      </c>
      <c r="X446" s="64" t="str">
        <f>+X445</f>
        <v>BR4-2150-E-00090</v>
      </c>
      <c r="Y446" s="17" t="s">
        <v>289</v>
      </c>
      <c r="AA446" s="46"/>
      <c r="AC446" s="19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</row>
    <row r="447" spans="1:53" s="17" customFormat="1" x14ac:dyDescent="0.3">
      <c r="A447" s="33"/>
      <c r="B447" s="33"/>
      <c r="C447" s="18"/>
      <c r="D447" s="18"/>
      <c r="E447" s="18"/>
      <c r="F447" s="18"/>
      <c r="G447" s="18" t="s">
        <v>481</v>
      </c>
      <c r="H447" s="65">
        <f>H446</f>
        <v>1</v>
      </c>
      <c r="I447" s="161">
        <v>1</v>
      </c>
      <c r="J447" s="164" t="s">
        <v>233</v>
      </c>
      <c r="K447" s="65"/>
      <c r="L447" s="79" t="s">
        <v>292</v>
      </c>
      <c r="M447" s="18"/>
      <c r="N447" s="18">
        <v>3</v>
      </c>
      <c r="O447" s="18"/>
      <c r="P447" s="79" t="s">
        <v>517</v>
      </c>
      <c r="Q447" s="79"/>
      <c r="R447" s="18" t="s">
        <v>632</v>
      </c>
      <c r="S447" s="18" t="s">
        <v>247</v>
      </c>
      <c r="T447" s="163" t="s">
        <v>631</v>
      </c>
      <c r="U447" s="156" t="str">
        <f>+U446</f>
        <v>BCV131AFN02</v>
      </c>
      <c r="X447" s="64" t="str">
        <f>+X446</f>
        <v>BR4-2150-E-00090</v>
      </c>
      <c r="Y447" s="17" t="s">
        <v>289</v>
      </c>
      <c r="AA447" s="46"/>
      <c r="AC447" s="19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</row>
    <row r="448" spans="1:53" s="17" customFormat="1" x14ac:dyDescent="0.3">
      <c r="A448" s="33"/>
      <c r="B448" s="33"/>
      <c r="C448" s="18"/>
      <c r="D448" s="18"/>
      <c r="E448" s="18"/>
      <c r="F448" s="18"/>
      <c r="G448" s="18" t="s">
        <v>481</v>
      </c>
      <c r="H448" s="65">
        <f>H447</f>
        <v>1</v>
      </c>
      <c r="I448" s="161">
        <v>2</v>
      </c>
      <c r="J448" s="160" t="s">
        <v>229</v>
      </c>
      <c r="K448" s="65"/>
      <c r="L448" s="79" t="s">
        <v>292</v>
      </c>
      <c r="M448" s="18"/>
      <c r="N448" s="83">
        <v>6</v>
      </c>
      <c r="O448" s="83"/>
      <c r="P448" s="92" t="s">
        <v>630</v>
      </c>
      <c r="Q448" s="92"/>
      <c r="R448" s="92" t="s">
        <v>629</v>
      </c>
      <c r="S448" s="83" t="s">
        <v>299</v>
      </c>
      <c r="T448" s="162" t="s">
        <v>628</v>
      </c>
      <c r="U448" s="156" t="str">
        <f>+U447</f>
        <v>BCV131AFN02</v>
      </c>
      <c r="W448" s="33"/>
      <c r="X448" s="64" t="str">
        <f>+X447</f>
        <v>BR4-2150-E-00090</v>
      </c>
      <c r="Y448" s="17" t="s">
        <v>289</v>
      </c>
      <c r="AA448" s="46"/>
      <c r="AC448" s="19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</row>
    <row r="449" spans="1:53" s="17" customFormat="1" x14ac:dyDescent="0.3">
      <c r="A449" s="33"/>
      <c r="B449" s="33"/>
      <c r="C449" s="18"/>
      <c r="D449" s="18"/>
      <c r="E449" s="18"/>
      <c r="F449" s="18"/>
      <c r="G449" s="18" t="s">
        <v>481</v>
      </c>
      <c r="H449" s="65">
        <f>H448</f>
        <v>1</v>
      </c>
      <c r="I449" s="161">
        <v>3</v>
      </c>
      <c r="J449" s="160" t="s">
        <v>218</v>
      </c>
      <c r="K449" s="65"/>
      <c r="L449" s="79" t="s">
        <v>292</v>
      </c>
      <c r="M449" s="18"/>
      <c r="N449" s="33"/>
      <c r="O449" s="33"/>
      <c r="U449" s="156" t="str">
        <f>+U448</f>
        <v>BCV131AFN02</v>
      </c>
      <c r="W449" s="33"/>
      <c r="X449" s="64" t="str">
        <f>+X448</f>
        <v>BR4-2150-E-00090</v>
      </c>
      <c r="Y449" s="17" t="s">
        <v>289</v>
      </c>
      <c r="AA449" s="46"/>
      <c r="AC449" s="19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</row>
    <row r="450" spans="1:53" s="17" customFormat="1" ht="13.5" thickBot="1" x14ac:dyDescent="0.35">
      <c r="A450" s="33"/>
      <c r="B450" s="33"/>
      <c r="C450" s="18"/>
      <c r="D450" s="18"/>
      <c r="E450" s="18"/>
      <c r="F450" s="18"/>
      <c r="G450" s="18" t="s">
        <v>481</v>
      </c>
      <c r="H450" s="65">
        <f>H449</f>
        <v>1</v>
      </c>
      <c r="I450" s="159">
        <v>4</v>
      </c>
      <c r="J450" s="158" t="s">
        <v>627</v>
      </c>
      <c r="K450" s="65"/>
      <c r="L450" s="79" t="s">
        <v>292</v>
      </c>
      <c r="M450" s="18"/>
      <c r="N450" s="83">
        <v>4</v>
      </c>
      <c r="O450" s="83"/>
      <c r="P450" s="92" t="s">
        <v>433</v>
      </c>
      <c r="Q450" s="92"/>
      <c r="R450" s="92" t="s">
        <v>626</v>
      </c>
      <c r="S450" s="83" t="s">
        <v>625</v>
      </c>
      <c r="T450" s="157" t="s">
        <v>624</v>
      </c>
      <c r="U450" s="156" t="str">
        <f>+U449</f>
        <v>BCV131AFN02</v>
      </c>
      <c r="W450" s="33"/>
      <c r="X450" s="64" t="str">
        <f>+X449</f>
        <v>BR4-2150-E-00090</v>
      </c>
      <c r="Y450" s="17" t="s">
        <v>289</v>
      </c>
      <c r="AA450" s="46"/>
      <c r="AC450" s="19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</row>
    <row r="451" spans="1:53" s="17" customFormat="1" ht="13.5" thickBot="1" x14ac:dyDescent="0.35">
      <c r="A451" s="33"/>
      <c r="B451" s="33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64"/>
      <c r="Y451" s="18"/>
      <c r="AA451" s="46"/>
      <c r="AC451" s="19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</row>
    <row r="452" spans="1:53" s="17" customFormat="1" x14ac:dyDescent="0.3">
      <c r="A452" s="33"/>
      <c r="B452" s="33"/>
      <c r="C452" s="18" t="s">
        <v>647</v>
      </c>
      <c r="D452" s="18"/>
      <c r="E452" s="18"/>
      <c r="F452" s="18"/>
      <c r="G452" s="18" t="s">
        <v>481</v>
      </c>
      <c r="H452" s="144">
        <v>1</v>
      </c>
      <c r="I452" s="167">
        <v>1</v>
      </c>
      <c r="J452" s="166" t="s">
        <v>648</v>
      </c>
      <c r="K452" s="65" t="s">
        <v>647</v>
      </c>
      <c r="L452" s="79" t="s">
        <v>323</v>
      </c>
      <c r="M452" s="18"/>
      <c r="N452" s="18">
        <v>3</v>
      </c>
      <c r="O452" s="18"/>
      <c r="P452" s="79" t="s">
        <v>646</v>
      </c>
      <c r="Q452" s="79"/>
      <c r="R452" s="64" t="s">
        <v>626</v>
      </c>
      <c r="S452" s="64" t="s">
        <v>247</v>
      </c>
      <c r="T452" s="163" t="s">
        <v>624</v>
      </c>
      <c r="U452" s="165" t="s">
        <v>671</v>
      </c>
      <c r="X452" s="64" t="s">
        <v>670</v>
      </c>
      <c r="Y452" s="17" t="s">
        <v>289</v>
      </c>
      <c r="AA452" s="46"/>
      <c r="AC452" s="19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</row>
    <row r="453" spans="1:53" s="17" customFormat="1" x14ac:dyDescent="0.3">
      <c r="A453" s="33"/>
      <c r="B453" s="33"/>
      <c r="C453" s="18"/>
      <c r="D453" s="18"/>
      <c r="E453" s="18"/>
      <c r="F453" s="18"/>
      <c r="G453" s="18" t="s">
        <v>481</v>
      </c>
      <c r="H453" s="65">
        <f>H452</f>
        <v>1</v>
      </c>
      <c r="I453" s="161">
        <v>2</v>
      </c>
      <c r="J453" s="164" t="s">
        <v>642</v>
      </c>
      <c r="K453" s="99" t="s">
        <v>287</v>
      </c>
      <c r="L453" s="79" t="s">
        <v>323</v>
      </c>
      <c r="M453" s="18"/>
      <c r="N453" s="83">
        <v>4</v>
      </c>
      <c r="O453" s="83"/>
      <c r="P453" s="92" t="s">
        <v>429</v>
      </c>
      <c r="Q453" s="92"/>
      <c r="R453" s="92" t="s">
        <v>626</v>
      </c>
      <c r="S453" s="64" t="s">
        <v>427</v>
      </c>
      <c r="T453" s="163" t="s">
        <v>624</v>
      </c>
      <c r="U453" s="156" t="str">
        <f>+U452</f>
        <v>BCV131AFN03</v>
      </c>
      <c r="X453" s="64" t="str">
        <f>+X452</f>
        <v>BR4-2150-E-00091</v>
      </c>
      <c r="Y453" s="17" t="s">
        <v>289</v>
      </c>
      <c r="AA453" s="46"/>
      <c r="AC453" s="19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</row>
    <row r="454" spans="1:53" s="17" customFormat="1" x14ac:dyDescent="0.3">
      <c r="A454" s="33"/>
      <c r="B454" s="33"/>
      <c r="C454" s="18"/>
      <c r="D454" s="18"/>
      <c r="E454" s="18"/>
      <c r="F454" s="18"/>
      <c r="G454" s="18" t="s">
        <v>481</v>
      </c>
      <c r="H454" s="65">
        <f>H453</f>
        <v>1</v>
      </c>
      <c r="I454" s="161">
        <v>3</v>
      </c>
      <c r="J454" s="164" t="s">
        <v>641</v>
      </c>
      <c r="K454" s="65"/>
      <c r="L454" s="79" t="s">
        <v>323</v>
      </c>
      <c r="M454" s="18"/>
      <c r="N454" s="18">
        <v>3</v>
      </c>
      <c r="O454" s="18"/>
      <c r="P454" s="97" t="s">
        <v>252</v>
      </c>
      <c r="Q454" s="97"/>
      <c r="R454" s="18" t="s">
        <v>640</v>
      </c>
      <c r="S454" s="18" t="s">
        <v>247</v>
      </c>
      <c r="T454" s="73" t="s">
        <v>639</v>
      </c>
      <c r="U454" s="156" t="str">
        <f>+U453</f>
        <v>BCV131AFN03</v>
      </c>
      <c r="X454" s="64" t="str">
        <f>+X453</f>
        <v>BR4-2150-E-00091</v>
      </c>
      <c r="Y454" s="17" t="s">
        <v>289</v>
      </c>
      <c r="AA454" s="46"/>
      <c r="AC454" s="19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</row>
    <row r="455" spans="1:53" s="17" customFormat="1" x14ac:dyDescent="0.3">
      <c r="A455" s="33"/>
      <c r="B455" s="33"/>
      <c r="C455" s="18"/>
      <c r="D455" s="18"/>
      <c r="E455" s="18"/>
      <c r="F455" s="18"/>
      <c r="G455" s="18" t="s">
        <v>481</v>
      </c>
      <c r="H455" s="65">
        <f>H454</f>
        <v>1</v>
      </c>
      <c r="I455" s="161">
        <v>4</v>
      </c>
      <c r="J455" s="164" t="s">
        <v>638</v>
      </c>
      <c r="K455" s="65"/>
      <c r="L455" s="79" t="s">
        <v>323</v>
      </c>
      <c r="M455" s="18"/>
      <c r="N455" s="18">
        <v>3</v>
      </c>
      <c r="O455" s="18"/>
      <c r="P455" s="79" t="s">
        <v>637</v>
      </c>
      <c r="Q455" s="79"/>
      <c r="R455" s="18" t="s">
        <v>636</v>
      </c>
      <c r="S455" s="18" t="s">
        <v>211</v>
      </c>
      <c r="T455" s="163" t="s">
        <v>635</v>
      </c>
      <c r="U455" s="156" t="str">
        <f>+U454</f>
        <v>BCV131AFN03</v>
      </c>
      <c r="X455" s="64" t="str">
        <f>+X454</f>
        <v>BR4-2150-E-00091</v>
      </c>
      <c r="Y455" s="17" t="s">
        <v>289</v>
      </c>
      <c r="AA455" s="46"/>
      <c r="AC455" s="19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</row>
    <row r="456" spans="1:53" s="17" customFormat="1" x14ac:dyDescent="0.3">
      <c r="A456" s="33"/>
      <c r="B456" s="33"/>
      <c r="C456" s="18"/>
      <c r="D456" s="18"/>
      <c r="E456" s="18"/>
      <c r="F456" s="18"/>
      <c r="G456" s="18" t="s">
        <v>481</v>
      </c>
      <c r="H456" s="65">
        <f>H455</f>
        <v>1</v>
      </c>
      <c r="I456" s="161">
        <v>5</v>
      </c>
      <c r="J456" s="164" t="s">
        <v>634</v>
      </c>
      <c r="K456" s="65"/>
      <c r="L456" s="79" t="s">
        <v>323</v>
      </c>
      <c r="M456" s="18"/>
      <c r="N456" s="18"/>
      <c r="O456" s="18"/>
      <c r="P456" s="79"/>
      <c r="Q456" s="79"/>
      <c r="R456" s="18"/>
      <c r="S456" s="163"/>
      <c r="T456" s="163"/>
      <c r="U456" s="156" t="str">
        <f>+U455</f>
        <v>BCV131AFN03</v>
      </c>
      <c r="X456" s="64" t="str">
        <f>+X455</f>
        <v>BR4-2150-E-00091</v>
      </c>
      <c r="Y456" s="17" t="s">
        <v>289</v>
      </c>
      <c r="AA456" s="46"/>
      <c r="AC456" s="19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</row>
    <row r="457" spans="1:53" s="17" customFormat="1" x14ac:dyDescent="0.3">
      <c r="A457" s="33"/>
      <c r="B457" s="33"/>
      <c r="C457" s="18"/>
      <c r="D457" s="18"/>
      <c r="E457" s="18"/>
      <c r="F457" s="18"/>
      <c r="G457" s="18" t="s">
        <v>481</v>
      </c>
      <c r="H457" s="65">
        <f>H456</f>
        <v>1</v>
      </c>
      <c r="I457" s="161">
        <v>6</v>
      </c>
      <c r="J457" s="164" t="s">
        <v>633</v>
      </c>
      <c r="K457" s="65"/>
      <c r="L457" s="79" t="s">
        <v>323</v>
      </c>
      <c r="M457" s="18"/>
      <c r="N457" s="18">
        <v>3</v>
      </c>
      <c r="O457" s="18"/>
      <c r="P457" s="79" t="s">
        <v>589</v>
      </c>
      <c r="Q457" s="79"/>
      <c r="R457" s="18" t="s">
        <v>365</v>
      </c>
      <c r="S457" s="163" t="s">
        <v>364</v>
      </c>
      <c r="T457" s="163"/>
      <c r="U457" s="156" t="str">
        <f>+U456</f>
        <v>BCV131AFN03</v>
      </c>
      <c r="X457" s="64" t="str">
        <f>+X456</f>
        <v>BR4-2150-E-00091</v>
      </c>
      <c r="Y457" s="17" t="s">
        <v>289</v>
      </c>
      <c r="AA457" s="46"/>
      <c r="AC457" s="19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</row>
    <row r="458" spans="1:53" s="17" customFormat="1" x14ac:dyDescent="0.3">
      <c r="A458" s="33"/>
      <c r="B458" s="33"/>
      <c r="C458" s="18"/>
      <c r="D458" s="18"/>
      <c r="E458" s="18"/>
      <c r="F458" s="18"/>
      <c r="G458" s="18" t="s">
        <v>481</v>
      </c>
      <c r="H458" s="65">
        <f>H457</f>
        <v>1</v>
      </c>
      <c r="I458" s="161">
        <v>1</v>
      </c>
      <c r="J458" s="164" t="s">
        <v>233</v>
      </c>
      <c r="K458" s="65"/>
      <c r="L458" s="79" t="s">
        <v>292</v>
      </c>
      <c r="M458" s="18"/>
      <c r="N458" s="18">
        <v>3</v>
      </c>
      <c r="O458" s="18"/>
      <c r="P458" s="79" t="s">
        <v>517</v>
      </c>
      <c r="Q458" s="79"/>
      <c r="R458" s="18" t="s">
        <v>632</v>
      </c>
      <c r="S458" s="18" t="s">
        <v>247</v>
      </c>
      <c r="T458" s="163" t="s">
        <v>631</v>
      </c>
      <c r="U458" s="156" t="str">
        <f>+U457</f>
        <v>BCV131AFN03</v>
      </c>
      <c r="X458" s="64" t="str">
        <f>+X457</f>
        <v>BR4-2150-E-00091</v>
      </c>
      <c r="Y458" s="17" t="s">
        <v>289</v>
      </c>
      <c r="AA458" s="46"/>
      <c r="AC458" s="19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</row>
    <row r="459" spans="1:53" s="17" customFormat="1" x14ac:dyDescent="0.3">
      <c r="A459" s="33"/>
      <c r="B459" s="33"/>
      <c r="C459" s="18"/>
      <c r="D459" s="18"/>
      <c r="E459" s="18"/>
      <c r="F459" s="18"/>
      <c r="G459" s="18" t="s">
        <v>481</v>
      </c>
      <c r="H459" s="65">
        <f>H458</f>
        <v>1</v>
      </c>
      <c r="I459" s="161">
        <v>2</v>
      </c>
      <c r="J459" s="160" t="s">
        <v>229</v>
      </c>
      <c r="K459" s="65"/>
      <c r="L459" s="79" t="s">
        <v>292</v>
      </c>
      <c r="M459" s="18"/>
      <c r="N459" s="83">
        <v>6</v>
      </c>
      <c r="O459" s="83"/>
      <c r="P459" s="92" t="s">
        <v>630</v>
      </c>
      <c r="Q459" s="92"/>
      <c r="R459" s="92" t="s">
        <v>629</v>
      </c>
      <c r="S459" s="83" t="s">
        <v>299</v>
      </c>
      <c r="T459" s="162" t="s">
        <v>628</v>
      </c>
      <c r="U459" s="156" t="str">
        <f>+U458</f>
        <v>BCV131AFN03</v>
      </c>
      <c r="W459" s="33"/>
      <c r="X459" s="64" t="str">
        <f>+X458</f>
        <v>BR4-2150-E-00091</v>
      </c>
      <c r="Y459" s="17" t="s">
        <v>289</v>
      </c>
      <c r="AA459" s="46"/>
      <c r="AC459" s="19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</row>
    <row r="460" spans="1:53" s="17" customFormat="1" x14ac:dyDescent="0.3">
      <c r="A460" s="33"/>
      <c r="B460" s="33"/>
      <c r="C460" s="18"/>
      <c r="D460" s="18"/>
      <c r="E460" s="18"/>
      <c r="F460" s="18"/>
      <c r="G460" s="18" t="s">
        <v>481</v>
      </c>
      <c r="H460" s="65">
        <f>H459</f>
        <v>1</v>
      </c>
      <c r="I460" s="161">
        <v>3</v>
      </c>
      <c r="J460" s="160" t="s">
        <v>218</v>
      </c>
      <c r="K460" s="65"/>
      <c r="L460" s="79" t="s">
        <v>292</v>
      </c>
      <c r="M460" s="18"/>
      <c r="N460" s="33"/>
      <c r="O460" s="33"/>
      <c r="U460" s="156" t="str">
        <f>+U459</f>
        <v>BCV131AFN03</v>
      </c>
      <c r="W460" s="33"/>
      <c r="X460" s="64" t="str">
        <f>+X459</f>
        <v>BR4-2150-E-00091</v>
      </c>
      <c r="Y460" s="17" t="s">
        <v>289</v>
      </c>
      <c r="AA460" s="46"/>
      <c r="AC460" s="19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</row>
    <row r="461" spans="1:53" s="17" customFormat="1" ht="13.5" thickBot="1" x14ac:dyDescent="0.35">
      <c r="A461" s="33"/>
      <c r="B461" s="33"/>
      <c r="C461" s="18"/>
      <c r="D461" s="18"/>
      <c r="E461" s="18"/>
      <c r="F461" s="18"/>
      <c r="G461" s="18" t="s">
        <v>481</v>
      </c>
      <c r="H461" s="65">
        <f>H460</f>
        <v>1</v>
      </c>
      <c r="I461" s="159">
        <v>4</v>
      </c>
      <c r="J461" s="158" t="s">
        <v>627</v>
      </c>
      <c r="K461" s="65"/>
      <c r="L461" s="79" t="s">
        <v>292</v>
      </c>
      <c r="M461" s="18"/>
      <c r="N461" s="83">
        <v>4</v>
      </c>
      <c r="O461" s="83"/>
      <c r="P461" s="92" t="s">
        <v>433</v>
      </c>
      <c r="Q461" s="92"/>
      <c r="R461" s="92" t="s">
        <v>626</v>
      </c>
      <c r="S461" s="83" t="s">
        <v>625</v>
      </c>
      <c r="T461" s="157" t="s">
        <v>624</v>
      </c>
      <c r="U461" s="156" t="str">
        <f>+U460</f>
        <v>BCV131AFN03</v>
      </c>
      <c r="W461" s="33"/>
      <c r="X461" s="64" t="str">
        <f>+X460</f>
        <v>BR4-2150-E-00091</v>
      </c>
      <c r="Y461" s="17" t="s">
        <v>289</v>
      </c>
      <c r="AA461" s="46"/>
      <c r="AC461" s="19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</row>
    <row r="462" spans="1:53" s="17" customFormat="1" ht="13.5" thickBot="1" x14ac:dyDescent="0.35">
      <c r="A462" s="33"/>
      <c r="B462" s="33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AA462" s="46"/>
      <c r="AC462" s="19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</row>
    <row r="463" spans="1:53" s="17" customFormat="1" x14ac:dyDescent="0.3">
      <c r="A463" s="33"/>
      <c r="B463" s="33"/>
      <c r="C463" s="18" t="s">
        <v>647</v>
      </c>
      <c r="D463" s="18"/>
      <c r="E463" s="18"/>
      <c r="F463" s="18"/>
      <c r="G463" s="18" t="s">
        <v>481</v>
      </c>
      <c r="H463" s="144">
        <v>1</v>
      </c>
      <c r="I463" s="167">
        <v>1</v>
      </c>
      <c r="J463" s="166" t="s">
        <v>648</v>
      </c>
      <c r="K463" s="65" t="s">
        <v>647</v>
      </c>
      <c r="L463" s="79" t="s">
        <v>323</v>
      </c>
      <c r="M463" s="18"/>
      <c r="N463" s="18">
        <v>3</v>
      </c>
      <c r="O463" s="18"/>
      <c r="P463" s="79" t="s">
        <v>646</v>
      </c>
      <c r="Q463" s="79"/>
      <c r="R463" s="64" t="s">
        <v>626</v>
      </c>
      <c r="S463" s="64" t="s">
        <v>247</v>
      </c>
      <c r="T463" s="163" t="s">
        <v>624</v>
      </c>
      <c r="U463" s="156" t="s">
        <v>669</v>
      </c>
      <c r="X463" s="64" t="s">
        <v>668</v>
      </c>
      <c r="Y463" s="17" t="s">
        <v>289</v>
      </c>
      <c r="AA463" s="46"/>
      <c r="AC463" s="19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</row>
    <row r="464" spans="1:53" s="17" customFormat="1" x14ac:dyDescent="0.3">
      <c r="A464" s="33"/>
      <c r="B464" s="33"/>
      <c r="C464" s="18"/>
      <c r="D464" s="18"/>
      <c r="E464" s="18"/>
      <c r="F464" s="18"/>
      <c r="G464" s="18" t="s">
        <v>481</v>
      </c>
      <c r="H464" s="65">
        <f>H463</f>
        <v>1</v>
      </c>
      <c r="I464" s="161">
        <v>2</v>
      </c>
      <c r="J464" s="164" t="s">
        <v>642</v>
      </c>
      <c r="K464" s="99" t="s">
        <v>287</v>
      </c>
      <c r="L464" s="79" t="s">
        <v>323</v>
      </c>
      <c r="M464" s="18"/>
      <c r="N464" s="83">
        <v>4</v>
      </c>
      <c r="O464" s="83"/>
      <c r="P464" s="92" t="s">
        <v>429</v>
      </c>
      <c r="Q464" s="92"/>
      <c r="R464" s="92" t="s">
        <v>626</v>
      </c>
      <c r="S464" s="64" t="s">
        <v>427</v>
      </c>
      <c r="T464" s="163" t="s">
        <v>624</v>
      </c>
      <c r="U464" s="156" t="str">
        <f>+U463</f>
        <v>BCV131APP02</v>
      </c>
      <c r="X464" s="64" t="str">
        <f>+X463</f>
        <v>BR4-2150-E-00058</v>
      </c>
      <c r="Y464" s="17" t="s">
        <v>289</v>
      </c>
      <c r="AA464" s="46"/>
      <c r="AC464" s="19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</row>
    <row r="465" spans="1:53" s="17" customFormat="1" x14ac:dyDescent="0.3">
      <c r="A465" s="33"/>
      <c r="B465" s="33"/>
      <c r="C465" s="18"/>
      <c r="D465" s="18"/>
      <c r="E465" s="18"/>
      <c r="F465" s="18"/>
      <c r="G465" s="18" t="s">
        <v>481</v>
      </c>
      <c r="H465" s="65">
        <f>H464</f>
        <v>1</v>
      </c>
      <c r="I465" s="161">
        <v>3</v>
      </c>
      <c r="J465" s="164" t="s">
        <v>641</v>
      </c>
      <c r="K465" s="65"/>
      <c r="L465" s="79" t="s">
        <v>323</v>
      </c>
      <c r="M465" s="18"/>
      <c r="N465" s="18">
        <v>3</v>
      </c>
      <c r="O465" s="18"/>
      <c r="P465" s="97" t="s">
        <v>252</v>
      </c>
      <c r="Q465" s="97"/>
      <c r="R465" s="18" t="s">
        <v>640</v>
      </c>
      <c r="S465" s="18" t="s">
        <v>247</v>
      </c>
      <c r="T465" s="73" t="s">
        <v>639</v>
      </c>
      <c r="U465" s="156" t="str">
        <f>+U464</f>
        <v>BCV131APP02</v>
      </c>
      <c r="X465" s="64" t="str">
        <f>+X464</f>
        <v>BR4-2150-E-00058</v>
      </c>
      <c r="Y465" s="17" t="s">
        <v>289</v>
      </c>
      <c r="AA465" s="46"/>
      <c r="AC465" s="19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</row>
    <row r="466" spans="1:53" s="17" customFormat="1" x14ac:dyDescent="0.3">
      <c r="A466" s="33"/>
      <c r="B466" s="33"/>
      <c r="C466" s="18"/>
      <c r="D466" s="18"/>
      <c r="E466" s="18"/>
      <c r="F466" s="18"/>
      <c r="G466" s="18" t="s">
        <v>481</v>
      </c>
      <c r="H466" s="65">
        <f>H465</f>
        <v>1</v>
      </c>
      <c r="I466" s="161">
        <v>4</v>
      </c>
      <c r="J466" s="164" t="s">
        <v>638</v>
      </c>
      <c r="K466" s="65"/>
      <c r="L466" s="79" t="s">
        <v>323</v>
      </c>
      <c r="M466" s="18"/>
      <c r="N466" s="18">
        <v>3</v>
      </c>
      <c r="O466" s="18"/>
      <c r="P466" s="79" t="s">
        <v>637</v>
      </c>
      <c r="Q466" s="79"/>
      <c r="R466" s="18" t="s">
        <v>636</v>
      </c>
      <c r="S466" s="18" t="s">
        <v>211</v>
      </c>
      <c r="T466" s="163" t="s">
        <v>635</v>
      </c>
      <c r="U466" s="156" t="str">
        <f>+U465</f>
        <v>BCV131APP02</v>
      </c>
      <c r="X466" s="64" t="str">
        <f>+X465</f>
        <v>BR4-2150-E-00058</v>
      </c>
      <c r="Y466" s="17" t="s">
        <v>289</v>
      </c>
      <c r="AA466" s="46"/>
      <c r="AC466" s="19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</row>
    <row r="467" spans="1:53" s="17" customFormat="1" x14ac:dyDescent="0.3">
      <c r="A467" s="33"/>
      <c r="B467" s="33"/>
      <c r="C467" s="18"/>
      <c r="D467" s="18"/>
      <c r="E467" s="18"/>
      <c r="F467" s="18"/>
      <c r="G467" s="18" t="s">
        <v>481</v>
      </c>
      <c r="H467" s="65">
        <f>H466</f>
        <v>1</v>
      </c>
      <c r="I467" s="161">
        <v>5</v>
      </c>
      <c r="J467" s="164" t="s">
        <v>634</v>
      </c>
      <c r="K467" s="65"/>
      <c r="L467" s="79" t="s">
        <v>323</v>
      </c>
      <c r="M467" s="18"/>
      <c r="N467" s="18"/>
      <c r="O467" s="18"/>
      <c r="P467" s="79"/>
      <c r="Q467" s="79"/>
      <c r="R467" s="18"/>
      <c r="S467" s="163"/>
      <c r="T467" s="163"/>
      <c r="U467" s="156" t="str">
        <f>+U466</f>
        <v>BCV131APP02</v>
      </c>
      <c r="X467" s="64" t="str">
        <f>+X466</f>
        <v>BR4-2150-E-00058</v>
      </c>
      <c r="Y467" s="17" t="s">
        <v>289</v>
      </c>
      <c r="AA467" s="46"/>
      <c r="AC467" s="19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</row>
    <row r="468" spans="1:53" s="17" customFormat="1" x14ac:dyDescent="0.3">
      <c r="A468" s="33"/>
      <c r="B468" s="33"/>
      <c r="C468" s="18"/>
      <c r="D468" s="18"/>
      <c r="E468" s="18"/>
      <c r="F468" s="18"/>
      <c r="G468" s="18" t="s">
        <v>481</v>
      </c>
      <c r="H468" s="65">
        <f>H467</f>
        <v>1</v>
      </c>
      <c r="I468" s="161">
        <v>6</v>
      </c>
      <c r="J468" s="164" t="s">
        <v>633</v>
      </c>
      <c r="K468" s="65"/>
      <c r="L468" s="79" t="s">
        <v>323</v>
      </c>
      <c r="M468" s="18"/>
      <c r="N468" s="18">
        <v>3</v>
      </c>
      <c r="O468" s="18"/>
      <c r="P468" s="79" t="s">
        <v>589</v>
      </c>
      <c r="Q468" s="79"/>
      <c r="R468" s="18" t="s">
        <v>365</v>
      </c>
      <c r="S468" s="163" t="s">
        <v>364</v>
      </c>
      <c r="T468" s="163"/>
      <c r="U468" s="156" t="str">
        <f>+U467</f>
        <v>BCV131APP02</v>
      </c>
      <c r="X468" s="64" t="str">
        <f>+X467</f>
        <v>BR4-2150-E-00058</v>
      </c>
      <c r="Y468" s="17" t="s">
        <v>289</v>
      </c>
      <c r="AA468" s="46"/>
      <c r="AC468" s="19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</row>
    <row r="469" spans="1:53" s="17" customFormat="1" x14ac:dyDescent="0.3">
      <c r="A469" s="33"/>
      <c r="B469" s="33"/>
      <c r="C469" s="18"/>
      <c r="D469" s="18"/>
      <c r="E469" s="18"/>
      <c r="F469" s="18"/>
      <c r="G469" s="18" t="s">
        <v>481</v>
      </c>
      <c r="H469" s="65">
        <f>H468</f>
        <v>1</v>
      </c>
      <c r="I469" s="161">
        <v>1</v>
      </c>
      <c r="J469" s="164" t="s">
        <v>233</v>
      </c>
      <c r="K469" s="65"/>
      <c r="L469" s="79" t="s">
        <v>292</v>
      </c>
      <c r="M469" s="18"/>
      <c r="N469" s="18">
        <v>3</v>
      </c>
      <c r="O469" s="18"/>
      <c r="P469" s="79" t="s">
        <v>517</v>
      </c>
      <c r="Q469" s="79"/>
      <c r="R469" s="18" t="s">
        <v>632</v>
      </c>
      <c r="S469" s="18" t="s">
        <v>247</v>
      </c>
      <c r="T469" s="163" t="s">
        <v>631</v>
      </c>
      <c r="U469" s="156" t="str">
        <f>+U468</f>
        <v>BCV131APP02</v>
      </c>
      <c r="X469" s="64" t="str">
        <f>+X468</f>
        <v>BR4-2150-E-00058</v>
      </c>
      <c r="Y469" s="17" t="s">
        <v>289</v>
      </c>
      <c r="AA469" s="46"/>
      <c r="AC469" s="19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</row>
    <row r="470" spans="1:53" s="17" customFormat="1" x14ac:dyDescent="0.3">
      <c r="A470" s="33"/>
      <c r="B470" s="33"/>
      <c r="C470" s="18"/>
      <c r="D470" s="18"/>
      <c r="E470" s="18"/>
      <c r="F470" s="18"/>
      <c r="G470" s="18" t="s">
        <v>481</v>
      </c>
      <c r="H470" s="65">
        <f>H469</f>
        <v>1</v>
      </c>
      <c r="I470" s="161">
        <v>2</v>
      </c>
      <c r="J470" s="160" t="s">
        <v>229</v>
      </c>
      <c r="K470" s="65"/>
      <c r="L470" s="79" t="s">
        <v>292</v>
      </c>
      <c r="M470" s="18"/>
      <c r="N470" s="83">
        <v>6</v>
      </c>
      <c r="O470" s="83"/>
      <c r="P470" s="92" t="s">
        <v>630</v>
      </c>
      <c r="Q470" s="92"/>
      <c r="R470" s="92" t="s">
        <v>629</v>
      </c>
      <c r="S470" s="83" t="s">
        <v>299</v>
      </c>
      <c r="T470" s="162" t="s">
        <v>628</v>
      </c>
      <c r="U470" s="156" t="str">
        <f>+U469</f>
        <v>BCV131APP02</v>
      </c>
      <c r="W470" s="33"/>
      <c r="X470" s="64" t="str">
        <f>+X469</f>
        <v>BR4-2150-E-00058</v>
      </c>
      <c r="Y470" s="17" t="s">
        <v>289</v>
      </c>
      <c r="AA470" s="46"/>
      <c r="AC470" s="19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</row>
    <row r="471" spans="1:53" s="17" customFormat="1" x14ac:dyDescent="0.3">
      <c r="A471" s="33"/>
      <c r="B471" s="33"/>
      <c r="C471" s="18"/>
      <c r="D471" s="18"/>
      <c r="E471" s="18"/>
      <c r="F471" s="18"/>
      <c r="G471" s="18" t="s">
        <v>481</v>
      </c>
      <c r="H471" s="65">
        <f>H470</f>
        <v>1</v>
      </c>
      <c r="I471" s="161">
        <v>3</v>
      </c>
      <c r="J471" s="160" t="s">
        <v>218</v>
      </c>
      <c r="K471" s="65"/>
      <c r="L471" s="79" t="s">
        <v>292</v>
      </c>
      <c r="M471" s="18"/>
      <c r="N471" s="33"/>
      <c r="O471" s="33"/>
      <c r="U471" s="156" t="str">
        <f>+U470</f>
        <v>BCV131APP02</v>
      </c>
      <c r="W471" s="33"/>
      <c r="X471" s="64" t="str">
        <f>+X470</f>
        <v>BR4-2150-E-00058</v>
      </c>
      <c r="Y471" s="17" t="s">
        <v>289</v>
      </c>
      <c r="AA471" s="46"/>
      <c r="AC471" s="19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</row>
    <row r="472" spans="1:53" s="17" customFormat="1" ht="13.5" thickBot="1" x14ac:dyDescent="0.35">
      <c r="A472" s="33"/>
      <c r="B472" s="33"/>
      <c r="C472" s="18"/>
      <c r="D472" s="18"/>
      <c r="E472" s="18"/>
      <c r="F472" s="18"/>
      <c r="G472" s="18" t="s">
        <v>481</v>
      </c>
      <c r="H472" s="65">
        <f>H471</f>
        <v>1</v>
      </c>
      <c r="I472" s="159">
        <v>4</v>
      </c>
      <c r="J472" s="158" t="s">
        <v>627</v>
      </c>
      <c r="K472" s="65"/>
      <c r="L472" s="79" t="s">
        <v>292</v>
      </c>
      <c r="M472" s="18"/>
      <c r="N472" s="83">
        <v>4</v>
      </c>
      <c r="O472" s="83"/>
      <c r="P472" s="92" t="s">
        <v>433</v>
      </c>
      <c r="Q472" s="92"/>
      <c r="R472" s="92" t="s">
        <v>626</v>
      </c>
      <c r="S472" s="83" t="s">
        <v>625</v>
      </c>
      <c r="T472" s="157" t="s">
        <v>624</v>
      </c>
      <c r="U472" s="156" t="str">
        <f>+U471</f>
        <v>BCV131APP02</v>
      </c>
      <c r="W472" s="33"/>
      <c r="X472" s="64" t="str">
        <f>+X471</f>
        <v>BR4-2150-E-00058</v>
      </c>
      <c r="Y472" s="17" t="s">
        <v>289</v>
      </c>
      <c r="AA472" s="46"/>
      <c r="AC472" s="19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</row>
    <row r="473" spans="1:53" s="17" customFormat="1" ht="13.5" thickBot="1" x14ac:dyDescent="0.35">
      <c r="A473" s="33"/>
      <c r="B473" s="33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AA473" s="46"/>
      <c r="AC473" s="19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</row>
    <row r="474" spans="1:53" s="17" customFormat="1" x14ac:dyDescent="0.3">
      <c r="A474" s="33"/>
      <c r="B474" s="33"/>
      <c r="C474" s="18" t="s">
        <v>647</v>
      </c>
      <c r="D474" s="18"/>
      <c r="E474" s="18"/>
      <c r="F474" s="18"/>
      <c r="G474" s="18" t="s">
        <v>481</v>
      </c>
      <c r="H474" s="144">
        <v>1</v>
      </c>
      <c r="I474" s="167">
        <v>1</v>
      </c>
      <c r="J474" s="166" t="s">
        <v>648</v>
      </c>
      <c r="K474" s="65" t="s">
        <v>647</v>
      </c>
      <c r="L474" s="79" t="s">
        <v>323</v>
      </c>
      <c r="M474" s="18"/>
      <c r="N474" s="18">
        <v>3</v>
      </c>
      <c r="O474" s="18"/>
      <c r="P474" s="79" t="s">
        <v>646</v>
      </c>
      <c r="Q474" s="79"/>
      <c r="R474" s="64" t="s">
        <v>626</v>
      </c>
      <c r="S474" s="64" t="s">
        <v>247</v>
      </c>
      <c r="T474" s="163" t="s">
        <v>624</v>
      </c>
      <c r="U474" s="179" t="s">
        <v>667</v>
      </c>
      <c r="X474" s="64" t="s">
        <v>666</v>
      </c>
      <c r="Y474" s="17" t="s">
        <v>289</v>
      </c>
      <c r="AA474" s="46"/>
      <c r="AC474" s="19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</row>
    <row r="475" spans="1:53" s="17" customFormat="1" x14ac:dyDescent="0.3">
      <c r="A475" s="33"/>
      <c r="B475" s="33"/>
      <c r="C475" s="18"/>
      <c r="D475" s="18"/>
      <c r="E475" s="18"/>
      <c r="F475" s="18"/>
      <c r="G475" s="18" t="s">
        <v>481</v>
      </c>
      <c r="H475" s="65">
        <f>H474</f>
        <v>1</v>
      </c>
      <c r="I475" s="161">
        <v>2</v>
      </c>
      <c r="J475" s="164" t="s">
        <v>642</v>
      </c>
      <c r="K475" s="99" t="s">
        <v>287</v>
      </c>
      <c r="L475" s="79" t="s">
        <v>323</v>
      </c>
      <c r="M475" s="18"/>
      <c r="N475" s="83">
        <v>4</v>
      </c>
      <c r="O475" s="83"/>
      <c r="P475" s="92" t="s">
        <v>429</v>
      </c>
      <c r="Q475" s="92"/>
      <c r="R475" s="92" t="s">
        <v>626</v>
      </c>
      <c r="S475" s="64" t="s">
        <v>427</v>
      </c>
      <c r="T475" s="163" t="s">
        <v>624</v>
      </c>
      <c r="U475" s="156" t="str">
        <f>+U474</f>
        <v>BCV131BFN01</v>
      </c>
      <c r="X475" s="64" t="str">
        <f>+X474</f>
        <v>BR4-2150-E-00097</v>
      </c>
      <c r="Y475" s="17" t="s">
        <v>289</v>
      </c>
      <c r="AA475" s="46"/>
      <c r="AC475" s="19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</row>
    <row r="476" spans="1:53" s="17" customFormat="1" x14ac:dyDescent="0.3">
      <c r="A476" s="33"/>
      <c r="B476" s="33"/>
      <c r="C476" s="18"/>
      <c r="D476" s="18"/>
      <c r="E476" s="18"/>
      <c r="F476" s="18"/>
      <c r="G476" s="18" t="s">
        <v>481</v>
      </c>
      <c r="H476" s="65">
        <f>H475</f>
        <v>1</v>
      </c>
      <c r="I476" s="161">
        <v>3</v>
      </c>
      <c r="J476" s="164" t="s">
        <v>641</v>
      </c>
      <c r="K476" s="65"/>
      <c r="L476" s="79" t="s">
        <v>323</v>
      </c>
      <c r="M476" s="18"/>
      <c r="N476" s="18">
        <v>3</v>
      </c>
      <c r="O476" s="18"/>
      <c r="P476" s="97" t="s">
        <v>252</v>
      </c>
      <c r="Q476" s="97"/>
      <c r="R476" s="18" t="s">
        <v>640</v>
      </c>
      <c r="S476" s="18" t="s">
        <v>247</v>
      </c>
      <c r="T476" s="73" t="s">
        <v>639</v>
      </c>
      <c r="U476" s="156" t="str">
        <f>+U475</f>
        <v>BCV131BFN01</v>
      </c>
      <c r="X476" s="64" t="str">
        <f>+X475</f>
        <v>BR4-2150-E-00097</v>
      </c>
      <c r="Y476" s="17" t="s">
        <v>289</v>
      </c>
      <c r="AA476" s="46"/>
      <c r="AC476" s="19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</row>
    <row r="477" spans="1:53" s="17" customFormat="1" x14ac:dyDescent="0.3">
      <c r="A477" s="33"/>
      <c r="B477" s="33"/>
      <c r="C477" s="18"/>
      <c r="D477" s="18"/>
      <c r="E477" s="18"/>
      <c r="F477" s="18"/>
      <c r="G477" s="18" t="s">
        <v>481</v>
      </c>
      <c r="H477" s="65">
        <f>H476</f>
        <v>1</v>
      </c>
      <c r="I477" s="161">
        <v>4</v>
      </c>
      <c r="J477" s="164" t="s">
        <v>638</v>
      </c>
      <c r="K477" s="65"/>
      <c r="L477" s="79" t="s">
        <v>323</v>
      </c>
      <c r="M477" s="18"/>
      <c r="N477" s="18">
        <v>3</v>
      </c>
      <c r="O477" s="18"/>
      <c r="P477" s="79" t="s">
        <v>637</v>
      </c>
      <c r="Q477" s="79"/>
      <c r="R477" s="18" t="s">
        <v>636</v>
      </c>
      <c r="S477" s="18" t="s">
        <v>211</v>
      </c>
      <c r="T477" s="163" t="s">
        <v>635</v>
      </c>
      <c r="U477" s="156" t="str">
        <f>+U476</f>
        <v>BCV131BFN01</v>
      </c>
      <c r="X477" s="64" t="str">
        <f>+X476</f>
        <v>BR4-2150-E-00097</v>
      </c>
      <c r="Y477" s="17" t="s">
        <v>289</v>
      </c>
      <c r="AA477" s="46"/>
      <c r="AC477" s="19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</row>
    <row r="478" spans="1:53" s="17" customFormat="1" x14ac:dyDescent="0.3">
      <c r="A478" s="33"/>
      <c r="B478" s="33"/>
      <c r="C478" s="18"/>
      <c r="D478" s="18"/>
      <c r="E478" s="18"/>
      <c r="F478" s="18"/>
      <c r="G478" s="18" t="s">
        <v>481</v>
      </c>
      <c r="H478" s="65">
        <f>H477</f>
        <v>1</v>
      </c>
      <c r="I478" s="161">
        <v>5</v>
      </c>
      <c r="J478" s="164" t="s">
        <v>634</v>
      </c>
      <c r="K478" s="65"/>
      <c r="L478" s="79" t="s">
        <v>323</v>
      </c>
      <c r="M478" s="18"/>
      <c r="N478" s="18"/>
      <c r="O478" s="18"/>
      <c r="P478" s="79"/>
      <c r="Q478" s="79"/>
      <c r="R478" s="18"/>
      <c r="S478" s="163"/>
      <c r="T478" s="163"/>
      <c r="U478" s="156" t="str">
        <f>+U477</f>
        <v>BCV131BFN01</v>
      </c>
      <c r="X478" s="64" t="str">
        <f>+X477</f>
        <v>BR4-2150-E-00097</v>
      </c>
      <c r="Y478" s="17" t="s">
        <v>289</v>
      </c>
      <c r="AA478" s="46"/>
      <c r="AC478" s="19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</row>
    <row r="479" spans="1:53" s="17" customFormat="1" x14ac:dyDescent="0.3">
      <c r="A479" s="33"/>
      <c r="B479" s="33"/>
      <c r="C479" s="18"/>
      <c r="D479" s="18"/>
      <c r="E479" s="18"/>
      <c r="F479" s="18"/>
      <c r="G479" s="18" t="s">
        <v>481</v>
      </c>
      <c r="H479" s="65">
        <f>H478</f>
        <v>1</v>
      </c>
      <c r="I479" s="161">
        <v>6</v>
      </c>
      <c r="J479" s="164" t="s">
        <v>633</v>
      </c>
      <c r="K479" s="65"/>
      <c r="L479" s="79" t="s">
        <v>323</v>
      </c>
      <c r="M479" s="18"/>
      <c r="N479" s="18">
        <v>3</v>
      </c>
      <c r="O479" s="18"/>
      <c r="P479" s="79" t="s">
        <v>589</v>
      </c>
      <c r="Q479" s="79"/>
      <c r="R479" s="18" t="s">
        <v>365</v>
      </c>
      <c r="S479" s="163" t="s">
        <v>364</v>
      </c>
      <c r="T479" s="163"/>
      <c r="U479" s="156" t="str">
        <f>+U478</f>
        <v>BCV131BFN01</v>
      </c>
      <c r="X479" s="64" t="str">
        <f>+X478</f>
        <v>BR4-2150-E-00097</v>
      </c>
      <c r="Y479" s="17" t="s">
        <v>289</v>
      </c>
      <c r="AA479" s="46"/>
      <c r="AC479" s="19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</row>
    <row r="480" spans="1:53" s="17" customFormat="1" x14ac:dyDescent="0.3">
      <c r="A480" s="33"/>
      <c r="B480" s="33"/>
      <c r="C480" s="18"/>
      <c r="D480" s="18"/>
      <c r="E480" s="18"/>
      <c r="F480" s="18"/>
      <c r="G480" s="18" t="s">
        <v>481</v>
      </c>
      <c r="H480" s="65">
        <f>H479</f>
        <v>1</v>
      </c>
      <c r="I480" s="161">
        <v>1</v>
      </c>
      <c r="J480" s="164" t="s">
        <v>233</v>
      </c>
      <c r="K480" s="65"/>
      <c r="L480" s="79" t="s">
        <v>292</v>
      </c>
      <c r="M480" s="18"/>
      <c r="N480" s="18">
        <v>3</v>
      </c>
      <c r="O480" s="18"/>
      <c r="P480" s="79" t="s">
        <v>517</v>
      </c>
      <c r="Q480" s="79"/>
      <c r="R480" s="18" t="s">
        <v>632</v>
      </c>
      <c r="S480" s="18" t="s">
        <v>247</v>
      </c>
      <c r="T480" s="163" t="s">
        <v>631</v>
      </c>
      <c r="U480" s="156" t="str">
        <f>+U479</f>
        <v>BCV131BFN01</v>
      </c>
      <c r="X480" s="64" t="str">
        <f>+X479</f>
        <v>BR4-2150-E-00097</v>
      </c>
      <c r="Y480" s="17" t="s">
        <v>289</v>
      </c>
      <c r="AA480" s="46"/>
      <c r="AC480" s="19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</row>
    <row r="481" spans="1:53" s="17" customFormat="1" x14ac:dyDescent="0.3">
      <c r="A481" s="33"/>
      <c r="B481" s="33"/>
      <c r="C481" s="18"/>
      <c r="D481" s="18"/>
      <c r="E481" s="18"/>
      <c r="F481" s="18"/>
      <c r="G481" s="18" t="s">
        <v>481</v>
      </c>
      <c r="H481" s="65">
        <f>H480</f>
        <v>1</v>
      </c>
      <c r="I481" s="161">
        <v>2</v>
      </c>
      <c r="J481" s="160" t="s">
        <v>229</v>
      </c>
      <c r="K481" s="65"/>
      <c r="L481" s="79" t="s">
        <v>292</v>
      </c>
      <c r="M481" s="18"/>
      <c r="N481" s="83">
        <v>6</v>
      </c>
      <c r="O481" s="83"/>
      <c r="P481" s="92" t="s">
        <v>630</v>
      </c>
      <c r="Q481" s="92"/>
      <c r="R481" s="92" t="s">
        <v>629</v>
      </c>
      <c r="S481" s="83" t="s">
        <v>299</v>
      </c>
      <c r="T481" s="162" t="s">
        <v>628</v>
      </c>
      <c r="U481" s="156" t="str">
        <f>+U480</f>
        <v>BCV131BFN01</v>
      </c>
      <c r="W481" s="33"/>
      <c r="X481" s="64" t="str">
        <f>+X480</f>
        <v>BR4-2150-E-00097</v>
      </c>
      <c r="Y481" s="17" t="s">
        <v>289</v>
      </c>
      <c r="AA481" s="46"/>
      <c r="AC481" s="19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</row>
    <row r="482" spans="1:53" s="17" customFormat="1" x14ac:dyDescent="0.3">
      <c r="A482" s="33"/>
      <c r="B482" s="33"/>
      <c r="C482" s="18"/>
      <c r="D482" s="18"/>
      <c r="E482" s="18"/>
      <c r="F482" s="18"/>
      <c r="G482" s="18" t="s">
        <v>481</v>
      </c>
      <c r="H482" s="65">
        <f>H481</f>
        <v>1</v>
      </c>
      <c r="I482" s="161">
        <v>3</v>
      </c>
      <c r="J482" s="160" t="s">
        <v>218</v>
      </c>
      <c r="K482" s="65"/>
      <c r="L482" s="79" t="s">
        <v>292</v>
      </c>
      <c r="M482" s="18"/>
      <c r="N482" s="33"/>
      <c r="O482" s="33"/>
      <c r="U482" s="156" t="str">
        <f>+U481</f>
        <v>BCV131BFN01</v>
      </c>
      <c r="W482" s="33"/>
      <c r="X482" s="64" t="str">
        <f>+X481</f>
        <v>BR4-2150-E-00097</v>
      </c>
      <c r="Y482" s="17" t="s">
        <v>289</v>
      </c>
      <c r="AA482" s="46"/>
      <c r="AC482" s="19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</row>
    <row r="483" spans="1:53" s="17" customFormat="1" ht="13.5" thickBot="1" x14ac:dyDescent="0.35">
      <c r="A483" s="33"/>
      <c r="B483" s="33"/>
      <c r="C483" s="18"/>
      <c r="D483" s="18"/>
      <c r="E483" s="18"/>
      <c r="F483" s="18"/>
      <c r="G483" s="18" t="s">
        <v>481</v>
      </c>
      <c r="H483" s="65">
        <f>H482</f>
        <v>1</v>
      </c>
      <c r="I483" s="159">
        <v>4</v>
      </c>
      <c r="J483" s="158" t="s">
        <v>627</v>
      </c>
      <c r="K483" s="65"/>
      <c r="L483" s="79" t="s">
        <v>292</v>
      </c>
      <c r="M483" s="18"/>
      <c r="N483" s="83">
        <v>4</v>
      </c>
      <c r="O483" s="83"/>
      <c r="P483" s="92" t="s">
        <v>433</v>
      </c>
      <c r="Q483" s="92"/>
      <c r="R483" s="92" t="s">
        <v>626</v>
      </c>
      <c r="S483" s="83" t="s">
        <v>625</v>
      </c>
      <c r="T483" s="157" t="s">
        <v>624</v>
      </c>
      <c r="U483" s="156" t="str">
        <f>+U482</f>
        <v>BCV131BFN01</v>
      </c>
      <c r="W483" s="33"/>
      <c r="X483" s="64" t="str">
        <f>+X482</f>
        <v>BR4-2150-E-00097</v>
      </c>
      <c r="Y483" s="17" t="s">
        <v>289</v>
      </c>
      <c r="AA483" s="46"/>
      <c r="AC483" s="19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</row>
    <row r="484" spans="1:53" s="17" customFormat="1" ht="13.5" thickBot="1" x14ac:dyDescent="0.35">
      <c r="A484" s="33"/>
      <c r="B484" s="33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AA484" s="46"/>
      <c r="AC484" s="19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</row>
    <row r="485" spans="1:53" s="17" customFormat="1" x14ac:dyDescent="0.3">
      <c r="A485" s="33"/>
      <c r="B485" s="33"/>
      <c r="C485" s="18" t="s">
        <v>647</v>
      </c>
      <c r="D485" s="18"/>
      <c r="E485" s="18"/>
      <c r="F485" s="18"/>
      <c r="G485" s="18" t="s">
        <v>481</v>
      </c>
      <c r="H485" s="144">
        <v>1</v>
      </c>
      <c r="I485" s="167">
        <v>1</v>
      </c>
      <c r="J485" s="166" t="s">
        <v>648</v>
      </c>
      <c r="K485" s="65" t="s">
        <v>647</v>
      </c>
      <c r="L485" s="79" t="s">
        <v>323</v>
      </c>
      <c r="M485" s="18"/>
      <c r="N485" s="18">
        <v>3</v>
      </c>
      <c r="O485" s="18"/>
      <c r="P485" s="79" t="s">
        <v>646</v>
      </c>
      <c r="Q485" s="79"/>
      <c r="R485" s="64" t="s">
        <v>626</v>
      </c>
      <c r="S485" s="64" t="s">
        <v>247</v>
      </c>
      <c r="T485" s="163" t="s">
        <v>624</v>
      </c>
      <c r="U485" s="165" t="s">
        <v>665</v>
      </c>
      <c r="X485" s="64" t="s">
        <v>664</v>
      </c>
      <c r="Y485" s="17" t="s">
        <v>289</v>
      </c>
      <c r="AA485" s="46"/>
      <c r="AC485" s="19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</row>
    <row r="486" spans="1:53" s="17" customFormat="1" x14ac:dyDescent="0.3">
      <c r="A486" s="33"/>
      <c r="B486" s="33"/>
      <c r="C486" s="18"/>
      <c r="D486" s="18"/>
      <c r="E486" s="18"/>
      <c r="F486" s="18"/>
      <c r="G486" s="18" t="s">
        <v>481</v>
      </c>
      <c r="H486" s="65">
        <f>H485</f>
        <v>1</v>
      </c>
      <c r="I486" s="161">
        <v>2</v>
      </c>
      <c r="J486" s="164" t="s">
        <v>642</v>
      </c>
      <c r="K486" s="99" t="s">
        <v>287</v>
      </c>
      <c r="L486" s="79" t="s">
        <v>323</v>
      </c>
      <c r="M486" s="18"/>
      <c r="N486" s="18">
        <v>6</v>
      </c>
      <c r="O486" s="18"/>
      <c r="P486" s="92" t="s">
        <v>429</v>
      </c>
      <c r="Q486" s="79"/>
      <c r="R486" s="64" t="s">
        <v>626</v>
      </c>
      <c r="S486" s="64" t="s">
        <v>427</v>
      </c>
      <c r="T486" s="163" t="s">
        <v>624</v>
      </c>
      <c r="U486" s="165" t="s">
        <v>665</v>
      </c>
      <c r="X486" s="64" t="s">
        <v>664</v>
      </c>
      <c r="Y486" s="17" t="s">
        <v>289</v>
      </c>
      <c r="AA486" s="46"/>
      <c r="AC486" s="19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</row>
    <row r="487" spans="1:53" s="17" customFormat="1" x14ac:dyDescent="0.3">
      <c r="A487" s="33"/>
      <c r="B487" s="33"/>
      <c r="C487" s="18"/>
      <c r="D487" s="18"/>
      <c r="E487" s="18"/>
      <c r="F487" s="18"/>
      <c r="G487" s="18" t="s">
        <v>481</v>
      </c>
      <c r="H487" s="65">
        <f>H486</f>
        <v>1</v>
      </c>
      <c r="I487" s="161">
        <v>3</v>
      </c>
      <c r="J487" s="164" t="s">
        <v>641</v>
      </c>
      <c r="K487" s="65"/>
      <c r="L487" s="79" t="s">
        <v>323</v>
      </c>
      <c r="M487" s="18"/>
      <c r="N487" s="18">
        <v>3</v>
      </c>
      <c r="O487" s="18"/>
      <c r="P487" s="97" t="s">
        <v>252</v>
      </c>
      <c r="Q487" s="97"/>
      <c r="R487" s="18" t="s">
        <v>640</v>
      </c>
      <c r="S487" s="18" t="s">
        <v>247</v>
      </c>
      <c r="T487" s="73" t="s">
        <v>639</v>
      </c>
      <c r="U487" s="165" t="s">
        <v>665</v>
      </c>
      <c r="X487" s="64" t="s">
        <v>664</v>
      </c>
      <c r="Y487" s="17" t="s">
        <v>289</v>
      </c>
      <c r="AA487" s="46"/>
      <c r="AC487" s="19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</row>
    <row r="488" spans="1:53" s="17" customFormat="1" x14ac:dyDescent="0.3">
      <c r="A488" s="33"/>
      <c r="B488" s="33"/>
      <c r="C488" s="18"/>
      <c r="D488" s="18"/>
      <c r="E488" s="18"/>
      <c r="F488" s="18"/>
      <c r="G488" s="18" t="s">
        <v>481</v>
      </c>
      <c r="H488" s="65">
        <f>H487</f>
        <v>1</v>
      </c>
      <c r="I488" s="161">
        <v>4</v>
      </c>
      <c r="J488" s="164" t="s">
        <v>638</v>
      </c>
      <c r="K488" s="65"/>
      <c r="L488" s="79" t="s">
        <v>323</v>
      </c>
      <c r="M488" s="18"/>
      <c r="N488" s="18">
        <v>3</v>
      </c>
      <c r="O488" s="18"/>
      <c r="P488" s="79" t="s">
        <v>637</v>
      </c>
      <c r="Q488" s="79"/>
      <c r="R488" s="18" t="s">
        <v>636</v>
      </c>
      <c r="S488" s="18" t="s">
        <v>211</v>
      </c>
      <c r="T488" s="163" t="s">
        <v>635</v>
      </c>
      <c r="U488" s="165" t="s">
        <v>665</v>
      </c>
      <c r="X488" s="64" t="s">
        <v>664</v>
      </c>
      <c r="Y488" s="17" t="s">
        <v>289</v>
      </c>
      <c r="AA488" s="46"/>
      <c r="AC488" s="19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</row>
    <row r="489" spans="1:53" s="17" customFormat="1" x14ac:dyDescent="0.3">
      <c r="A489" s="33"/>
      <c r="B489" s="33"/>
      <c r="C489" s="18"/>
      <c r="D489" s="18"/>
      <c r="E489" s="18"/>
      <c r="F489" s="18"/>
      <c r="G489" s="18" t="s">
        <v>481</v>
      </c>
      <c r="H489" s="65">
        <f>H488</f>
        <v>1</v>
      </c>
      <c r="I489" s="161">
        <v>5</v>
      </c>
      <c r="J489" s="164" t="s">
        <v>634</v>
      </c>
      <c r="K489" s="65"/>
      <c r="L489" s="79" t="s">
        <v>323</v>
      </c>
      <c r="M489" s="18"/>
      <c r="N489" s="18"/>
      <c r="O489" s="18"/>
      <c r="P489" s="79"/>
      <c r="Q489" s="79"/>
      <c r="R489" s="18"/>
      <c r="S489" s="163"/>
      <c r="T489" s="163"/>
      <c r="U489" s="68"/>
      <c r="AA489" s="46"/>
      <c r="AC489" s="19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</row>
    <row r="490" spans="1:53" s="17" customFormat="1" x14ac:dyDescent="0.3">
      <c r="A490" s="33"/>
      <c r="B490" s="33"/>
      <c r="C490" s="18"/>
      <c r="D490" s="18"/>
      <c r="E490" s="18"/>
      <c r="F490" s="18"/>
      <c r="G490" s="18" t="s">
        <v>481</v>
      </c>
      <c r="H490" s="65">
        <f>H489</f>
        <v>1</v>
      </c>
      <c r="I490" s="161">
        <v>6</v>
      </c>
      <c r="J490" s="164" t="s">
        <v>633</v>
      </c>
      <c r="K490" s="65"/>
      <c r="L490" s="79" t="s">
        <v>323</v>
      </c>
      <c r="M490" s="18"/>
      <c r="N490" s="18">
        <v>3</v>
      </c>
      <c r="O490" s="18"/>
      <c r="P490" s="79" t="s">
        <v>589</v>
      </c>
      <c r="Q490" s="79"/>
      <c r="R490" s="18" t="s">
        <v>365</v>
      </c>
      <c r="S490" s="163" t="s">
        <v>364</v>
      </c>
      <c r="T490" s="163"/>
      <c r="U490" s="165" t="s">
        <v>665</v>
      </c>
      <c r="X490" s="64" t="s">
        <v>664</v>
      </c>
      <c r="Y490" s="17" t="s">
        <v>289</v>
      </c>
      <c r="AA490" s="46"/>
      <c r="AC490" s="19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</row>
    <row r="491" spans="1:53" s="17" customFormat="1" x14ac:dyDescent="0.3">
      <c r="A491" s="33"/>
      <c r="B491" s="33"/>
      <c r="C491" s="18"/>
      <c r="D491" s="18"/>
      <c r="E491" s="18"/>
      <c r="F491" s="18"/>
      <c r="G491" s="18" t="s">
        <v>481</v>
      </c>
      <c r="H491" s="65">
        <f>H490</f>
        <v>1</v>
      </c>
      <c r="I491" s="161">
        <v>1</v>
      </c>
      <c r="J491" s="164" t="s">
        <v>233</v>
      </c>
      <c r="K491" s="65"/>
      <c r="L491" s="79" t="s">
        <v>292</v>
      </c>
      <c r="M491" s="18"/>
      <c r="N491" s="18">
        <v>3</v>
      </c>
      <c r="O491" s="18"/>
      <c r="P491" s="79" t="s">
        <v>517</v>
      </c>
      <c r="Q491" s="79"/>
      <c r="R491" s="18" t="s">
        <v>632</v>
      </c>
      <c r="S491" s="18" t="s">
        <v>247</v>
      </c>
      <c r="T491" s="163" t="s">
        <v>631</v>
      </c>
      <c r="U491" s="165" t="s">
        <v>665</v>
      </c>
      <c r="X491" s="64" t="s">
        <v>664</v>
      </c>
      <c r="Y491" s="17" t="s">
        <v>289</v>
      </c>
      <c r="AA491" s="46"/>
      <c r="AC491" s="19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</row>
    <row r="492" spans="1:53" s="17" customFormat="1" x14ac:dyDescent="0.3">
      <c r="A492" s="33"/>
      <c r="B492" s="33"/>
      <c r="C492" s="18"/>
      <c r="D492" s="18"/>
      <c r="E492" s="18"/>
      <c r="F492" s="18"/>
      <c r="G492" s="18" t="s">
        <v>481</v>
      </c>
      <c r="H492" s="65">
        <f>H491</f>
        <v>1</v>
      </c>
      <c r="I492" s="161">
        <v>2</v>
      </c>
      <c r="J492" s="160" t="s">
        <v>229</v>
      </c>
      <c r="K492" s="65"/>
      <c r="L492" s="79" t="s">
        <v>292</v>
      </c>
      <c r="M492" s="18"/>
      <c r="N492" s="83">
        <v>6</v>
      </c>
      <c r="O492" s="83"/>
      <c r="P492" s="92" t="s">
        <v>630</v>
      </c>
      <c r="Q492" s="92"/>
      <c r="R492" s="92" t="s">
        <v>629</v>
      </c>
      <c r="S492" s="83" t="s">
        <v>299</v>
      </c>
      <c r="T492" s="162" t="s">
        <v>628</v>
      </c>
      <c r="U492" s="156" t="s">
        <v>665</v>
      </c>
      <c r="V492" s="83"/>
      <c r="W492" s="83"/>
      <c r="X492" s="92" t="s">
        <v>664</v>
      </c>
      <c r="Y492" s="17">
        <v>0</v>
      </c>
      <c r="AA492" s="46"/>
      <c r="AC492" s="19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</row>
    <row r="493" spans="1:53" s="17" customFormat="1" x14ac:dyDescent="0.3">
      <c r="A493" s="33"/>
      <c r="B493" s="33"/>
      <c r="C493" s="18"/>
      <c r="D493" s="18"/>
      <c r="E493" s="18"/>
      <c r="F493" s="18"/>
      <c r="G493" s="18" t="s">
        <v>481</v>
      </c>
      <c r="H493" s="65">
        <f>H492</f>
        <v>1</v>
      </c>
      <c r="I493" s="161">
        <v>3</v>
      </c>
      <c r="J493" s="160" t="s">
        <v>218</v>
      </c>
      <c r="K493" s="65"/>
      <c r="L493" s="79" t="s">
        <v>292</v>
      </c>
      <c r="M493" s="18"/>
      <c r="N493" s="18"/>
      <c r="O493" s="18"/>
      <c r="P493" s="18"/>
      <c r="Q493" s="18"/>
      <c r="R493" s="64"/>
      <c r="T493" s="63"/>
      <c r="U493" s="68"/>
      <c r="W493" s="33"/>
      <c r="AA493" s="46"/>
      <c r="AC493" s="19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</row>
    <row r="494" spans="1:53" s="17" customFormat="1" ht="13.5" thickBot="1" x14ac:dyDescent="0.35">
      <c r="A494" s="33"/>
      <c r="B494" s="33"/>
      <c r="C494" s="18"/>
      <c r="D494" s="18"/>
      <c r="E494" s="18"/>
      <c r="F494" s="18"/>
      <c r="G494" s="18" t="s">
        <v>481</v>
      </c>
      <c r="H494" s="65">
        <f>H493</f>
        <v>1</v>
      </c>
      <c r="I494" s="159">
        <v>4</v>
      </c>
      <c r="J494" s="158" t="s">
        <v>627</v>
      </c>
      <c r="K494" s="65"/>
      <c r="L494" s="79" t="s">
        <v>292</v>
      </c>
      <c r="M494" s="18"/>
      <c r="N494" s="83">
        <v>6</v>
      </c>
      <c r="O494" s="83"/>
      <c r="P494" s="92" t="s">
        <v>433</v>
      </c>
      <c r="Q494" s="92"/>
      <c r="R494" s="92" t="s">
        <v>626</v>
      </c>
      <c r="S494" s="83" t="s">
        <v>625</v>
      </c>
      <c r="T494" s="157" t="s">
        <v>624</v>
      </c>
      <c r="U494" s="156" t="s">
        <v>665</v>
      </c>
      <c r="V494" s="83"/>
      <c r="W494" s="83"/>
      <c r="X494" s="92" t="s">
        <v>664</v>
      </c>
      <c r="Y494" s="17">
        <v>0</v>
      </c>
      <c r="AA494" s="46"/>
      <c r="AC494" s="19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</row>
    <row r="495" spans="1:53" s="17" customFormat="1" ht="13.5" thickBot="1" x14ac:dyDescent="0.35">
      <c r="A495" s="33"/>
      <c r="B495" s="33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AA495" s="46"/>
      <c r="AC495" s="19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</row>
    <row r="496" spans="1:53" s="17" customFormat="1" x14ac:dyDescent="0.3">
      <c r="A496" s="33"/>
      <c r="B496" s="33"/>
      <c r="C496" s="18" t="s">
        <v>647</v>
      </c>
      <c r="D496" s="18"/>
      <c r="E496" s="18"/>
      <c r="F496" s="18"/>
      <c r="G496" s="18" t="s">
        <v>481</v>
      </c>
      <c r="H496" s="144">
        <v>1</v>
      </c>
      <c r="I496" s="167">
        <v>1</v>
      </c>
      <c r="J496" s="166" t="s">
        <v>648</v>
      </c>
      <c r="K496" s="65" t="s">
        <v>647</v>
      </c>
      <c r="L496" s="79" t="s">
        <v>323</v>
      </c>
      <c r="M496" s="18"/>
      <c r="N496" s="18">
        <v>3</v>
      </c>
      <c r="O496" s="18"/>
      <c r="P496" s="79" t="s">
        <v>646</v>
      </c>
      <c r="Q496" s="79"/>
      <c r="R496" s="64" t="s">
        <v>626</v>
      </c>
      <c r="S496" s="64" t="s">
        <v>247</v>
      </c>
      <c r="T496" s="163" t="s">
        <v>624</v>
      </c>
      <c r="U496" s="165" t="s">
        <v>663</v>
      </c>
      <c r="X496" s="64" t="s">
        <v>662</v>
      </c>
      <c r="Y496" s="17" t="s">
        <v>289</v>
      </c>
      <c r="AA496" s="46"/>
      <c r="AC496" s="19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</row>
    <row r="497" spans="1:53" s="17" customFormat="1" x14ac:dyDescent="0.3">
      <c r="A497" s="33"/>
      <c r="B497" s="33"/>
      <c r="C497" s="18"/>
      <c r="D497" s="18"/>
      <c r="E497" s="18"/>
      <c r="F497" s="18"/>
      <c r="G497" s="18" t="s">
        <v>481</v>
      </c>
      <c r="H497" s="65">
        <f>H496</f>
        <v>1</v>
      </c>
      <c r="I497" s="161">
        <v>2</v>
      </c>
      <c r="J497" s="164" t="s">
        <v>642</v>
      </c>
      <c r="K497" s="99" t="s">
        <v>287</v>
      </c>
      <c r="L497" s="79" t="s">
        <v>323</v>
      </c>
      <c r="M497" s="18"/>
      <c r="N497" s="83">
        <v>6</v>
      </c>
      <c r="O497" s="18"/>
      <c r="P497" s="92" t="s">
        <v>429</v>
      </c>
      <c r="Q497" s="79"/>
      <c r="R497" s="64" t="s">
        <v>626</v>
      </c>
      <c r="S497" s="64" t="s">
        <v>427</v>
      </c>
      <c r="T497" s="163" t="s">
        <v>624</v>
      </c>
      <c r="U497" s="165" t="s">
        <v>663</v>
      </c>
      <c r="X497" s="64" t="s">
        <v>662</v>
      </c>
      <c r="Y497" s="17" t="s">
        <v>289</v>
      </c>
      <c r="AA497" s="46"/>
      <c r="AC497" s="19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</row>
    <row r="498" spans="1:53" s="17" customFormat="1" x14ac:dyDescent="0.3">
      <c r="A498" s="33"/>
      <c r="B498" s="33"/>
      <c r="C498" s="18"/>
      <c r="D498" s="18"/>
      <c r="E498" s="18"/>
      <c r="F498" s="18"/>
      <c r="G498" s="18" t="s">
        <v>481</v>
      </c>
      <c r="H498" s="65">
        <f>H497</f>
        <v>1</v>
      </c>
      <c r="I498" s="161">
        <v>3</v>
      </c>
      <c r="J498" s="164" t="s">
        <v>641</v>
      </c>
      <c r="K498" s="65"/>
      <c r="L498" s="79" t="s">
        <v>323</v>
      </c>
      <c r="M498" s="18"/>
      <c r="N498" s="18">
        <v>3</v>
      </c>
      <c r="O498" s="18"/>
      <c r="P498" s="97" t="s">
        <v>252</v>
      </c>
      <c r="Q498" s="97"/>
      <c r="R498" s="18" t="s">
        <v>640</v>
      </c>
      <c r="S498" s="18" t="s">
        <v>247</v>
      </c>
      <c r="T498" s="73" t="s">
        <v>639</v>
      </c>
      <c r="U498" s="165" t="s">
        <v>663</v>
      </c>
      <c r="X498" s="64" t="s">
        <v>662</v>
      </c>
      <c r="Y498" s="17" t="s">
        <v>289</v>
      </c>
      <c r="AA498" s="46"/>
      <c r="AC498" s="19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</row>
    <row r="499" spans="1:53" s="17" customFormat="1" x14ac:dyDescent="0.3">
      <c r="A499" s="33"/>
      <c r="B499" s="33"/>
      <c r="C499" s="18"/>
      <c r="D499" s="18"/>
      <c r="E499" s="18"/>
      <c r="F499" s="18"/>
      <c r="G499" s="18" t="s">
        <v>481</v>
      </c>
      <c r="H499" s="65">
        <f>H498</f>
        <v>1</v>
      </c>
      <c r="I499" s="161">
        <v>4</v>
      </c>
      <c r="J499" s="164" t="s">
        <v>638</v>
      </c>
      <c r="K499" s="65"/>
      <c r="L499" s="79" t="s">
        <v>323</v>
      </c>
      <c r="M499" s="18"/>
      <c r="N499" s="18">
        <v>3</v>
      </c>
      <c r="O499" s="18"/>
      <c r="P499" s="79" t="s">
        <v>637</v>
      </c>
      <c r="Q499" s="79"/>
      <c r="R499" s="18" t="s">
        <v>636</v>
      </c>
      <c r="S499" s="18" t="s">
        <v>211</v>
      </c>
      <c r="T499" s="163" t="s">
        <v>635</v>
      </c>
      <c r="U499" s="165" t="s">
        <v>663</v>
      </c>
      <c r="X499" s="64" t="s">
        <v>662</v>
      </c>
      <c r="Y499" s="17" t="s">
        <v>289</v>
      </c>
      <c r="AA499" s="46"/>
      <c r="AC499" s="19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</row>
    <row r="500" spans="1:53" s="17" customFormat="1" x14ac:dyDescent="0.3">
      <c r="A500" s="33"/>
      <c r="B500" s="33"/>
      <c r="C500" s="18"/>
      <c r="D500" s="18"/>
      <c r="E500" s="18"/>
      <c r="F500" s="18"/>
      <c r="G500" s="18" t="s">
        <v>481</v>
      </c>
      <c r="H500" s="65">
        <f>H499</f>
        <v>1</v>
      </c>
      <c r="I500" s="161">
        <v>5</v>
      </c>
      <c r="J500" s="164" t="s">
        <v>634</v>
      </c>
      <c r="K500" s="65"/>
      <c r="L500" s="79" t="s">
        <v>323</v>
      </c>
      <c r="M500" s="18"/>
      <c r="N500" s="18"/>
      <c r="O500" s="18"/>
      <c r="P500" s="79"/>
      <c r="Q500" s="79"/>
      <c r="R500" s="18"/>
      <c r="S500" s="163"/>
      <c r="T500" s="163"/>
      <c r="U500" s="68"/>
      <c r="AA500" s="46"/>
      <c r="AC500" s="19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</row>
    <row r="501" spans="1:53" s="17" customFormat="1" x14ac:dyDescent="0.3">
      <c r="A501" s="33"/>
      <c r="B501" s="33"/>
      <c r="C501" s="18"/>
      <c r="D501" s="18"/>
      <c r="E501" s="18"/>
      <c r="F501" s="18"/>
      <c r="G501" s="18" t="s">
        <v>481</v>
      </c>
      <c r="H501" s="65">
        <f>H500</f>
        <v>1</v>
      </c>
      <c r="I501" s="161">
        <v>6</v>
      </c>
      <c r="J501" s="164" t="s">
        <v>633</v>
      </c>
      <c r="K501" s="65"/>
      <c r="L501" s="79" t="s">
        <v>323</v>
      </c>
      <c r="M501" s="18"/>
      <c r="N501" s="18">
        <v>3</v>
      </c>
      <c r="O501" s="18"/>
      <c r="P501" s="79" t="s">
        <v>589</v>
      </c>
      <c r="Q501" s="79"/>
      <c r="R501" s="18" t="s">
        <v>365</v>
      </c>
      <c r="S501" s="163" t="s">
        <v>364</v>
      </c>
      <c r="T501" s="163"/>
      <c r="U501" s="165" t="s">
        <v>663</v>
      </c>
      <c r="X501" s="64" t="s">
        <v>662</v>
      </c>
      <c r="Y501" s="17" t="s">
        <v>289</v>
      </c>
      <c r="AA501" s="46"/>
      <c r="AC501" s="19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</row>
    <row r="502" spans="1:53" s="17" customFormat="1" x14ac:dyDescent="0.3">
      <c r="A502" s="33"/>
      <c r="B502" s="33"/>
      <c r="C502" s="18"/>
      <c r="D502" s="18"/>
      <c r="E502" s="18"/>
      <c r="F502" s="18"/>
      <c r="G502" s="18" t="s">
        <v>481</v>
      </c>
      <c r="H502" s="65">
        <f>H501</f>
        <v>1</v>
      </c>
      <c r="I502" s="161">
        <v>1</v>
      </c>
      <c r="J502" s="164" t="s">
        <v>233</v>
      </c>
      <c r="K502" s="65"/>
      <c r="L502" s="79" t="s">
        <v>292</v>
      </c>
      <c r="M502" s="18"/>
      <c r="N502" s="18">
        <v>3</v>
      </c>
      <c r="O502" s="18"/>
      <c r="P502" s="79" t="s">
        <v>517</v>
      </c>
      <c r="Q502" s="79"/>
      <c r="R502" s="18" t="s">
        <v>632</v>
      </c>
      <c r="S502" s="18" t="s">
        <v>247</v>
      </c>
      <c r="T502" s="163" t="s">
        <v>631</v>
      </c>
      <c r="U502" s="165" t="s">
        <v>663</v>
      </c>
      <c r="X502" s="64" t="s">
        <v>662</v>
      </c>
      <c r="Y502" s="17" t="s">
        <v>289</v>
      </c>
      <c r="AA502" s="46"/>
      <c r="AC502" s="19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</row>
    <row r="503" spans="1:53" s="17" customFormat="1" x14ac:dyDescent="0.3">
      <c r="A503" s="33"/>
      <c r="B503" s="33"/>
      <c r="C503" s="18"/>
      <c r="D503" s="18"/>
      <c r="E503" s="18"/>
      <c r="F503" s="18"/>
      <c r="G503" s="18" t="s">
        <v>481</v>
      </c>
      <c r="H503" s="65">
        <f>H502</f>
        <v>1</v>
      </c>
      <c r="I503" s="161">
        <v>2</v>
      </c>
      <c r="J503" s="160" t="s">
        <v>229</v>
      </c>
      <c r="K503" s="65"/>
      <c r="L503" s="79" t="s">
        <v>292</v>
      </c>
      <c r="M503" s="18"/>
      <c r="N503" s="83">
        <v>6</v>
      </c>
      <c r="O503" s="83"/>
      <c r="P503" s="92" t="s">
        <v>630</v>
      </c>
      <c r="Q503" s="92"/>
      <c r="R503" s="92" t="s">
        <v>629</v>
      </c>
      <c r="S503" s="83" t="s">
        <v>299</v>
      </c>
      <c r="T503" s="162" t="s">
        <v>628</v>
      </c>
      <c r="U503" s="165" t="s">
        <v>663</v>
      </c>
      <c r="X503" s="64" t="s">
        <v>662</v>
      </c>
      <c r="Y503" s="17">
        <v>0</v>
      </c>
      <c r="AA503" s="46"/>
      <c r="AC503" s="19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</row>
    <row r="504" spans="1:53" s="17" customFormat="1" x14ac:dyDescent="0.3">
      <c r="A504" s="33"/>
      <c r="B504" s="33"/>
      <c r="C504" s="18"/>
      <c r="D504" s="18"/>
      <c r="E504" s="18"/>
      <c r="F504" s="18"/>
      <c r="G504" s="18" t="s">
        <v>481</v>
      </c>
      <c r="H504" s="65">
        <f>H503</f>
        <v>1</v>
      </c>
      <c r="I504" s="161">
        <v>3</v>
      </c>
      <c r="J504" s="160" t="s">
        <v>218</v>
      </c>
      <c r="K504" s="65"/>
      <c r="L504" s="79" t="s">
        <v>292</v>
      </c>
      <c r="M504" s="18"/>
      <c r="N504" s="18"/>
      <c r="O504" s="18"/>
      <c r="P504" s="18"/>
      <c r="Q504" s="18"/>
      <c r="R504" s="64"/>
      <c r="T504" s="63"/>
      <c r="U504" s="68"/>
      <c r="W504" s="33"/>
      <c r="AA504" s="46"/>
      <c r="AC504" s="19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</row>
    <row r="505" spans="1:53" s="17" customFormat="1" ht="13.5" thickBot="1" x14ac:dyDescent="0.35">
      <c r="A505" s="33"/>
      <c r="B505" s="33"/>
      <c r="C505" s="18"/>
      <c r="D505" s="18"/>
      <c r="E505" s="18"/>
      <c r="F505" s="18"/>
      <c r="G505" s="18" t="s">
        <v>481</v>
      </c>
      <c r="H505" s="65">
        <f>H504</f>
        <v>1</v>
      </c>
      <c r="I505" s="159">
        <v>4</v>
      </c>
      <c r="J505" s="158" t="s">
        <v>627</v>
      </c>
      <c r="K505" s="65"/>
      <c r="L505" s="79" t="s">
        <v>292</v>
      </c>
      <c r="M505" s="18"/>
      <c r="N505" s="83">
        <v>6</v>
      </c>
      <c r="O505" s="83"/>
      <c r="P505" s="92" t="s">
        <v>433</v>
      </c>
      <c r="Q505" s="92"/>
      <c r="R505" s="92" t="s">
        <v>626</v>
      </c>
      <c r="S505" s="83" t="s">
        <v>625</v>
      </c>
      <c r="T505" s="157" t="s">
        <v>624</v>
      </c>
      <c r="U505" s="165" t="s">
        <v>663</v>
      </c>
      <c r="X505" s="64" t="s">
        <v>662</v>
      </c>
      <c r="Y505" s="17">
        <v>0</v>
      </c>
      <c r="AA505" s="46"/>
      <c r="AC505" s="19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</row>
    <row r="506" spans="1:53" s="17" customFormat="1" ht="13.5" thickBot="1" x14ac:dyDescent="0.35">
      <c r="A506" s="33"/>
      <c r="B506" s="33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AA506" s="46"/>
      <c r="AC506" s="19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</row>
    <row r="507" spans="1:53" s="17" customFormat="1" x14ac:dyDescent="0.3">
      <c r="A507" s="33"/>
      <c r="B507" s="33"/>
      <c r="C507" s="18" t="s">
        <v>647</v>
      </c>
      <c r="D507" s="18"/>
      <c r="E507" s="18"/>
      <c r="F507" s="18"/>
      <c r="G507" s="18" t="s">
        <v>481</v>
      </c>
      <c r="H507" s="144">
        <v>1</v>
      </c>
      <c r="I507" s="167">
        <v>1</v>
      </c>
      <c r="J507" s="166" t="s">
        <v>648</v>
      </c>
      <c r="K507" s="65" t="s">
        <v>647</v>
      </c>
      <c r="L507" s="79" t="s">
        <v>323</v>
      </c>
      <c r="M507" s="18"/>
      <c r="N507" s="18">
        <v>3</v>
      </c>
      <c r="O507" s="18"/>
      <c r="P507" s="79" t="s">
        <v>646</v>
      </c>
      <c r="Q507" s="79"/>
      <c r="R507" s="64" t="s">
        <v>626</v>
      </c>
      <c r="S507" s="64" t="s">
        <v>247</v>
      </c>
      <c r="T507" s="163" t="s">
        <v>624</v>
      </c>
      <c r="U507" s="165" t="s">
        <v>661</v>
      </c>
      <c r="X507" s="64" t="s">
        <v>660</v>
      </c>
      <c r="Y507" s="17" t="s">
        <v>289</v>
      </c>
      <c r="AA507" s="46"/>
      <c r="AC507" s="19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</row>
    <row r="508" spans="1:53" s="17" customFormat="1" x14ac:dyDescent="0.3">
      <c r="A508" s="33"/>
      <c r="B508" s="33"/>
      <c r="C508" s="18"/>
      <c r="D508" s="18"/>
      <c r="E508" s="18"/>
      <c r="F508" s="18"/>
      <c r="G508" s="18" t="s">
        <v>481</v>
      </c>
      <c r="H508" s="65">
        <f>H507</f>
        <v>1</v>
      </c>
      <c r="I508" s="161">
        <v>2</v>
      </c>
      <c r="J508" s="164" t="s">
        <v>642</v>
      </c>
      <c r="K508" s="99" t="s">
        <v>287</v>
      </c>
      <c r="L508" s="79" t="s">
        <v>323</v>
      </c>
      <c r="M508" s="18"/>
      <c r="N508" s="18">
        <v>3</v>
      </c>
      <c r="O508" s="18"/>
      <c r="P508" s="79" t="s">
        <v>429</v>
      </c>
      <c r="Q508" s="79"/>
      <c r="R508" s="64" t="s">
        <v>626</v>
      </c>
      <c r="S508" s="64" t="s">
        <v>427</v>
      </c>
      <c r="T508" s="163" t="s">
        <v>624</v>
      </c>
      <c r="U508" s="165" t="s">
        <v>661</v>
      </c>
      <c r="X508" s="64" t="s">
        <v>660</v>
      </c>
      <c r="Y508" s="17" t="s">
        <v>289</v>
      </c>
      <c r="AA508" s="46"/>
      <c r="AC508" s="19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</row>
    <row r="509" spans="1:53" s="17" customFormat="1" x14ac:dyDescent="0.3">
      <c r="A509" s="33"/>
      <c r="B509" s="33"/>
      <c r="C509" s="18"/>
      <c r="D509" s="18"/>
      <c r="E509" s="18"/>
      <c r="F509" s="18"/>
      <c r="G509" s="18" t="s">
        <v>481</v>
      </c>
      <c r="H509" s="65">
        <f>H508</f>
        <v>1</v>
      </c>
      <c r="I509" s="161">
        <v>3</v>
      </c>
      <c r="J509" s="164" t="s">
        <v>641</v>
      </c>
      <c r="K509" s="65"/>
      <c r="L509" s="79" t="s">
        <v>323</v>
      </c>
      <c r="M509" s="18"/>
      <c r="N509" s="18">
        <v>3</v>
      </c>
      <c r="O509" s="18"/>
      <c r="P509" s="97" t="s">
        <v>252</v>
      </c>
      <c r="Q509" s="97"/>
      <c r="R509" s="18" t="s">
        <v>640</v>
      </c>
      <c r="S509" s="18" t="s">
        <v>247</v>
      </c>
      <c r="T509" s="73" t="s">
        <v>639</v>
      </c>
      <c r="U509" s="165" t="s">
        <v>661</v>
      </c>
      <c r="X509" s="64" t="s">
        <v>660</v>
      </c>
      <c r="Y509" s="17" t="s">
        <v>289</v>
      </c>
      <c r="AA509" s="46"/>
      <c r="AC509" s="19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</row>
    <row r="510" spans="1:53" s="17" customFormat="1" x14ac:dyDescent="0.3">
      <c r="A510" s="33"/>
      <c r="B510" s="33"/>
      <c r="C510" s="18"/>
      <c r="D510" s="18"/>
      <c r="E510" s="18"/>
      <c r="F510" s="18"/>
      <c r="G510" s="18" t="s">
        <v>481</v>
      </c>
      <c r="H510" s="65">
        <f>H509</f>
        <v>1</v>
      </c>
      <c r="I510" s="161">
        <v>4</v>
      </c>
      <c r="J510" s="164" t="s">
        <v>638</v>
      </c>
      <c r="K510" s="65"/>
      <c r="L510" s="79" t="s">
        <v>323</v>
      </c>
      <c r="M510" s="18"/>
      <c r="N510" s="18">
        <v>3</v>
      </c>
      <c r="O510" s="18"/>
      <c r="P510" s="79" t="s">
        <v>637</v>
      </c>
      <c r="Q510" s="79"/>
      <c r="R510" s="18" t="s">
        <v>636</v>
      </c>
      <c r="S510" s="18" t="s">
        <v>211</v>
      </c>
      <c r="T510" s="163" t="s">
        <v>635</v>
      </c>
      <c r="U510" s="165" t="s">
        <v>661</v>
      </c>
      <c r="X510" s="64" t="s">
        <v>660</v>
      </c>
      <c r="Y510" s="17" t="s">
        <v>289</v>
      </c>
      <c r="AA510" s="46"/>
      <c r="AC510" s="19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</row>
    <row r="511" spans="1:53" s="17" customFormat="1" x14ac:dyDescent="0.3">
      <c r="A511" s="33"/>
      <c r="B511" s="33"/>
      <c r="C511" s="18"/>
      <c r="D511" s="18"/>
      <c r="E511" s="18"/>
      <c r="F511" s="18"/>
      <c r="G511" s="18" t="s">
        <v>481</v>
      </c>
      <c r="H511" s="65">
        <f>H510</f>
        <v>1</v>
      </c>
      <c r="I511" s="161">
        <v>5</v>
      </c>
      <c r="J511" s="164" t="s">
        <v>634</v>
      </c>
      <c r="K511" s="65"/>
      <c r="L511" s="79" t="s">
        <v>323</v>
      </c>
      <c r="M511" s="18"/>
      <c r="N511" s="18"/>
      <c r="O511" s="18"/>
      <c r="P511" s="79"/>
      <c r="Q511" s="79"/>
      <c r="R511" s="18"/>
      <c r="S511" s="163"/>
      <c r="T511" s="163"/>
      <c r="U511" s="68"/>
      <c r="AA511" s="46"/>
      <c r="AC511" s="19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</row>
    <row r="512" spans="1:53" s="17" customFormat="1" x14ac:dyDescent="0.3">
      <c r="A512" s="33"/>
      <c r="B512" s="33"/>
      <c r="C512" s="18"/>
      <c r="D512" s="18"/>
      <c r="E512" s="18"/>
      <c r="F512" s="18"/>
      <c r="G512" s="18" t="s">
        <v>481</v>
      </c>
      <c r="H512" s="65">
        <f>H511</f>
        <v>1</v>
      </c>
      <c r="I512" s="161">
        <v>6</v>
      </c>
      <c r="J512" s="164" t="s">
        <v>633</v>
      </c>
      <c r="K512" s="65"/>
      <c r="L512" s="79" t="s">
        <v>323</v>
      </c>
      <c r="M512" s="18"/>
      <c r="N512" s="18">
        <v>3</v>
      </c>
      <c r="O512" s="18"/>
      <c r="P512" s="79" t="s">
        <v>589</v>
      </c>
      <c r="Q512" s="79"/>
      <c r="R512" s="18" t="s">
        <v>365</v>
      </c>
      <c r="S512" s="163" t="s">
        <v>364</v>
      </c>
      <c r="T512" s="163"/>
      <c r="U512" s="165" t="s">
        <v>661</v>
      </c>
      <c r="X512" s="64" t="s">
        <v>660</v>
      </c>
      <c r="Y512" s="17" t="s">
        <v>289</v>
      </c>
      <c r="AA512" s="46"/>
      <c r="AC512" s="19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</row>
    <row r="513" spans="1:53" s="17" customFormat="1" x14ac:dyDescent="0.3">
      <c r="A513" s="33"/>
      <c r="B513" s="33"/>
      <c r="C513" s="18"/>
      <c r="D513" s="18"/>
      <c r="E513" s="18"/>
      <c r="F513" s="18"/>
      <c r="G513" s="18" t="s">
        <v>481</v>
      </c>
      <c r="H513" s="65">
        <f>H512</f>
        <v>1</v>
      </c>
      <c r="I513" s="161">
        <v>1</v>
      </c>
      <c r="J513" s="164" t="s">
        <v>233</v>
      </c>
      <c r="K513" s="65"/>
      <c r="L513" s="79" t="s">
        <v>292</v>
      </c>
      <c r="M513" s="18"/>
      <c r="N513" s="18">
        <v>3</v>
      </c>
      <c r="O513" s="18"/>
      <c r="P513" s="79" t="s">
        <v>517</v>
      </c>
      <c r="Q513" s="79"/>
      <c r="R513" s="18" t="s">
        <v>632</v>
      </c>
      <c r="S513" s="18" t="s">
        <v>247</v>
      </c>
      <c r="T513" s="163" t="s">
        <v>631</v>
      </c>
      <c r="U513" s="165" t="s">
        <v>661</v>
      </c>
      <c r="X513" s="64" t="s">
        <v>660</v>
      </c>
      <c r="Y513" s="17" t="s">
        <v>289</v>
      </c>
      <c r="AA513" s="46"/>
      <c r="AC513" s="19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</row>
    <row r="514" spans="1:53" s="17" customFormat="1" x14ac:dyDescent="0.3">
      <c r="A514" s="33"/>
      <c r="B514" s="33"/>
      <c r="C514" s="18"/>
      <c r="D514" s="18"/>
      <c r="E514" s="18"/>
      <c r="F514" s="18"/>
      <c r="G514" s="18" t="s">
        <v>481</v>
      </c>
      <c r="H514" s="65">
        <f>H513</f>
        <v>1</v>
      </c>
      <c r="I514" s="161">
        <v>2</v>
      </c>
      <c r="J514" s="160" t="s">
        <v>229</v>
      </c>
      <c r="K514" s="65"/>
      <c r="L514" s="79" t="s">
        <v>292</v>
      </c>
      <c r="M514" s="18"/>
      <c r="N514" s="83">
        <v>6</v>
      </c>
      <c r="O514" s="83"/>
      <c r="P514" s="92" t="s">
        <v>630</v>
      </c>
      <c r="Q514" s="92"/>
      <c r="R514" s="92" t="s">
        <v>629</v>
      </c>
      <c r="S514" s="83" t="s">
        <v>299</v>
      </c>
      <c r="T514" s="162" t="s">
        <v>628</v>
      </c>
      <c r="U514" s="165" t="s">
        <v>661</v>
      </c>
      <c r="X514" s="64" t="s">
        <v>660</v>
      </c>
      <c r="Y514" s="17">
        <v>0</v>
      </c>
      <c r="AA514" s="46"/>
      <c r="AC514" s="19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</row>
    <row r="515" spans="1:53" s="17" customFormat="1" x14ac:dyDescent="0.3">
      <c r="A515" s="33"/>
      <c r="B515" s="33"/>
      <c r="C515" s="18"/>
      <c r="D515" s="18"/>
      <c r="E515" s="18"/>
      <c r="F515" s="18"/>
      <c r="G515" s="18" t="s">
        <v>481</v>
      </c>
      <c r="H515" s="65">
        <f>H514</f>
        <v>1</v>
      </c>
      <c r="I515" s="161">
        <v>3</v>
      </c>
      <c r="J515" s="160" t="s">
        <v>218</v>
      </c>
      <c r="K515" s="65"/>
      <c r="L515" s="79" t="s">
        <v>292</v>
      </c>
      <c r="M515" s="18"/>
      <c r="N515" s="18"/>
      <c r="O515" s="18"/>
      <c r="P515" s="18"/>
      <c r="Q515" s="18"/>
      <c r="R515" s="64"/>
      <c r="T515" s="63"/>
      <c r="U515" s="68"/>
      <c r="W515" s="33"/>
      <c r="AA515" s="46"/>
      <c r="AC515" s="19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</row>
    <row r="516" spans="1:53" s="17" customFormat="1" ht="13.5" thickBot="1" x14ac:dyDescent="0.35">
      <c r="A516" s="33"/>
      <c r="B516" s="33"/>
      <c r="C516" s="18"/>
      <c r="D516" s="18"/>
      <c r="E516" s="18"/>
      <c r="F516" s="18"/>
      <c r="G516" s="18" t="s">
        <v>481</v>
      </c>
      <c r="H516" s="65">
        <f>H515</f>
        <v>1</v>
      </c>
      <c r="I516" s="159">
        <v>4</v>
      </c>
      <c r="J516" s="158" t="s">
        <v>627</v>
      </c>
      <c r="K516" s="65"/>
      <c r="L516" s="79" t="s">
        <v>292</v>
      </c>
      <c r="M516" s="18"/>
      <c r="N516" s="83">
        <v>6</v>
      </c>
      <c r="O516" s="83"/>
      <c r="P516" s="92" t="s">
        <v>433</v>
      </c>
      <c r="Q516" s="92"/>
      <c r="R516" s="92" t="s">
        <v>626</v>
      </c>
      <c r="S516" s="83" t="s">
        <v>625</v>
      </c>
      <c r="T516" s="157" t="s">
        <v>624</v>
      </c>
      <c r="U516" s="165" t="s">
        <v>661</v>
      </c>
      <c r="X516" s="64" t="s">
        <v>660</v>
      </c>
      <c r="Y516" s="17">
        <v>0</v>
      </c>
      <c r="AA516" s="46"/>
      <c r="AC516" s="19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</row>
    <row r="517" spans="1:53" s="17" customFormat="1" ht="13.5" thickBot="1" x14ac:dyDescent="0.35">
      <c r="A517" s="33"/>
      <c r="B517" s="33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AA517" s="46"/>
      <c r="AC517" s="19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</row>
    <row r="518" spans="1:53" s="17" customFormat="1" x14ac:dyDescent="0.3">
      <c r="A518" s="33"/>
      <c r="B518" s="33"/>
      <c r="C518" s="18" t="s">
        <v>647</v>
      </c>
      <c r="D518" s="18"/>
      <c r="E518" s="18"/>
      <c r="F518" s="18"/>
      <c r="G518" s="18" t="s">
        <v>481</v>
      </c>
      <c r="H518" s="144">
        <v>1</v>
      </c>
      <c r="I518" s="167">
        <v>1</v>
      </c>
      <c r="J518" s="166" t="s">
        <v>648</v>
      </c>
      <c r="K518" s="65" t="s">
        <v>647</v>
      </c>
      <c r="L518" s="79" t="s">
        <v>323</v>
      </c>
      <c r="M518" s="18"/>
      <c r="N518" s="18">
        <v>3</v>
      </c>
      <c r="O518" s="18"/>
      <c r="P518" s="79" t="s">
        <v>646</v>
      </c>
      <c r="Q518" s="79"/>
      <c r="R518" s="64" t="s">
        <v>626</v>
      </c>
      <c r="S518" s="64" t="s">
        <v>247</v>
      </c>
      <c r="T518" s="163" t="s">
        <v>624</v>
      </c>
      <c r="U518" s="165" t="s">
        <v>659</v>
      </c>
      <c r="X518" s="64" t="s">
        <v>658</v>
      </c>
      <c r="Y518" s="17" t="s">
        <v>289</v>
      </c>
      <c r="AA518" s="46"/>
      <c r="AC518" s="19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</row>
    <row r="519" spans="1:53" s="17" customFormat="1" x14ac:dyDescent="0.3">
      <c r="A519" s="33"/>
      <c r="B519" s="33"/>
      <c r="C519" s="18"/>
      <c r="D519" s="18"/>
      <c r="E519" s="18"/>
      <c r="F519" s="18"/>
      <c r="G519" s="18" t="s">
        <v>481</v>
      </c>
      <c r="H519" s="65">
        <f>H518</f>
        <v>1</v>
      </c>
      <c r="I519" s="161">
        <v>2</v>
      </c>
      <c r="J519" s="164" t="s">
        <v>642</v>
      </c>
      <c r="K519" s="99" t="s">
        <v>287</v>
      </c>
      <c r="L519" s="79" t="s">
        <v>323</v>
      </c>
      <c r="M519" s="18"/>
      <c r="N519" s="83">
        <v>6</v>
      </c>
      <c r="O519" s="18"/>
      <c r="P519" s="92" t="s">
        <v>429</v>
      </c>
      <c r="Q519" s="79"/>
      <c r="R519" s="64" t="s">
        <v>626</v>
      </c>
      <c r="S519" s="64" t="s">
        <v>427</v>
      </c>
      <c r="T519" s="163" t="s">
        <v>624</v>
      </c>
      <c r="U519" s="165" t="s">
        <v>659</v>
      </c>
      <c r="X519" s="64" t="s">
        <v>658</v>
      </c>
      <c r="Y519" s="17" t="s">
        <v>289</v>
      </c>
      <c r="AA519" s="46"/>
      <c r="AC519" s="19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</row>
    <row r="520" spans="1:53" s="17" customFormat="1" x14ac:dyDescent="0.3">
      <c r="A520" s="33"/>
      <c r="B520" s="33"/>
      <c r="C520" s="18"/>
      <c r="D520" s="18"/>
      <c r="E520" s="18"/>
      <c r="F520" s="18"/>
      <c r="G520" s="18" t="s">
        <v>481</v>
      </c>
      <c r="H520" s="65">
        <f>H519</f>
        <v>1</v>
      </c>
      <c r="I520" s="161">
        <v>3</v>
      </c>
      <c r="J520" s="164" t="s">
        <v>641</v>
      </c>
      <c r="K520" s="65"/>
      <c r="L520" s="79" t="s">
        <v>323</v>
      </c>
      <c r="M520" s="18"/>
      <c r="N520" s="18">
        <v>3</v>
      </c>
      <c r="O520" s="18"/>
      <c r="P520" s="97" t="s">
        <v>252</v>
      </c>
      <c r="Q520" s="97"/>
      <c r="R520" s="18" t="s">
        <v>640</v>
      </c>
      <c r="S520" s="18" t="s">
        <v>247</v>
      </c>
      <c r="T520" s="73" t="s">
        <v>639</v>
      </c>
      <c r="U520" s="165" t="s">
        <v>659</v>
      </c>
      <c r="X520" s="64" t="s">
        <v>658</v>
      </c>
      <c r="Y520" s="17" t="s">
        <v>289</v>
      </c>
      <c r="AA520" s="46"/>
      <c r="AC520" s="19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</row>
    <row r="521" spans="1:53" s="17" customFormat="1" x14ac:dyDescent="0.3">
      <c r="A521" s="33"/>
      <c r="B521" s="33"/>
      <c r="C521" s="18"/>
      <c r="D521" s="18"/>
      <c r="E521" s="18"/>
      <c r="F521" s="18"/>
      <c r="G521" s="18" t="s">
        <v>481</v>
      </c>
      <c r="H521" s="65">
        <f>H520</f>
        <v>1</v>
      </c>
      <c r="I521" s="161">
        <v>4</v>
      </c>
      <c r="J521" s="164" t="s">
        <v>638</v>
      </c>
      <c r="K521" s="65"/>
      <c r="L521" s="79" t="s">
        <v>323</v>
      </c>
      <c r="M521" s="18"/>
      <c r="N521" s="18">
        <v>3</v>
      </c>
      <c r="O521" s="18"/>
      <c r="P521" s="79" t="s">
        <v>637</v>
      </c>
      <c r="Q521" s="79"/>
      <c r="R521" s="18" t="s">
        <v>636</v>
      </c>
      <c r="S521" s="18" t="s">
        <v>211</v>
      </c>
      <c r="T521" s="163" t="s">
        <v>635</v>
      </c>
      <c r="U521" s="165" t="s">
        <v>659</v>
      </c>
      <c r="X521" s="64" t="s">
        <v>658</v>
      </c>
      <c r="Y521" s="17" t="s">
        <v>289</v>
      </c>
      <c r="AA521" s="46"/>
      <c r="AC521" s="19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</row>
    <row r="522" spans="1:53" s="17" customFormat="1" x14ac:dyDescent="0.3">
      <c r="A522" s="33"/>
      <c r="B522" s="33"/>
      <c r="C522" s="18"/>
      <c r="D522" s="18"/>
      <c r="E522" s="18"/>
      <c r="F522" s="18"/>
      <c r="G522" s="18" t="s">
        <v>481</v>
      </c>
      <c r="H522" s="65">
        <f>H521</f>
        <v>1</v>
      </c>
      <c r="I522" s="161">
        <v>5</v>
      </c>
      <c r="J522" s="164" t="s">
        <v>634</v>
      </c>
      <c r="K522" s="65"/>
      <c r="L522" s="79" t="s">
        <v>323</v>
      </c>
      <c r="M522" s="18"/>
      <c r="N522" s="18"/>
      <c r="O522" s="18"/>
      <c r="P522" s="79"/>
      <c r="Q522" s="79"/>
      <c r="R522" s="18"/>
      <c r="S522" s="163"/>
      <c r="T522" s="163"/>
      <c r="U522" s="68"/>
      <c r="AA522" s="46"/>
      <c r="AC522" s="19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</row>
    <row r="523" spans="1:53" s="17" customFormat="1" x14ac:dyDescent="0.3">
      <c r="A523" s="33"/>
      <c r="B523" s="33"/>
      <c r="C523" s="18"/>
      <c r="D523" s="18"/>
      <c r="E523" s="18"/>
      <c r="F523" s="18"/>
      <c r="G523" s="18" t="s">
        <v>481</v>
      </c>
      <c r="H523" s="65">
        <f>H522</f>
        <v>1</v>
      </c>
      <c r="I523" s="161">
        <v>6</v>
      </c>
      <c r="J523" s="164" t="s">
        <v>633</v>
      </c>
      <c r="K523" s="65"/>
      <c r="L523" s="79" t="s">
        <v>323</v>
      </c>
      <c r="M523" s="18"/>
      <c r="N523" s="18">
        <v>3</v>
      </c>
      <c r="O523" s="18"/>
      <c r="P523" s="79" t="s">
        <v>589</v>
      </c>
      <c r="Q523" s="79"/>
      <c r="R523" s="18" t="s">
        <v>365</v>
      </c>
      <c r="S523" s="163" t="s">
        <v>364</v>
      </c>
      <c r="T523" s="163"/>
      <c r="U523" s="165" t="s">
        <v>659</v>
      </c>
      <c r="X523" s="64" t="s">
        <v>658</v>
      </c>
      <c r="Y523" s="17" t="s">
        <v>289</v>
      </c>
      <c r="AA523" s="46"/>
      <c r="AC523" s="19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</row>
    <row r="524" spans="1:53" s="17" customFormat="1" x14ac:dyDescent="0.3">
      <c r="A524" s="33"/>
      <c r="B524" s="33"/>
      <c r="C524" s="18"/>
      <c r="D524" s="18"/>
      <c r="E524" s="18"/>
      <c r="F524" s="18"/>
      <c r="G524" s="18" t="s">
        <v>481</v>
      </c>
      <c r="H524" s="65">
        <f>H523</f>
        <v>1</v>
      </c>
      <c r="I524" s="161">
        <v>1</v>
      </c>
      <c r="J524" s="164" t="s">
        <v>233</v>
      </c>
      <c r="K524" s="65"/>
      <c r="L524" s="79" t="s">
        <v>292</v>
      </c>
      <c r="M524" s="18"/>
      <c r="N524" s="18">
        <v>3</v>
      </c>
      <c r="O524" s="18"/>
      <c r="P524" s="79" t="s">
        <v>517</v>
      </c>
      <c r="Q524" s="79"/>
      <c r="R524" s="18" t="s">
        <v>632</v>
      </c>
      <c r="S524" s="18" t="s">
        <v>247</v>
      </c>
      <c r="T524" s="163" t="s">
        <v>631</v>
      </c>
      <c r="U524" s="165" t="s">
        <v>659</v>
      </c>
      <c r="X524" s="64" t="s">
        <v>658</v>
      </c>
      <c r="Y524" s="17" t="s">
        <v>289</v>
      </c>
      <c r="AA524" s="46"/>
      <c r="AC524" s="19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</row>
    <row r="525" spans="1:53" s="17" customFormat="1" x14ac:dyDescent="0.3">
      <c r="A525" s="33"/>
      <c r="B525" s="33"/>
      <c r="C525" s="18"/>
      <c r="D525" s="18"/>
      <c r="E525" s="18"/>
      <c r="F525" s="18"/>
      <c r="G525" s="18" t="s">
        <v>481</v>
      </c>
      <c r="H525" s="65">
        <f>H524</f>
        <v>1</v>
      </c>
      <c r="I525" s="161">
        <v>2</v>
      </c>
      <c r="J525" s="160" t="s">
        <v>229</v>
      </c>
      <c r="K525" s="65"/>
      <c r="L525" s="79" t="s">
        <v>292</v>
      </c>
      <c r="M525" s="18"/>
      <c r="N525" s="83">
        <v>6</v>
      </c>
      <c r="O525" s="83"/>
      <c r="P525" s="92" t="s">
        <v>630</v>
      </c>
      <c r="Q525" s="92"/>
      <c r="R525" s="92" t="s">
        <v>629</v>
      </c>
      <c r="S525" s="83" t="s">
        <v>299</v>
      </c>
      <c r="T525" s="162" t="s">
        <v>628</v>
      </c>
      <c r="U525" s="165" t="s">
        <v>659</v>
      </c>
      <c r="X525" s="64" t="s">
        <v>658</v>
      </c>
      <c r="Y525" s="17">
        <v>0</v>
      </c>
      <c r="AA525" s="46"/>
      <c r="AC525" s="19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</row>
    <row r="526" spans="1:53" s="17" customFormat="1" x14ac:dyDescent="0.3">
      <c r="A526" s="33"/>
      <c r="B526" s="33"/>
      <c r="C526" s="18"/>
      <c r="D526" s="18"/>
      <c r="E526" s="18"/>
      <c r="F526" s="18"/>
      <c r="G526" s="18" t="s">
        <v>481</v>
      </c>
      <c r="H526" s="65">
        <f>H525</f>
        <v>1</v>
      </c>
      <c r="I526" s="161">
        <v>3</v>
      </c>
      <c r="J526" s="160" t="s">
        <v>218</v>
      </c>
      <c r="K526" s="65"/>
      <c r="L526" s="79" t="s">
        <v>292</v>
      </c>
      <c r="M526" s="18"/>
      <c r="N526" s="18"/>
      <c r="O526" s="18"/>
      <c r="P526" s="18"/>
      <c r="Q526" s="18"/>
      <c r="R526" s="64"/>
      <c r="T526" s="63"/>
      <c r="U526" s="68"/>
      <c r="W526" s="33"/>
      <c r="AA526" s="46"/>
      <c r="AC526" s="19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</row>
    <row r="527" spans="1:53" s="17" customFormat="1" ht="13.5" thickBot="1" x14ac:dyDescent="0.35">
      <c r="A527" s="33"/>
      <c r="B527" s="33"/>
      <c r="C527" s="18"/>
      <c r="D527" s="18"/>
      <c r="E527" s="18"/>
      <c r="F527" s="18"/>
      <c r="G527" s="18" t="s">
        <v>481</v>
      </c>
      <c r="H527" s="65">
        <f>H526</f>
        <v>1</v>
      </c>
      <c r="I527" s="159">
        <v>4</v>
      </c>
      <c r="J527" s="158" t="s">
        <v>627</v>
      </c>
      <c r="K527" s="65"/>
      <c r="L527" s="79" t="s">
        <v>292</v>
      </c>
      <c r="M527" s="18"/>
      <c r="N527" s="83">
        <v>6</v>
      </c>
      <c r="O527" s="83"/>
      <c r="P527" s="92" t="s">
        <v>433</v>
      </c>
      <c r="Q527" s="92"/>
      <c r="R527" s="92" t="s">
        <v>626</v>
      </c>
      <c r="S527" s="83" t="s">
        <v>625</v>
      </c>
      <c r="T527" s="157" t="s">
        <v>624</v>
      </c>
      <c r="U527" s="165" t="s">
        <v>659</v>
      </c>
      <c r="X527" s="64" t="s">
        <v>658</v>
      </c>
      <c r="Y527" s="17">
        <v>0</v>
      </c>
      <c r="AA527" s="46"/>
      <c r="AC527" s="19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</row>
    <row r="528" spans="1:53" s="17" customFormat="1" ht="13.5" thickBot="1" x14ac:dyDescent="0.35">
      <c r="A528" s="33"/>
      <c r="B528" s="33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AA528" s="46"/>
      <c r="AC528" s="19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</row>
    <row r="529" spans="1:53" s="17" customFormat="1" x14ac:dyDescent="0.3">
      <c r="A529" s="33"/>
      <c r="B529" s="33"/>
      <c r="C529" s="18" t="s">
        <v>647</v>
      </c>
      <c r="D529" s="18"/>
      <c r="E529" s="18"/>
      <c r="F529" s="18"/>
      <c r="G529" s="18" t="s">
        <v>481</v>
      </c>
      <c r="H529" s="144">
        <v>1</v>
      </c>
      <c r="I529" s="167">
        <v>1</v>
      </c>
      <c r="J529" s="166" t="s">
        <v>648</v>
      </c>
      <c r="K529" s="65" t="s">
        <v>647</v>
      </c>
      <c r="L529" s="79" t="s">
        <v>323</v>
      </c>
      <c r="M529" s="18"/>
      <c r="N529" s="18">
        <v>3</v>
      </c>
      <c r="O529" s="18"/>
      <c r="P529" s="79" t="s">
        <v>646</v>
      </c>
      <c r="Q529" s="79"/>
      <c r="R529" s="64" t="s">
        <v>626</v>
      </c>
      <c r="S529" s="64" t="s">
        <v>247</v>
      </c>
      <c r="T529" s="163" t="s">
        <v>624</v>
      </c>
      <c r="U529" s="165" t="s">
        <v>657</v>
      </c>
      <c r="X529" s="64" t="s">
        <v>656</v>
      </c>
      <c r="Y529" s="17" t="s">
        <v>289</v>
      </c>
      <c r="AA529" s="46"/>
      <c r="AC529" s="19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</row>
    <row r="530" spans="1:53" s="17" customFormat="1" x14ac:dyDescent="0.3">
      <c r="A530" s="33"/>
      <c r="B530" s="33"/>
      <c r="C530" s="18"/>
      <c r="D530" s="18"/>
      <c r="E530" s="18"/>
      <c r="F530" s="18"/>
      <c r="G530" s="18" t="s">
        <v>481</v>
      </c>
      <c r="H530" s="65">
        <f>H529</f>
        <v>1</v>
      </c>
      <c r="I530" s="161">
        <v>2</v>
      </c>
      <c r="J530" s="164" t="s">
        <v>642</v>
      </c>
      <c r="K530" s="99" t="s">
        <v>287</v>
      </c>
      <c r="L530" s="79" t="s">
        <v>323</v>
      </c>
      <c r="M530" s="18"/>
      <c r="N530" s="83">
        <v>4</v>
      </c>
      <c r="O530" s="83"/>
      <c r="P530" s="92" t="s">
        <v>429</v>
      </c>
      <c r="Q530" s="92"/>
      <c r="R530" s="92" t="s">
        <v>626</v>
      </c>
      <c r="S530" s="64" t="s">
        <v>427</v>
      </c>
      <c r="T530" s="163" t="s">
        <v>624</v>
      </c>
      <c r="U530" s="156" t="str">
        <f>+U529</f>
        <v>BCV131CFN02</v>
      </c>
      <c r="X530" s="64" t="str">
        <f>+X529</f>
        <v>BR4-2150-E-00094</v>
      </c>
      <c r="Y530" s="17" t="str">
        <f>+Y529</f>
        <v>A</v>
      </c>
      <c r="AA530" s="46"/>
      <c r="AC530" s="19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</row>
    <row r="531" spans="1:53" s="17" customFormat="1" x14ac:dyDescent="0.3">
      <c r="A531" s="33"/>
      <c r="B531" s="33"/>
      <c r="C531" s="18"/>
      <c r="D531" s="18"/>
      <c r="E531" s="18"/>
      <c r="F531" s="18"/>
      <c r="G531" s="18" t="s">
        <v>481</v>
      </c>
      <c r="H531" s="65">
        <f>H530</f>
        <v>1</v>
      </c>
      <c r="I531" s="161">
        <v>3</v>
      </c>
      <c r="J531" s="164" t="s">
        <v>641</v>
      </c>
      <c r="K531" s="65"/>
      <c r="L531" s="79" t="s">
        <v>323</v>
      </c>
      <c r="M531" s="18"/>
      <c r="N531" s="18">
        <v>3</v>
      </c>
      <c r="O531" s="18"/>
      <c r="P531" s="97" t="s">
        <v>252</v>
      </c>
      <c r="Q531" s="97"/>
      <c r="R531" s="18" t="s">
        <v>640</v>
      </c>
      <c r="S531" s="18" t="s">
        <v>247</v>
      </c>
      <c r="T531" s="73" t="s">
        <v>639</v>
      </c>
      <c r="U531" s="156" t="str">
        <f>+U530</f>
        <v>BCV131CFN02</v>
      </c>
      <c r="X531" s="64" t="str">
        <f>+X530</f>
        <v>BR4-2150-E-00094</v>
      </c>
      <c r="Y531" s="17" t="str">
        <f>+Y530</f>
        <v>A</v>
      </c>
      <c r="AA531" s="46"/>
      <c r="AC531" s="19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</row>
    <row r="532" spans="1:53" s="17" customFormat="1" x14ac:dyDescent="0.3">
      <c r="A532" s="33"/>
      <c r="B532" s="33"/>
      <c r="C532" s="18"/>
      <c r="D532" s="18"/>
      <c r="E532" s="18"/>
      <c r="F532" s="18"/>
      <c r="G532" s="18" t="s">
        <v>481</v>
      </c>
      <c r="H532" s="65">
        <f>H531</f>
        <v>1</v>
      </c>
      <c r="I532" s="161">
        <v>4</v>
      </c>
      <c r="J532" s="164" t="s">
        <v>638</v>
      </c>
      <c r="K532" s="65"/>
      <c r="L532" s="79" t="s">
        <v>323</v>
      </c>
      <c r="M532" s="18"/>
      <c r="N532" s="18">
        <v>3</v>
      </c>
      <c r="O532" s="18"/>
      <c r="P532" s="79" t="s">
        <v>637</v>
      </c>
      <c r="Q532" s="79"/>
      <c r="R532" s="18" t="s">
        <v>636</v>
      </c>
      <c r="S532" s="18" t="s">
        <v>211</v>
      </c>
      <c r="T532" s="163" t="s">
        <v>635</v>
      </c>
      <c r="U532" s="156" t="str">
        <f>+U531</f>
        <v>BCV131CFN02</v>
      </c>
      <c r="X532" s="64" t="str">
        <f>+X531</f>
        <v>BR4-2150-E-00094</v>
      </c>
      <c r="Y532" s="17" t="str">
        <f>+Y531</f>
        <v>A</v>
      </c>
      <c r="AA532" s="46"/>
      <c r="AC532" s="19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</row>
    <row r="533" spans="1:53" s="17" customFormat="1" x14ac:dyDescent="0.3">
      <c r="A533" s="33"/>
      <c r="B533" s="33"/>
      <c r="C533" s="18"/>
      <c r="D533" s="18"/>
      <c r="E533" s="18"/>
      <c r="F533" s="18"/>
      <c r="G533" s="18" t="s">
        <v>481</v>
      </c>
      <c r="H533" s="65">
        <f>H532</f>
        <v>1</v>
      </c>
      <c r="I533" s="161">
        <v>5</v>
      </c>
      <c r="J533" s="164" t="s">
        <v>634</v>
      </c>
      <c r="K533" s="65"/>
      <c r="L533" s="79" t="s">
        <v>323</v>
      </c>
      <c r="M533" s="18"/>
      <c r="N533" s="18"/>
      <c r="O533" s="18"/>
      <c r="P533" s="79"/>
      <c r="Q533" s="79"/>
      <c r="R533" s="18"/>
      <c r="S533" s="163"/>
      <c r="T533" s="163"/>
      <c r="U533" s="156" t="str">
        <f>+U532</f>
        <v>BCV131CFN02</v>
      </c>
      <c r="X533" s="64" t="str">
        <f>+X532</f>
        <v>BR4-2150-E-00094</v>
      </c>
      <c r="Y533" s="17" t="str">
        <f>+Y532</f>
        <v>A</v>
      </c>
      <c r="AA533" s="46"/>
      <c r="AC533" s="19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</row>
    <row r="534" spans="1:53" s="17" customFormat="1" x14ac:dyDescent="0.3">
      <c r="A534" s="33"/>
      <c r="B534" s="33"/>
      <c r="C534" s="18"/>
      <c r="D534" s="18"/>
      <c r="E534" s="18"/>
      <c r="F534" s="18"/>
      <c r="G534" s="18" t="s">
        <v>481</v>
      </c>
      <c r="H534" s="65">
        <f>H533</f>
        <v>1</v>
      </c>
      <c r="I534" s="161">
        <v>6</v>
      </c>
      <c r="J534" s="164" t="s">
        <v>633</v>
      </c>
      <c r="K534" s="65"/>
      <c r="L534" s="79" t="s">
        <v>323</v>
      </c>
      <c r="M534" s="18"/>
      <c r="N534" s="18">
        <v>3</v>
      </c>
      <c r="O534" s="18"/>
      <c r="P534" s="79" t="s">
        <v>589</v>
      </c>
      <c r="Q534" s="79"/>
      <c r="R534" s="18" t="s">
        <v>365</v>
      </c>
      <c r="S534" s="163" t="s">
        <v>364</v>
      </c>
      <c r="T534" s="163"/>
      <c r="U534" s="156" t="str">
        <f>+U533</f>
        <v>BCV131CFN02</v>
      </c>
      <c r="X534" s="64" t="str">
        <f>+X533</f>
        <v>BR4-2150-E-00094</v>
      </c>
      <c r="Y534" s="17" t="str">
        <f>+Y533</f>
        <v>A</v>
      </c>
      <c r="AA534" s="46"/>
      <c r="AC534" s="19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</row>
    <row r="535" spans="1:53" s="17" customFormat="1" x14ac:dyDescent="0.3">
      <c r="A535" s="33"/>
      <c r="B535" s="33"/>
      <c r="C535" s="18"/>
      <c r="D535" s="18"/>
      <c r="E535" s="18"/>
      <c r="F535" s="18"/>
      <c r="G535" s="18" t="s">
        <v>481</v>
      </c>
      <c r="H535" s="65">
        <f>H534</f>
        <v>1</v>
      </c>
      <c r="I535" s="161">
        <v>1</v>
      </c>
      <c r="J535" s="164" t="s">
        <v>233</v>
      </c>
      <c r="K535" s="65"/>
      <c r="L535" s="79" t="s">
        <v>292</v>
      </c>
      <c r="M535" s="18"/>
      <c r="N535" s="18">
        <v>3</v>
      </c>
      <c r="O535" s="18"/>
      <c r="P535" s="79" t="s">
        <v>517</v>
      </c>
      <c r="Q535" s="79"/>
      <c r="R535" s="18" t="s">
        <v>632</v>
      </c>
      <c r="S535" s="18" t="s">
        <v>247</v>
      </c>
      <c r="T535" s="163" t="s">
        <v>631</v>
      </c>
      <c r="U535" s="156" t="str">
        <f>+U534</f>
        <v>BCV131CFN02</v>
      </c>
      <c r="X535" s="64" t="str">
        <f>+X534</f>
        <v>BR4-2150-E-00094</v>
      </c>
      <c r="Y535" s="17" t="str">
        <f>+Y534</f>
        <v>A</v>
      </c>
      <c r="AA535" s="46"/>
      <c r="AC535" s="19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</row>
    <row r="536" spans="1:53" s="17" customFormat="1" x14ac:dyDescent="0.3">
      <c r="A536" s="33"/>
      <c r="B536" s="33"/>
      <c r="C536" s="18"/>
      <c r="D536" s="18"/>
      <c r="E536" s="18"/>
      <c r="F536" s="18"/>
      <c r="G536" s="18" t="s">
        <v>481</v>
      </c>
      <c r="H536" s="65">
        <f>H535</f>
        <v>1</v>
      </c>
      <c r="I536" s="161">
        <v>2</v>
      </c>
      <c r="J536" s="160" t="s">
        <v>229</v>
      </c>
      <c r="K536" s="65"/>
      <c r="L536" s="79" t="s">
        <v>292</v>
      </c>
      <c r="M536" s="18"/>
      <c r="N536" s="83">
        <v>6</v>
      </c>
      <c r="O536" s="83"/>
      <c r="P536" s="92" t="s">
        <v>630</v>
      </c>
      <c r="Q536" s="92"/>
      <c r="R536" s="92" t="s">
        <v>629</v>
      </c>
      <c r="S536" s="83" t="s">
        <v>299</v>
      </c>
      <c r="T536" s="162" t="s">
        <v>628</v>
      </c>
      <c r="U536" s="156" t="str">
        <f>+U535</f>
        <v>BCV131CFN02</v>
      </c>
      <c r="W536" s="33"/>
      <c r="X536" s="64" t="str">
        <f>+X535</f>
        <v>BR4-2150-E-00094</v>
      </c>
      <c r="Y536" s="17" t="str">
        <f>+Y535</f>
        <v>A</v>
      </c>
      <c r="AA536" s="46"/>
      <c r="AC536" s="19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</row>
    <row r="537" spans="1:53" s="17" customFormat="1" x14ac:dyDescent="0.3">
      <c r="A537" s="33"/>
      <c r="B537" s="33"/>
      <c r="C537" s="18"/>
      <c r="D537" s="18"/>
      <c r="E537" s="18"/>
      <c r="F537" s="18"/>
      <c r="G537" s="18" t="s">
        <v>481</v>
      </c>
      <c r="H537" s="65">
        <f>H536</f>
        <v>1</v>
      </c>
      <c r="I537" s="161">
        <v>3</v>
      </c>
      <c r="J537" s="160" t="s">
        <v>218</v>
      </c>
      <c r="K537" s="65"/>
      <c r="L537" s="79" t="s">
        <v>292</v>
      </c>
      <c r="M537" s="18"/>
      <c r="N537" s="33"/>
      <c r="O537" s="33"/>
      <c r="U537" s="156" t="str">
        <f>+U536</f>
        <v>BCV131CFN02</v>
      </c>
      <c r="W537" s="33"/>
      <c r="X537" s="64" t="str">
        <f>+X536</f>
        <v>BR4-2150-E-00094</v>
      </c>
      <c r="Y537" s="17" t="str">
        <f>+Y536</f>
        <v>A</v>
      </c>
      <c r="AA537" s="46"/>
      <c r="AC537" s="19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</row>
    <row r="538" spans="1:53" s="17" customFormat="1" ht="13.5" thickBot="1" x14ac:dyDescent="0.35">
      <c r="A538" s="33"/>
      <c r="B538" s="33"/>
      <c r="C538" s="18"/>
      <c r="D538" s="18"/>
      <c r="E538" s="18"/>
      <c r="F538" s="18"/>
      <c r="G538" s="18" t="s">
        <v>481</v>
      </c>
      <c r="H538" s="65">
        <f>H537</f>
        <v>1</v>
      </c>
      <c r="I538" s="159">
        <v>4</v>
      </c>
      <c r="J538" s="158" t="s">
        <v>627</v>
      </c>
      <c r="K538" s="65"/>
      <c r="L538" s="79" t="s">
        <v>292</v>
      </c>
      <c r="M538" s="18"/>
      <c r="N538" s="83">
        <v>4</v>
      </c>
      <c r="O538" s="83"/>
      <c r="P538" s="92" t="s">
        <v>433</v>
      </c>
      <c r="Q538" s="92"/>
      <c r="R538" s="92" t="s">
        <v>626</v>
      </c>
      <c r="S538" s="83" t="s">
        <v>625</v>
      </c>
      <c r="T538" s="157" t="s">
        <v>624</v>
      </c>
      <c r="U538" s="156" t="str">
        <f>+U537</f>
        <v>BCV131CFN02</v>
      </c>
      <c r="W538" s="33"/>
      <c r="X538" s="64" t="str">
        <f>+X537</f>
        <v>BR4-2150-E-00094</v>
      </c>
      <c r="Y538" s="17" t="str">
        <f>+Y537</f>
        <v>A</v>
      </c>
      <c r="AA538" s="46"/>
      <c r="AC538" s="19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</row>
    <row r="539" spans="1:53" s="17" customFormat="1" ht="13.5" thickBot="1" x14ac:dyDescent="0.35">
      <c r="A539" s="33"/>
      <c r="B539" s="33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AA539" s="46"/>
      <c r="AC539" s="19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</row>
    <row r="540" spans="1:53" s="17" customFormat="1" x14ac:dyDescent="0.3">
      <c r="A540" s="33"/>
      <c r="B540" s="33"/>
      <c r="C540" s="18" t="s">
        <v>647</v>
      </c>
      <c r="D540" s="18"/>
      <c r="E540" s="18"/>
      <c r="F540" s="18"/>
      <c r="G540" s="18" t="s">
        <v>481</v>
      </c>
      <c r="H540" s="144">
        <v>1</v>
      </c>
      <c r="I540" s="167">
        <v>1</v>
      </c>
      <c r="J540" s="166" t="s">
        <v>648</v>
      </c>
      <c r="K540" s="65" t="s">
        <v>647</v>
      </c>
      <c r="L540" s="79" t="s">
        <v>323</v>
      </c>
      <c r="M540" s="18"/>
      <c r="N540" s="18">
        <v>3</v>
      </c>
      <c r="O540" s="18"/>
      <c r="P540" s="79" t="s">
        <v>646</v>
      </c>
      <c r="Q540" s="79"/>
      <c r="R540" s="64" t="s">
        <v>626</v>
      </c>
      <c r="S540" s="64" t="s">
        <v>247</v>
      </c>
      <c r="T540" s="163" t="s">
        <v>624</v>
      </c>
      <c r="U540" s="165" t="s">
        <v>655</v>
      </c>
      <c r="X540" s="64" t="s">
        <v>654</v>
      </c>
      <c r="Y540" s="17" t="s">
        <v>289</v>
      </c>
      <c r="AA540" s="46"/>
      <c r="AC540" s="19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</row>
    <row r="541" spans="1:53" s="17" customFormat="1" x14ac:dyDescent="0.3">
      <c r="A541" s="33"/>
      <c r="B541" s="33"/>
      <c r="C541" s="18"/>
      <c r="D541" s="18"/>
      <c r="E541" s="18"/>
      <c r="F541" s="18"/>
      <c r="G541" s="18" t="s">
        <v>481</v>
      </c>
      <c r="H541" s="65">
        <f>H540</f>
        <v>1</v>
      </c>
      <c r="I541" s="161">
        <v>2</v>
      </c>
      <c r="J541" s="164" t="s">
        <v>642</v>
      </c>
      <c r="K541" s="99" t="s">
        <v>287</v>
      </c>
      <c r="L541" s="79" t="s">
        <v>323</v>
      </c>
      <c r="M541" s="18"/>
      <c r="N541" s="83">
        <v>4</v>
      </c>
      <c r="O541" s="83"/>
      <c r="P541" s="92" t="s">
        <v>429</v>
      </c>
      <c r="Q541" s="92"/>
      <c r="R541" s="92" t="s">
        <v>626</v>
      </c>
      <c r="S541" s="64" t="s">
        <v>427</v>
      </c>
      <c r="T541" s="163" t="s">
        <v>624</v>
      </c>
      <c r="U541" s="156" t="str">
        <f>+U540</f>
        <v>BCV131CFN03</v>
      </c>
      <c r="X541" s="64" t="str">
        <f>+X540</f>
        <v>BR4-2150-E-00095</v>
      </c>
      <c r="Y541" s="17" t="str">
        <f>+Y540</f>
        <v>A</v>
      </c>
      <c r="AA541" s="46"/>
      <c r="AC541" s="19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</row>
    <row r="542" spans="1:53" s="17" customFormat="1" x14ac:dyDescent="0.3">
      <c r="A542" s="33"/>
      <c r="B542" s="33"/>
      <c r="C542" s="18"/>
      <c r="D542" s="18"/>
      <c r="E542" s="18"/>
      <c r="F542" s="18"/>
      <c r="G542" s="18" t="s">
        <v>481</v>
      </c>
      <c r="H542" s="65">
        <f>H541</f>
        <v>1</v>
      </c>
      <c r="I542" s="161">
        <v>3</v>
      </c>
      <c r="J542" s="164" t="s">
        <v>641</v>
      </c>
      <c r="K542" s="65"/>
      <c r="L542" s="79" t="s">
        <v>323</v>
      </c>
      <c r="M542" s="18"/>
      <c r="N542" s="18">
        <v>3</v>
      </c>
      <c r="O542" s="18"/>
      <c r="P542" s="97" t="s">
        <v>252</v>
      </c>
      <c r="Q542" s="97"/>
      <c r="R542" s="18" t="s">
        <v>640</v>
      </c>
      <c r="S542" s="18" t="s">
        <v>247</v>
      </c>
      <c r="T542" s="73" t="s">
        <v>639</v>
      </c>
      <c r="U542" s="156" t="str">
        <f>+U541</f>
        <v>BCV131CFN03</v>
      </c>
      <c r="X542" s="64" t="str">
        <f>+X541</f>
        <v>BR4-2150-E-00095</v>
      </c>
      <c r="Y542" s="17" t="str">
        <f>+Y541</f>
        <v>A</v>
      </c>
      <c r="AA542" s="46"/>
      <c r="AC542" s="19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</row>
    <row r="543" spans="1:53" s="17" customFormat="1" x14ac:dyDescent="0.3">
      <c r="A543" s="33"/>
      <c r="B543" s="33"/>
      <c r="C543" s="18"/>
      <c r="D543" s="18"/>
      <c r="E543" s="18"/>
      <c r="F543" s="18"/>
      <c r="G543" s="18" t="s">
        <v>481</v>
      </c>
      <c r="H543" s="65">
        <f>H542</f>
        <v>1</v>
      </c>
      <c r="I543" s="161">
        <v>4</v>
      </c>
      <c r="J543" s="164" t="s">
        <v>638</v>
      </c>
      <c r="K543" s="65"/>
      <c r="L543" s="79" t="s">
        <v>323</v>
      </c>
      <c r="M543" s="18"/>
      <c r="N543" s="18">
        <v>3</v>
      </c>
      <c r="O543" s="18"/>
      <c r="P543" s="79" t="s">
        <v>637</v>
      </c>
      <c r="Q543" s="79"/>
      <c r="R543" s="18" t="s">
        <v>636</v>
      </c>
      <c r="S543" s="18" t="s">
        <v>211</v>
      </c>
      <c r="T543" s="163" t="s">
        <v>635</v>
      </c>
      <c r="U543" s="156" t="str">
        <f>+U542</f>
        <v>BCV131CFN03</v>
      </c>
      <c r="X543" s="64" t="str">
        <f>+X542</f>
        <v>BR4-2150-E-00095</v>
      </c>
      <c r="Y543" s="17" t="str">
        <f>+Y542</f>
        <v>A</v>
      </c>
      <c r="AA543" s="46"/>
      <c r="AC543" s="19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</row>
    <row r="544" spans="1:53" s="17" customFormat="1" x14ac:dyDescent="0.3">
      <c r="A544" s="33"/>
      <c r="B544" s="33"/>
      <c r="C544" s="18"/>
      <c r="D544" s="18"/>
      <c r="E544" s="18"/>
      <c r="F544" s="18"/>
      <c r="G544" s="18" t="s">
        <v>481</v>
      </c>
      <c r="H544" s="65">
        <f>H543</f>
        <v>1</v>
      </c>
      <c r="I544" s="161">
        <v>5</v>
      </c>
      <c r="J544" s="164" t="s">
        <v>634</v>
      </c>
      <c r="K544" s="65"/>
      <c r="L544" s="79" t="s">
        <v>323</v>
      </c>
      <c r="M544" s="18"/>
      <c r="N544" s="18"/>
      <c r="O544" s="18"/>
      <c r="P544" s="79"/>
      <c r="Q544" s="79"/>
      <c r="R544" s="18"/>
      <c r="S544" s="163"/>
      <c r="T544" s="163"/>
      <c r="U544" s="156" t="str">
        <f>+U543</f>
        <v>BCV131CFN03</v>
      </c>
      <c r="X544" s="64" t="str">
        <f>+X543</f>
        <v>BR4-2150-E-00095</v>
      </c>
      <c r="Y544" s="17" t="str">
        <f>+Y543</f>
        <v>A</v>
      </c>
      <c r="AA544" s="46"/>
      <c r="AC544" s="19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</row>
    <row r="545" spans="1:53" s="17" customFormat="1" x14ac:dyDescent="0.3">
      <c r="A545" s="33"/>
      <c r="B545" s="33"/>
      <c r="C545" s="18"/>
      <c r="D545" s="18"/>
      <c r="E545" s="18"/>
      <c r="F545" s="18"/>
      <c r="G545" s="18" t="s">
        <v>481</v>
      </c>
      <c r="H545" s="65">
        <f>H544</f>
        <v>1</v>
      </c>
      <c r="I545" s="161">
        <v>6</v>
      </c>
      <c r="J545" s="164" t="s">
        <v>633</v>
      </c>
      <c r="K545" s="65"/>
      <c r="L545" s="79" t="s">
        <v>323</v>
      </c>
      <c r="M545" s="18"/>
      <c r="N545" s="18">
        <v>3</v>
      </c>
      <c r="O545" s="18"/>
      <c r="P545" s="79" t="s">
        <v>589</v>
      </c>
      <c r="Q545" s="79"/>
      <c r="R545" s="18" t="s">
        <v>365</v>
      </c>
      <c r="S545" s="163" t="s">
        <v>364</v>
      </c>
      <c r="T545" s="163"/>
      <c r="U545" s="156" t="str">
        <f>+U544</f>
        <v>BCV131CFN03</v>
      </c>
      <c r="X545" s="64" t="str">
        <f>+X544</f>
        <v>BR4-2150-E-00095</v>
      </c>
      <c r="Y545" s="17" t="str">
        <f>+Y544</f>
        <v>A</v>
      </c>
      <c r="AA545" s="46"/>
      <c r="AC545" s="19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</row>
    <row r="546" spans="1:53" s="17" customFormat="1" x14ac:dyDescent="0.3">
      <c r="A546" s="33"/>
      <c r="B546" s="33"/>
      <c r="C546" s="18"/>
      <c r="D546" s="18"/>
      <c r="E546" s="18"/>
      <c r="F546" s="18"/>
      <c r="G546" s="18" t="s">
        <v>481</v>
      </c>
      <c r="H546" s="65">
        <f>H545</f>
        <v>1</v>
      </c>
      <c r="I546" s="161">
        <v>1</v>
      </c>
      <c r="J546" s="164" t="s">
        <v>233</v>
      </c>
      <c r="K546" s="65"/>
      <c r="L546" s="79" t="s">
        <v>292</v>
      </c>
      <c r="M546" s="18"/>
      <c r="N546" s="18">
        <v>3</v>
      </c>
      <c r="O546" s="18"/>
      <c r="P546" s="79" t="s">
        <v>517</v>
      </c>
      <c r="Q546" s="79"/>
      <c r="R546" s="18" t="s">
        <v>632</v>
      </c>
      <c r="S546" s="18" t="s">
        <v>247</v>
      </c>
      <c r="T546" s="163" t="s">
        <v>631</v>
      </c>
      <c r="U546" s="156" t="str">
        <f>+U545</f>
        <v>BCV131CFN03</v>
      </c>
      <c r="X546" s="64" t="str">
        <f>+X545</f>
        <v>BR4-2150-E-00095</v>
      </c>
      <c r="Y546" s="17" t="str">
        <f>+Y545</f>
        <v>A</v>
      </c>
      <c r="AA546" s="46"/>
      <c r="AC546" s="19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</row>
    <row r="547" spans="1:53" s="17" customFormat="1" x14ac:dyDescent="0.3">
      <c r="A547" s="33"/>
      <c r="B547" s="33"/>
      <c r="C547" s="18"/>
      <c r="D547" s="18"/>
      <c r="E547" s="18"/>
      <c r="F547" s="18"/>
      <c r="G547" s="18" t="s">
        <v>481</v>
      </c>
      <c r="H547" s="65">
        <f>H546</f>
        <v>1</v>
      </c>
      <c r="I547" s="161">
        <v>2</v>
      </c>
      <c r="J547" s="160" t="s">
        <v>229</v>
      </c>
      <c r="K547" s="65"/>
      <c r="L547" s="79" t="s">
        <v>292</v>
      </c>
      <c r="M547" s="18"/>
      <c r="N547" s="83">
        <v>6</v>
      </c>
      <c r="O547" s="83"/>
      <c r="P547" s="92" t="s">
        <v>630</v>
      </c>
      <c r="Q547" s="92"/>
      <c r="R547" s="92" t="s">
        <v>629</v>
      </c>
      <c r="S547" s="83" t="s">
        <v>299</v>
      </c>
      <c r="T547" s="162" t="s">
        <v>628</v>
      </c>
      <c r="U547" s="156" t="str">
        <f>+U546</f>
        <v>BCV131CFN03</v>
      </c>
      <c r="W547" s="33"/>
      <c r="X547" s="64" t="str">
        <f>+X546</f>
        <v>BR4-2150-E-00095</v>
      </c>
      <c r="Y547" s="17" t="str">
        <f>+Y546</f>
        <v>A</v>
      </c>
      <c r="AA547" s="46"/>
      <c r="AC547" s="19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</row>
    <row r="548" spans="1:53" s="17" customFormat="1" x14ac:dyDescent="0.3">
      <c r="A548" s="33"/>
      <c r="B548" s="33"/>
      <c r="C548" s="18"/>
      <c r="D548" s="18"/>
      <c r="E548" s="18"/>
      <c r="F548" s="18"/>
      <c r="G548" s="18" t="s">
        <v>481</v>
      </c>
      <c r="H548" s="65">
        <f>H547</f>
        <v>1</v>
      </c>
      <c r="I548" s="161">
        <v>3</v>
      </c>
      <c r="J548" s="160" t="s">
        <v>218</v>
      </c>
      <c r="K548" s="65"/>
      <c r="L548" s="79" t="s">
        <v>292</v>
      </c>
      <c r="M548" s="18"/>
      <c r="N548" s="33"/>
      <c r="O548" s="33"/>
      <c r="U548" s="156" t="str">
        <f>+U547</f>
        <v>BCV131CFN03</v>
      </c>
      <c r="W548" s="33"/>
      <c r="X548" s="64" t="str">
        <f>+X547</f>
        <v>BR4-2150-E-00095</v>
      </c>
      <c r="Y548" s="17" t="str">
        <f>+Y547</f>
        <v>A</v>
      </c>
      <c r="AA548" s="46"/>
      <c r="AC548" s="19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</row>
    <row r="549" spans="1:53" s="17" customFormat="1" ht="13.5" thickBot="1" x14ac:dyDescent="0.35">
      <c r="A549" s="33"/>
      <c r="B549" s="33"/>
      <c r="C549" s="18"/>
      <c r="D549" s="18"/>
      <c r="E549" s="18"/>
      <c r="F549" s="18"/>
      <c r="G549" s="18" t="s">
        <v>481</v>
      </c>
      <c r="H549" s="65">
        <f>H548</f>
        <v>1</v>
      </c>
      <c r="I549" s="159">
        <v>4</v>
      </c>
      <c r="J549" s="158" t="s">
        <v>627</v>
      </c>
      <c r="K549" s="65"/>
      <c r="L549" s="79" t="s">
        <v>292</v>
      </c>
      <c r="M549" s="18"/>
      <c r="N549" s="83">
        <v>4</v>
      </c>
      <c r="O549" s="83"/>
      <c r="P549" s="92" t="s">
        <v>433</v>
      </c>
      <c r="Q549" s="92"/>
      <c r="R549" s="92" t="s">
        <v>626</v>
      </c>
      <c r="S549" s="83" t="s">
        <v>625</v>
      </c>
      <c r="T549" s="157" t="s">
        <v>624</v>
      </c>
      <c r="U549" s="156" t="str">
        <f>+U548</f>
        <v>BCV131CFN03</v>
      </c>
      <c r="W549" s="33"/>
      <c r="X549" s="64" t="str">
        <f>+X548</f>
        <v>BR4-2150-E-00095</v>
      </c>
      <c r="Y549" s="17" t="str">
        <f>+Y548</f>
        <v>A</v>
      </c>
      <c r="AA549" s="46"/>
      <c r="AC549" s="19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</row>
    <row r="550" spans="1:53" s="17" customFormat="1" ht="13.5" thickBot="1" x14ac:dyDescent="0.35">
      <c r="A550" s="33"/>
      <c r="B550" s="33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AA550" s="46"/>
      <c r="AC550" s="19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</row>
    <row r="551" spans="1:53" s="17" customFormat="1" x14ac:dyDescent="0.3">
      <c r="A551" s="33"/>
      <c r="B551" s="33"/>
      <c r="C551" s="18" t="s">
        <v>647</v>
      </c>
      <c r="D551" s="18"/>
      <c r="E551" s="18"/>
      <c r="F551" s="18"/>
      <c r="G551" s="18" t="s">
        <v>481</v>
      </c>
      <c r="H551" s="144">
        <v>1</v>
      </c>
      <c r="I551" s="167">
        <v>1</v>
      </c>
      <c r="J551" s="166" t="s">
        <v>648</v>
      </c>
      <c r="K551" s="65" t="s">
        <v>647</v>
      </c>
      <c r="L551" s="79" t="s">
        <v>323</v>
      </c>
      <c r="M551" s="18"/>
      <c r="N551" s="18">
        <v>3</v>
      </c>
      <c r="O551" s="18"/>
      <c r="P551" s="79" t="s">
        <v>646</v>
      </c>
      <c r="Q551" s="79"/>
      <c r="R551" s="64" t="s">
        <v>626</v>
      </c>
      <c r="S551" s="64" t="s">
        <v>247</v>
      </c>
      <c r="T551" s="163" t="s">
        <v>624</v>
      </c>
      <c r="U551" s="156" t="s">
        <v>653</v>
      </c>
      <c r="X551" s="64" t="s">
        <v>652</v>
      </c>
      <c r="Y551" s="17" t="s">
        <v>289</v>
      </c>
      <c r="AA551" s="46"/>
      <c r="AC551" s="19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</row>
    <row r="552" spans="1:53" s="17" customFormat="1" x14ac:dyDescent="0.3">
      <c r="A552" s="33"/>
      <c r="B552" s="33"/>
      <c r="C552" s="18"/>
      <c r="D552" s="18"/>
      <c r="E552" s="18"/>
      <c r="F552" s="18"/>
      <c r="G552" s="18" t="s">
        <v>481</v>
      </c>
      <c r="H552" s="65">
        <f>H551</f>
        <v>1</v>
      </c>
      <c r="I552" s="161">
        <v>2</v>
      </c>
      <c r="J552" s="164" t="s">
        <v>642</v>
      </c>
      <c r="K552" s="99" t="s">
        <v>287</v>
      </c>
      <c r="L552" s="79" t="s">
        <v>323</v>
      </c>
      <c r="M552" s="18"/>
      <c r="N552" s="83">
        <v>4</v>
      </c>
      <c r="O552" s="83"/>
      <c r="P552" s="92" t="s">
        <v>429</v>
      </c>
      <c r="Q552" s="92"/>
      <c r="R552" s="92" t="s">
        <v>626</v>
      </c>
      <c r="S552" s="64" t="s">
        <v>427</v>
      </c>
      <c r="T552" s="163" t="s">
        <v>624</v>
      </c>
      <c r="U552" s="156" t="str">
        <f>+U551</f>
        <v>BCV131CPP02</v>
      </c>
      <c r="X552" s="64" t="str">
        <f>+X551</f>
        <v>BR4-2150-E-00060</v>
      </c>
      <c r="Y552" s="17" t="str">
        <f>+Y551</f>
        <v>A</v>
      </c>
      <c r="AA552" s="46"/>
      <c r="AC552" s="19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</row>
    <row r="553" spans="1:53" s="17" customFormat="1" x14ac:dyDescent="0.3">
      <c r="A553" s="33"/>
      <c r="B553" s="33"/>
      <c r="C553" s="18"/>
      <c r="D553" s="18"/>
      <c r="E553" s="18"/>
      <c r="F553" s="18"/>
      <c r="G553" s="18" t="s">
        <v>481</v>
      </c>
      <c r="H553" s="65">
        <f>H552</f>
        <v>1</v>
      </c>
      <c r="I553" s="161">
        <v>3</v>
      </c>
      <c r="J553" s="164" t="s">
        <v>641</v>
      </c>
      <c r="K553" s="65"/>
      <c r="L553" s="79" t="s">
        <v>323</v>
      </c>
      <c r="M553" s="18"/>
      <c r="N553" s="18">
        <v>3</v>
      </c>
      <c r="O553" s="18"/>
      <c r="P553" s="97" t="s">
        <v>252</v>
      </c>
      <c r="Q553" s="97"/>
      <c r="R553" s="18" t="s">
        <v>640</v>
      </c>
      <c r="S553" s="18" t="s">
        <v>247</v>
      </c>
      <c r="T553" s="73" t="s">
        <v>639</v>
      </c>
      <c r="U553" s="156" t="str">
        <f>+U552</f>
        <v>BCV131CPP02</v>
      </c>
      <c r="X553" s="64" t="str">
        <f>+X552</f>
        <v>BR4-2150-E-00060</v>
      </c>
      <c r="Y553" s="17" t="str">
        <f>+Y552</f>
        <v>A</v>
      </c>
      <c r="AA553" s="46"/>
      <c r="AC553" s="19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</row>
    <row r="554" spans="1:53" s="17" customFormat="1" x14ac:dyDescent="0.3">
      <c r="A554" s="33"/>
      <c r="B554" s="33"/>
      <c r="C554" s="18"/>
      <c r="D554" s="18"/>
      <c r="E554" s="18"/>
      <c r="F554" s="18"/>
      <c r="G554" s="18" t="s">
        <v>481</v>
      </c>
      <c r="H554" s="65">
        <f>H553</f>
        <v>1</v>
      </c>
      <c r="I554" s="161">
        <v>4</v>
      </c>
      <c r="J554" s="164" t="s">
        <v>638</v>
      </c>
      <c r="K554" s="65"/>
      <c r="L554" s="79" t="s">
        <v>323</v>
      </c>
      <c r="M554" s="18"/>
      <c r="N554" s="18">
        <v>3</v>
      </c>
      <c r="O554" s="18"/>
      <c r="P554" s="79" t="s">
        <v>637</v>
      </c>
      <c r="Q554" s="79"/>
      <c r="R554" s="18" t="s">
        <v>636</v>
      </c>
      <c r="S554" s="18" t="s">
        <v>211</v>
      </c>
      <c r="T554" s="163" t="s">
        <v>635</v>
      </c>
      <c r="U554" s="156" t="str">
        <f>+U553</f>
        <v>BCV131CPP02</v>
      </c>
      <c r="X554" s="64" t="str">
        <f>+X553</f>
        <v>BR4-2150-E-00060</v>
      </c>
      <c r="Y554" s="17" t="str">
        <f>+Y553</f>
        <v>A</v>
      </c>
      <c r="AA554" s="46"/>
      <c r="AC554" s="19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</row>
    <row r="555" spans="1:53" s="17" customFormat="1" x14ac:dyDescent="0.3">
      <c r="A555" s="33"/>
      <c r="B555" s="33"/>
      <c r="C555" s="18"/>
      <c r="D555" s="18"/>
      <c r="E555" s="18"/>
      <c r="F555" s="18"/>
      <c r="G555" s="18" t="s">
        <v>481</v>
      </c>
      <c r="H555" s="65">
        <f>H554</f>
        <v>1</v>
      </c>
      <c r="I555" s="161">
        <v>5</v>
      </c>
      <c r="J555" s="164" t="s">
        <v>634</v>
      </c>
      <c r="K555" s="65"/>
      <c r="L555" s="79" t="s">
        <v>323</v>
      </c>
      <c r="M555" s="18"/>
      <c r="N555" s="18"/>
      <c r="O555" s="18"/>
      <c r="P555" s="79"/>
      <c r="Q555" s="79"/>
      <c r="R555" s="18"/>
      <c r="S555" s="163"/>
      <c r="T555" s="163"/>
      <c r="U555" s="156" t="str">
        <f>+U554</f>
        <v>BCV131CPP02</v>
      </c>
      <c r="X555" s="64" t="str">
        <f>+X554</f>
        <v>BR4-2150-E-00060</v>
      </c>
      <c r="Y555" s="17" t="str">
        <f>+Y554</f>
        <v>A</v>
      </c>
      <c r="AA555" s="46"/>
      <c r="AC555" s="19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</row>
    <row r="556" spans="1:53" s="17" customFormat="1" x14ac:dyDescent="0.3">
      <c r="A556" s="33"/>
      <c r="B556" s="33"/>
      <c r="C556" s="18"/>
      <c r="D556" s="18"/>
      <c r="E556" s="18"/>
      <c r="F556" s="18"/>
      <c r="G556" s="18" t="s">
        <v>481</v>
      </c>
      <c r="H556" s="65">
        <f>H555</f>
        <v>1</v>
      </c>
      <c r="I556" s="161">
        <v>6</v>
      </c>
      <c r="J556" s="164" t="s">
        <v>633</v>
      </c>
      <c r="K556" s="65"/>
      <c r="L556" s="79" t="s">
        <v>323</v>
      </c>
      <c r="M556" s="18"/>
      <c r="N556" s="18">
        <v>3</v>
      </c>
      <c r="O556" s="18"/>
      <c r="P556" s="79" t="s">
        <v>589</v>
      </c>
      <c r="Q556" s="79"/>
      <c r="R556" s="18" t="s">
        <v>365</v>
      </c>
      <c r="S556" s="163" t="s">
        <v>364</v>
      </c>
      <c r="T556" s="163"/>
      <c r="U556" s="156" t="str">
        <f>+U555</f>
        <v>BCV131CPP02</v>
      </c>
      <c r="X556" s="64" t="str">
        <f>+X555</f>
        <v>BR4-2150-E-00060</v>
      </c>
      <c r="Y556" s="17" t="str">
        <f>+Y555</f>
        <v>A</v>
      </c>
      <c r="AA556" s="46"/>
      <c r="AC556" s="19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</row>
    <row r="557" spans="1:53" s="17" customFormat="1" x14ac:dyDescent="0.3">
      <c r="A557" s="33"/>
      <c r="B557" s="33"/>
      <c r="C557" s="18"/>
      <c r="D557" s="18"/>
      <c r="E557" s="18"/>
      <c r="F557" s="18"/>
      <c r="G557" s="18" t="s">
        <v>481</v>
      </c>
      <c r="H557" s="65">
        <f>H556</f>
        <v>1</v>
      </c>
      <c r="I557" s="161">
        <v>1</v>
      </c>
      <c r="J557" s="164" t="s">
        <v>233</v>
      </c>
      <c r="K557" s="65"/>
      <c r="L557" s="79" t="s">
        <v>292</v>
      </c>
      <c r="M557" s="18"/>
      <c r="N557" s="18">
        <v>3</v>
      </c>
      <c r="O557" s="18"/>
      <c r="P557" s="79" t="s">
        <v>517</v>
      </c>
      <c r="Q557" s="79"/>
      <c r="R557" s="18" t="s">
        <v>632</v>
      </c>
      <c r="S557" s="18" t="s">
        <v>247</v>
      </c>
      <c r="T557" s="163" t="s">
        <v>631</v>
      </c>
      <c r="U557" s="156" t="str">
        <f>+U556</f>
        <v>BCV131CPP02</v>
      </c>
      <c r="X557" s="64" t="str">
        <f>+X556</f>
        <v>BR4-2150-E-00060</v>
      </c>
      <c r="Y557" s="17" t="str">
        <f>+Y556</f>
        <v>A</v>
      </c>
      <c r="AA557" s="46"/>
      <c r="AC557" s="19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</row>
    <row r="558" spans="1:53" s="17" customFormat="1" x14ac:dyDescent="0.3">
      <c r="A558" s="33"/>
      <c r="B558" s="33"/>
      <c r="C558" s="18"/>
      <c r="D558" s="18"/>
      <c r="E558" s="18"/>
      <c r="F558" s="18"/>
      <c r="G558" s="18" t="s">
        <v>481</v>
      </c>
      <c r="H558" s="65">
        <f>H557</f>
        <v>1</v>
      </c>
      <c r="I558" s="161">
        <v>2</v>
      </c>
      <c r="J558" s="160" t="s">
        <v>229</v>
      </c>
      <c r="K558" s="65"/>
      <c r="L558" s="79" t="s">
        <v>292</v>
      </c>
      <c r="M558" s="18"/>
      <c r="N558" s="83">
        <v>6</v>
      </c>
      <c r="O558" s="83"/>
      <c r="P558" s="92" t="s">
        <v>630</v>
      </c>
      <c r="Q558" s="92"/>
      <c r="R558" s="92" t="s">
        <v>629</v>
      </c>
      <c r="S558" s="83" t="s">
        <v>299</v>
      </c>
      <c r="T558" s="162" t="s">
        <v>628</v>
      </c>
      <c r="U558" s="156" t="str">
        <f>+U557</f>
        <v>BCV131CPP02</v>
      </c>
      <c r="W558" s="33"/>
      <c r="X558" s="64" t="str">
        <f>+X557</f>
        <v>BR4-2150-E-00060</v>
      </c>
      <c r="Y558" s="17" t="str">
        <f>+Y557</f>
        <v>A</v>
      </c>
      <c r="AA558" s="46"/>
      <c r="AC558" s="19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</row>
    <row r="559" spans="1:53" s="17" customFormat="1" x14ac:dyDescent="0.3">
      <c r="A559" s="33"/>
      <c r="B559" s="33"/>
      <c r="C559" s="18"/>
      <c r="D559" s="18"/>
      <c r="E559" s="18"/>
      <c r="F559" s="18"/>
      <c r="G559" s="18" t="s">
        <v>481</v>
      </c>
      <c r="H559" s="65">
        <f>H558</f>
        <v>1</v>
      </c>
      <c r="I559" s="161">
        <v>3</v>
      </c>
      <c r="J559" s="160" t="s">
        <v>218</v>
      </c>
      <c r="K559" s="65"/>
      <c r="L559" s="79" t="s">
        <v>292</v>
      </c>
      <c r="M559" s="18"/>
      <c r="N559" s="33"/>
      <c r="O559" s="33"/>
      <c r="U559" s="156" t="str">
        <f>+U558</f>
        <v>BCV131CPP02</v>
      </c>
      <c r="W559" s="33"/>
      <c r="X559" s="64" t="str">
        <f>+X558</f>
        <v>BR4-2150-E-00060</v>
      </c>
      <c r="Y559" s="17" t="str">
        <f>+Y558</f>
        <v>A</v>
      </c>
      <c r="AA559" s="46"/>
      <c r="AC559" s="19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</row>
    <row r="560" spans="1:53" s="17" customFormat="1" ht="13.5" thickBot="1" x14ac:dyDescent="0.35">
      <c r="A560" s="33"/>
      <c r="B560" s="33"/>
      <c r="C560" s="18"/>
      <c r="D560" s="18"/>
      <c r="E560" s="18"/>
      <c r="F560" s="18"/>
      <c r="G560" s="18" t="s">
        <v>481</v>
      </c>
      <c r="H560" s="65">
        <f>H559</f>
        <v>1</v>
      </c>
      <c r="I560" s="159">
        <v>4</v>
      </c>
      <c r="J560" s="158" t="s">
        <v>627</v>
      </c>
      <c r="K560" s="65"/>
      <c r="L560" s="79" t="s">
        <v>292</v>
      </c>
      <c r="M560" s="18"/>
      <c r="N560" s="83">
        <v>4</v>
      </c>
      <c r="O560" s="83"/>
      <c r="P560" s="92" t="s">
        <v>433</v>
      </c>
      <c r="Q560" s="92"/>
      <c r="R560" s="92" t="s">
        <v>626</v>
      </c>
      <c r="S560" s="83" t="s">
        <v>625</v>
      </c>
      <c r="T560" s="157" t="s">
        <v>624</v>
      </c>
      <c r="U560" s="156" t="str">
        <f>+U559</f>
        <v>BCV131CPP02</v>
      </c>
      <c r="W560" s="33"/>
      <c r="X560" s="64" t="str">
        <f>+X559</f>
        <v>BR4-2150-E-00060</v>
      </c>
      <c r="Y560" s="17" t="str">
        <f>+Y559</f>
        <v>A</v>
      </c>
      <c r="AA560" s="46"/>
      <c r="AC560" s="19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</row>
    <row r="561" spans="1:53" s="17" customFormat="1" x14ac:dyDescent="0.3">
      <c r="A561" s="33"/>
      <c r="B561" s="33"/>
      <c r="C561" s="33"/>
      <c r="D561" s="33"/>
      <c r="E561" s="100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18"/>
      <c r="Y561" s="18"/>
      <c r="Z561" s="18"/>
      <c r="AC561" s="18"/>
      <c r="AD561" s="18"/>
      <c r="AE561" s="17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</row>
    <row r="562" spans="1:53" s="17" customFormat="1" ht="15" thickBot="1" x14ac:dyDescent="0.4">
      <c r="A562" s="177" t="s">
        <v>651</v>
      </c>
      <c r="B562" s="176"/>
      <c r="C562" s="169"/>
      <c r="D562" s="169"/>
      <c r="E562" s="169"/>
      <c r="F562" s="169"/>
      <c r="G562" s="169"/>
      <c r="H562" s="174"/>
      <c r="I562" s="174"/>
      <c r="J562" s="175"/>
      <c r="K562" s="174"/>
      <c r="L562" s="173"/>
      <c r="M562" s="169"/>
      <c r="N562" s="169"/>
      <c r="O562" s="169"/>
      <c r="P562" s="173"/>
      <c r="Q562" s="173"/>
      <c r="R562" s="169"/>
      <c r="S562" s="169"/>
      <c r="T562" s="172"/>
      <c r="U562" s="171"/>
      <c r="V562" s="169"/>
      <c r="W562" s="170"/>
      <c r="X562" s="169"/>
      <c r="Y562" s="169"/>
      <c r="Z562" s="169"/>
      <c r="AC562" s="169"/>
      <c r="AD562" s="169"/>
      <c r="AE562" s="16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</row>
    <row r="563" spans="1:53" s="17" customFormat="1" x14ac:dyDescent="0.3">
      <c r="A563" s="155"/>
      <c r="B563" s="18"/>
      <c r="C563" s="18" t="s">
        <v>647</v>
      </c>
      <c r="D563" s="18"/>
      <c r="E563" s="18"/>
      <c r="F563" s="18"/>
      <c r="G563" s="18" t="s">
        <v>481</v>
      </c>
      <c r="H563" s="144">
        <v>1</v>
      </c>
      <c r="I563" s="167">
        <v>1</v>
      </c>
      <c r="J563" s="166" t="s">
        <v>648</v>
      </c>
      <c r="K563" s="65" t="s">
        <v>647</v>
      </c>
      <c r="L563" s="79" t="s">
        <v>323</v>
      </c>
      <c r="M563" s="18"/>
      <c r="N563" s="18">
        <v>3</v>
      </c>
      <c r="O563" s="18"/>
      <c r="P563" s="79" t="s">
        <v>646</v>
      </c>
      <c r="Q563" s="79"/>
      <c r="R563" s="64" t="s">
        <v>626</v>
      </c>
      <c r="S563" s="64" t="s">
        <v>247</v>
      </c>
      <c r="T563" s="163" t="s">
        <v>624</v>
      </c>
      <c r="U563" s="165" t="s">
        <v>650</v>
      </c>
      <c r="X563" s="64" t="s">
        <v>649</v>
      </c>
      <c r="Y563" s="17" t="s">
        <v>289</v>
      </c>
      <c r="Z563" s="18" t="s">
        <v>643</v>
      </c>
      <c r="AC563" s="18"/>
      <c r="AD563" s="18"/>
      <c r="AE563" s="154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</row>
    <row r="564" spans="1:53" s="17" customFormat="1" x14ac:dyDescent="0.3">
      <c r="A564" s="155"/>
      <c r="B564" s="18"/>
      <c r="C564" s="18"/>
      <c r="D564" s="18"/>
      <c r="E564" s="18"/>
      <c r="F564" s="18"/>
      <c r="G564" s="18" t="s">
        <v>481</v>
      </c>
      <c r="H564" s="65">
        <f>H563</f>
        <v>1</v>
      </c>
      <c r="I564" s="161">
        <v>2</v>
      </c>
      <c r="J564" s="164" t="s">
        <v>642</v>
      </c>
      <c r="K564" s="99" t="s">
        <v>287</v>
      </c>
      <c r="L564" s="79" t="s">
        <v>323</v>
      </c>
      <c r="M564" s="18"/>
      <c r="N564" s="83">
        <v>4</v>
      </c>
      <c r="O564" s="83"/>
      <c r="P564" s="92" t="s">
        <v>429</v>
      </c>
      <c r="Q564" s="92"/>
      <c r="R564" s="92" t="s">
        <v>626</v>
      </c>
      <c r="S564" s="64" t="s">
        <v>427</v>
      </c>
      <c r="T564" s="163" t="s">
        <v>624</v>
      </c>
      <c r="U564" s="156" t="str">
        <f>+U563</f>
        <v>BCV131PP04</v>
      </c>
      <c r="X564" s="64" t="str">
        <f>+X563</f>
        <v>BR4-2110-E-00218</v>
      </c>
      <c r="Y564" s="17" t="str">
        <f>+Y563</f>
        <v>A</v>
      </c>
      <c r="Z564" s="18"/>
      <c r="AC564" s="18"/>
      <c r="AD564" s="18"/>
      <c r="AE564" s="154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</row>
    <row r="565" spans="1:53" s="17" customFormat="1" x14ac:dyDescent="0.3">
      <c r="A565" s="155"/>
      <c r="B565" s="18"/>
      <c r="C565" s="18"/>
      <c r="D565" s="18"/>
      <c r="E565" s="18"/>
      <c r="F565" s="18"/>
      <c r="G565" s="18" t="s">
        <v>481</v>
      </c>
      <c r="H565" s="65">
        <f>H564</f>
        <v>1</v>
      </c>
      <c r="I565" s="161">
        <v>3</v>
      </c>
      <c r="J565" s="164" t="s">
        <v>641</v>
      </c>
      <c r="K565" s="65"/>
      <c r="L565" s="79" t="s">
        <v>323</v>
      </c>
      <c r="M565" s="18"/>
      <c r="N565" s="18">
        <v>3</v>
      </c>
      <c r="O565" s="18"/>
      <c r="P565" s="97" t="s">
        <v>252</v>
      </c>
      <c r="Q565" s="97"/>
      <c r="R565" s="18" t="s">
        <v>640</v>
      </c>
      <c r="S565" s="18" t="s">
        <v>247</v>
      </c>
      <c r="T565" s="73" t="s">
        <v>639</v>
      </c>
      <c r="U565" s="156" t="str">
        <f>+U564</f>
        <v>BCV131PP04</v>
      </c>
      <c r="X565" s="64" t="str">
        <f>+X564</f>
        <v>BR4-2110-E-00218</v>
      </c>
      <c r="Y565" s="17" t="str">
        <f>+Y564</f>
        <v>A</v>
      </c>
      <c r="Z565" s="18"/>
      <c r="AC565" s="18"/>
      <c r="AD565" s="18"/>
      <c r="AE565" s="154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</row>
    <row r="566" spans="1:53" s="17" customFormat="1" x14ac:dyDescent="0.3">
      <c r="A566" s="155"/>
      <c r="B566" s="18"/>
      <c r="C566" s="18"/>
      <c r="D566" s="18"/>
      <c r="E566" s="18"/>
      <c r="F566" s="18"/>
      <c r="G566" s="18" t="s">
        <v>481</v>
      </c>
      <c r="H566" s="65">
        <f>H565</f>
        <v>1</v>
      </c>
      <c r="I566" s="161">
        <v>4</v>
      </c>
      <c r="J566" s="164" t="s">
        <v>638</v>
      </c>
      <c r="K566" s="65"/>
      <c r="L566" s="79" t="s">
        <v>323</v>
      </c>
      <c r="M566" s="18"/>
      <c r="N566" s="18">
        <v>3</v>
      </c>
      <c r="O566" s="18"/>
      <c r="P566" s="79" t="s">
        <v>637</v>
      </c>
      <c r="Q566" s="79"/>
      <c r="R566" s="18" t="s">
        <v>636</v>
      </c>
      <c r="S566" s="18" t="s">
        <v>211</v>
      </c>
      <c r="T566" s="163" t="s">
        <v>635</v>
      </c>
      <c r="U566" s="156" t="str">
        <f>+U565</f>
        <v>BCV131PP04</v>
      </c>
      <c r="X566" s="64" t="str">
        <f>+X565</f>
        <v>BR4-2110-E-00218</v>
      </c>
      <c r="Y566" s="17" t="str">
        <f>+Y565</f>
        <v>A</v>
      </c>
      <c r="Z566" s="18"/>
      <c r="AC566" s="18"/>
      <c r="AD566" s="18"/>
      <c r="AE566" s="154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</row>
    <row r="567" spans="1:53" s="17" customFormat="1" x14ac:dyDescent="0.3">
      <c r="A567" s="155"/>
      <c r="B567" s="18"/>
      <c r="C567" s="18"/>
      <c r="D567" s="18"/>
      <c r="E567" s="18"/>
      <c r="F567" s="18"/>
      <c r="G567" s="18" t="s">
        <v>481</v>
      </c>
      <c r="H567" s="65">
        <f>H566</f>
        <v>1</v>
      </c>
      <c r="I567" s="161">
        <v>5</v>
      </c>
      <c r="J567" s="164" t="s">
        <v>634</v>
      </c>
      <c r="K567" s="65"/>
      <c r="L567" s="79" t="s">
        <v>323</v>
      </c>
      <c r="M567" s="18"/>
      <c r="N567" s="18"/>
      <c r="O567" s="18"/>
      <c r="P567" s="79"/>
      <c r="Q567" s="79"/>
      <c r="R567" s="18"/>
      <c r="S567" s="163"/>
      <c r="T567" s="163"/>
      <c r="U567" s="156" t="str">
        <f>+U566</f>
        <v>BCV131PP04</v>
      </c>
      <c r="X567" s="64" t="str">
        <f>+X566</f>
        <v>BR4-2110-E-00218</v>
      </c>
      <c r="Y567" s="17" t="str">
        <f>+Y566</f>
        <v>A</v>
      </c>
      <c r="Z567" s="18"/>
      <c r="AC567" s="18"/>
      <c r="AD567" s="18"/>
      <c r="AE567" s="154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</row>
    <row r="568" spans="1:53" s="17" customFormat="1" x14ac:dyDescent="0.3">
      <c r="A568" s="155"/>
      <c r="B568" s="18"/>
      <c r="C568" s="18"/>
      <c r="D568" s="18"/>
      <c r="E568" s="18"/>
      <c r="F568" s="18"/>
      <c r="G568" s="18" t="s">
        <v>481</v>
      </c>
      <c r="H568" s="65">
        <f>H567</f>
        <v>1</v>
      </c>
      <c r="I568" s="161">
        <v>6</v>
      </c>
      <c r="J568" s="164" t="s">
        <v>633</v>
      </c>
      <c r="K568" s="65"/>
      <c r="L568" s="79" t="s">
        <v>323</v>
      </c>
      <c r="M568" s="18"/>
      <c r="N568" s="18">
        <v>3</v>
      </c>
      <c r="O568" s="18"/>
      <c r="P568" s="79" t="s">
        <v>589</v>
      </c>
      <c r="Q568" s="79"/>
      <c r="R568" s="18" t="s">
        <v>365</v>
      </c>
      <c r="S568" s="163" t="s">
        <v>364</v>
      </c>
      <c r="T568" s="163"/>
      <c r="U568" s="156" t="str">
        <f>+U567</f>
        <v>BCV131PP04</v>
      </c>
      <c r="X568" s="64" t="str">
        <f>+X567</f>
        <v>BR4-2110-E-00218</v>
      </c>
      <c r="Y568" s="17" t="str">
        <f>+Y567</f>
        <v>A</v>
      </c>
      <c r="Z568" s="18"/>
      <c r="AC568" s="18"/>
      <c r="AD568" s="18"/>
      <c r="AE568" s="154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</row>
    <row r="569" spans="1:53" s="17" customFormat="1" x14ac:dyDescent="0.3">
      <c r="A569" s="155"/>
      <c r="B569" s="18"/>
      <c r="C569" s="18"/>
      <c r="D569" s="18"/>
      <c r="E569" s="18"/>
      <c r="F569" s="18"/>
      <c r="G569" s="18" t="s">
        <v>481</v>
      </c>
      <c r="H569" s="65">
        <f>H568</f>
        <v>1</v>
      </c>
      <c r="I569" s="161">
        <v>1</v>
      </c>
      <c r="J569" s="164" t="s">
        <v>233</v>
      </c>
      <c r="K569" s="65"/>
      <c r="L569" s="79" t="s">
        <v>292</v>
      </c>
      <c r="M569" s="18"/>
      <c r="N569" s="18">
        <v>3</v>
      </c>
      <c r="O569" s="18"/>
      <c r="P569" s="79" t="s">
        <v>517</v>
      </c>
      <c r="Q569" s="79"/>
      <c r="R569" s="18" t="s">
        <v>632</v>
      </c>
      <c r="S569" s="18" t="s">
        <v>247</v>
      </c>
      <c r="T569" s="163" t="s">
        <v>631</v>
      </c>
      <c r="U569" s="156" t="str">
        <f>+U568</f>
        <v>BCV131PP04</v>
      </c>
      <c r="X569" s="64" t="str">
        <f>+X568</f>
        <v>BR4-2110-E-00218</v>
      </c>
      <c r="Y569" s="17" t="str">
        <f>+Y568</f>
        <v>A</v>
      </c>
      <c r="Z569" s="18"/>
      <c r="AC569" s="18"/>
      <c r="AD569" s="18"/>
      <c r="AE569" s="154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</row>
    <row r="570" spans="1:53" s="17" customFormat="1" x14ac:dyDescent="0.3">
      <c r="A570" s="155"/>
      <c r="B570" s="33"/>
      <c r="C570" s="18"/>
      <c r="D570" s="18"/>
      <c r="E570" s="18"/>
      <c r="F570" s="18"/>
      <c r="G570" s="18" t="s">
        <v>481</v>
      </c>
      <c r="H570" s="65">
        <f>H569</f>
        <v>1</v>
      </c>
      <c r="I570" s="161">
        <v>2</v>
      </c>
      <c r="J570" s="160" t="s">
        <v>229</v>
      </c>
      <c r="K570" s="65"/>
      <c r="L570" s="79" t="s">
        <v>292</v>
      </c>
      <c r="M570" s="18"/>
      <c r="N570" s="83">
        <v>6</v>
      </c>
      <c r="O570" s="83"/>
      <c r="P570" s="92" t="s">
        <v>630</v>
      </c>
      <c r="Q570" s="92"/>
      <c r="R570" s="92" t="s">
        <v>629</v>
      </c>
      <c r="S570" s="83" t="s">
        <v>299</v>
      </c>
      <c r="T570" s="162" t="s">
        <v>628</v>
      </c>
      <c r="U570" s="156" t="str">
        <f>+U569</f>
        <v>BCV131PP04</v>
      </c>
      <c r="W570" s="33"/>
      <c r="X570" s="64" t="str">
        <f>+X569</f>
        <v>BR4-2110-E-00218</v>
      </c>
      <c r="Y570" s="17" t="str">
        <f>+Y569</f>
        <v>A</v>
      </c>
      <c r="Z570" s="18"/>
      <c r="AC570" s="18"/>
      <c r="AD570" s="18"/>
      <c r="AE570" s="154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</row>
    <row r="571" spans="1:53" s="17" customFormat="1" x14ac:dyDescent="0.3">
      <c r="A571" s="155"/>
      <c r="B571" s="18"/>
      <c r="C571" s="18"/>
      <c r="D571" s="18"/>
      <c r="E571" s="18"/>
      <c r="F571" s="18"/>
      <c r="G571" s="18" t="s">
        <v>481</v>
      </c>
      <c r="H571" s="65">
        <f>H570</f>
        <v>1</v>
      </c>
      <c r="I571" s="161">
        <v>3</v>
      </c>
      <c r="J571" s="160" t="s">
        <v>218</v>
      </c>
      <c r="K571" s="65"/>
      <c r="L571" s="79" t="s">
        <v>292</v>
      </c>
      <c r="M571" s="18"/>
      <c r="N571" s="33"/>
      <c r="O571" s="33"/>
      <c r="U571" s="156" t="str">
        <f>+U570</f>
        <v>BCV131PP04</v>
      </c>
      <c r="W571" s="33"/>
      <c r="X571" s="64" t="str">
        <f>+X570</f>
        <v>BR4-2110-E-00218</v>
      </c>
      <c r="Y571" s="17" t="str">
        <f>+Y570</f>
        <v>A</v>
      </c>
      <c r="Z571" s="18"/>
      <c r="AA571" s="18"/>
      <c r="AC571" s="18"/>
      <c r="AD571" s="18"/>
      <c r="AE571" s="154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</row>
    <row r="572" spans="1:53" s="17" customFormat="1" ht="13.5" thickBot="1" x14ac:dyDescent="0.35">
      <c r="A572" s="155"/>
      <c r="B572" s="18"/>
      <c r="C572" s="18"/>
      <c r="D572" s="18"/>
      <c r="E572" s="18"/>
      <c r="F572" s="18"/>
      <c r="G572" s="18" t="s">
        <v>481</v>
      </c>
      <c r="H572" s="65">
        <f>H571</f>
        <v>1</v>
      </c>
      <c r="I572" s="159">
        <v>4</v>
      </c>
      <c r="J572" s="158" t="s">
        <v>627</v>
      </c>
      <c r="K572" s="65"/>
      <c r="L572" s="79" t="s">
        <v>292</v>
      </c>
      <c r="M572" s="18"/>
      <c r="N572" s="83">
        <v>4</v>
      </c>
      <c r="O572" s="83"/>
      <c r="P572" s="92" t="s">
        <v>433</v>
      </c>
      <c r="Q572" s="92"/>
      <c r="R572" s="92" t="s">
        <v>626</v>
      </c>
      <c r="S572" s="83" t="s">
        <v>625</v>
      </c>
      <c r="T572" s="157" t="s">
        <v>624</v>
      </c>
      <c r="U572" s="156" t="str">
        <f>+U571</f>
        <v>BCV131PP04</v>
      </c>
      <c r="W572" s="33"/>
      <c r="X572" s="64" t="str">
        <f>+X571</f>
        <v>BR4-2110-E-00218</v>
      </c>
      <c r="Y572" s="17" t="str">
        <f>+Y571</f>
        <v>A</v>
      </c>
      <c r="Z572" s="18"/>
      <c r="AA572" s="18"/>
      <c r="AC572" s="18"/>
      <c r="AD572" s="18"/>
      <c r="AE572" s="154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</row>
    <row r="573" spans="1:53" s="17" customFormat="1" ht="13.5" thickBot="1" x14ac:dyDescent="0.35">
      <c r="A573" s="155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C573" s="18"/>
      <c r="AD573" s="18"/>
      <c r="AE573" s="154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</row>
    <row r="574" spans="1:53" s="17" customFormat="1" x14ac:dyDescent="0.3">
      <c r="A574" s="155"/>
      <c r="B574" s="18"/>
      <c r="C574" s="18" t="s">
        <v>647</v>
      </c>
      <c r="D574" s="18"/>
      <c r="E574" s="18"/>
      <c r="F574" s="18"/>
      <c r="G574" s="18" t="s">
        <v>481</v>
      </c>
      <c r="H574" s="144">
        <v>1</v>
      </c>
      <c r="I574" s="167">
        <v>1</v>
      </c>
      <c r="J574" s="166" t="s">
        <v>648</v>
      </c>
      <c r="K574" s="65" t="s">
        <v>647</v>
      </c>
      <c r="L574" s="79" t="s">
        <v>323</v>
      </c>
      <c r="M574" s="18"/>
      <c r="N574" s="18">
        <v>3</v>
      </c>
      <c r="O574" s="18"/>
      <c r="P574" s="79" t="s">
        <v>646</v>
      </c>
      <c r="Q574" s="79"/>
      <c r="R574" s="64" t="s">
        <v>626</v>
      </c>
      <c r="S574" s="64" t="s">
        <v>247</v>
      </c>
      <c r="T574" s="163" t="s">
        <v>624</v>
      </c>
      <c r="U574" s="165" t="s">
        <v>645</v>
      </c>
      <c r="X574" s="64" t="s">
        <v>644</v>
      </c>
      <c r="Y574" s="17" t="s">
        <v>289</v>
      </c>
      <c r="Z574" s="18" t="s">
        <v>643</v>
      </c>
      <c r="AA574" s="18"/>
      <c r="AC574" s="18"/>
      <c r="AD574" s="18"/>
      <c r="AE574" s="154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</row>
    <row r="575" spans="1:53" s="17" customFormat="1" x14ac:dyDescent="0.3">
      <c r="A575" s="155"/>
      <c r="B575" s="18"/>
      <c r="C575" s="18"/>
      <c r="D575" s="18"/>
      <c r="E575" s="18"/>
      <c r="F575" s="18"/>
      <c r="G575" s="18" t="s">
        <v>481</v>
      </c>
      <c r="H575" s="65">
        <f>H574</f>
        <v>1</v>
      </c>
      <c r="I575" s="161">
        <v>2</v>
      </c>
      <c r="J575" s="164" t="s">
        <v>642</v>
      </c>
      <c r="K575" s="99" t="s">
        <v>287</v>
      </c>
      <c r="L575" s="79" t="s">
        <v>323</v>
      </c>
      <c r="M575" s="18"/>
      <c r="N575" s="83">
        <v>4</v>
      </c>
      <c r="O575" s="83"/>
      <c r="P575" s="92" t="s">
        <v>429</v>
      </c>
      <c r="Q575" s="92"/>
      <c r="R575" s="92" t="s">
        <v>626</v>
      </c>
      <c r="S575" s="64" t="s">
        <v>427</v>
      </c>
      <c r="T575" s="163" t="s">
        <v>624</v>
      </c>
      <c r="U575" s="156" t="str">
        <f>+U574</f>
        <v>BCV131PP05</v>
      </c>
      <c r="X575" s="64" t="str">
        <f>+X574</f>
        <v>BR4-2110-E-00219</v>
      </c>
      <c r="Y575" s="17" t="str">
        <f>+Y574</f>
        <v>A</v>
      </c>
      <c r="Z575" s="18"/>
      <c r="AA575" s="18"/>
      <c r="AC575" s="18"/>
      <c r="AD575" s="18"/>
      <c r="AE575" s="154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</row>
    <row r="576" spans="1:53" s="17" customFormat="1" x14ac:dyDescent="0.3">
      <c r="A576" s="155"/>
      <c r="B576" s="18"/>
      <c r="C576" s="18"/>
      <c r="D576" s="18"/>
      <c r="E576" s="18"/>
      <c r="F576" s="18"/>
      <c r="G576" s="18" t="s">
        <v>481</v>
      </c>
      <c r="H576" s="65">
        <f>H575</f>
        <v>1</v>
      </c>
      <c r="I576" s="161">
        <v>3</v>
      </c>
      <c r="J576" s="164" t="s">
        <v>641</v>
      </c>
      <c r="K576" s="65"/>
      <c r="L576" s="79" t="s">
        <v>323</v>
      </c>
      <c r="M576" s="18"/>
      <c r="N576" s="18">
        <v>3</v>
      </c>
      <c r="O576" s="18"/>
      <c r="P576" s="97" t="s">
        <v>252</v>
      </c>
      <c r="Q576" s="97"/>
      <c r="R576" s="18" t="s">
        <v>640</v>
      </c>
      <c r="S576" s="18" t="s">
        <v>247</v>
      </c>
      <c r="T576" s="73" t="s">
        <v>639</v>
      </c>
      <c r="U576" s="156" t="str">
        <f>+U575</f>
        <v>BCV131PP05</v>
      </c>
      <c r="X576" s="64" t="str">
        <f>+X575</f>
        <v>BR4-2110-E-00219</v>
      </c>
      <c r="Y576" s="17" t="str">
        <f>+Y575</f>
        <v>A</v>
      </c>
      <c r="Z576" s="18"/>
      <c r="AA576" s="18"/>
      <c r="AC576" s="18"/>
      <c r="AD576" s="18"/>
      <c r="AE576" s="154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</row>
    <row r="577" spans="1:53" s="17" customFormat="1" x14ac:dyDescent="0.3">
      <c r="A577" s="155"/>
      <c r="B577" s="18"/>
      <c r="C577" s="18"/>
      <c r="D577" s="18"/>
      <c r="E577" s="18"/>
      <c r="F577" s="18"/>
      <c r="G577" s="18" t="s">
        <v>481</v>
      </c>
      <c r="H577" s="65">
        <f>H576</f>
        <v>1</v>
      </c>
      <c r="I577" s="161">
        <v>4</v>
      </c>
      <c r="J577" s="164" t="s">
        <v>638</v>
      </c>
      <c r="K577" s="65"/>
      <c r="L577" s="79" t="s">
        <v>323</v>
      </c>
      <c r="M577" s="18"/>
      <c r="N577" s="18">
        <v>3</v>
      </c>
      <c r="O577" s="18"/>
      <c r="P577" s="79" t="s">
        <v>637</v>
      </c>
      <c r="Q577" s="79"/>
      <c r="R577" s="18" t="s">
        <v>636</v>
      </c>
      <c r="S577" s="18" t="s">
        <v>211</v>
      </c>
      <c r="T577" s="163" t="s">
        <v>635</v>
      </c>
      <c r="U577" s="156" t="str">
        <f>+U576</f>
        <v>BCV131PP05</v>
      </c>
      <c r="X577" s="64" t="str">
        <f>+X576</f>
        <v>BR4-2110-E-00219</v>
      </c>
      <c r="Y577" s="17" t="str">
        <f>+Y576</f>
        <v>A</v>
      </c>
      <c r="Z577" s="18"/>
      <c r="AA577" s="18"/>
      <c r="AC577" s="18"/>
      <c r="AD577" s="18"/>
      <c r="AE577" s="154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</row>
    <row r="578" spans="1:53" s="17" customFormat="1" x14ac:dyDescent="0.3">
      <c r="A578" s="155"/>
      <c r="B578" s="33"/>
      <c r="C578" s="18"/>
      <c r="D578" s="18"/>
      <c r="E578" s="18"/>
      <c r="F578" s="18"/>
      <c r="G578" s="18" t="s">
        <v>481</v>
      </c>
      <c r="H578" s="65">
        <f>H577</f>
        <v>1</v>
      </c>
      <c r="I578" s="161">
        <v>5</v>
      </c>
      <c r="J578" s="164" t="s">
        <v>634</v>
      </c>
      <c r="K578" s="65"/>
      <c r="L578" s="79" t="s">
        <v>323</v>
      </c>
      <c r="M578" s="18"/>
      <c r="N578" s="18"/>
      <c r="O578" s="18"/>
      <c r="P578" s="79"/>
      <c r="Q578" s="79"/>
      <c r="R578" s="18"/>
      <c r="S578" s="163"/>
      <c r="T578" s="163"/>
      <c r="U578" s="156" t="str">
        <f>+U577</f>
        <v>BCV131PP05</v>
      </c>
      <c r="X578" s="64" t="str">
        <f>+X577</f>
        <v>BR4-2110-E-00219</v>
      </c>
      <c r="Y578" s="17" t="str">
        <f>+Y577</f>
        <v>A</v>
      </c>
      <c r="Z578" s="18"/>
      <c r="AA578" s="18"/>
      <c r="AC578" s="18"/>
      <c r="AD578" s="18"/>
      <c r="AE578" s="154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</row>
    <row r="579" spans="1:53" s="17" customFormat="1" x14ac:dyDescent="0.3">
      <c r="A579" s="155"/>
      <c r="B579" s="18"/>
      <c r="C579" s="18"/>
      <c r="D579" s="18"/>
      <c r="E579" s="18"/>
      <c r="F579" s="18"/>
      <c r="G579" s="18" t="s">
        <v>481</v>
      </c>
      <c r="H579" s="65">
        <f>H578</f>
        <v>1</v>
      </c>
      <c r="I579" s="161">
        <v>6</v>
      </c>
      <c r="J579" s="164" t="s">
        <v>633</v>
      </c>
      <c r="K579" s="65"/>
      <c r="L579" s="79" t="s">
        <v>323</v>
      </c>
      <c r="M579" s="18"/>
      <c r="N579" s="18">
        <v>3</v>
      </c>
      <c r="O579" s="18"/>
      <c r="P579" s="79" t="s">
        <v>589</v>
      </c>
      <c r="Q579" s="79"/>
      <c r="R579" s="18" t="s">
        <v>365</v>
      </c>
      <c r="S579" s="163" t="s">
        <v>364</v>
      </c>
      <c r="T579" s="163"/>
      <c r="U579" s="156" t="str">
        <f>+U578</f>
        <v>BCV131PP05</v>
      </c>
      <c r="X579" s="64" t="str">
        <f>+X578</f>
        <v>BR4-2110-E-00219</v>
      </c>
      <c r="Y579" s="17" t="str">
        <f>+Y578</f>
        <v>A</v>
      </c>
      <c r="Z579" s="18"/>
      <c r="AA579" s="18"/>
      <c r="AC579" s="18"/>
      <c r="AD579" s="18"/>
      <c r="AE579" s="154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</row>
    <row r="580" spans="1:53" s="17" customFormat="1" x14ac:dyDescent="0.3">
      <c r="A580" s="155"/>
      <c r="B580" s="18"/>
      <c r="C580" s="18"/>
      <c r="D580" s="18"/>
      <c r="E580" s="18"/>
      <c r="F580" s="18"/>
      <c r="G580" s="18" t="s">
        <v>481</v>
      </c>
      <c r="H580" s="65">
        <f>H579</f>
        <v>1</v>
      </c>
      <c r="I580" s="161">
        <v>1</v>
      </c>
      <c r="J580" s="164" t="s">
        <v>233</v>
      </c>
      <c r="K580" s="65"/>
      <c r="L580" s="79" t="s">
        <v>292</v>
      </c>
      <c r="M580" s="18"/>
      <c r="N580" s="18">
        <v>3</v>
      </c>
      <c r="O580" s="18"/>
      <c r="P580" s="79" t="s">
        <v>517</v>
      </c>
      <c r="Q580" s="79"/>
      <c r="R580" s="18" t="s">
        <v>632</v>
      </c>
      <c r="S580" s="18" t="s">
        <v>247</v>
      </c>
      <c r="T580" s="163" t="s">
        <v>631</v>
      </c>
      <c r="U580" s="156" t="str">
        <f>+U579</f>
        <v>BCV131PP05</v>
      </c>
      <c r="X580" s="64" t="str">
        <f>+X579</f>
        <v>BR4-2110-E-00219</v>
      </c>
      <c r="Y580" s="17" t="str">
        <f>+Y579</f>
        <v>A</v>
      </c>
      <c r="Z580" s="18"/>
      <c r="AA580" s="18"/>
      <c r="AC580" s="18"/>
      <c r="AD580" s="18"/>
      <c r="AE580" s="154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</row>
    <row r="581" spans="1:53" s="17" customFormat="1" x14ac:dyDescent="0.3">
      <c r="A581" s="155"/>
      <c r="B581" s="18"/>
      <c r="C581" s="18"/>
      <c r="D581" s="18"/>
      <c r="E581" s="18"/>
      <c r="F581" s="18"/>
      <c r="G581" s="18" t="s">
        <v>481</v>
      </c>
      <c r="H581" s="65">
        <f>H580</f>
        <v>1</v>
      </c>
      <c r="I581" s="161">
        <v>2</v>
      </c>
      <c r="J581" s="160" t="s">
        <v>229</v>
      </c>
      <c r="K581" s="65"/>
      <c r="L581" s="79" t="s">
        <v>292</v>
      </c>
      <c r="M581" s="18"/>
      <c r="N581" s="83">
        <v>6</v>
      </c>
      <c r="O581" s="83"/>
      <c r="P581" s="92" t="s">
        <v>630</v>
      </c>
      <c r="Q581" s="92"/>
      <c r="R581" s="92" t="s">
        <v>629</v>
      </c>
      <c r="S581" s="83" t="s">
        <v>299</v>
      </c>
      <c r="T581" s="162" t="s">
        <v>628</v>
      </c>
      <c r="U581" s="156" t="str">
        <f>+U580</f>
        <v>BCV131PP05</v>
      </c>
      <c r="W581" s="33"/>
      <c r="X581" s="64" t="str">
        <f>+X580</f>
        <v>BR4-2110-E-00219</v>
      </c>
      <c r="Y581" s="17" t="str">
        <f>+Y580</f>
        <v>A</v>
      </c>
      <c r="Z581" s="18"/>
      <c r="AA581" s="18"/>
      <c r="AC581" s="18"/>
      <c r="AD581" s="18"/>
      <c r="AE581" s="154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</row>
    <row r="582" spans="1:53" s="17" customFormat="1" x14ac:dyDescent="0.3">
      <c r="A582" s="155"/>
      <c r="B582" s="18"/>
      <c r="C582" s="18"/>
      <c r="D582" s="18"/>
      <c r="E582" s="18"/>
      <c r="F582" s="18"/>
      <c r="G582" s="18" t="s">
        <v>481</v>
      </c>
      <c r="H582" s="65">
        <f>H581</f>
        <v>1</v>
      </c>
      <c r="I582" s="161">
        <v>3</v>
      </c>
      <c r="J582" s="160" t="s">
        <v>218</v>
      </c>
      <c r="K582" s="65"/>
      <c r="L582" s="79" t="s">
        <v>292</v>
      </c>
      <c r="M582" s="18"/>
      <c r="N582" s="33"/>
      <c r="O582" s="33"/>
      <c r="U582" s="156" t="str">
        <f>+U581</f>
        <v>BCV131PP05</v>
      </c>
      <c r="W582" s="33"/>
      <c r="X582" s="64" t="str">
        <f>+X581</f>
        <v>BR4-2110-E-00219</v>
      </c>
      <c r="Y582" s="17" t="str">
        <f>+Y581</f>
        <v>A</v>
      </c>
      <c r="Z582" s="18"/>
      <c r="AA582" s="18"/>
      <c r="AC582" s="18"/>
      <c r="AD582" s="18"/>
      <c r="AE582" s="154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</row>
    <row r="583" spans="1:53" s="17" customFormat="1" ht="13.5" thickBot="1" x14ac:dyDescent="0.35">
      <c r="A583" s="155"/>
      <c r="B583" s="18"/>
      <c r="C583" s="18"/>
      <c r="D583" s="18"/>
      <c r="E583" s="18"/>
      <c r="F583" s="18"/>
      <c r="G583" s="18" t="s">
        <v>481</v>
      </c>
      <c r="H583" s="65">
        <f>H582</f>
        <v>1</v>
      </c>
      <c r="I583" s="159">
        <v>4</v>
      </c>
      <c r="J583" s="158" t="s">
        <v>627</v>
      </c>
      <c r="K583" s="65"/>
      <c r="L583" s="79" t="s">
        <v>292</v>
      </c>
      <c r="M583" s="18"/>
      <c r="N583" s="83">
        <v>4</v>
      </c>
      <c r="O583" s="83"/>
      <c r="P583" s="92" t="s">
        <v>433</v>
      </c>
      <c r="Q583" s="92"/>
      <c r="R583" s="92" t="s">
        <v>626</v>
      </c>
      <c r="S583" s="83" t="s">
        <v>625</v>
      </c>
      <c r="T583" s="157" t="s">
        <v>624</v>
      </c>
      <c r="U583" s="156" t="str">
        <f>+U582</f>
        <v>BCV131PP05</v>
      </c>
      <c r="W583" s="33"/>
      <c r="X583" s="64" t="str">
        <f>+X582</f>
        <v>BR4-2110-E-00219</v>
      </c>
      <c r="Y583" s="17" t="str">
        <f>+Y582</f>
        <v>A</v>
      </c>
      <c r="Z583" s="18"/>
      <c r="AA583" s="18"/>
      <c r="AC583" s="18"/>
      <c r="AD583" s="18"/>
      <c r="AE583" s="154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</row>
    <row r="584" spans="1:53" s="17" customFormat="1" x14ac:dyDescent="0.3">
      <c r="A584" s="155"/>
      <c r="B584" s="33"/>
      <c r="C584" s="33"/>
      <c r="D584" s="33"/>
      <c r="E584" s="100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18"/>
      <c r="Y584" s="18"/>
      <c r="Z584" s="18"/>
      <c r="AC584" s="18"/>
      <c r="AD584" s="18"/>
      <c r="AE584" s="154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</row>
    <row r="585" spans="1:53" s="17" customFormat="1" ht="13.5" thickBot="1" x14ac:dyDescent="0.35">
      <c r="A585" s="153"/>
      <c r="B585" s="147"/>
      <c r="C585" s="146"/>
      <c r="D585" s="146"/>
      <c r="E585" s="146"/>
      <c r="F585" s="146"/>
      <c r="G585" s="146"/>
      <c r="H585" s="151"/>
      <c r="I585" s="151"/>
      <c r="J585" s="152"/>
      <c r="K585" s="151"/>
      <c r="L585" s="150"/>
      <c r="M585" s="146"/>
      <c r="N585" s="146"/>
      <c r="O585" s="146"/>
      <c r="P585" s="150"/>
      <c r="Q585" s="150"/>
      <c r="R585" s="146"/>
      <c r="S585" s="146"/>
      <c r="T585" s="149"/>
      <c r="U585" s="148"/>
      <c r="V585" s="146"/>
      <c r="W585" s="147"/>
      <c r="X585" s="146"/>
      <c r="Y585" s="146"/>
      <c r="Z585" s="146"/>
      <c r="AC585" s="145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</row>
    <row r="586" spans="1:53" s="17" customFormat="1" x14ac:dyDescent="0.3">
      <c r="A586" s="63"/>
      <c r="B586" s="67"/>
      <c r="C586" s="84" t="s">
        <v>621</v>
      </c>
      <c r="D586" s="84"/>
      <c r="E586" s="141"/>
      <c r="F586" s="84"/>
      <c r="G586" s="84"/>
      <c r="H586" s="144">
        <v>1</v>
      </c>
      <c r="I586" s="143">
        <v>1</v>
      </c>
      <c r="J586" s="137" t="s">
        <v>622</v>
      </c>
      <c r="K586" s="84" t="s">
        <v>621</v>
      </c>
      <c r="L586" s="64" t="s">
        <v>323</v>
      </c>
      <c r="M586" s="64"/>
      <c r="N586" s="17">
        <v>3</v>
      </c>
      <c r="P586" s="64" t="s">
        <v>620</v>
      </c>
      <c r="Q586" s="64"/>
      <c r="R586" s="64" t="s">
        <v>619</v>
      </c>
      <c r="S586" s="64"/>
      <c r="U586" s="17" t="s">
        <v>623</v>
      </c>
      <c r="X586" s="64" t="s">
        <v>98</v>
      </c>
      <c r="Y586" s="78" t="s">
        <v>289</v>
      </c>
      <c r="Z586" s="78"/>
      <c r="AC586" s="116"/>
      <c r="AD586" s="19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</row>
    <row r="587" spans="1:53" s="17" customFormat="1" x14ac:dyDescent="0.3">
      <c r="A587" s="63"/>
      <c r="B587" s="67"/>
      <c r="D587" s="84"/>
      <c r="E587" s="141"/>
      <c r="F587" s="84"/>
      <c r="G587" s="84"/>
      <c r="H587" s="84">
        <v>1</v>
      </c>
      <c r="I587" s="142">
        <v>2</v>
      </c>
      <c r="J587" s="134" t="s">
        <v>618</v>
      </c>
      <c r="K587" s="65"/>
      <c r="L587" s="64" t="s">
        <v>323</v>
      </c>
      <c r="M587" s="64"/>
      <c r="P587" s="64"/>
      <c r="Q587" s="64"/>
      <c r="R587" s="64"/>
      <c r="S587" s="64"/>
      <c r="X587" s="33"/>
      <c r="Y587" s="78"/>
      <c r="Z587" s="78"/>
      <c r="AC587" s="116"/>
      <c r="AD587" s="19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</row>
    <row r="588" spans="1:53" s="17" customFormat="1" x14ac:dyDescent="0.3">
      <c r="A588" s="63"/>
      <c r="B588" s="67"/>
      <c r="D588" s="84"/>
      <c r="E588" s="141"/>
      <c r="F588" s="84"/>
      <c r="G588" s="84"/>
      <c r="H588" s="84">
        <v>1</v>
      </c>
      <c r="I588" s="142">
        <v>3</v>
      </c>
      <c r="J588" s="134" t="s">
        <v>617</v>
      </c>
      <c r="K588" s="65"/>
      <c r="L588" s="64" t="s">
        <v>323</v>
      </c>
      <c r="M588" s="64"/>
      <c r="N588" s="17">
        <v>3</v>
      </c>
      <c r="P588" s="64" t="s">
        <v>616</v>
      </c>
      <c r="Q588" s="64"/>
      <c r="R588" s="64" t="s">
        <v>615</v>
      </c>
      <c r="S588" s="64" t="s">
        <v>247</v>
      </c>
      <c r="U588" s="17" t="s">
        <v>623</v>
      </c>
      <c r="X588" s="64" t="s">
        <v>98</v>
      </c>
      <c r="Y588" s="78" t="s">
        <v>289</v>
      </c>
      <c r="Z588" s="78"/>
      <c r="AC588" s="116"/>
      <c r="AD588" s="19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</row>
    <row r="589" spans="1:53" s="17" customFormat="1" x14ac:dyDescent="0.3">
      <c r="A589" s="63"/>
      <c r="B589" s="67"/>
      <c r="D589" s="84"/>
      <c r="E589" s="141"/>
      <c r="F589" s="84"/>
      <c r="G589" s="84"/>
      <c r="H589" s="84">
        <v>1</v>
      </c>
      <c r="I589" s="142">
        <v>6</v>
      </c>
      <c r="J589" s="134" t="s">
        <v>614</v>
      </c>
      <c r="K589" s="65"/>
      <c r="L589" s="64" t="s">
        <v>323</v>
      </c>
      <c r="M589" s="64"/>
      <c r="P589" s="64"/>
      <c r="Q589" s="64"/>
      <c r="R589" s="64"/>
      <c r="S589" s="64"/>
      <c r="X589" s="33"/>
      <c r="Y589" s="78"/>
      <c r="Z589" s="78"/>
      <c r="AC589" s="116"/>
      <c r="AD589" s="19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</row>
    <row r="590" spans="1:53" s="17" customFormat="1" ht="13.5" thickBot="1" x14ac:dyDescent="0.35">
      <c r="A590" s="63"/>
      <c r="B590" s="67"/>
      <c r="D590" s="84"/>
      <c r="E590" s="141"/>
      <c r="F590" s="84"/>
      <c r="G590" s="84"/>
      <c r="H590" s="84">
        <v>1</v>
      </c>
      <c r="I590" s="140"/>
      <c r="J590" s="131" t="s">
        <v>613</v>
      </c>
      <c r="K590" s="65"/>
      <c r="L590" s="64" t="s">
        <v>323</v>
      </c>
      <c r="M590" s="64"/>
      <c r="N590" s="17">
        <v>3</v>
      </c>
      <c r="P590" s="139" t="s">
        <v>612</v>
      </c>
      <c r="Q590" s="139"/>
      <c r="R590" s="139" t="s">
        <v>611</v>
      </c>
      <c r="S590" s="139" t="s">
        <v>211</v>
      </c>
      <c r="U590" s="17" t="s">
        <v>623</v>
      </c>
      <c r="X590" s="64" t="s">
        <v>98</v>
      </c>
      <c r="Y590" s="78" t="s">
        <v>289</v>
      </c>
      <c r="Z590" s="78"/>
      <c r="AC590" s="116"/>
      <c r="AD590" s="19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</row>
    <row r="591" spans="1:53" s="17" customFormat="1" ht="13.5" thickBot="1" x14ac:dyDescent="0.35">
      <c r="A591" s="63"/>
      <c r="B591" s="67"/>
      <c r="D591" s="84"/>
      <c r="E591" s="141"/>
      <c r="F591" s="84"/>
      <c r="G591" s="84"/>
      <c r="H591" s="65"/>
      <c r="I591" s="65"/>
      <c r="J591" s="65"/>
      <c r="K591" s="65"/>
      <c r="L591" s="64"/>
      <c r="M591" s="64"/>
      <c r="P591" s="139"/>
      <c r="Q591" s="139"/>
      <c r="R591" s="139"/>
      <c r="S591" s="139"/>
      <c r="X591" s="64"/>
      <c r="Y591" s="78"/>
      <c r="Z591" s="78"/>
      <c r="AC591" s="116"/>
      <c r="AD591" s="19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</row>
    <row r="592" spans="1:53" s="17" customFormat="1" x14ac:dyDescent="0.3">
      <c r="A592" s="63"/>
      <c r="B592" s="67"/>
      <c r="C592" s="84" t="s">
        <v>621</v>
      </c>
      <c r="D592" s="84"/>
      <c r="E592" s="141"/>
      <c r="F592" s="84"/>
      <c r="G592" s="84"/>
      <c r="H592" s="144">
        <v>1</v>
      </c>
      <c r="I592" s="143">
        <v>1</v>
      </c>
      <c r="J592" s="137" t="s">
        <v>622</v>
      </c>
      <c r="K592" s="84" t="s">
        <v>621</v>
      </c>
      <c r="L592" s="64" t="s">
        <v>323</v>
      </c>
      <c r="M592" s="64"/>
      <c r="N592" s="17">
        <v>3</v>
      </c>
      <c r="P592" s="64" t="s">
        <v>620</v>
      </c>
      <c r="Q592" s="64"/>
      <c r="R592" s="64" t="s">
        <v>619</v>
      </c>
      <c r="S592" s="64"/>
      <c r="U592" s="17" t="s">
        <v>610</v>
      </c>
      <c r="X592" s="64" t="s">
        <v>91</v>
      </c>
      <c r="Y592" s="78" t="s">
        <v>289</v>
      </c>
      <c r="Z592" s="78"/>
      <c r="AC592" s="116"/>
      <c r="AD592" s="19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</row>
    <row r="593" spans="1:53" s="17" customFormat="1" x14ac:dyDescent="0.3">
      <c r="A593" s="63"/>
      <c r="B593" s="67"/>
      <c r="D593" s="84"/>
      <c r="E593" s="141"/>
      <c r="F593" s="84"/>
      <c r="G593" s="84"/>
      <c r="H593" s="84">
        <v>1</v>
      </c>
      <c r="I593" s="142">
        <v>2</v>
      </c>
      <c r="J593" s="134" t="s">
        <v>618</v>
      </c>
      <c r="K593" s="65"/>
      <c r="L593" s="64" t="s">
        <v>323</v>
      </c>
      <c r="M593" s="64"/>
      <c r="P593" s="64"/>
      <c r="Q593" s="64"/>
      <c r="R593" s="64"/>
      <c r="S593" s="64"/>
      <c r="X593" s="33"/>
      <c r="Y593" s="78"/>
      <c r="Z593" s="78"/>
      <c r="AC593" s="116"/>
      <c r="AD593" s="19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</row>
    <row r="594" spans="1:53" s="17" customFormat="1" x14ac:dyDescent="0.3">
      <c r="A594" s="63"/>
      <c r="B594" s="67"/>
      <c r="D594" s="84"/>
      <c r="E594" s="141"/>
      <c r="F594" s="84"/>
      <c r="G594" s="84"/>
      <c r="H594" s="84">
        <v>1</v>
      </c>
      <c r="I594" s="142">
        <v>3</v>
      </c>
      <c r="J594" s="134" t="s">
        <v>617</v>
      </c>
      <c r="K594" s="65"/>
      <c r="L594" s="64" t="s">
        <v>323</v>
      </c>
      <c r="M594" s="64"/>
      <c r="N594" s="17">
        <v>3</v>
      </c>
      <c r="P594" s="64" t="s">
        <v>616</v>
      </c>
      <c r="Q594" s="64"/>
      <c r="R594" s="64" t="s">
        <v>615</v>
      </c>
      <c r="S594" s="64" t="s">
        <v>247</v>
      </c>
      <c r="U594" s="17" t="s">
        <v>610</v>
      </c>
      <c r="X594" s="64" t="s">
        <v>91</v>
      </c>
      <c r="Y594" s="78" t="s">
        <v>289</v>
      </c>
      <c r="Z594" s="78"/>
      <c r="AC594" s="116"/>
      <c r="AD594" s="19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</row>
    <row r="595" spans="1:53" s="17" customFormat="1" x14ac:dyDescent="0.3">
      <c r="A595" s="63"/>
      <c r="B595" s="67"/>
      <c r="D595" s="84"/>
      <c r="E595" s="141"/>
      <c r="F595" s="84"/>
      <c r="G595" s="84"/>
      <c r="H595" s="84">
        <v>1</v>
      </c>
      <c r="I595" s="142">
        <v>6</v>
      </c>
      <c r="J595" s="134" t="s">
        <v>614</v>
      </c>
      <c r="K595" s="65"/>
      <c r="L595" s="64" t="s">
        <v>323</v>
      </c>
      <c r="M595" s="64"/>
      <c r="P595" s="64"/>
      <c r="Q595" s="64"/>
      <c r="R595" s="64"/>
      <c r="S595" s="64"/>
      <c r="X595" s="33"/>
      <c r="Y595" s="78"/>
      <c r="Z595" s="78"/>
      <c r="AC595" s="116"/>
      <c r="AD595" s="19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</row>
    <row r="596" spans="1:53" s="17" customFormat="1" ht="13.5" thickBot="1" x14ac:dyDescent="0.35">
      <c r="A596" s="63"/>
      <c r="B596" s="67"/>
      <c r="D596" s="84"/>
      <c r="E596" s="141"/>
      <c r="F596" s="84"/>
      <c r="G596" s="84"/>
      <c r="H596" s="84">
        <v>1</v>
      </c>
      <c r="I596" s="140"/>
      <c r="J596" s="131" t="s">
        <v>613</v>
      </c>
      <c r="K596" s="65"/>
      <c r="L596" s="64" t="s">
        <v>323</v>
      </c>
      <c r="M596" s="64"/>
      <c r="N596" s="17">
        <v>3</v>
      </c>
      <c r="P596" s="139" t="s">
        <v>612</v>
      </c>
      <c r="Q596" s="139"/>
      <c r="R596" s="139" t="s">
        <v>611</v>
      </c>
      <c r="S596" s="139" t="s">
        <v>211</v>
      </c>
      <c r="U596" s="17" t="s">
        <v>610</v>
      </c>
      <c r="X596" s="64" t="s">
        <v>91</v>
      </c>
      <c r="Y596" s="78" t="s">
        <v>289</v>
      </c>
      <c r="Z596" s="78"/>
      <c r="AC596" s="116"/>
      <c r="AD596" s="19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</row>
    <row r="597" spans="1:53" s="17" customFormat="1" ht="13.5" thickBot="1" x14ac:dyDescent="0.35">
      <c r="A597" s="63"/>
      <c r="B597" s="67"/>
      <c r="C597" s="18"/>
      <c r="D597" s="65"/>
      <c r="E597" s="66"/>
      <c r="F597" s="65"/>
      <c r="G597" s="65"/>
      <c r="H597" s="65"/>
      <c r="I597" s="65"/>
      <c r="J597" s="65"/>
      <c r="K597" s="65"/>
      <c r="L597" s="64"/>
      <c r="M597" s="64"/>
      <c r="P597" s="18"/>
      <c r="Q597" s="18"/>
      <c r="S597" s="18"/>
      <c r="U597" s="63"/>
      <c r="X597" s="33"/>
      <c r="Y597" s="78"/>
      <c r="Z597" s="78"/>
      <c r="AC597" s="116"/>
      <c r="AD597" s="19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</row>
    <row r="598" spans="1:53" s="17" customFormat="1" x14ac:dyDescent="0.3">
      <c r="A598" s="118"/>
      <c r="B598" s="17" t="s">
        <v>609</v>
      </c>
      <c r="C598" s="17" t="s">
        <v>593</v>
      </c>
      <c r="D598" s="18"/>
      <c r="E598" s="18"/>
      <c r="F598" s="63"/>
      <c r="G598" s="133"/>
      <c r="H598" s="84">
        <v>1</v>
      </c>
      <c r="I598" s="138"/>
      <c r="J598" s="137"/>
      <c r="K598" s="84" t="s">
        <v>592</v>
      </c>
      <c r="L598" s="64"/>
      <c r="M598" s="18"/>
      <c r="P598" s="64"/>
      <c r="Q598" s="64"/>
      <c r="R598" s="64"/>
      <c r="S598" s="64"/>
      <c r="T598" s="64"/>
      <c r="U598" s="64"/>
      <c r="V598" s="18"/>
      <c r="W598" s="18"/>
      <c r="X598" s="18"/>
      <c r="Y598" s="18"/>
      <c r="Z598" s="78"/>
      <c r="AC598" s="116"/>
      <c r="AD598" s="19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</row>
    <row r="599" spans="1:53" s="17" customFormat="1" x14ac:dyDescent="0.3">
      <c r="A599" s="118"/>
      <c r="B599" s="17" t="str">
        <f>+B598</f>
        <v>BCV131A</v>
      </c>
      <c r="C599" s="17" t="str">
        <f>+C598</f>
        <v>VS1</v>
      </c>
      <c r="D599" s="18"/>
      <c r="E599" s="18"/>
      <c r="F599" s="63"/>
      <c r="G599" s="133"/>
      <c r="H599" s="84">
        <f>+H598</f>
        <v>1</v>
      </c>
      <c r="I599" s="135">
        <v>0</v>
      </c>
      <c r="J599" s="134" t="s">
        <v>591</v>
      </c>
      <c r="K599" s="136" t="s">
        <v>608</v>
      </c>
      <c r="L599" s="64" t="s">
        <v>323</v>
      </c>
      <c r="M599" s="18"/>
      <c r="N599" s="17">
        <v>3</v>
      </c>
      <c r="P599" s="64" t="s">
        <v>589</v>
      </c>
      <c r="Q599" s="64"/>
      <c r="R599" s="64" t="s">
        <v>588</v>
      </c>
      <c r="S599" s="64"/>
      <c r="T599" s="64"/>
      <c r="U599" s="64" t="s">
        <v>179</v>
      </c>
      <c r="V599" s="18"/>
      <c r="W599" s="18"/>
      <c r="X599" s="64" t="s">
        <v>604</v>
      </c>
      <c r="Y599" s="78" t="s">
        <v>289</v>
      </c>
      <c r="Z599" s="17" t="s">
        <v>607</v>
      </c>
      <c r="AA599" s="64"/>
      <c r="AC599" s="116"/>
      <c r="AD599" s="19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</row>
    <row r="600" spans="1:53" s="17" customFormat="1" x14ac:dyDescent="0.3">
      <c r="A600" s="118"/>
      <c r="B600" s="17" t="str">
        <f>+B599</f>
        <v>BCV131A</v>
      </c>
      <c r="C600" s="17" t="str">
        <f>+C599</f>
        <v>VS1</v>
      </c>
      <c r="D600" s="18"/>
      <c r="E600" s="18"/>
      <c r="F600" s="63"/>
      <c r="G600" s="133"/>
      <c r="H600" s="84">
        <f>+H599</f>
        <v>1</v>
      </c>
      <c r="I600" s="135">
        <f>$I599+1</f>
        <v>1</v>
      </c>
      <c r="J600" s="134" t="s">
        <v>587</v>
      </c>
      <c r="K600" s="99" t="s">
        <v>454</v>
      </c>
      <c r="L600" s="64" t="s">
        <v>323</v>
      </c>
      <c r="M600" s="18"/>
      <c r="N600" s="17">
        <v>3</v>
      </c>
      <c r="P600" s="64" t="s">
        <v>585</v>
      </c>
      <c r="Q600" s="64"/>
      <c r="R600" s="64" t="s">
        <v>584</v>
      </c>
      <c r="S600" s="64"/>
      <c r="T600" s="64"/>
      <c r="U600" s="64" t="str">
        <f>+U599</f>
        <v>BCV131AVS01</v>
      </c>
      <c r="V600" s="18"/>
      <c r="W600" s="18"/>
      <c r="X600" s="64" t="s">
        <v>604</v>
      </c>
      <c r="Y600" s="78" t="s">
        <v>289</v>
      </c>
      <c r="Z600" s="17" t="s">
        <v>607</v>
      </c>
      <c r="AC600" s="116"/>
      <c r="AD600" s="19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</row>
    <row r="601" spans="1:53" s="17" customFormat="1" x14ac:dyDescent="0.3">
      <c r="A601" s="118"/>
      <c r="B601" s="17" t="str">
        <f>+B600</f>
        <v>BCV131A</v>
      </c>
      <c r="C601" s="17" t="str">
        <f>+C600</f>
        <v>VS1</v>
      </c>
      <c r="D601" s="18"/>
      <c r="E601" s="18"/>
      <c r="F601" s="63"/>
      <c r="G601" s="133"/>
      <c r="H601" s="84">
        <f>+H600</f>
        <v>1</v>
      </c>
      <c r="I601" s="135">
        <f>$I600+1</f>
        <v>2</v>
      </c>
      <c r="J601" s="134" t="s">
        <v>583</v>
      </c>
      <c r="K601" s="84"/>
      <c r="L601" s="64" t="s">
        <v>323</v>
      </c>
      <c r="M601" s="18"/>
      <c r="N601" s="17">
        <v>3</v>
      </c>
      <c r="P601" s="64" t="s">
        <v>582</v>
      </c>
      <c r="Q601" s="64"/>
      <c r="R601" s="64" t="s">
        <v>581</v>
      </c>
      <c r="S601" s="64"/>
      <c r="T601" s="64"/>
      <c r="U601" s="64" t="str">
        <f>+U600</f>
        <v>BCV131AVS01</v>
      </c>
      <c r="V601" s="18"/>
      <c r="W601" s="18"/>
      <c r="X601" s="64" t="s">
        <v>604</v>
      </c>
      <c r="Y601" s="78" t="s">
        <v>289</v>
      </c>
      <c r="Z601" s="17" t="s">
        <v>607</v>
      </c>
      <c r="AC601" s="116"/>
      <c r="AD601" s="19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</row>
    <row r="602" spans="1:53" s="17" customFormat="1" x14ac:dyDescent="0.3">
      <c r="A602" s="118"/>
      <c r="B602" s="17" t="str">
        <f>+B601</f>
        <v>BCV131A</v>
      </c>
      <c r="C602" s="17" t="str">
        <f>+C601</f>
        <v>VS1</v>
      </c>
      <c r="D602" s="18"/>
      <c r="E602" s="18"/>
      <c r="F602" s="63"/>
      <c r="G602" s="133"/>
      <c r="H602" s="84">
        <f>+H601</f>
        <v>1</v>
      </c>
      <c r="I602" s="135">
        <f>$I601+1</f>
        <v>3</v>
      </c>
      <c r="J602" s="134" t="s">
        <v>580</v>
      </c>
      <c r="K602" s="84"/>
      <c r="L602" s="64" t="s">
        <v>323</v>
      </c>
      <c r="M602" s="18"/>
      <c r="N602" s="17">
        <v>3</v>
      </c>
      <c r="P602" s="64" t="s">
        <v>357</v>
      </c>
      <c r="Q602" s="64"/>
      <c r="R602" s="64" t="s">
        <v>579</v>
      </c>
      <c r="S602" s="64"/>
      <c r="T602" s="64"/>
      <c r="U602" s="64" t="str">
        <f>+U601</f>
        <v>BCV131AVS01</v>
      </c>
      <c r="V602" s="18"/>
      <c r="W602" s="18"/>
      <c r="X602" s="64" t="s">
        <v>604</v>
      </c>
      <c r="Y602" s="78" t="s">
        <v>289</v>
      </c>
      <c r="Z602" s="17" t="s">
        <v>607</v>
      </c>
      <c r="AC602" s="116"/>
      <c r="AD602" s="19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</row>
    <row r="603" spans="1:53" s="17" customFormat="1" x14ac:dyDescent="0.3">
      <c r="A603" s="118"/>
      <c r="B603" s="17" t="str">
        <f>+B602</f>
        <v>BCV131A</v>
      </c>
      <c r="C603" s="17" t="str">
        <f>+C602</f>
        <v>VS1</v>
      </c>
      <c r="D603" s="18"/>
      <c r="E603" s="18"/>
      <c r="F603" s="63"/>
      <c r="G603" s="133"/>
      <c r="H603" s="84">
        <f>+H602</f>
        <v>1</v>
      </c>
      <c r="I603" s="135">
        <f>$I602+1</f>
        <v>4</v>
      </c>
      <c r="J603" s="134" t="s">
        <v>578</v>
      </c>
      <c r="K603" s="84"/>
      <c r="L603" s="64" t="s">
        <v>323</v>
      </c>
      <c r="M603" s="18"/>
      <c r="N603" s="17">
        <v>3</v>
      </c>
      <c r="P603" s="64" t="s">
        <v>577</v>
      </c>
      <c r="Q603" s="64"/>
      <c r="R603" s="64" t="s">
        <v>576</v>
      </c>
      <c r="S603" s="64"/>
      <c r="T603" s="64"/>
      <c r="U603" s="64" t="str">
        <f>+U602</f>
        <v>BCV131AVS01</v>
      </c>
      <c r="V603" s="18"/>
      <c r="W603" s="18"/>
      <c r="X603" s="64" t="s">
        <v>604</v>
      </c>
      <c r="Y603" s="78" t="s">
        <v>289</v>
      </c>
      <c r="Z603" s="17" t="s">
        <v>607</v>
      </c>
      <c r="AA603" s="46"/>
      <c r="AC603" s="116"/>
      <c r="AD603" s="19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</row>
    <row r="604" spans="1:53" s="17" customFormat="1" x14ac:dyDescent="0.3">
      <c r="A604" s="118"/>
      <c r="B604" s="17" t="str">
        <f>+B603</f>
        <v>BCV131A</v>
      </c>
      <c r="C604" s="17" t="str">
        <f>+C603</f>
        <v>VS1</v>
      </c>
      <c r="D604" s="18"/>
      <c r="E604" s="18"/>
      <c r="F604" s="63"/>
      <c r="G604" s="133"/>
      <c r="H604" s="84">
        <f>+H603</f>
        <v>1</v>
      </c>
      <c r="I604" s="135">
        <f>$I603+1</f>
        <v>5</v>
      </c>
      <c r="J604" s="134" t="s">
        <v>575</v>
      </c>
      <c r="K604" s="84"/>
      <c r="L604" s="64" t="s">
        <v>323</v>
      </c>
      <c r="M604" s="18"/>
      <c r="N604" s="17">
        <v>3</v>
      </c>
      <c r="P604" s="64" t="s">
        <v>574</v>
      </c>
      <c r="Q604" s="64"/>
      <c r="R604" s="64" t="s">
        <v>573</v>
      </c>
      <c r="S604" s="64"/>
      <c r="T604" s="64"/>
      <c r="U604" s="64" t="str">
        <f>+U603</f>
        <v>BCV131AVS01</v>
      </c>
      <c r="V604" s="18"/>
      <c r="W604" s="18"/>
      <c r="X604" s="64" t="s">
        <v>604</v>
      </c>
      <c r="Y604" s="78" t="s">
        <v>289</v>
      </c>
      <c r="Z604" s="17" t="s">
        <v>607</v>
      </c>
      <c r="AA604" s="46"/>
      <c r="AC604" s="116"/>
      <c r="AD604" s="19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</row>
    <row r="605" spans="1:53" s="17" customFormat="1" x14ac:dyDescent="0.3">
      <c r="A605" s="118"/>
      <c r="B605" s="17" t="str">
        <f>+B604</f>
        <v>BCV131A</v>
      </c>
      <c r="C605" s="17" t="str">
        <f>+C604</f>
        <v>VS1</v>
      </c>
      <c r="D605" s="18"/>
      <c r="E605" s="18"/>
      <c r="F605" s="63"/>
      <c r="G605" s="133"/>
      <c r="H605" s="84">
        <f>+H604</f>
        <v>1</v>
      </c>
      <c r="I605" s="135">
        <f>$I604+1</f>
        <v>6</v>
      </c>
      <c r="J605" s="134" t="s">
        <v>572</v>
      </c>
      <c r="K605" s="84"/>
      <c r="L605" s="64" t="s">
        <v>323</v>
      </c>
      <c r="M605" s="18"/>
      <c r="N605" s="17">
        <v>3</v>
      </c>
      <c r="P605" s="64"/>
      <c r="Q605" s="64"/>
      <c r="R605" s="64" t="s">
        <v>291</v>
      </c>
      <c r="S605" s="64"/>
      <c r="T605" s="64"/>
      <c r="U605" s="64" t="str">
        <f>+U604</f>
        <v>BCV131AVS01</v>
      </c>
      <c r="V605" s="18"/>
      <c r="W605" s="18"/>
      <c r="X605" s="64" t="s">
        <v>604</v>
      </c>
      <c r="Y605" s="78" t="s">
        <v>289</v>
      </c>
      <c r="Z605" s="17" t="s">
        <v>607</v>
      </c>
      <c r="AC605" s="116"/>
      <c r="AD605" s="19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</row>
    <row r="606" spans="1:53" s="17" customFormat="1" x14ac:dyDescent="0.3">
      <c r="A606" s="118"/>
      <c r="B606" s="17" t="str">
        <f>+B605</f>
        <v>BCV131A</v>
      </c>
      <c r="C606" s="17" t="str">
        <f>+C605</f>
        <v>VS1</v>
      </c>
      <c r="D606" s="18"/>
      <c r="E606" s="18"/>
      <c r="F606" s="63"/>
      <c r="G606" s="133"/>
      <c r="H606" s="84">
        <f>+H605</f>
        <v>1</v>
      </c>
      <c r="I606" s="135">
        <f>$I605+1</f>
        <v>7</v>
      </c>
      <c r="J606" s="134" t="s">
        <v>571</v>
      </c>
      <c r="K606" s="84"/>
      <c r="L606" s="64" t="s">
        <v>323</v>
      </c>
      <c r="M606" s="18"/>
      <c r="N606" s="17">
        <v>3</v>
      </c>
      <c r="P606" s="64" t="s">
        <v>570</v>
      </c>
      <c r="Q606" s="64"/>
      <c r="R606" s="64" t="s">
        <v>569</v>
      </c>
      <c r="S606" s="64"/>
      <c r="T606" s="64"/>
      <c r="U606" s="64" t="str">
        <f>+U605</f>
        <v>BCV131AVS01</v>
      </c>
      <c r="V606" s="18"/>
      <c r="W606" s="18"/>
      <c r="X606" s="64" t="s">
        <v>604</v>
      </c>
      <c r="Y606" s="78" t="s">
        <v>289</v>
      </c>
      <c r="Z606" s="17" t="s">
        <v>607</v>
      </c>
      <c r="AA606" s="46"/>
      <c r="AC606" s="116"/>
      <c r="AD606" s="19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</row>
    <row r="607" spans="1:53" s="17" customFormat="1" x14ac:dyDescent="0.3">
      <c r="A607" s="118"/>
      <c r="B607" s="17" t="str">
        <f>+B606</f>
        <v>BCV131A</v>
      </c>
      <c r="C607" s="17" t="str">
        <f>+C606</f>
        <v>VS1</v>
      </c>
      <c r="D607" s="18"/>
      <c r="E607" s="18"/>
      <c r="F607" s="63"/>
      <c r="G607" s="133"/>
      <c r="H607" s="84">
        <f>+H606</f>
        <v>1</v>
      </c>
      <c r="I607" s="135">
        <f>$I606+1</f>
        <v>8</v>
      </c>
      <c r="J607" s="134" t="s">
        <v>568</v>
      </c>
      <c r="K607" s="84"/>
      <c r="L607" s="64" t="s">
        <v>323</v>
      </c>
      <c r="M607" s="18"/>
      <c r="N607" s="17">
        <v>3</v>
      </c>
      <c r="P607" s="64" t="s">
        <v>567</v>
      </c>
      <c r="Q607" s="64"/>
      <c r="R607" s="64" t="s">
        <v>566</v>
      </c>
      <c r="S607" s="64" t="s">
        <v>247</v>
      </c>
      <c r="T607" s="64"/>
      <c r="U607" s="64" t="str">
        <f>+U606</f>
        <v>BCV131AVS01</v>
      </c>
      <c r="V607" s="18"/>
      <c r="W607" s="18"/>
      <c r="X607" s="64" t="s">
        <v>604</v>
      </c>
      <c r="Y607" s="78" t="s">
        <v>289</v>
      </c>
      <c r="Z607" s="17" t="s">
        <v>607</v>
      </c>
      <c r="AA607" s="46"/>
      <c r="AC607" s="116"/>
      <c r="AD607" s="19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</row>
    <row r="608" spans="1:53" s="17" customFormat="1" x14ac:dyDescent="0.3">
      <c r="A608" s="118"/>
      <c r="B608" s="17" t="str">
        <f>+B607</f>
        <v>BCV131A</v>
      </c>
      <c r="C608" s="17" t="str">
        <f>+C607</f>
        <v>VS1</v>
      </c>
      <c r="D608" s="18"/>
      <c r="E608" s="18"/>
      <c r="F608" s="63"/>
      <c r="G608" s="133"/>
      <c r="H608" s="84">
        <f>+H607</f>
        <v>1</v>
      </c>
      <c r="I608" s="135">
        <f>$I607+1</f>
        <v>9</v>
      </c>
      <c r="J608" s="134" t="s">
        <v>565</v>
      </c>
      <c r="K608" s="84"/>
      <c r="L608" s="64" t="s">
        <v>323</v>
      </c>
      <c r="M608" s="18"/>
      <c r="N608" s="17">
        <v>3</v>
      </c>
      <c r="P608" s="64" t="s">
        <v>474</v>
      </c>
      <c r="Q608" s="64"/>
      <c r="R608" s="64" t="s">
        <v>564</v>
      </c>
      <c r="S608" s="64" t="s">
        <v>427</v>
      </c>
      <c r="T608" s="64"/>
      <c r="U608" s="64" t="str">
        <f>+U607</f>
        <v>BCV131AVS01</v>
      </c>
      <c r="V608" s="18"/>
      <c r="W608" s="18"/>
      <c r="X608" s="64" t="s">
        <v>604</v>
      </c>
      <c r="Y608" s="78" t="s">
        <v>289</v>
      </c>
      <c r="Z608" s="17" t="s">
        <v>607</v>
      </c>
      <c r="AA608" s="46"/>
      <c r="AC608" s="116"/>
      <c r="AD608" s="19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</row>
    <row r="609" spans="1:53" s="17" customFormat="1" x14ac:dyDescent="0.3">
      <c r="A609" s="118"/>
      <c r="B609" s="17" t="str">
        <f>+B608</f>
        <v>BCV131A</v>
      </c>
      <c r="C609" s="17" t="str">
        <f>+C608</f>
        <v>VS1</v>
      </c>
      <c r="D609" s="18"/>
      <c r="E609" s="18"/>
      <c r="F609" s="63"/>
      <c r="G609" s="133"/>
      <c r="H609" s="84">
        <f>+H608</f>
        <v>1</v>
      </c>
      <c r="I609" s="135">
        <f>$I608+1</f>
        <v>10</v>
      </c>
      <c r="J609" s="134" t="s">
        <v>563</v>
      </c>
      <c r="K609" s="84"/>
      <c r="L609" s="64" t="s">
        <v>323</v>
      </c>
      <c r="M609" s="18"/>
      <c r="N609" s="17">
        <v>3</v>
      </c>
      <c r="P609" s="64" t="s">
        <v>562</v>
      </c>
      <c r="Q609" s="64"/>
      <c r="R609" s="64" t="s">
        <v>561</v>
      </c>
      <c r="S609" s="64" t="s">
        <v>211</v>
      </c>
      <c r="T609" s="64"/>
      <c r="U609" s="64" t="str">
        <f>+U608</f>
        <v>BCV131AVS01</v>
      </c>
      <c r="V609" s="18"/>
      <c r="W609" s="18"/>
      <c r="X609" s="64" t="s">
        <v>604</v>
      </c>
      <c r="Y609" s="78" t="s">
        <v>289</v>
      </c>
      <c r="Z609" s="17" t="s">
        <v>607</v>
      </c>
      <c r="AA609" s="46"/>
      <c r="AC609" s="116"/>
      <c r="AD609" s="19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</row>
    <row r="610" spans="1:53" s="17" customFormat="1" x14ac:dyDescent="0.3">
      <c r="A610" s="118"/>
      <c r="B610" s="17" t="str">
        <f>+B609</f>
        <v>BCV131A</v>
      </c>
      <c r="C610" s="17" t="str">
        <f>+C609</f>
        <v>VS1</v>
      </c>
      <c r="D610" s="18"/>
      <c r="E610" s="18"/>
      <c r="F610" s="63"/>
      <c r="G610" s="133"/>
      <c r="H610" s="84">
        <f>+H609</f>
        <v>1</v>
      </c>
      <c r="I610" s="135">
        <f>$I609+1</f>
        <v>11</v>
      </c>
      <c r="J610" s="134" t="s">
        <v>560</v>
      </c>
      <c r="K610" s="84"/>
      <c r="L610" s="64" t="s">
        <v>323</v>
      </c>
      <c r="M610" s="18"/>
      <c r="N610" s="17">
        <v>6</v>
      </c>
      <c r="P610" s="64" t="s">
        <v>559</v>
      </c>
      <c r="Q610" s="64"/>
      <c r="R610" s="64" t="s">
        <v>558</v>
      </c>
      <c r="S610" s="64" t="s">
        <v>211</v>
      </c>
      <c r="T610" s="64"/>
      <c r="U610" s="64" t="str">
        <f>+U609</f>
        <v>BCV131AVS01</v>
      </c>
      <c r="V610" s="18"/>
      <c r="W610" s="18"/>
      <c r="X610" s="64" t="s">
        <v>604</v>
      </c>
      <c r="Y610" s="78" t="s">
        <v>289</v>
      </c>
      <c r="Z610" s="17" t="s">
        <v>607</v>
      </c>
      <c r="AC610" s="116"/>
      <c r="AD610" s="19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</row>
    <row r="611" spans="1:53" s="17" customFormat="1" x14ac:dyDescent="0.3">
      <c r="A611" s="118"/>
      <c r="B611" s="17" t="str">
        <f>+B610</f>
        <v>BCV131A</v>
      </c>
      <c r="C611" s="17" t="str">
        <f>+C610</f>
        <v>VS1</v>
      </c>
      <c r="D611" s="18"/>
      <c r="E611" s="18"/>
      <c r="F611" s="63"/>
      <c r="G611" s="133"/>
      <c r="H611" s="84">
        <f>+H610</f>
        <v>1</v>
      </c>
      <c r="I611" s="135">
        <f>$I610+1</f>
        <v>12</v>
      </c>
      <c r="J611" s="134" t="s">
        <v>557</v>
      </c>
      <c r="K611" s="84"/>
      <c r="L611" s="64" t="s">
        <v>323</v>
      </c>
      <c r="M611" s="18"/>
      <c r="N611" s="17">
        <v>6</v>
      </c>
      <c r="P611" s="64" t="s">
        <v>556</v>
      </c>
      <c r="Q611" s="64"/>
      <c r="R611" s="64" t="s">
        <v>555</v>
      </c>
      <c r="S611" s="64" t="s">
        <v>211</v>
      </c>
      <c r="T611" s="64"/>
      <c r="U611" s="64" t="str">
        <f>+U610</f>
        <v>BCV131AVS01</v>
      </c>
      <c r="V611" s="18"/>
      <c r="W611" s="18"/>
      <c r="X611" s="64" t="s">
        <v>604</v>
      </c>
      <c r="Y611" s="78" t="s">
        <v>289</v>
      </c>
      <c r="Z611" s="17" t="s">
        <v>607</v>
      </c>
      <c r="AC611" s="116"/>
      <c r="AD611" s="19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</row>
    <row r="612" spans="1:53" s="17" customFormat="1" x14ac:dyDescent="0.3">
      <c r="A612" s="118"/>
      <c r="B612" s="17" t="str">
        <f>+B611</f>
        <v>BCV131A</v>
      </c>
      <c r="C612" s="17" t="str">
        <f>+C611</f>
        <v>VS1</v>
      </c>
      <c r="D612" s="18"/>
      <c r="E612" s="18"/>
      <c r="F612" s="63"/>
      <c r="G612" s="133"/>
      <c r="H612" s="84">
        <f>+H611</f>
        <v>1</v>
      </c>
      <c r="I612" s="135">
        <f>$I611+1</f>
        <v>13</v>
      </c>
      <c r="J612" s="134" t="s">
        <v>554</v>
      </c>
      <c r="K612" s="84"/>
      <c r="L612" s="64" t="s">
        <v>323</v>
      </c>
      <c r="M612" s="18"/>
      <c r="N612" s="17">
        <v>3</v>
      </c>
      <c r="P612" s="64" t="s">
        <v>429</v>
      </c>
      <c r="Q612" s="64"/>
      <c r="R612" s="64" t="s">
        <v>553</v>
      </c>
      <c r="S612" s="64" t="s">
        <v>211</v>
      </c>
      <c r="T612" s="64"/>
      <c r="U612" s="64" t="str">
        <f>+U611</f>
        <v>BCV131AVS01</v>
      </c>
      <c r="V612" s="18"/>
      <c r="W612" s="18"/>
      <c r="X612" s="64" t="s">
        <v>604</v>
      </c>
      <c r="Y612" s="78" t="s">
        <v>289</v>
      </c>
      <c r="Z612" s="17" t="s">
        <v>607</v>
      </c>
      <c r="AA612" s="46"/>
      <c r="AC612" s="116"/>
      <c r="AD612" s="19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</row>
    <row r="613" spans="1:53" s="17" customFormat="1" x14ac:dyDescent="0.3">
      <c r="A613" s="118"/>
      <c r="B613" s="17" t="str">
        <f>+B612</f>
        <v>BCV131A</v>
      </c>
      <c r="C613" s="17" t="str">
        <f>+C612</f>
        <v>VS1</v>
      </c>
      <c r="D613" s="18"/>
      <c r="E613" s="18"/>
      <c r="F613" s="63"/>
      <c r="G613" s="133"/>
      <c r="H613" s="84">
        <f>+H612</f>
        <v>1</v>
      </c>
      <c r="I613" s="135">
        <f>$I612+1</f>
        <v>14</v>
      </c>
      <c r="J613" s="134" t="s">
        <v>552</v>
      </c>
      <c r="K613" s="84"/>
      <c r="L613" s="64" t="s">
        <v>323</v>
      </c>
      <c r="M613" s="18"/>
      <c r="N613" s="17">
        <v>3</v>
      </c>
      <c r="P613" s="64" t="s">
        <v>339</v>
      </c>
      <c r="Q613" s="64"/>
      <c r="R613" s="64" t="s">
        <v>551</v>
      </c>
      <c r="S613" s="64" t="s">
        <v>211</v>
      </c>
      <c r="T613" s="64"/>
      <c r="U613" s="64" t="str">
        <f>+U612</f>
        <v>BCV131AVS01</v>
      </c>
      <c r="V613" s="18"/>
      <c r="W613" s="18"/>
      <c r="X613" s="64" t="s">
        <v>604</v>
      </c>
      <c r="Y613" s="78" t="s">
        <v>289</v>
      </c>
      <c r="Z613" s="17" t="s">
        <v>607</v>
      </c>
      <c r="AA613" s="46"/>
      <c r="AC613" s="116"/>
      <c r="AD613" s="19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</row>
    <row r="614" spans="1:53" s="17" customFormat="1" x14ac:dyDescent="0.3">
      <c r="A614" s="118"/>
      <c r="B614" s="17" t="str">
        <f>+B613</f>
        <v>BCV131A</v>
      </c>
      <c r="C614" s="17" t="str">
        <f>+C613</f>
        <v>VS1</v>
      </c>
      <c r="D614" s="18"/>
      <c r="E614" s="18"/>
      <c r="F614" s="63"/>
      <c r="G614" s="133"/>
      <c r="H614" s="84">
        <f>+H613</f>
        <v>1</v>
      </c>
      <c r="I614" s="135">
        <f>$I613+1</f>
        <v>15</v>
      </c>
      <c r="J614" s="134" t="s">
        <v>550</v>
      </c>
      <c r="K614" s="84"/>
      <c r="L614" s="64" t="s">
        <v>323</v>
      </c>
      <c r="M614" s="18"/>
      <c r="N614" s="17">
        <v>3</v>
      </c>
      <c r="P614" s="64" t="s">
        <v>335</v>
      </c>
      <c r="Q614" s="64"/>
      <c r="R614" s="64" t="s">
        <v>549</v>
      </c>
      <c r="S614" s="64" t="s">
        <v>211</v>
      </c>
      <c r="T614" s="64"/>
      <c r="U614" s="64" t="str">
        <f>+U613</f>
        <v>BCV131AVS01</v>
      </c>
      <c r="V614" s="18"/>
      <c r="W614" s="18"/>
      <c r="X614" s="64" t="s">
        <v>604</v>
      </c>
      <c r="Y614" s="78" t="s">
        <v>289</v>
      </c>
      <c r="Z614" s="17" t="s">
        <v>607</v>
      </c>
      <c r="AA614" s="46"/>
      <c r="AC614" s="116"/>
      <c r="AD614" s="19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</row>
    <row r="615" spans="1:53" s="17" customFormat="1" x14ac:dyDescent="0.3">
      <c r="A615" s="118"/>
      <c r="B615" s="17" t="str">
        <f>+B614</f>
        <v>BCV131A</v>
      </c>
      <c r="C615" s="17" t="str">
        <f>+C614</f>
        <v>VS1</v>
      </c>
      <c r="D615" s="18"/>
      <c r="E615" s="18"/>
      <c r="F615" s="63"/>
      <c r="G615" s="133"/>
      <c r="H615" s="84">
        <f>+H614</f>
        <v>1</v>
      </c>
      <c r="I615" s="135">
        <f>$I614+1</f>
        <v>16</v>
      </c>
      <c r="J615" s="134" t="s">
        <v>547</v>
      </c>
      <c r="K615" s="84"/>
      <c r="L615" s="64" t="s">
        <v>323</v>
      </c>
      <c r="M615" s="18"/>
      <c r="N615" s="83">
        <v>6</v>
      </c>
      <c r="P615" s="113" t="s">
        <v>546</v>
      </c>
      <c r="Q615" s="113"/>
      <c r="R615" s="113" t="s">
        <v>545</v>
      </c>
      <c r="S615" s="113" t="s">
        <v>211</v>
      </c>
      <c r="T615" s="64"/>
      <c r="U615" s="64" t="str">
        <f>+U614</f>
        <v>BCV131AVS01</v>
      </c>
      <c r="V615" s="18"/>
      <c r="W615" s="18"/>
      <c r="X615" s="64" t="s">
        <v>604</v>
      </c>
      <c r="Y615" s="78" t="s">
        <v>289</v>
      </c>
      <c r="Z615" s="17" t="s">
        <v>606</v>
      </c>
      <c r="AA615" s="46"/>
      <c r="AC615" s="116"/>
      <c r="AD615" s="19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</row>
    <row r="616" spans="1:53" s="17" customFormat="1" x14ac:dyDescent="0.3">
      <c r="A616" s="118"/>
      <c r="B616" s="17" t="str">
        <f>+B615</f>
        <v>BCV131A</v>
      </c>
      <c r="C616" s="17" t="str">
        <f>+C615</f>
        <v>VS1</v>
      </c>
      <c r="D616" s="18"/>
      <c r="E616" s="18"/>
      <c r="F616" s="63"/>
      <c r="G616" s="133"/>
      <c r="H616" s="84">
        <f>+H615</f>
        <v>1</v>
      </c>
      <c r="I616" s="135">
        <f>$I615+1</f>
        <v>17</v>
      </c>
      <c r="J616" s="134" t="s">
        <v>544</v>
      </c>
      <c r="K616" s="84"/>
      <c r="L616" s="64" t="s">
        <v>323</v>
      </c>
      <c r="M616" s="18"/>
      <c r="N616" s="83">
        <v>6</v>
      </c>
      <c r="P616" s="113" t="s">
        <v>543</v>
      </c>
      <c r="Q616" s="113"/>
      <c r="R616" s="113" t="s">
        <v>542</v>
      </c>
      <c r="S616" s="113" t="s">
        <v>211</v>
      </c>
      <c r="T616" s="64"/>
      <c r="U616" s="64" t="str">
        <f>+U615</f>
        <v>BCV131AVS01</v>
      </c>
      <c r="V616" s="18"/>
      <c r="W616" s="18"/>
      <c r="X616" s="64" t="s">
        <v>604</v>
      </c>
      <c r="Y616" s="78" t="s">
        <v>289</v>
      </c>
      <c r="Z616" s="17" t="s">
        <v>606</v>
      </c>
      <c r="AA616" s="46"/>
      <c r="AC616" s="116"/>
      <c r="AD616" s="19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</row>
    <row r="617" spans="1:53" s="17" customFormat="1" x14ac:dyDescent="0.3">
      <c r="A617" s="118"/>
      <c r="B617" s="17" t="str">
        <f>+B616</f>
        <v>BCV131A</v>
      </c>
      <c r="C617" s="17" t="str">
        <f>+C616</f>
        <v>VS1</v>
      </c>
      <c r="D617" s="18"/>
      <c r="E617" s="18"/>
      <c r="F617" s="63"/>
      <c r="G617" s="133"/>
      <c r="H617" s="84">
        <f>+H616</f>
        <v>1</v>
      </c>
      <c r="I617" s="135">
        <f>$I616+1</f>
        <v>18</v>
      </c>
      <c r="J617" s="134" t="s">
        <v>541</v>
      </c>
      <c r="K617" s="84"/>
      <c r="L617" s="64" t="s">
        <v>323</v>
      </c>
      <c r="M617" s="18"/>
      <c r="N617" s="17">
        <v>3</v>
      </c>
      <c r="P617" s="64" t="s">
        <v>540</v>
      </c>
      <c r="Q617" s="64"/>
      <c r="R617" s="64" t="s">
        <v>539</v>
      </c>
      <c r="S617" s="64" t="s">
        <v>247</v>
      </c>
      <c r="T617" s="64"/>
      <c r="U617" s="64" t="str">
        <f>+U616</f>
        <v>BCV131AVS01</v>
      </c>
      <c r="V617" s="18"/>
      <c r="W617" s="18"/>
      <c r="X617" s="64" t="s">
        <v>604</v>
      </c>
      <c r="Y617" s="78" t="s">
        <v>289</v>
      </c>
      <c r="Z617" s="17" t="s">
        <v>606</v>
      </c>
      <c r="AA617" s="46"/>
      <c r="AC617" s="116"/>
      <c r="AD617" s="19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</row>
    <row r="618" spans="1:53" s="17" customFormat="1" x14ac:dyDescent="0.3">
      <c r="A618" s="118"/>
      <c r="B618" s="17" t="str">
        <f>+B617</f>
        <v>BCV131A</v>
      </c>
      <c r="C618" s="17" t="str">
        <f>+C617</f>
        <v>VS1</v>
      </c>
      <c r="D618" s="18"/>
      <c r="E618" s="18"/>
      <c r="F618" s="63"/>
      <c r="G618" s="133"/>
      <c r="H618" s="84">
        <f>+H617</f>
        <v>1</v>
      </c>
      <c r="I618" s="135">
        <f>$I617+1</f>
        <v>19</v>
      </c>
      <c r="J618" s="134" t="s">
        <v>538</v>
      </c>
      <c r="K618" s="84"/>
      <c r="L618" s="64" t="s">
        <v>323</v>
      </c>
      <c r="M618" s="18"/>
      <c r="N618" s="17">
        <v>3</v>
      </c>
      <c r="P618" s="64" t="s">
        <v>537</v>
      </c>
      <c r="Q618" s="64"/>
      <c r="R618" s="64" t="s">
        <v>536</v>
      </c>
      <c r="S618" s="64" t="s">
        <v>211</v>
      </c>
      <c r="T618" s="64"/>
      <c r="U618" s="64" t="str">
        <f>+U617</f>
        <v>BCV131AVS01</v>
      </c>
      <c r="V618" s="18"/>
      <c r="W618" s="18"/>
      <c r="X618" s="64" t="s">
        <v>604</v>
      </c>
      <c r="Y618" s="78" t="s">
        <v>289</v>
      </c>
      <c r="Z618" s="17" t="s">
        <v>606</v>
      </c>
      <c r="AA618" s="46"/>
      <c r="AC618" s="116"/>
      <c r="AD618" s="19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</row>
    <row r="619" spans="1:53" s="17" customFormat="1" x14ac:dyDescent="0.3">
      <c r="A619" s="118"/>
      <c r="B619" s="17" t="str">
        <f>+B618</f>
        <v>BCV131A</v>
      </c>
      <c r="C619" s="17" t="str">
        <f>+C618</f>
        <v>VS1</v>
      </c>
      <c r="D619" s="18"/>
      <c r="E619" s="18"/>
      <c r="F619" s="63"/>
      <c r="G619" s="133"/>
      <c r="H619" s="84">
        <f>+H618</f>
        <v>1</v>
      </c>
      <c r="I619" s="135">
        <v>0</v>
      </c>
      <c r="J619" s="134" t="s">
        <v>534</v>
      </c>
      <c r="K619" s="65"/>
      <c r="L619" s="18" t="s">
        <v>292</v>
      </c>
      <c r="M619" s="18"/>
      <c r="N619" s="17">
        <v>3</v>
      </c>
      <c r="P619" s="18" t="s">
        <v>416</v>
      </c>
      <c r="Q619" s="18"/>
      <c r="R619" s="64" t="s">
        <v>533</v>
      </c>
      <c r="S619" s="18"/>
      <c r="T619" s="18"/>
      <c r="U619" s="64" t="str">
        <f>+U618</f>
        <v>BCV131AVS01</v>
      </c>
      <c r="V619" s="18"/>
      <c r="W619" s="18"/>
      <c r="X619" s="64" t="s">
        <v>604</v>
      </c>
      <c r="Y619" s="78" t="s">
        <v>289</v>
      </c>
      <c r="Z619" s="17" t="s">
        <v>605</v>
      </c>
      <c r="AA619" s="46"/>
      <c r="AC619" s="116"/>
      <c r="AD619" s="19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</row>
    <row r="620" spans="1:53" s="17" customFormat="1" x14ac:dyDescent="0.3">
      <c r="A620" s="118"/>
      <c r="B620" s="17" t="str">
        <f>+B619</f>
        <v>BCV131A</v>
      </c>
      <c r="C620" s="17" t="str">
        <f>+C619</f>
        <v>VS1</v>
      </c>
      <c r="D620" s="18"/>
      <c r="E620" s="18"/>
      <c r="F620" s="63"/>
      <c r="G620" s="133"/>
      <c r="H620" s="84">
        <f>+H619</f>
        <v>1</v>
      </c>
      <c r="I620" s="135">
        <v>1</v>
      </c>
      <c r="J620" s="134" t="s">
        <v>532</v>
      </c>
      <c r="K620" s="18"/>
      <c r="L620" s="18" t="s">
        <v>292</v>
      </c>
      <c r="M620" s="18"/>
      <c r="N620" s="17">
        <v>3</v>
      </c>
      <c r="P620" s="18" t="s">
        <v>531</v>
      </c>
      <c r="Q620" s="18"/>
      <c r="R620" s="64" t="s">
        <v>530</v>
      </c>
      <c r="S620" s="18"/>
      <c r="T620" s="18"/>
      <c r="U620" s="64" t="str">
        <f>+U619</f>
        <v>BCV131AVS01</v>
      </c>
      <c r="V620" s="18"/>
      <c r="W620" s="18"/>
      <c r="X620" s="64" t="s">
        <v>604</v>
      </c>
      <c r="Y620" s="78" t="s">
        <v>289</v>
      </c>
      <c r="Z620" s="17" t="s">
        <v>605</v>
      </c>
      <c r="AA620" s="46"/>
      <c r="AC620" s="116"/>
      <c r="AD620" s="19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</row>
    <row r="621" spans="1:53" s="17" customFormat="1" x14ac:dyDescent="0.3">
      <c r="A621" s="118"/>
      <c r="B621" s="17" t="str">
        <f>+B620</f>
        <v>BCV131A</v>
      </c>
      <c r="C621" s="17" t="str">
        <f>+C620</f>
        <v>VS1</v>
      </c>
      <c r="D621" s="18"/>
      <c r="E621" s="18"/>
      <c r="F621" s="63"/>
      <c r="G621" s="133"/>
      <c r="H621" s="84">
        <f>+H620</f>
        <v>1</v>
      </c>
      <c r="I621" s="135">
        <v>2</v>
      </c>
      <c r="J621" s="134" t="s">
        <v>529</v>
      </c>
      <c r="K621" s="18"/>
      <c r="L621" s="18" t="s">
        <v>292</v>
      </c>
      <c r="M621" s="18"/>
      <c r="N621" s="17">
        <v>3</v>
      </c>
      <c r="P621" s="18" t="s">
        <v>374</v>
      </c>
      <c r="Q621" s="18"/>
      <c r="R621" s="64" t="s">
        <v>528</v>
      </c>
      <c r="S621" s="18"/>
      <c r="T621" s="18"/>
      <c r="U621" s="64" t="str">
        <f>+U620</f>
        <v>BCV131AVS01</v>
      </c>
      <c r="V621" s="18"/>
      <c r="W621" s="18"/>
      <c r="X621" s="64" t="s">
        <v>604</v>
      </c>
      <c r="Y621" s="78" t="s">
        <v>289</v>
      </c>
      <c r="Z621" s="17" t="s">
        <v>605</v>
      </c>
      <c r="AA621" s="46"/>
      <c r="AC621" s="116"/>
      <c r="AD621" s="19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</row>
    <row r="622" spans="1:53" s="17" customFormat="1" x14ac:dyDescent="0.3">
      <c r="A622" s="118"/>
      <c r="B622" s="17" t="str">
        <f>+B621</f>
        <v>BCV131A</v>
      </c>
      <c r="C622" s="17" t="str">
        <f>+C621</f>
        <v>VS1</v>
      </c>
      <c r="D622" s="18"/>
      <c r="E622" s="18"/>
      <c r="F622" s="63"/>
      <c r="G622" s="133"/>
      <c r="H622" s="84">
        <f>+H621</f>
        <v>1</v>
      </c>
      <c r="I622" s="135">
        <v>3</v>
      </c>
      <c r="J622" s="134" t="s">
        <v>527</v>
      </c>
      <c r="K622" s="18"/>
      <c r="L622" s="18" t="s">
        <v>292</v>
      </c>
      <c r="M622" s="18"/>
      <c r="N622" s="17">
        <v>3</v>
      </c>
      <c r="P622" s="18" t="s">
        <v>347</v>
      </c>
      <c r="Q622" s="18"/>
      <c r="R622" s="64" t="s">
        <v>526</v>
      </c>
      <c r="S622" s="18"/>
      <c r="T622" s="18"/>
      <c r="U622" s="64" t="str">
        <f>+U621</f>
        <v>BCV131AVS01</v>
      </c>
      <c r="V622" s="18"/>
      <c r="W622" s="18"/>
      <c r="X622" s="64" t="s">
        <v>604</v>
      </c>
      <c r="Y622" s="78" t="s">
        <v>289</v>
      </c>
      <c r="Z622" s="17" t="s">
        <v>605</v>
      </c>
      <c r="AA622" s="46"/>
      <c r="AC622" s="116"/>
      <c r="AD622" s="19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</row>
    <row r="623" spans="1:53" s="17" customFormat="1" x14ac:dyDescent="0.3">
      <c r="A623" s="118"/>
      <c r="B623" s="17" t="str">
        <f>+B622</f>
        <v>BCV131A</v>
      </c>
      <c r="C623" s="17" t="str">
        <f>+C622</f>
        <v>VS1</v>
      </c>
      <c r="D623" s="18"/>
      <c r="E623" s="18"/>
      <c r="F623" s="63"/>
      <c r="G623" s="133"/>
      <c r="H623" s="84">
        <f>+H622</f>
        <v>1</v>
      </c>
      <c r="I623" s="135">
        <v>4</v>
      </c>
      <c r="J623" s="134" t="s">
        <v>525</v>
      </c>
      <c r="K623" s="18"/>
      <c r="L623" s="18" t="s">
        <v>292</v>
      </c>
      <c r="M623" s="18"/>
      <c r="N623" s="17">
        <v>6</v>
      </c>
      <c r="P623" s="18" t="s">
        <v>343</v>
      </c>
      <c r="Q623" s="18"/>
      <c r="R623" s="64" t="s">
        <v>524</v>
      </c>
      <c r="S623" s="18"/>
      <c r="T623" s="18"/>
      <c r="U623" s="64" t="str">
        <f>+U622</f>
        <v>BCV131AVS01</v>
      </c>
      <c r="V623" s="18"/>
      <c r="W623" s="18"/>
      <c r="X623" s="64" t="s">
        <v>604</v>
      </c>
      <c r="Y623" s="78" t="s">
        <v>289</v>
      </c>
      <c r="Z623" s="17" t="s">
        <v>605</v>
      </c>
      <c r="AA623" s="46"/>
      <c r="AC623" s="116"/>
      <c r="AD623" s="19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</row>
    <row r="624" spans="1:53" s="17" customFormat="1" x14ac:dyDescent="0.3">
      <c r="A624" s="118"/>
      <c r="B624" s="17" t="str">
        <f>+B623</f>
        <v>BCV131A</v>
      </c>
      <c r="C624" s="17" t="str">
        <f>+C623</f>
        <v>VS1</v>
      </c>
      <c r="D624" s="18"/>
      <c r="E624" s="18"/>
      <c r="F624" s="63"/>
      <c r="G624" s="133"/>
      <c r="H624" s="84">
        <f>+H623</f>
        <v>1</v>
      </c>
      <c r="I624" s="135">
        <v>5</v>
      </c>
      <c r="J624" s="134" t="s">
        <v>523</v>
      </c>
      <c r="K624" s="18"/>
      <c r="L624" s="18" t="s">
        <v>292</v>
      </c>
      <c r="M624" s="18"/>
      <c r="N624" s="17">
        <v>3</v>
      </c>
      <c r="P624" s="18"/>
      <c r="Q624" s="18"/>
      <c r="R624" s="64" t="s">
        <v>291</v>
      </c>
      <c r="S624" s="18"/>
      <c r="T624" s="18"/>
      <c r="U624" s="64" t="str">
        <f>+U623</f>
        <v>BCV131AVS01</v>
      </c>
      <c r="V624" s="18"/>
      <c r="W624" s="18"/>
      <c r="X624" s="64" t="s">
        <v>604</v>
      </c>
      <c r="Y624" s="78" t="s">
        <v>289</v>
      </c>
      <c r="Z624" s="17" t="s">
        <v>605</v>
      </c>
      <c r="AC624" s="116"/>
      <c r="AD624" s="19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</row>
    <row r="625" spans="1:53" s="17" customFormat="1" x14ac:dyDescent="0.3">
      <c r="A625" s="118"/>
      <c r="B625" s="17" t="str">
        <f>+B624</f>
        <v>BCV131A</v>
      </c>
      <c r="C625" s="17" t="str">
        <f>+C624</f>
        <v>VS1</v>
      </c>
      <c r="D625" s="18"/>
      <c r="E625" s="18"/>
      <c r="F625" s="63"/>
      <c r="G625" s="133"/>
      <c r="H625" s="84">
        <f>+H624</f>
        <v>1</v>
      </c>
      <c r="I625" s="135">
        <v>6</v>
      </c>
      <c r="J625" s="134" t="s">
        <v>522</v>
      </c>
      <c r="K625" s="18"/>
      <c r="L625" s="18" t="s">
        <v>292</v>
      </c>
      <c r="M625" s="18"/>
      <c r="N625" s="17">
        <v>3</v>
      </c>
      <c r="P625" s="18"/>
      <c r="Q625" s="18"/>
      <c r="R625" s="64" t="s">
        <v>291</v>
      </c>
      <c r="S625" s="18"/>
      <c r="T625" s="18"/>
      <c r="U625" s="64" t="str">
        <f>+U624</f>
        <v>BCV131AVS01</v>
      </c>
      <c r="V625" s="18"/>
      <c r="W625" s="18"/>
      <c r="X625" s="64" t="s">
        <v>604</v>
      </c>
      <c r="Y625" s="78" t="s">
        <v>289</v>
      </c>
      <c r="Z625" s="17" t="s">
        <v>605</v>
      </c>
      <c r="AC625" s="116"/>
      <c r="AD625" s="19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</row>
    <row r="626" spans="1:53" s="17" customFormat="1" x14ac:dyDescent="0.3">
      <c r="A626" s="118"/>
      <c r="B626" s="17" t="str">
        <f>+B625</f>
        <v>BCV131A</v>
      </c>
      <c r="C626" s="17" t="str">
        <f>+C625</f>
        <v>VS1</v>
      </c>
      <c r="D626" s="18"/>
      <c r="E626" s="18"/>
      <c r="F626" s="63"/>
      <c r="G626" s="133"/>
      <c r="H626" s="84">
        <f>+H625</f>
        <v>1</v>
      </c>
      <c r="I626" s="135">
        <v>7</v>
      </c>
      <c r="J626" s="134" t="s">
        <v>521</v>
      </c>
      <c r="K626" s="18"/>
      <c r="L626" s="18" t="s">
        <v>292</v>
      </c>
      <c r="M626" s="18"/>
      <c r="N626" s="17">
        <v>3</v>
      </c>
      <c r="P626" s="18" t="s">
        <v>327</v>
      </c>
      <c r="Q626" s="18"/>
      <c r="R626" s="64" t="s">
        <v>520</v>
      </c>
      <c r="S626" s="18"/>
      <c r="T626" s="18"/>
      <c r="U626" s="64" t="str">
        <f>+U625</f>
        <v>BCV131AVS01</v>
      </c>
      <c r="V626" s="18"/>
      <c r="W626" s="18"/>
      <c r="X626" s="64" t="s">
        <v>604</v>
      </c>
      <c r="Y626" s="78" t="s">
        <v>289</v>
      </c>
      <c r="Z626" s="17" t="s">
        <v>605</v>
      </c>
      <c r="AA626" s="46"/>
      <c r="AC626" s="116"/>
      <c r="AD626" s="19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</row>
    <row r="627" spans="1:53" s="17" customFormat="1" x14ac:dyDescent="0.3">
      <c r="A627" s="118"/>
      <c r="B627" s="17" t="str">
        <f>+B626</f>
        <v>BCV131A</v>
      </c>
      <c r="C627" s="17" t="str">
        <f>+C626</f>
        <v>VS1</v>
      </c>
      <c r="D627" s="18"/>
      <c r="E627" s="18"/>
      <c r="F627" s="63"/>
      <c r="G627" s="133"/>
      <c r="H627" s="84">
        <f>+H626</f>
        <v>1</v>
      </c>
      <c r="I627" s="135">
        <v>8</v>
      </c>
      <c r="J627" s="134" t="s">
        <v>518</v>
      </c>
      <c r="K627" s="18"/>
      <c r="L627" s="18" t="s">
        <v>292</v>
      </c>
      <c r="M627" s="18"/>
      <c r="N627" s="17">
        <v>3</v>
      </c>
      <c r="P627" s="18" t="s">
        <v>517</v>
      </c>
      <c r="Q627" s="18"/>
      <c r="R627" s="64" t="s">
        <v>516</v>
      </c>
      <c r="S627" s="18"/>
      <c r="T627" s="18"/>
      <c r="U627" s="64" t="str">
        <f>+U626</f>
        <v>BCV131AVS01</v>
      </c>
      <c r="V627" s="18"/>
      <c r="W627" s="18"/>
      <c r="X627" s="64" t="s">
        <v>604</v>
      </c>
      <c r="Y627" s="78" t="s">
        <v>289</v>
      </c>
      <c r="Z627" s="17" t="s">
        <v>603</v>
      </c>
      <c r="AA627" s="46"/>
      <c r="AC627" s="116"/>
      <c r="AD627" s="19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</row>
    <row r="628" spans="1:53" s="17" customFormat="1" x14ac:dyDescent="0.3">
      <c r="A628" s="118"/>
      <c r="B628" s="17" t="str">
        <f>+B627</f>
        <v>BCV131A</v>
      </c>
      <c r="C628" s="17" t="str">
        <f>+C627</f>
        <v>VS1</v>
      </c>
      <c r="D628" s="18"/>
      <c r="E628" s="18"/>
      <c r="F628" s="63"/>
      <c r="G628" s="133"/>
      <c r="H628" s="84">
        <f>+H627</f>
        <v>1</v>
      </c>
      <c r="I628" s="135">
        <v>9</v>
      </c>
      <c r="J628" s="134" t="s">
        <v>515</v>
      </c>
      <c r="K628" s="18"/>
      <c r="L628" s="18" t="s">
        <v>292</v>
      </c>
      <c r="M628" s="18"/>
      <c r="N628" s="17">
        <v>3</v>
      </c>
      <c r="P628" s="18" t="s">
        <v>514</v>
      </c>
      <c r="Q628" s="18"/>
      <c r="R628" s="64" t="s">
        <v>513</v>
      </c>
      <c r="S628" s="18"/>
      <c r="T628" s="18"/>
      <c r="U628" s="64" t="str">
        <f>+U627</f>
        <v>BCV131AVS01</v>
      </c>
      <c r="V628" s="18"/>
      <c r="W628" s="18"/>
      <c r="X628" s="64" t="s">
        <v>604</v>
      </c>
      <c r="Y628" s="78" t="s">
        <v>289</v>
      </c>
      <c r="Z628" s="17" t="s">
        <v>603</v>
      </c>
      <c r="AA628" s="46"/>
      <c r="AC628" s="116"/>
      <c r="AD628" s="19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</row>
    <row r="629" spans="1:53" s="17" customFormat="1" x14ac:dyDescent="0.3">
      <c r="A629" s="118"/>
      <c r="B629" s="17" t="str">
        <f>+B628</f>
        <v>BCV131A</v>
      </c>
      <c r="C629" s="17" t="str">
        <f>+C628</f>
        <v>VS1</v>
      </c>
      <c r="D629" s="18"/>
      <c r="E629" s="18"/>
      <c r="F629" s="63"/>
      <c r="G629" s="133"/>
      <c r="H629" s="84">
        <f>+H628</f>
        <v>1</v>
      </c>
      <c r="I629" s="135">
        <v>10</v>
      </c>
      <c r="J629" s="134" t="s">
        <v>512</v>
      </c>
      <c r="K629" s="18"/>
      <c r="L629" s="18" t="s">
        <v>292</v>
      </c>
      <c r="M629" s="18"/>
      <c r="N629" s="17">
        <v>3</v>
      </c>
      <c r="P629" s="18" t="s">
        <v>511</v>
      </c>
      <c r="Q629" s="18"/>
      <c r="R629" s="64" t="s">
        <v>510</v>
      </c>
      <c r="S629" s="18"/>
      <c r="T629" s="18"/>
      <c r="U629" s="64" t="str">
        <f>+U628</f>
        <v>BCV131AVS01</v>
      </c>
      <c r="V629" s="18"/>
      <c r="W629" s="18"/>
      <c r="X629" s="64" t="s">
        <v>604</v>
      </c>
      <c r="Y629" s="78" t="s">
        <v>289</v>
      </c>
      <c r="Z629" s="17" t="s">
        <v>603</v>
      </c>
      <c r="AA629" s="46"/>
      <c r="AC629" s="116"/>
      <c r="AD629" s="19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</row>
    <row r="630" spans="1:53" s="17" customFormat="1" x14ac:dyDescent="0.3">
      <c r="A630" s="118"/>
      <c r="B630" s="17" t="str">
        <f>+B629</f>
        <v>BCV131A</v>
      </c>
      <c r="C630" s="17" t="str">
        <f>+C629</f>
        <v>VS1</v>
      </c>
      <c r="D630" s="18"/>
      <c r="E630" s="18"/>
      <c r="F630" s="63"/>
      <c r="G630" s="133"/>
      <c r="H630" s="84">
        <f>+H629</f>
        <v>1</v>
      </c>
      <c r="I630" s="135">
        <v>11</v>
      </c>
      <c r="J630" s="134" t="s">
        <v>509</v>
      </c>
      <c r="K630" s="18"/>
      <c r="L630" s="18" t="s">
        <v>292</v>
      </c>
      <c r="M630" s="18"/>
      <c r="N630" s="83">
        <v>6</v>
      </c>
      <c r="P630" s="78" t="s">
        <v>508</v>
      </c>
      <c r="Q630" s="78"/>
      <c r="R630" s="113" t="s">
        <v>507</v>
      </c>
      <c r="S630" s="18"/>
      <c r="T630" s="18"/>
      <c r="U630" s="64" t="str">
        <f>+U629</f>
        <v>BCV131AVS01</v>
      </c>
      <c r="V630" s="18"/>
      <c r="W630" s="18"/>
      <c r="X630" s="64" t="s">
        <v>604</v>
      </c>
      <c r="Y630" s="78" t="s">
        <v>289</v>
      </c>
      <c r="Z630" s="17" t="s">
        <v>603</v>
      </c>
      <c r="AA630" s="46"/>
      <c r="AC630" s="116"/>
      <c r="AD630" s="19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</row>
    <row r="631" spans="1:53" s="17" customFormat="1" x14ac:dyDescent="0.3">
      <c r="A631" s="118"/>
      <c r="B631" s="17" t="str">
        <f>+B630</f>
        <v>BCV131A</v>
      </c>
      <c r="C631" s="17" t="str">
        <f>+C630</f>
        <v>VS1</v>
      </c>
      <c r="D631" s="18"/>
      <c r="E631" s="18"/>
      <c r="F631" s="63"/>
      <c r="G631" s="133"/>
      <c r="H631" s="84">
        <f>+H630</f>
        <v>1</v>
      </c>
      <c r="I631" s="135">
        <v>12</v>
      </c>
      <c r="J631" s="134" t="s">
        <v>506</v>
      </c>
      <c r="K631" s="18"/>
      <c r="L631" s="18" t="s">
        <v>292</v>
      </c>
      <c r="M631" s="18"/>
      <c r="N631" s="83">
        <v>6</v>
      </c>
      <c r="P631" s="78" t="s">
        <v>505</v>
      </c>
      <c r="Q631" s="78"/>
      <c r="R631" s="113" t="s">
        <v>504</v>
      </c>
      <c r="S631" s="18"/>
      <c r="T631" s="18"/>
      <c r="U631" s="64" t="str">
        <f>+U630</f>
        <v>BCV131AVS01</v>
      </c>
      <c r="V631" s="18"/>
      <c r="W631" s="18"/>
      <c r="X631" s="64" t="s">
        <v>604</v>
      </c>
      <c r="Y631" s="78" t="s">
        <v>289</v>
      </c>
      <c r="Z631" s="17" t="s">
        <v>603</v>
      </c>
      <c r="AA631" s="46"/>
      <c r="AC631" s="116"/>
      <c r="AD631" s="19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</row>
    <row r="632" spans="1:53" s="17" customFormat="1" x14ac:dyDescent="0.3">
      <c r="A632" s="118"/>
      <c r="B632" s="17" t="str">
        <f>+B631</f>
        <v>BCV131A</v>
      </c>
      <c r="C632" s="17" t="str">
        <f>+C631</f>
        <v>VS1</v>
      </c>
      <c r="D632" s="18"/>
      <c r="E632" s="18"/>
      <c r="F632" s="63"/>
      <c r="G632" s="133"/>
      <c r="H632" s="84">
        <f>+H631</f>
        <v>1</v>
      </c>
      <c r="I632" s="135">
        <v>13</v>
      </c>
      <c r="J632" s="134" t="s">
        <v>503</v>
      </c>
      <c r="K632" s="18"/>
      <c r="L632" s="18" t="s">
        <v>292</v>
      </c>
      <c r="M632" s="18"/>
      <c r="N632" s="83">
        <v>6</v>
      </c>
      <c r="P632" s="78" t="s">
        <v>459</v>
      </c>
      <c r="Q632" s="18"/>
      <c r="R632" s="64" t="s">
        <v>291</v>
      </c>
      <c r="S632" s="18"/>
      <c r="T632" s="18"/>
      <c r="U632" s="64" t="str">
        <f>+U631</f>
        <v>BCV131AVS01</v>
      </c>
      <c r="V632" s="18"/>
      <c r="W632" s="18"/>
      <c r="X632" s="64" t="s">
        <v>604</v>
      </c>
      <c r="Y632" s="78" t="s">
        <v>289</v>
      </c>
      <c r="Z632" s="17" t="s">
        <v>603</v>
      </c>
      <c r="AA632" s="46"/>
      <c r="AC632" s="116"/>
      <c r="AD632" s="19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</row>
    <row r="633" spans="1:53" s="17" customFormat="1" x14ac:dyDescent="0.3">
      <c r="A633" s="118"/>
      <c r="B633" s="17" t="str">
        <f>+B632</f>
        <v>BCV131A</v>
      </c>
      <c r="C633" s="17" t="str">
        <f>+C632</f>
        <v>VS1</v>
      </c>
      <c r="D633" s="18"/>
      <c r="E633" s="18"/>
      <c r="F633" s="63"/>
      <c r="G633" s="133"/>
      <c r="H633" s="84">
        <f>+H632</f>
        <v>1</v>
      </c>
      <c r="I633" s="135">
        <v>14</v>
      </c>
      <c r="J633" s="134" t="s">
        <v>502</v>
      </c>
      <c r="K633" s="18"/>
      <c r="L633" s="18" t="s">
        <v>292</v>
      </c>
      <c r="M633" s="18"/>
      <c r="N633" s="17">
        <v>3</v>
      </c>
      <c r="P633" s="18" t="s">
        <v>501</v>
      </c>
      <c r="Q633" s="18"/>
      <c r="R633" s="64" t="s">
        <v>500</v>
      </c>
      <c r="S633" s="18"/>
      <c r="T633" s="18"/>
      <c r="U633" s="64" t="str">
        <f>+U632</f>
        <v>BCV131AVS01</v>
      </c>
      <c r="V633" s="18"/>
      <c r="W633" s="18"/>
      <c r="X633" s="64" t="s">
        <v>604</v>
      </c>
      <c r="Y633" s="78" t="s">
        <v>289</v>
      </c>
      <c r="Z633" s="17" t="s">
        <v>603</v>
      </c>
      <c r="AA633" s="46"/>
      <c r="AB633" s="46"/>
      <c r="AC633" s="116"/>
      <c r="AD633" s="19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</row>
    <row r="634" spans="1:53" s="17" customFormat="1" ht="13.5" thickBot="1" x14ac:dyDescent="0.35">
      <c r="A634" s="118"/>
      <c r="B634" s="17" t="str">
        <f>+B633</f>
        <v>BCV131A</v>
      </c>
      <c r="C634" s="17" t="str">
        <f>+C633</f>
        <v>VS1</v>
      </c>
      <c r="D634" s="18"/>
      <c r="E634" s="18"/>
      <c r="F634" s="63"/>
      <c r="G634" s="133"/>
      <c r="H634" s="84">
        <f>+H633</f>
        <v>1</v>
      </c>
      <c r="I634" s="132">
        <v>15</v>
      </c>
      <c r="J634" s="131" t="s">
        <v>498</v>
      </c>
      <c r="K634" s="18"/>
      <c r="L634" s="18" t="s">
        <v>292</v>
      </c>
      <c r="M634" s="18"/>
      <c r="N634" s="17">
        <v>3</v>
      </c>
      <c r="P634" s="18" t="s">
        <v>497</v>
      </c>
      <c r="Q634" s="18"/>
      <c r="R634" s="64" t="s">
        <v>496</v>
      </c>
      <c r="S634" s="18"/>
      <c r="T634" s="18"/>
      <c r="U634" s="64" t="str">
        <f>+U633</f>
        <v>BCV131AVS01</v>
      </c>
      <c r="V634" s="18"/>
      <c r="W634" s="18"/>
      <c r="X634" s="64" t="s">
        <v>604</v>
      </c>
      <c r="Y634" s="78" t="s">
        <v>289</v>
      </c>
      <c r="Z634" s="17" t="s">
        <v>603</v>
      </c>
      <c r="AA634" s="20"/>
      <c r="AB634" s="20"/>
      <c r="AC634" s="116"/>
      <c r="AD634" s="19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</row>
    <row r="635" spans="1:53" s="17" customFormat="1" ht="13.5" thickBot="1" x14ac:dyDescent="0.35">
      <c r="A635" s="118"/>
      <c r="B635" s="101"/>
      <c r="C635" s="101"/>
      <c r="D635" s="101"/>
      <c r="E635" s="117"/>
      <c r="F635" s="101"/>
      <c r="G635" s="101"/>
      <c r="H635" s="101"/>
      <c r="I635" s="101"/>
      <c r="J635" s="101"/>
      <c r="K635" s="101"/>
      <c r="L635" s="101"/>
      <c r="M635" s="101"/>
      <c r="P635" s="101"/>
      <c r="Q635" s="101"/>
      <c r="R635" s="101"/>
      <c r="S635" s="101"/>
      <c r="T635" s="101"/>
      <c r="U635" s="101"/>
      <c r="V635" s="101"/>
      <c r="W635" s="101"/>
      <c r="X635" s="78"/>
      <c r="Y635" s="78"/>
      <c r="Z635" s="78"/>
      <c r="AA635" s="20"/>
      <c r="AB635" s="20"/>
      <c r="AC635" s="116"/>
      <c r="AD635" s="19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</row>
    <row r="636" spans="1:53" s="17" customFormat="1" x14ac:dyDescent="0.3">
      <c r="A636" s="118"/>
      <c r="B636" s="17" t="s">
        <v>602</v>
      </c>
      <c r="C636" s="17" t="s">
        <v>593</v>
      </c>
      <c r="D636" s="18"/>
      <c r="E636" s="18"/>
      <c r="F636" s="63"/>
      <c r="G636" s="133"/>
      <c r="H636" s="84">
        <v>1</v>
      </c>
      <c r="I636" s="138"/>
      <c r="J636" s="137"/>
      <c r="K636" s="84" t="s">
        <v>592</v>
      </c>
      <c r="L636" s="64"/>
      <c r="M636" s="18"/>
      <c r="P636" s="64"/>
      <c r="Q636" s="64"/>
      <c r="R636" s="64"/>
      <c r="S636" s="64"/>
      <c r="T636" s="64"/>
      <c r="U636" s="64"/>
      <c r="V636" s="18"/>
      <c r="W636" s="18"/>
      <c r="X636" s="18"/>
      <c r="Y636" s="78"/>
      <c r="Z636" s="78"/>
      <c r="AA636" s="20"/>
      <c r="AB636" s="20"/>
      <c r="AC636" s="116"/>
      <c r="AD636" s="19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</row>
    <row r="637" spans="1:53" s="17" customFormat="1" x14ac:dyDescent="0.3">
      <c r="A637" s="118"/>
      <c r="B637" s="17" t="str">
        <f>+B636</f>
        <v>BCV131B</v>
      </c>
      <c r="C637" s="17" t="str">
        <f>+C636</f>
        <v>VS1</v>
      </c>
      <c r="D637" s="18"/>
      <c r="E637" s="18"/>
      <c r="F637" s="63"/>
      <c r="G637" s="133"/>
      <c r="H637" s="84">
        <f>+H636</f>
        <v>1</v>
      </c>
      <c r="I637" s="135">
        <v>0</v>
      </c>
      <c r="J637" s="134" t="s">
        <v>591</v>
      </c>
      <c r="K637" s="136" t="s">
        <v>601</v>
      </c>
      <c r="L637" s="64" t="s">
        <v>323</v>
      </c>
      <c r="M637" s="18"/>
      <c r="N637" s="17">
        <v>3</v>
      </c>
      <c r="P637" s="64" t="s">
        <v>589</v>
      </c>
      <c r="Q637" s="64"/>
      <c r="R637" s="64" t="s">
        <v>588</v>
      </c>
      <c r="S637" s="64"/>
      <c r="T637" s="64"/>
      <c r="U637" s="64" t="s">
        <v>172</v>
      </c>
      <c r="V637" s="18"/>
      <c r="W637" s="18"/>
      <c r="X637" s="64" t="s">
        <v>596</v>
      </c>
      <c r="Y637" s="78" t="s">
        <v>289</v>
      </c>
      <c r="Z637" s="33" t="s">
        <v>599</v>
      </c>
      <c r="AA637" s="64"/>
      <c r="AB637" s="20"/>
      <c r="AC637" s="116"/>
      <c r="AD637" s="19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</row>
    <row r="638" spans="1:53" s="17" customFormat="1" x14ac:dyDescent="0.3">
      <c r="A638" s="118"/>
      <c r="B638" s="17" t="str">
        <f>+B637</f>
        <v>BCV131B</v>
      </c>
      <c r="C638" s="17" t="str">
        <f>+C637</f>
        <v>VS1</v>
      </c>
      <c r="D638" s="18"/>
      <c r="E638" s="18"/>
      <c r="F638" s="63"/>
      <c r="G638" s="133"/>
      <c r="H638" s="84">
        <f>+H637</f>
        <v>1</v>
      </c>
      <c r="I638" s="135">
        <f>$I637+1</f>
        <v>1</v>
      </c>
      <c r="J638" s="134" t="s">
        <v>587</v>
      </c>
      <c r="K638" s="99" t="s">
        <v>600</v>
      </c>
      <c r="L638" s="64" t="s">
        <v>323</v>
      </c>
      <c r="M638" s="18"/>
      <c r="N638" s="17">
        <v>3</v>
      </c>
      <c r="P638" s="64" t="s">
        <v>585</v>
      </c>
      <c r="Q638" s="64"/>
      <c r="R638" s="64" t="s">
        <v>584</v>
      </c>
      <c r="S638" s="64"/>
      <c r="T638" s="64"/>
      <c r="U638" s="64" t="str">
        <f>+U637</f>
        <v>BCV131BVS01</v>
      </c>
      <c r="V638" s="18"/>
      <c r="W638" s="18"/>
      <c r="X638" s="64" t="s">
        <v>596</v>
      </c>
      <c r="Y638" s="78" t="s">
        <v>289</v>
      </c>
      <c r="Z638" s="33" t="s">
        <v>599</v>
      </c>
      <c r="AA638" s="20"/>
      <c r="AB638" s="20"/>
      <c r="AC638" s="116"/>
      <c r="AD638" s="19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</row>
    <row r="639" spans="1:53" s="17" customFormat="1" x14ac:dyDescent="0.3">
      <c r="A639" s="118"/>
      <c r="B639" s="17" t="str">
        <f>+B638</f>
        <v>BCV131B</v>
      </c>
      <c r="C639" s="17" t="str">
        <f>+C638</f>
        <v>VS1</v>
      </c>
      <c r="D639" s="18"/>
      <c r="E639" s="18"/>
      <c r="F639" s="63"/>
      <c r="G639" s="133"/>
      <c r="H639" s="84">
        <f>+H638</f>
        <v>1</v>
      </c>
      <c r="I639" s="135">
        <f>$I638+1</f>
        <v>2</v>
      </c>
      <c r="J639" s="134" t="s">
        <v>583</v>
      </c>
      <c r="K639" s="84"/>
      <c r="L639" s="64" t="s">
        <v>323</v>
      </c>
      <c r="M639" s="18"/>
      <c r="N639" s="17">
        <v>3</v>
      </c>
      <c r="P639" s="64" t="s">
        <v>582</v>
      </c>
      <c r="Q639" s="64"/>
      <c r="R639" s="64" t="s">
        <v>581</v>
      </c>
      <c r="S639" s="64"/>
      <c r="T639" s="64"/>
      <c r="U639" s="64" t="str">
        <f>+U638</f>
        <v>BCV131BVS01</v>
      </c>
      <c r="V639" s="18"/>
      <c r="W639" s="18"/>
      <c r="X639" s="64" t="s">
        <v>596</v>
      </c>
      <c r="Y639" s="78" t="s">
        <v>289</v>
      </c>
      <c r="Z639" s="33" t="s">
        <v>599</v>
      </c>
      <c r="AA639" s="20"/>
      <c r="AB639" s="20"/>
      <c r="AC639" s="116"/>
      <c r="AD639" s="19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</row>
    <row r="640" spans="1:53" s="17" customFormat="1" x14ac:dyDescent="0.3">
      <c r="A640" s="118"/>
      <c r="B640" s="17" t="str">
        <f>+B639</f>
        <v>BCV131B</v>
      </c>
      <c r="C640" s="17" t="str">
        <f>+C639</f>
        <v>VS1</v>
      </c>
      <c r="D640" s="18"/>
      <c r="E640" s="18"/>
      <c r="F640" s="63"/>
      <c r="G640" s="133"/>
      <c r="H640" s="84">
        <f>+H639</f>
        <v>1</v>
      </c>
      <c r="I640" s="135">
        <f>$I639+1</f>
        <v>3</v>
      </c>
      <c r="J640" s="134" t="s">
        <v>580</v>
      </c>
      <c r="K640" s="84"/>
      <c r="L640" s="64" t="s">
        <v>323</v>
      </c>
      <c r="M640" s="18"/>
      <c r="N640" s="17">
        <v>3</v>
      </c>
      <c r="P640" s="64" t="s">
        <v>357</v>
      </c>
      <c r="Q640" s="64"/>
      <c r="R640" s="64" t="s">
        <v>579</v>
      </c>
      <c r="S640" s="64"/>
      <c r="T640" s="64"/>
      <c r="U640" s="64" t="str">
        <f>+U639</f>
        <v>BCV131BVS01</v>
      </c>
      <c r="V640" s="18"/>
      <c r="W640" s="18"/>
      <c r="X640" s="64" t="s">
        <v>596</v>
      </c>
      <c r="Y640" s="78" t="s">
        <v>289</v>
      </c>
      <c r="Z640" s="33" t="s">
        <v>599</v>
      </c>
      <c r="AA640" s="20"/>
      <c r="AB640" s="20"/>
      <c r="AC640" s="116"/>
      <c r="AD640" s="19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</row>
    <row r="641" spans="1:53" s="17" customFormat="1" x14ac:dyDescent="0.3">
      <c r="A641" s="118"/>
      <c r="B641" s="17" t="str">
        <f>+B640</f>
        <v>BCV131B</v>
      </c>
      <c r="C641" s="17" t="str">
        <f>+C640</f>
        <v>VS1</v>
      </c>
      <c r="D641" s="18"/>
      <c r="E641" s="18"/>
      <c r="F641" s="63"/>
      <c r="G641" s="133"/>
      <c r="H641" s="84">
        <f>+H640</f>
        <v>1</v>
      </c>
      <c r="I641" s="135">
        <f>$I640+1</f>
        <v>4</v>
      </c>
      <c r="J641" s="134" t="s">
        <v>578</v>
      </c>
      <c r="K641" s="84"/>
      <c r="L641" s="64" t="s">
        <v>323</v>
      </c>
      <c r="M641" s="18"/>
      <c r="N641" s="17">
        <v>3</v>
      </c>
      <c r="P641" s="64" t="s">
        <v>577</v>
      </c>
      <c r="Q641" s="64"/>
      <c r="R641" s="64" t="s">
        <v>576</v>
      </c>
      <c r="S641" s="64"/>
      <c r="T641" s="64"/>
      <c r="U641" s="64" t="str">
        <f>+U640</f>
        <v>BCV131BVS01</v>
      </c>
      <c r="V641" s="18"/>
      <c r="W641" s="18"/>
      <c r="X641" s="64" t="s">
        <v>596</v>
      </c>
      <c r="Y641" s="78" t="s">
        <v>289</v>
      </c>
      <c r="Z641" s="33" t="s">
        <v>599</v>
      </c>
      <c r="AA641" s="46"/>
      <c r="AB641" s="20"/>
      <c r="AC641" s="116"/>
      <c r="AD641" s="19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</row>
    <row r="642" spans="1:53" s="17" customFormat="1" x14ac:dyDescent="0.3">
      <c r="A642" s="118"/>
      <c r="B642" s="17" t="str">
        <f>+B641</f>
        <v>BCV131B</v>
      </c>
      <c r="C642" s="17" t="str">
        <f>+C641</f>
        <v>VS1</v>
      </c>
      <c r="D642" s="18"/>
      <c r="E642" s="18"/>
      <c r="F642" s="63"/>
      <c r="G642" s="133"/>
      <c r="H642" s="84">
        <f>+H641</f>
        <v>1</v>
      </c>
      <c r="I642" s="135">
        <f>$I641+1</f>
        <v>5</v>
      </c>
      <c r="J642" s="134" t="s">
        <v>575</v>
      </c>
      <c r="K642" s="84"/>
      <c r="L642" s="64" t="s">
        <v>323</v>
      </c>
      <c r="M642" s="18"/>
      <c r="N642" s="17">
        <v>3</v>
      </c>
      <c r="P642" s="64" t="s">
        <v>574</v>
      </c>
      <c r="Q642" s="64"/>
      <c r="R642" s="64" t="s">
        <v>573</v>
      </c>
      <c r="S642" s="64"/>
      <c r="T642" s="64"/>
      <c r="U642" s="64" t="str">
        <f>+U641</f>
        <v>BCV131BVS01</v>
      </c>
      <c r="V642" s="18"/>
      <c r="W642" s="18"/>
      <c r="X642" s="64" t="s">
        <v>596</v>
      </c>
      <c r="Y642" s="78" t="s">
        <v>289</v>
      </c>
      <c r="Z642" s="33" t="s">
        <v>599</v>
      </c>
      <c r="AA642" s="46"/>
      <c r="AB642" s="20"/>
      <c r="AC642" s="116"/>
      <c r="AD642" s="19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</row>
    <row r="643" spans="1:53" s="17" customFormat="1" x14ac:dyDescent="0.3">
      <c r="A643" s="118"/>
      <c r="B643" s="17" t="str">
        <f>+B642</f>
        <v>BCV131B</v>
      </c>
      <c r="C643" s="17" t="str">
        <f>+C642</f>
        <v>VS1</v>
      </c>
      <c r="D643" s="18"/>
      <c r="E643" s="18"/>
      <c r="F643" s="63"/>
      <c r="G643" s="133"/>
      <c r="H643" s="84">
        <f>+H642</f>
        <v>1</v>
      </c>
      <c r="I643" s="135">
        <f>$I642+1</f>
        <v>6</v>
      </c>
      <c r="J643" s="134" t="s">
        <v>572</v>
      </c>
      <c r="K643" s="84"/>
      <c r="L643" s="64" t="s">
        <v>323</v>
      </c>
      <c r="M643" s="18"/>
      <c r="N643" s="17">
        <v>3</v>
      </c>
      <c r="P643" s="64"/>
      <c r="Q643" s="64"/>
      <c r="R643" s="64" t="s">
        <v>291</v>
      </c>
      <c r="S643" s="64"/>
      <c r="T643" s="64"/>
      <c r="U643" s="64" t="str">
        <f>+U642</f>
        <v>BCV131BVS01</v>
      </c>
      <c r="V643" s="18"/>
      <c r="W643" s="18"/>
      <c r="X643" s="64" t="s">
        <v>596</v>
      </c>
      <c r="Y643" s="78" t="s">
        <v>289</v>
      </c>
      <c r="Z643" s="33" t="s">
        <v>599</v>
      </c>
      <c r="AA643" s="20"/>
      <c r="AB643" s="20"/>
      <c r="AC643" s="116"/>
      <c r="AD643" s="19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</row>
    <row r="644" spans="1:53" s="17" customFormat="1" x14ac:dyDescent="0.3">
      <c r="A644" s="118"/>
      <c r="B644" s="17" t="str">
        <f>+B643</f>
        <v>BCV131B</v>
      </c>
      <c r="C644" s="17" t="str">
        <f>+C643</f>
        <v>VS1</v>
      </c>
      <c r="D644" s="18"/>
      <c r="E644" s="18"/>
      <c r="F644" s="63"/>
      <c r="G644" s="133"/>
      <c r="H644" s="84">
        <f>+H643</f>
        <v>1</v>
      </c>
      <c r="I644" s="135">
        <f>$I643+1</f>
        <v>7</v>
      </c>
      <c r="J644" s="134" t="s">
        <v>571</v>
      </c>
      <c r="K644" s="84"/>
      <c r="L644" s="64" t="s">
        <v>323</v>
      </c>
      <c r="M644" s="18"/>
      <c r="N644" s="17">
        <v>3</v>
      </c>
      <c r="P644" s="64" t="s">
        <v>570</v>
      </c>
      <c r="Q644" s="64"/>
      <c r="R644" s="64" t="s">
        <v>569</v>
      </c>
      <c r="S644" s="64"/>
      <c r="T644" s="64"/>
      <c r="U644" s="64" t="str">
        <f>+U643</f>
        <v>BCV131BVS01</v>
      </c>
      <c r="V644" s="18"/>
      <c r="W644" s="18"/>
      <c r="X644" s="64" t="s">
        <v>596</v>
      </c>
      <c r="Y644" s="78" t="s">
        <v>289</v>
      </c>
      <c r="Z644" s="33" t="s">
        <v>599</v>
      </c>
      <c r="AA644" s="46"/>
      <c r="AB644" s="20"/>
      <c r="AC644" s="116"/>
      <c r="AD644" s="19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</row>
    <row r="645" spans="1:53" s="17" customFormat="1" x14ac:dyDescent="0.3">
      <c r="A645" s="118"/>
      <c r="B645" s="17" t="str">
        <f>+B644</f>
        <v>BCV131B</v>
      </c>
      <c r="C645" s="17" t="str">
        <f>+C644</f>
        <v>VS1</v>
      </c>
      <c r="D645" s="18"/>
      <c r="E645" s="18"/>
      <c r="F645" s="63"/>
      <c r="G645" s="133"/>
      <c r="H645" s="84">
        <f>+H644</f>
        <v>1</v>
      </c>
      <c r="I645" s="135">
        <f>$I644+1</f>
        <v>8</v>
      </c>
      <c r="J645" s="134" t="s">
        <v>568</v>
      </c>
      <c r="K645" s="84"/>
      <c r="L645" s="64" t="s">
        <v>323</v>
      </c>
      <c r="M645" s="18"/>
      <c r="N645" s="17">
        <v>3</v>
      </c>
      <c r="P645" s="64" t="s">
        <v>567</v>
      </c>
      <c r="Q645" s="64"/>
      <c r="R645" s="64" t="s">
        <v>566</v>
      </c>
      <c r="S645" s="64" t="s">
        <v>247</v>
      </c>
      <c r="T645" s="64"/>
      <c r="U645" s="64" t="str">
        <f>+U644</f>
        <v>BCV131BVS01</v>
      </c>
      <c r="V645" s="18"/>
      <c r="W645" s="18"/>
      <c r="X645" s="64" t="s">
        <v>596</v>
      </c>
      <c r="Y645" s="78" t="s">
        <v>289</v>
      </c>
      <c r="Z645" s="33" t="s">
        <v>599</v>
      </c>
      <c r="AA645" s="46"/>
      <c r="AB645" s="20"/>
      <c r="AC645" s="116"/>
      <c r="AD645" s="19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</row>
    <row r="646" spans="1:53" s="17" customFormat="1" x14ac:dyDescent="0.3">
      <c r="A646" s="118"/>
      <c r="B646" s="17" t="str">
        <f>+B645</f>
        <v>BCV131B</v>
      </c>
      <c r="C646" s="17" t="str">
        <f>+C645</f>
        <v>VS1</v>
      </c>
      <c r="D646" s="18"/>
      <c r="E646" s="18"/>
      <c r="F646" s="63"/>
      <c r="G646" s="133"/>
      <c r="H646" s="84">
        <f>+H645</f>
        <v>1</v>
      </c>
      <c r="I646" s="135">
        <f>$I645+1</f>
        <v>9</v>
      </c>
      <c r="J646" s="134" t="s">
        <v>565</v>
      </c>
      <c r="K646" s="84"/>
      <c r="L646" s="64" t="s">
        <v>323</v>
      </c>
      <c r="M646" s="18"/>
      <c r="N646" s="17">
        <v>3</v>
      </c>
      <c r="P646" s="64" t="s">
        <v>474</v>
      </c>
      <c r="Q646" s="64"/>
      <c r="R646" s="64" t="s">
        <v>564</v>
      </c>
      <c r="S646" s="64" t="s">
        <v>427</v>
      </c>
      <c r="T646" s="64"/>
      <c r="U646" s="64" t="str">
        <f>+U645</f>
        <v>BCV131BVS01</v>
      </c>
      <c r="V646" s="18"/>
      <c r="W646" s="18"/>
      <c r="X646" s="64" t="s">
        <v>596</v>
      </c>
      <c r="Y646" s="78" t="s">
        <v>289</v>
      </c>
      <c r="Z646" s="33" t="s">
        <v>599</v>
      </c>
      <c r="AA646" s="46"/>
      <c r="AB646" s="20"/>
      <c r="AC646" s="116"/>
      <c r="AD646" s="19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</row>
    <row r="647" spans="1:53" s="17" customFormat="1" x14ac:dyDescent="0.3">
      <c r="A647" s="118"/>
      <c r="B647" s="17" t="str">
        <f>+B646</f>
        <v>BCV131B</v>
      </c>
      <c r="C647" s="17" t="str">
        <f>+C646</f>
        <v>VS1</v>
      </c>
      <c r="D647" s="18"/>
      <c r="E647" s="18"/>
      <c r="F647" s="63"/>
      <c r="G647" s="133"/>
      <c r="H647" s="84">
        <f>+H646</f>
        <v>1</v>
      </c>
      <c r="I647" s="135">
        <f>$I646+1</f>
        <v>10</v>
      </c>
      <c r="J647" s="134" t="s">
        <v>563</v>
      </c>
      <c r="K647" s="84"/>
      <c r="L647" s="64" t="s">
        <v>323</v>
      </c>
      <c r="M647" s="18"/>
      <c r="N647" s="17">
        <v>3</v>
      </c>
      <c r="P647" s="64" t="s">
        <v>562</v>
      </c>
      <c r="Q647" s="64"/>
      <c r="R647" s="64" t="s">
        <v>561</v>
      </c>
      <c r="S647" s="64" t="s">
        <v>211</v>
      </c>
      <c r="T647" s="64"/>
      <c r="U647" s="64" t="str">
        <f>+U646</f>
        <v>BCV131BVS01</v>
      </c>
      <c r="V647" s="18"/>
      <c r="W647" s="18"/>
      <c r="X647" s="64" t="s">
        <v>596</v>
      </c>
      <c r="Y647" s="78" t="s">
        <v>289</v>
      </c>
      <c r="Z647" s="33" t="s">
        <v>599</v>
      </c>
      <c r="AA647" s="46"/>
      <c r="AB647" s="20"/>
      <c r="AC647" s="116"/>
      <c r="AD647" s="19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</row>
    <row r="648" spans="1:53" s="17" customFormat="1" x14ac:dyDescent="0.3">
      <c r="A648" s="118"/>
      <c r="B648" s="17" t="str">
        <f>+B647</f>
        <v>BCV131B</v>
      </c>
      <c r="C648" s="17" t="str">
        <f>+C647</f>
        <v>VS1</v>
      </c>
      <c r="D648" s="18"/>
      <c r="E648" s="18"/>
      <c r="F648" s="63"/>
      <c r="G648" s="133"/>
      <c r="H648" s="84">
        <f>+H647</f>
        <v>1</v>
      </c>
      <c r="I648" s="135">
        <f>$I647+1</f>
        <v>11</v>
      </c>
      <c r="J648" s="134" t="s">
        <v>560</v>
      </c>
      <c r="K648" s="84"/>
      <c r="L648" s="64" t="s">
        <v>323</v>
      </c>
      <c r="M648" s="18"/>
      <c r="N648" s="17">
        <v>6</v>
      </c>
      <c r="P648" s="64" t="s">
        <v>559</v>
      </c>
      <c r="Q648" s="64"/>
      <c r="R648" s="64" t="s">
        <v>558</v>
      </c>
      <c r="S648" s="64" t="s">
        <v>211</v>
      </c>
      <c r="T648" s="64"/>
      <c r="U648" s="64" t="str">
        <f>+U647</f>
        <v>BCV131BVS01</v>
      </c>
      <c r="V648" s="18"/>
      <c r="W648" s="18"/>
      <c r="X648" s="64" t="s">
        <v>596</v>
      </c>
      <c r="Y648" s="78" t="s">
        <v>289</v>
      </c>
      <c r="Z648" s="33" t="s">
        <v>599</v>
      </c>
      <c r="AA648" s="46"/>
      <c r="AB648" s="20"/>
      <c r="AC648" s="116"/>
      <c r="AD648" s="19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</row>
    <row r="649" spans="1:53" s="17" customFormat="1" x14ac:dyDescent="0.3">
      <c r="A649" s="118"/>
      <c r="B649" s="17" t="str">
        <f>+B648</f>
        <v>BCV131B</v>
      </c>
      <c r="C649" s="17" t="str">
        <f>+C648</f>
        <v>VS1</v>
      </c>
      <c r="D649" s="18"/>
      <c r="E649" s="18"/>
      <c r="F649" s="63"/>
      <c r="G649" s="133"/>
      <c r="H649" s="84">
        <f>+H648</f>
        <v>1</v>
      </c>
      <c r="I649" s="135">
        <f>$I648+1</f>
        <v>12</v>
      </c>
      <c r="J649" s="134" t="s">
        <v>557</v>
      </c>
      <c r="K649" s="84"/>
      <c r="L649" s="64" t="s">
        <v>323</v>
      </c>
      <c r="M649" s="18"/>
      <c r="N649" s="17">
        <v>6</v>
      </c>
      <c r="P649" s="64" t="s">
        <v>556</v>
      </c>
      <c r="Q649" s="64"/>
      <c r="R649" s="64" t="s">
        <v>555</v>
      </c>
      <c r="S649" s="64" t="s">
        <v>211</v>
      </c>
      <c r="T649" s="64"/>
      <c r="U649" s="64" t="str">
        <f>+U648</f>
        <v>BCV131BVS01</v>
      </c>
      <c r="V649" s="18"/>
      <c r="W649" s="18"/>
      <c r="X649" s="64" t="s">
        <v>596</v>
      </c>
      <c r="Y649" s="78" t="s">
        <v>289</v>
      </c>
      <c r="Z649" s="33" t="s">
        <v>599</v>
      </c>
      <c r="AA649" s="46"/>
      <c r="AB649" s="20"/>
      <c r="AC649" s="116"/>
      <c r="AD649" s="19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</row>
    <row r="650" spans="1:53" s="17" customFormat="1" x14ac:dyDescent="0.3">
      <c r="A650" s="118"/>
      <c r="B650" s="17" t="str">
        <f>+B649</f>
        <v>BCV131B</v>
      </c>
      <c r="C650" s="17" t="str">
        <f>+C649</f>
        <v>VS1</v>
      </c>
      <c r="D650" s="18"/>
      <c r="E650" s="18"/>
      <c r="F650" s="63"/>
      <c r="G650" s="133"/>
      <c r="H650" s="84">
        <f>+H649</f>
        <v>1</v>
      </c>
      <c r="I650" s="135">
        <f>$I649+1</f>
        <v>13</v>
      </c>
      <c r="J650" s="134" t="s">
        <v>554</v>
      </c>
      <c r="K650" s="84"/>
      <c r="L650" s="64" t="s">
        <v>323</v>
      </c>
      <c r="M650" s="18"/>
      <c r="N650" s="17">
        <v>3</v>
      </c>
      <c r="P650" s="64" t="s">
        <v>429</v>
      </c>
      <c r="Q650" s="64"/>
      <c r="R650" s="64" t="s">
        <v>553</v>
      </c>
      <c r="S650" s="64" t="s">
        <v>211</v>
      </c>
      <c r="T650" s="64"/>
      <c r="U650" s="64" t="str">
        <f>+U649</f>
        <v>BCV131BVS01</v>
      </c>
      <c r="V650" s="18"/>
      <c r="W650" s="18"/>
      <c r="X650" s="64" t="s">
        <v>596</v>
      </c>
      <c r="Y650" s="78" t="s">
        <v>289</v>
      </c>
      <c r="Z650" s="33" t="s">
        <v>599</v>
      </c>
      <c r="AA650" s="46"/>
      <c r="AB650" s="20"/>
      <c r="AC650" s="116"/>
      <c r="AD650" s="19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</row>
    <row r="651" spans="1:53" s="17" customFormat="1" x14ac:dyDescent="0.3">
      <c r="A651" s="118"/>
      <c r="B651" s="17" t="str">
        <f>+B650</f>
        <v>BCV131B</v>
      </c>
      <c r="C651" s="17" t="str">
        <f>+C650</f>
        <v>VS1</v>
      </c>
      <c r="D651" s="18"/>
      <c r="E651" s="18"/>
      <c r="F651" s="63"/>
      <c r="G651" s="133"/>
      <c r="H651" s="84">
        <f>+H650</f>
        <v>1</v>
      </c>
      <c r="I651" s="135">
        <f>$I650+1</f>
        <v>14</v>
      </c>
      <c r="J651" s="134" t="s">
        <v>552</v>
      </c>
      <c r="K651" s="84"/>
      <c r="L651" s="64" t="s">
        <v>323</v>
      </c>
      <c r="M651" s="18"/>
      <c r="N651" s="17">
        <v>3</v>
      </c>
      <c r="P651" s="64" t="s">
        <v>339</v>
      </c>
      <c r="Q651" s="64"/>
      <c r="R651" s="64" t="s">
        <v>551</v>
      </c>
      <c r="S651" s="64" t="s">
        <v>211</v>
      </c>
      <c r="T651" s="64"/>
      <c r="U651" s="64" t="str">
        <f>+U650</f>
        <v>BCV131BVS01</v>
      </c>
      <c r="V651" s="18"/>
      <c r="W651" s="18"/>
      <c r="X651" s="64" t="s">
        <v>596</v>
      </c>
      <c r="Y651" s="78" t="s">
        <v>289</v>
      </c>
      <c r="Z651" s="33" t="s">
        <v>599</v>
      </c>
      <c r="AA651" s="46"/>
      <c r="AB651" s="20"/>
      <c r="AC651" s="116"/>
      <c r="AD651" s="19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</row>
    <row r="652" spans="1:53" s="17" customFormat="1" x14ac:dyDescent="0.3">
      <c r="A652" s="118"/>
      <c r="B652" s="17" t="str">
        <f>+B651</f>
        <v>BCV131B</v>
      </c>
      <c r="C652" s="17" t="str">
        <f>+C651</f>
        <v>VS1</v>
      </c>
      <c r="D652" s="18"/>
      <c r="E652" s="18"/>
      <c r="F652" s="63"/>
      <c r="G652" s="133"/>
      <c r="H652" s="84">
        <f>+H651</f>
        <v>1</v>
      </c>
      <c r="I652" s="135">
        <f>$I651+1</f>
        <v>15</v>
      </c>
      <c r="J652" s="134" t="s">
        <v>550</v>
      </c>
      <c r="K652" s="84"/>
      <c r="L652" s="64" t="s">
        <v>323</v>
      </c>
      <c r="M652" s="18"/>
      <c r="N652" s="17">
        <v>3</v>
      </c>
      <c r="P652" s="64" t="s">
        <v>335</v>
      </c>
      <c r="Q652" s="64"/>
      <c r="R652" s="64" t="s">
        <v>549</v>
      </c>
      <c r="S652" s="64" t="s">
        <v>211</v>
      </c>
      <c r="T652" s="64"/>
      <c r="U652" s="64" t="str">
        <f>+U651</f>
        <v>BCV131BVS01</v>
      </c>
      <c r="V652" s="18"/>
      <c r="W652" s="18"/>
      <c r="X652" s="64" t="s">
        <v>596</v>
      </c>
      <c r="Y652" s="78" t="s">
        <v>289</v>
      </c>
      <c r="Z652" s="33" t="s">
        <v>599</v>
      </c>
      <c r="AA652" s="46"/>
      <c r="AB652" s="20"/>
      <c r="AC652" s="116"/>
      <c r="AD652" s="19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</row>
    <row r="653" spans="1:53" s="17" customFormat="1" x14ac:dyDescent="0.3">
      <c r="A653" s="118"/>
      <c r="B653" s="17" t="str">
        <f>+B652</f>
        <v>BCV131B</v>
      </c>
      <c r="C653" s="17" t="str">
        <f>+C652</f>
        <v>VS1</v>
      </c>
      <c r="D653" s="18"/>
      <c r="E653" s="18"/>
      <c r="F653" s="63"/>
      <c r="G653" s="133"/>
      <c r="H653" s="84">
        <f>+H652</f>
        <v>1</v>
      </c>
      <c r="I653" s="135">
        <f>$I652+1</f>
        <v>16</v>
      </c>
      <c r="J653" s="134" t="s">
        <v>547</v>
      </c>
      <c r="K653" s="84"/>
      <c r="L653" s="64" t="s">
        <v>323</v>
      </c>
      <c r="M653" s="18"/>
      <c r="N653" s="83">
        <v>6</v>
      </c>
      <c r="P653" s="113" t="s">
        <v>546</v>
      </c>
      <c r="Q653" s="113"/>
      <c r="R653" s="113" t="s">
        <v>545</v>
      </c>
      <c r="S653" s="113" t="s">
        <v>211</v>
      </c>
      <c r="T653" s="64"/>
      <c r="U653" s="64" t="str">
        <f>+U652</f>
        <v>BCV131BVS01</v>
      </c>
      <c r="V653" s="18"/>
      <c r="W653" s="18"/>
      <c r="X653" s="64" t="s">
        <v>596</v>
      </c>
      <c r="Y653" s="78" t="s">
        <v>289</v>
      </c>
      <c r="Z653" s="17" t="s">
        <v>598</v>
      </c>
      <c r="AA653" s="46"/>
      <c r="AB653" s="20"/>
      <c r="AC653" s="116"/>
      <c r="AD653" s="19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</row>
    <row r="654" spans="1:53" s="17" customFormat="1" x14ac:dyDescent="0.3">
      <c r="A654" s="118"/>
      <c r="B654" s="17" t="str">
        <f>+B653</f>
        <v>BCV131B</v>
      </c>
      <c r="C654" s="17" t="str">
        <f>+C653</f>
        <v>VS1</v>
      </c>
      <c r="D654" s="18"/>
      <c r="E654" s="18"/>
      <c r="F654" s="63"/>
      <c r="G654" s="133"/>
      <c r="H654" s="84">
        <f>+H653</f>
        <v>1</v>
      </c>
      <c r="I654" s="135">
        <f>$I653+1</f>
        <v>17</v>
      </c>
      <c r="J654" s="134" t="s">
        <v>544</v>
      </c>
      <c r="K654" s="84"/>
      <c r="L654" s="64" t="s">
        <v>323</v>
      </c>
      <c r="M654" s="18"/>
      <c r="N654" s="83">
        <v>6</v>
      </c>
      <c r="P654" s="113" t="s">
        <v>543</v>
      </c>
      <c r="Q654" s="113"/>
      <c r="R654" s="113" t="s">
        <v>542</v>
      </c>
      <c r="S654" s="113" t="s">
        <v>211</v>
      </c>
      <c r="T654" s="64"/>
      <c r="U654" s="64" t="str">
        <f>+U653</f>
        <v>BCV131BVS01</v>
      </c>
      <c r="V654" s="18"/>
      <c r="W654" s="18"/>
      <c r="X654" s="64" t="s">
        <v>596</v>
      </c>
      <c r="Y654" s="78" t="s">
        <v>289</v>
      </c>
      <c r="Z654" s="17" t="s">
        <v>598</v>
      </c>
      <c r="AA654" s="46"/>
      <c r="AC654" s="116"/>
      <c r="AD654" s="19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</row>
    <row r="655" spans="1:53" s="17" customFormat="1" x14ac:dyDescent="0.3">
      <c r="A655" s="118"/>
      <c r="B655" s="17" t="str">
        <f>+B654</f>
        <v>BCV131B</v>
      </c>
      <c r="C655" s="17" t="str">
        <f>+C654</f>
        <v>VS1</v>
      </c>
      <c r="D655" s="18"/>
      <c r="E655" s="18"/>
      <c r="F655" s="63"/>
      <c r="G655" s="133"/>
      <c r="H655" s="84">
        <f>+H654</f>
        <v>1</v>
      </c>
      <c r="I655" s="135">
        <f>$I654+1</f>
        <v>18</v>
      </c>
      <c r="J655" s="134" t="s">
        <v>541</v>
      </c>
      <c r="K655" s="84"/>
      <c r="L655" s="64" t="s">
        <v>323</v>
      </c>
      <c r="M655" s="18"/>
      <c r="N655" s="17">
        <v>3</v>
      </c>
      <c r="P655" s="64" t="s">
        <v>540</v>
      </c>
      <c r="Q655" s="64"/>
      <c r="R655" s="64" t="s">
        <v>539</v>
      </c>
      <c r="S655" s="64" t="s">
        <v>247</v>
      </c>
      <c r="T655" s="64"/>
      <c r="U655" s="64" t="str">
        <f>+U654</f>
        <v>BCV131BVS01</v>
      </c>
      <c r="V655" s="18"/>
      <c r="W655" s="18"/>
      <c r="X655" s="64" t="s">
        <v>596</v>
      </c>
      <c r="Y655" s="78" t="s">
        <v>289</v>
      </c>
      <c r="Z655" s="17" t="s">
        <v>598</v>
      </c>
      <c r="AA655" s="46"/>
      <c r="AC655" s="116"/>
      <c r="AD655" s="19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</row>
    <row r="656" spans="1:53" s="17" customFormat="1" x14ac:dyDescent="0.3">
      <c r="A656" s="118"/>
      <c r="B656" s="17" t="str">
        <f>+B655</f>
        <v>BCV131B</v>
      </c>
      <c r="C656" s="17" t="str">
        <f>+C655</f>
        <v>VS1</v>
      </c>
      <c r="D656" s="18"/>
      <c r="E656" s="18"/>
      <c r="F656" s="63"/>
      <c r="G656" s="133"/>
      <c r="H656" s="84">
        <f>+H655</f>
        <v>1</v>
      </c>
      <c r="I656" s="135">
        <f>$I655+1</f>
        <v>19</v>
      </c>
      <c r="J656" s="134" t="s">
        <v>538</v>
      </c>
      <c r="K656" s="84"/>
      <c r="L656" s="64" t="s">
        <v>323</v>
      </c>
      <c r="M656" s="18"/>
      <c r="N656" s="17">
        <v>3</v>
      </c>
      <c r="P656" s="64" t="s">
        <v>537</v>
      </c>
      <c r="Q656" s="64"/>
      <c r="R656" s="64" t="s">
        <v>536</v>
      </c>
      <c r="S656" s="64" t="s">
        <v>211</v>
      </c>
      <c r="T656" s="64"/>
      <c r="U656" s="64" t="str">
        <f>+U655</f>
        <v>BCV131BVS01</v>
      </c>
      <c r="V656" s="18"/>
      <c r="W656" s="18"/>
      <c r="X656" s="64" t="s">
        <v>596</v>
      </c>
      <c r="Y656" s="78" t="s">
        <v>289</v>
      </c>
      <c r="Z656" s="17" t="s">
        <v>598</v>
      </c>
      <c r="AA656" s="46"/>
      <c r="AC656" s="116"/>
      <c r="AD656" s="19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</row>
    <row r="657" spans="1:53" s="17" customFormat="1" x14ac:dyDescent="0.3">
      <c r="A657" s="118"/>
      <c r="B657" s="17" t="str">
        <f>+B656</f>
        <v>BCV131B</v>
      </c>
      <c r="C657" s="17" t="str">
        <f>+C656</f>
        <v>VS1</v>
      </c>
      <c r="D657" s="18"/>
      <c r="E657" s="18"/>
      <c r="F657" s="63"/>
      <c r="G657" s="133"/>
      <c r="H657" s="84">
        <f>+H656</f>
        <v>1</v>
      </c>
      <c r="I657" s="135">
        <v>0</v>
      </c>
      <c r="J657" s="134" t="s">
        <v>534</v>
      </c>
      <c r="K657" s="65"/>
      <c r="L657" s="18" t="s">
        <v>292</v>
      </c>
      <c r="M657" s="18"/>
      <c r="N657" s="17">
        <v>3</v>
      </c>
      <c r="P657" s="18" t="s">
        <v>416</v>
      </c>
      <c r="Q657" s="18"/>
      <c r="R657" s="64" t="s">
        <v>533</v>
      </c>
      <c r="S657" s="18"/>
      <c r="T657" s="18"/>
      <c r="U657" s="64" t="str">
        <f>+U656</f>
        <v>BCV131BVS01</v>
      </c>
      <c r="V657" s="18"/>
      <c r="W657" s="18"/>
      <c r="X657" s="64" t="s">
        <v>596</v>
      </c>
      <c r="Y657" s="78" t="s">
        <v>289</v>
      </c>
      <c r="Z657" s="17" t="s">
        <v>597</v>
      </c>
      <c r="AA657" s="46"/>
      <c r="AC657" s="116"/>
      <c r="AD657" s="19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</row>
    <row r="658" spans="1:53" s="17" customFormat="1" x14ac:dyDescent="0.3">
      <c r="A658" s="118"/>
      <c r="B658" s="17" t="str">
        <f>+B657</f>
        <v>BCV131B</v>
      </c>
      <c r="C658" s="17" t="str">
        <f>+C657</f>
        <v>VS1</v>
      </c>
      <c r="D658" s="18"/>
      <c r="E658" s="18"/>
      <c r="F658" s="63"/>
      <c r="G658" s="133"/>
      <c r="H658" s="84">
        <f>+H657</f>
        <v>1</v>
      </c>
      <c r="I658" s="135">
        <v>1</v>
      </c>
      <c r="J658" s="134" t="s">
        <v>532</v>
      </c>
      <c r="K658" s="18"/>
      <c r="L658" s="18" t="s">
        <v>292</v>
      </c>
      <c r="M658" s="18"/>
      <c r="N658" s="17">
        <v>3</v>
      </c>
      <c r="P658" s="18" t="s">
        <v>531</v>
      </c>
      <c r="Q658" s="18"/>
      <c r="R658" s="64" t="s">
        <v>530</v>
      </c>
      <c r="S658" s="18"/>
      <c r="T658" s="18"/>
      <c r="U658" s="64" t="str">
        <f>+U657</f>
        <v>BCV131BVS01</v>
      </c>
      <c r="V658" s="18"/>
      <c r="W658" s="18"/>
      <c r="X658" s="64" t="s">
        <v>596</v>
      </c>
      <c r="Y658" s="78" t="s">
        <v>289</v>
      </c>
      <c r="Z658" s="17" t="s">
        <v>597</v>
      </c>
      <c r="AA658" s="46"/>
      <c r="AC658" s="116"/>
      <c r="AD658" s="19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</row>
    <row r="659" spans="1:53" s="17" customFormat="1" x14ac:dyDescent="0.3">
      <c r="A659" s="118"/>
      <c r="B659" s="17" t="str">
        <f>+B658</f>
        <v>BCV131B</v>
      </c>
      <c r="C659" s="17" t="str">
        <f>+C658</f>
        <v>VS1</v>
      </c>
      <c r="D659" s="18"/>
      <c r="E659" s="18"/>
      <c r="F659" s="63"/>
      <c r="G659" s="133"/>
      <c r="H659" s="84">
        <f>+H658</f>
        <v>1</v>
      </c>
      <c r="I659" s="135">
        <v>2</v>
      </c>
      <c r="J659" s="134" t="s">
        <v>529</v>
      </c>
      <c r="K659" s="18"/>
      <c r="L659" s="18" t="s">
        <v>292</v>
      </c>
      <c r="M659" s="18"/>
      <c r="N659" s="17">
        <v>3</v>
      </c>
      <c r="P659" s="18" t="s">
        <v>374</v>
      </c>
      <c r="Q659" s="18"/>
      <c r="R659" s="64" t="s">
        <v>528</v>
      </c>
      <c r="S659" s="18"/>
      <c r="T659" s="18"/>
      <c r="U659" s="64" t="str">
        <f>+U658</f>
        <v>BCV131BVS01</v>
      </c>
      <c r="V659" s="18"/>
      <c r="W659" s="18"/>
      <c r="X659" s="64" t="s">
        <v>596</v>
      </c>
      <c r="Y659" s="78" t="s">
        <v>289</v>
      </c>
      <c r="Z659" s="17" t="s">
        <v>597</v>
      </c>
      <c r="AA659" s="46"/>
      <c r="AC659" s="116"/>
      <c r="AD659" s="19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</row>
    <row r="660" spans="1:53" s="17" customFormat="1" x14ac:dyDescent="0.3">
      <c r="A660" s="118"/>
      <c r="B660" s="17" t="str">
        <f>+B659</f>
        <v>BCV131B</v>
      </c>
      <c r="C660" s="17" t="str">
        <f>+C659</f>
        <v>VS1</v>
      </c>
      <c r="D660" s="18"/>
      <c r="E660" s="18"/>
      <c r="F660" s="63"/>
      <c r="G660" s="133"/>
      <c r="H660" s="84">
        <f>+H659</f>
        <v>1</v>
      </c>
      <c r="I660" s="135">
        <v>3</v>
      </c>
      <c r="J660" s="134" t="s">
        <v>527</v>
      </c>
      <c r="K660" s="18"/>
      <c r="L660" s="18" t="s">
        <v>292</v>
      </c>
      <c r="M660" s="18"/>
      <c r="N660" s="17">
        <v>3</v>
      </c>
      <c r="P660" s="18" t="s">
        <v>347</v>
      </c>
      <c r="Q660" s="18"/>
      <c r="R660" s="64" t="s">
        <v>526</v>
      </c>
      <c r="S660" s="18"/>
      <c r="T660" s="18"/>
      <c r="U660" s="64" t="str">
        <f>+U659</f>
        <v>BCV131BVS01</v>
      </c>
      <c r="V660" s="18"/>
      <c r="W660" s="18"/>
      <c r="X660" s="64" t="s">
        <v>596</v>
      </c>
      <c r="Y660" s="78" t="s">
        <v>289</v>
      </c>
      <c r="Z660" s="17" t="s">
        <v>597</v>
      </c>
      <c r="AA660" s="46"/>
      <c r="AC660" s="116"/>
      <c r="AD660" s="19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</row>
    <row r="661" spans="1:53" s="17" customFormat="1" x14ac:dyDescent="0.3">
      <c r="A661" s="118"/>
      <c r="B661" s="17" t="str">
        <f>+B660</f>
        <v>BCV131B</v>
      </c>
      <c r="C661" s="17" t="str">
        <f>+C660</f>
        <v>VS1</v>
      </c>
      <c r="D661" s="18"/>
      <c r="E661" s="18"/>
      <c r="F661" s="63"/>
      <c r="G661" s="133"/>
      <c r="H661" s="84">
        <f>+H660</f>
        <v>1</v>
      </c>
      <c r="I661" s="135">
        <v>4</v>
      </c>
      <c r="J661" s="134" t="s">
        <v>525</v>
      </c>
      <c r="K661" s="18"/>
      <c r="L661" s="18" t="s">
        <v>292</v>
      </c>
      <c r="M661" s="18"/>
      <c r="N661" s="17">
        <v>6</v>
      </c>
      <c r="P661" s="18" t="s">
        <v>343</v>
      </c>
      <c r="Q661" s="18"/>
      <c r="R661" s="64" t="s">
        <v>524</v>
      </c>
      <c r="S661" s="18"/>
      <c r="T661" s="18"/>
      <c r="U661" s="64" t="str">
        <f>+U660</f>
        <v>BCV131BVS01</v>
      </c>
      <c r="V661" s="18"/>
      <c r="W661" s="18"/>
      <c r="X661" s="64" t="s">
        <v>596</v>
      </c>
      <c r="Y661" s="78" t="s">
        <v>289</v>
      </c>
      <c r="Z661" s="17" t="s">
        <v>597</v>
      </c>
      <c r="AA661" s="46"/>
      <c r="AC661" s="116"/>
      <c r="AD661" s="19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</row>
    <row r="662" spans="1:53" s="17" customFormat="1" x14ac:dyDescent="0.3">
      <c r="A662" s="118"/>
      <c r="B662" s="17" t="str">
        <f>+B661</f>
        <v>BCV131B</v>
      </c>
      <c r="C662" s="17" t="str">
        <f>+C661</f>
        <v>VS1</v>
      </c>
      <c r="D662" s="18"/>
      <c r="E662" s="18"/>
      <c r="F662" s="63"/>
      <c r="G662" s="133"/>
      <c r="H662" s="84">
        <f>+H661</f>
        <v>1</v>
      </c>
      <c r="I662" s="135">
        <v>5</v>
      </c>
      <c r="J662" s="134" t="s">
        <v>523</v>
      </c>
      <c r="K662" s="18"/>
      <c r="L662" s="18" t="s">
        <v>292</v>
      </c>
      <c r="M662" s="18"/>
      <c r="N662" s="17">
        <v>3</v>
      </c>
      <c r="P662" s="18"/>
      <c r="Q662" s="18"/>
      <c r="R662" s="64" t="s">
        <v>291</v>
      </c>
      <c r="S662" s="18"/>
      <c r="T662" s="18"/>
      <c r="U662" s="64" t="str">
        <f>+U661</f>
        <v>BCV131BVS01</v>
      </c>
      <c r="V662" s="18"/>
      <c r="W662" s="18"/>
      <c r="X662" s="64" t="s">
        <v>596</v>
      </c>
      <c r="Y662" s="78" t="s">
        <v>289</v>
      </c>
      <c r="Z662" s="17" t="s">
        <v>597</v>
      </c>
      <c r="AC662" s="116"/>
      <c r="AD662" s="19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</row>
    <row r="663" spans="1:53" s="17" customFormat="1" x14ac:dyDescent="0.3">
      <c r="A663" s="118"/>
      <c r="B663" s="17" t="str">
        <f>+B662</f>
        <v>BCV131B</v>
      </c>
      <c r="C663" s="17" t="str">
        <f>+C662</f>
        <v>VS1</v>
      </c>
      <c r="D663" s="18"/>
      <c r="E663" s="18"/>
      <c r="F663" s="63"/>
      <c r="G663" s="133"/>
      <c r="H663" s="84">
        <f>+H662</f>
        <v>1</v>
      </c>
      <c r="I663" s="135">
        <v>6</v>
      </c>
      <c r="J663" s="134" t="s">
        <v>522</v>
      </c>
      <c r="K663" s="18"/>
      <c r="L663" s="18" t="s">
        <v>292</v>
      </c>
      <c r="M663" s="18"/>
      <c r="N663" s="17">
        <v>3</v>
      </c>
      <c r="P663" s="18"/>
      <c r="Q663" s="18"/>
      <c r="R663" s="64" t="s">
        <v>291</v>
      </c>
      <c r="S663" s="18"/>
      <c r="T663" s="18"/>
      <c r="U663" s="64" t="str">
        <f>+U662</f>
        <v>BCV131BVS01</v>
      </c>
      <c r="V663" s="18"/>
      <c r="W663" s="18"/>
      <c r="X663" s="64" t="s">
        <v>596</v>
      </c>
      <c r="Y663" s="78" t="s">
        <v>289</v>
      </c>
      <c r="Z663" s="17" t="s">
        <v>597</v>
      </c>
      <c r="AC663" s="116"/>
      <c r="AD663" s="19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</row>
    <row r="664" spans="1:53" s="17" customFormat="1" x14ac:dyDescent="0.3">
      <c r="A664" s="118"/>
      <c r="B664" s="17" t="str">
        <f>+B663</f>
        <v>BCV131B</v>
      </c>
      <c r="C664" s="17" t="str">
        <f>+C663</f>
        <v>VS1</v>
      </c>
      <c r="D664" s="18"/>
      <c r="E664" s="18"/>
      <c r="F664" s="63"/>
      <c r="G664" s="133"/>
      <c r="H664" s="84">
        <f>+H663</f>
        <v>1</v>
      </c>
      <c r="I664" s="135">
        <v>7</v>
      </c>
      <c r="J664" s="134" t="s">
        <v>521</v>
      </c>
      <c r="K664" s="18"/>
      <c r="L664" s="18" t="s">
        <v>292</v>
      </c>
      <c r="M664" s="18"/>
      <c r="N664" s="17">
        <v>3</v>
      </c>
      <c r="P664" s="18" t="s">
        <v>327</v>
      </c>
      <c r="Q664" s="18"/>
      <c r="R664" s="64" t="s">
        <v>520</v>
      </c>
      <c r="S664" s="18"/>
      <c r="T664" s="18"/>
      <c r="U664" s="64" t="str">
        <f>+U663</f>
        <v>BCV131BVS01</v>
      </c>
      <c r="V664" s="18"/>
      <c r="W664" s="18"/>
      <c r="X664" s="64" t="s">
        <v>596</v>
      </c>
      <c r="Y664" s="78" t="s">
        <v>289</v>
      </c>
      <c r="Z664" s="17" t="s">
        <v>597</v>
      </c>
      <c r="AA664" s="46"/>
      <c r="AC664" s="116"/>
      <c r="AD664" s="19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</row>
    <row r="665" spans="1:53" s="17" customFormat="1" x14ac:dyDescent="0.3">
      <c r="A665" s="118"/>
      <c r="B665" s="17" t="str">
        <f>+B664</f>
        <v>BCV131B</v>
      </c>
      <c r="C665" s="17" t="str">
        <f>+C664</f>
        <v>VS1</v>
      </c>
      <c r="D665" s="18"/>
      <c r="E665" s="18"/>
      <c r="F665" s="63"/>
      <c r="G665" s="133"/>
      <c r="H665" s="84">
        <f>+H664</f>
        <v>1</v>
      </c>
      <c r="I665" s="135">
        <v>8</v>
      </c>
      <c r="J665" s="134" t="s">
        <v>518</v>
      </c>
      <c r="K665" s="18"/>
      <c r="L665" s="18" t="s">
        <v>292</v>
      </c>
      <c r="M665" s="18"/>
      <c r="N665" s="17">
        <v>3</v>
      </c>
      <c r="P665" s="18" t="s">
        <v>517</v>
      </c>
      <c r="Q665" s="18"/>
      <c r="R665" s="64" t="s">
        <v>516</v>
      </c>
      <c r="S665" s="18"/>
      <c r="T665" s="18"/>
      <c r="U665" s="64" t="str">
        <f>+U664</f>
        <v>BCV131BVS01</v>
      </c>
      <c r="V665" s="18"/>
      <c r="W665" s="18"/>
      <c r="X665" s="64" t="s">
        <v>596</v>
      </c>
      <c r="Y665" s="78" t="s">
        <v>289</v>
      </c>
      <c r="Z665" s="17" t="s">
        <v>595</v>
      </c>
      <c r="AA665" s="46"/>
      <c r="AC665" s="116"/>
      <c r="AD665" s="19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</row>
    <row r="666" spans="1:53" s="17" customFormat="1" x14ac:dyDescent="0.3">
      <c r="A666" s="118"/>
      <c r="B666" s="17" t="str">
        <f>+B665</f>
        <v>BCV131B</v>
      </c>
      <c r="C666" s="17" t="str">
        <f>+C665</f>
        <v>VS1</v>
      </c>
      <c r="D666" s="18"/>
      <c r="E666" s="18"/>
      <c r="F666" s="63"/>
      <c r="G666" s="133"/>
      <c r="H666" s="84">
        <f>+H665</f>
        <v>1</v>
      </c>
      <c r="I666" s="135">
        <v>9</v>
      </c>
      <c r="J666" s="134" t="s">
        <v>515</v>
      </c>
      <c r="K666" s="18"/>
      <c r="L666" s="18" t="s">
        <v>292</v>
      </c>
      <c r="M666" s="18"/>
      <c r="N666" s="17">
        <v>3</v>
      </c>
      <c r="P666" s="18" t="s">
        <v>514</v>
      </c>
      <c r="Q666" s="18"/>
      <c r="R666" s="64" t="s">
        <v>513</v>
      </c>
      <c r="S666" s="18"/>
      <c r="T666" s="18"/>
      <c r="U666" s="64" t="str">
        <f>+U665</f>
        <v>BCV131BVS01</v>
      </c>
      <c r="V666" s="18"/>
      <c r="W666" s="18"/>
      <c r="X666" s="64" t="s">
        <v>596</v>
      </c>
      <c r="Y666" s="78" t="s">
        <v>289</v>
      </c>
      <c r="Z666" s="17" t="s">
        <v>595</v>
      </c>
      <c r="AA666" s="46"/>
      <c r="AC666" s="116"/>
      <c r="AD666" s="19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</row>
    <row r="667" spans="1:53" s="17" customFormat="1" x14ac:dyDescent="0.3">
      <c r="A667" s="118"/>
      <c r="B667" s="17" t="str">
        <f>+B666</f>
        <v>BCV131B</v>
      </c>
      <c r="C667" s="17" t="str">
        <f>+C666</f>
        <v>VS1</v>
      </c>
      <c r="D667" s="18"/>
      <c r="E667" s="18"/>
      <c r="F667" s="63"/>
      <c r="G667" s="133"/>
      <c r="H667" s="84">
        <f>+H666</f>
        <v>1</v>
      </c>
      <c r="I667" s="135">
        <v>10</v>
      </c>
      <c r="J667" s="134" t="s">
        <v>512</v>
      </c>
      <c r="K667" s="18"/>
      <c r="L667" s="18" t="s">
        <v>292</v>
      </c>
      <c r="M667" s="18"/>
      <c r="N667" s="17">
        <v>3</v>
      </c>
      <c r="P667" s="18" t="s">
        <v>511</v>
      </c>
      <c r="Q667" s="18"/>
      <c r="R667" s="64" t="s">
        <v>510</v>
      </c>
      <c r="S667" s="18"/>
      <c r="T667" s="18"/>
      <c r="U667" s="64" t="str">
        <f>+U666</f>
        <v>BCV131BVS01</v>
      </c>
      <c r="V667" s="18"/>
      <c r="W667" s="18"/>
      <c r="X667" s="64" t="s">
        <v>596</v>
      </c>
      <c r="Y667" s="78" t="s">
        <v>289</v>
      </c>
      <c r="Z667" s="17" t="s">
        <v>595</v>
      </c>
      <c r="AA667" s="46"/>
      <c r="AC667" s="116"/>
      <c r="AD667" s="19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</row>
    <row r="668" spans="1:53" s="17" customFormat="1" x14ac:dyDescent="0.3">
      <c r="A668" s="118"/>
      <c r="B668" s="17" t="str">
        <f>+B667</f>
        <v>BCV131B</v>
      </c>
      <c r="C668" s="17" t="str">
        <f>+C667</f>
        <v>VS1</v>
      </c>
      <c r="D668" s="18"/>
      <c r="E668" s="18"/>
      <c r="F668" s="63"/>
      <c r="G668" s="133"/>
      <c r="H668" s="84">
        <f>+H667</f>
        <v>1</v>
      </c>
      <c r="I668" s="135">
        <v>11</v>
      </c>
      <c r="J668" s="134" t="s">
        <v>509</v>
      </c>
      <c r="K668" s="18"/>
      <c r="L668" s="18" t="s">
        <v>292</v>
      </c>
      <c r="M668" s="18"/>
      <c r="N668" s="83">
        <v>6</v>
      </c>
      <c r="P668" s="78" t="s">
        <v>508</v>
      </c>
      <c r="Q668" s="78"/>
      <c r="R668" s="113" t="s">
        <v>507</v>
      </c>
      <c r="S668" s="18"/>
      <c r="T668" s="18"/>
      <c r="U668" s="64" t="str">
        <f>+U667</f>
        <v>BCV131BVS01</v>
      </c>
      <c r="V668" s="18"/>
      <c r="W668" s="18"/>
      <c r="X668" s="64" t="s">
        <v>596</v>
      </c>
      <c r="Y668" s="78" t="s">
        <v>289</v>
      </c>
      <c r="Z668" s="17" t="s">
        <v>595</v>
      </c>
      <c r="AA668" s="46"/>
      <c r="AC668" s="116"/>
      <c r="AD668" s="19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</row>
    <row r="669" spans="1:53" s="17" customFormat="1" x14ac:dyDescent="0.3">
      <c r="A669" s="118"/>
      <c r="B669" s="17" t="str">
        <f>+B668</f>
        <v>BCV131B</v>
      </c>
      <c r="C669" s="17" t="str">
        <f>+C668</f>
        <v>VS1</v>
      </c>
      <c r="D669" s="18"/>
      <c r="E669" s="18"/>
      <c r="F669" s="63"/>
      <c r="G669" s="133"/>
      <c r="H669" s="84">
        <f>+H668</f>
        <v>1</v>
      </c>
      <c r="I669" s="135">
        <v>12</v>
      </c>
      <c r="J669" s="134" t="s">
        <v>506</v>
      </c>
      <c r="K669" s="18"/>
      <c r="L669" s="18" t="s">
        <v>292</v>
      </c>
      <c r="M669" s="18"/>
      <c r="N669" s="83">
        <v>6</v>
      </c>
      <c r="P669" s="78" t="s">
        <v>505</v>
      </c>
      <c r="Q669" s="78"/>
      <c r="R669" s="113" t="s">
        <v>504</v>
      </c>
      <c r="S669" s="18"/>
      <c r="T669" s="18"/>
      <c r="U669" s="64" t="str">
        <f>+U668</f>
        <v>BCV131BVS01</v>
      </c>
      <c r="V669" s="18"/>
      <c r="W669" s="18"/>
      <c r="X669" s="64" t="s">
        <v>596</v>
      </c>
      <c r="Y669" s="78" t="s">
        <v>289</v>
      </c>
      <c r="Z669" s="17" t="s">
        <v>595</v>
      </c>
      <c r="AA669" s="46"/>
      <c r="AC669" s="116"/>
      <c r="AD669" s="19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</row>
    <row r="670" spans="1:53" s="17" customFormat="1" x14ac:dyDescent="0.3">
      <c r="A670" s="118"/>
      <c r="B670" s="17" t="str">
        <f>+B669</f>
        <v>BCV131B</v>
      </c>
      <c r="C670" s="17" t="str">
        <f>+C669</f>
        <v>VS1</v>
      </c>
      <c r="D670" s="18"/>
      <c r="E670" s="18"/>
      <c r="F670" s="63"/>
      <c r="G670" s="133"/>
      <c r="H670" s="84">
        <f>+H669</f>
        <v>1</v>
      </c>
      <c r="I670" s="135">
        <v>13</v>
      </c>
      <c r="J670" s="134" t="s">
        <v>503</v>
      </c>
      <c r="K670" s="18"/>
      <c r="L670" s="18" t="s">
        <v>292</v>
      </c>
      <c r="M670" s="18"/>
      <c r="N670" s="83">
        <v>6</v>
      </c>
      <c r="P670" s="78" t="s">
        <v>459</v>
      </c>
      <c r="Q670" s="18"/>
      <c r="R670" s="64" t="s">
        <v>291</v>
      </c>
      <c r="S670" s="18"/>
      <c r="T670" s="18"/>
      <c r="U670" s="64" t="str">
        <f>+U669</f>
        <v>BCV131BVS01</v>
      </c>
      <c r="V670" s="18"/>
      <c r="W670" s="18"/>
      <c r="X670" s="64" t="s">
        <v>596</v>
      </c>
      <c r="Y670" s="78" t="s">
        <v>289</v>
      </c>
      <c r="Z670" s="17" t="s">
        <v>595</v>
      </c>
      <c r="AA670" s="46"/>
      <c r="AC670" s="116"/>
      <c r="AD670" s="19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</row>
    <row r="671" spans="1:53" s="17" customFormat="1" x14ac:dyDescent="0.3">
      <c r="A671" s="118"/>
      <c r="B671" s="17" t="str">
        <f>+B670</f>
        <v>BCV131B</v>
      </c>
      <c r="C671" s="17" t="str">
        <f>+C670</f>
        <v>VS1</v>
      </c>
      <c r="D671" s="18"/>
      <c r="E671" s="18"/>
      <c r="F671" s="63"/>
      <c r="G671" s="133"/>
      <c r="H671" s="84">
        <f>+H670</f>
        <v>1</v>
      </c>
      <c r="I671" s="135">
        <v>14</v>
      </c>
      <c r="J671" s="134" t="s">
        <v>502</v>
      </c>
      <c r="K671" s="18"/>
      <c r="L671" s="18" t="s">
        <v>292</v>
      </c>
      <c r="M671" s="18"/>
      <c r="N671" s="17">
        <v>3</v>
      </c>
      <c r="P671" s="18" t="s">
        <v>501</v>
      </c>
      <c r="Q671" s="18"/>
      <c r="R671" s="64" t="s">
        <v>500</v>
      </c>
      <c r="S671" s="18"/>
      <c r="T671" s="18"/>
      <c r="U671" s="64" t="str">
        <f>+U670</f>
        <v>BCV131BVS01</v>
      </c>
      <c r="V671" s="18"/>
      <c r="W671" s="18"/>
      <c r="X671" s="64" t="s">
        <v>596</v>
      </c>
      <c r="Y671" s="78" t="s">
        <v>289</v>
      </c>
      <c r="Z671" s="17" t="s">
        <v>595</v>
      </c>
      <c r="AA671" s="46"/>
      <c r="AC671" s="116"/>
      <c r="AD671" s="19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</row>
    <row r="672" spans="1:53" s="17" customFormat="1" ht="13.5" thickBot="1" x14ac:dyDescent="0.35">
      <c r="A672" s="118"/>
      <c r="B672" s="17" t="str">
        <f>+B671</f>
        <v>BCV131B</v>
      </c>
      <c r="C672" s="17" t="str">
        <f>+C671</f>
        <v>VS1</v>
      </c>
      <c r="D672" s="18"/>
      <c r="E672" s="18"/>
      <c r="F672" s="63"/>
      <c r="G672" s="133"/>
      <c r="H672" s="84">
        <f>+H671</f>
        <v>1</v>
      </c>
      <c r="I672" s="132">
        <v>15</v>
      </c>
      <c r="J672" s="131" t="s">
        <v>498</v>
      </c>
      <c r="K672" s="18"/>
      <c r="L672" s="18" t="s">
        <v>292</v>
      </c>
      <c r="M672" s="18"/>
      <c r="N672" s="17">
        <v>3</v>
      </c>
      <c r="P672" s="18" t="s">
        <v>497</v>
      </c>
      <c r="Q672" s="18"/>
      <c r="R672" s="64" t="s">
        <v>496</v>
      </c>
      <c r="S672" s="18"/>
      <c r="T672" s="18"/>
      <c r="U672" s="64" t="str">
        <f>+U671</f>
        <v>BCV131BVS01</v>
      </c>
      <c r="V672" s="18"/>
      <c r="W672" s="18"/>
      <c r="X672" s="64" t="s">
        <v>596</v>
      </c>
      <c r="Y672" s="78" t="s">
        <v>289</v>
      </c>
      <c r="Z672" s="17" t="s">
        <v>595</v>
      </c>
      <c r="AC672" s="116"/>
      <c r="AD672" s="19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</row>
    <row r="673" spans="1:53" s="17" customFormat="1" ht="13.5" thickBot="1" x14ac:dyDescent="0.35">
      <c r="A673" s="118"/>
      <c r="D673" s="18"/>
      <c r="E673" s="18"/>
      <c r="F673" s="63"/>
      <c r="G673" s="133"/>
      <c r="H673" s="84"/>
      <c r="I673" s="18"/>
      <c r="J673" s="18"/>
      <c r="K673" s="18"/>
      <c r="L673" s="18"/>
      <c r="M673" s="18"/>
      <c r="P673" s="18"/>
      <c r="Q673" s="18"/>
      <c r="R673" s="64"/>
      <c r="S673" s="18"/>
      <c r="T673" s="18"/>
      <c r="U673" s="64"/>
      <c r="V673" s="18"/>
      <c r="W673" s="18"/>
      <c r="X673" s="64"/>
      <c r="Y673" s="78"/>
      <c r="Z673" s="78"/>
      <c r="AC673" s="116"/>
      <c r="AD673" s="19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</row>
    <row r="674" spans="1:53" s="17" customFormat="1" x14ac:dyDescent="0.3">
      <c r="A674" s="118"/>
      <c r="B674" s="17" t="s">
        <v>594</v>
      </c>
      <c r="C674" s="17" t="s">
        <v>593</v>
      </c>
      <c r="D674" s="18"/>
      <c r="E674" s="18"/>
      <c r="F674" s="63"/>
      <c r="G674" s="133"/>
      <c r="H674" s="84">
        <v>1</v>
      </c>
      <c r="I674" s="138"/>
      <c r="J674" s="137"/>
      <c r="K674" s="84" t="s">
        <v>592</v>
      </c>
      <c r="L674" s="64"/>
      <c r="M674" s="18"/>
      <c r="P674" s="64"/>
      <c r="Q674" s="64"/>
      <c r="R674" s="64"/>
      <c r="S674" s="64"/>
      <c r="T674" s="64"/>
      <c r="U674" s="64"/>
      <c r="V674" s="18"/>
      <c r="W674" s="18"/>
      <c r="X674" s="64"/>
      <c r="Y674" s="78"/>
      <c r="Z674" s="78"/>
      <c r="AC674" s="116"/>
      <c r="AD674" s="19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</row>
    <row r="675" spans="1:53" s="17" customFormat="1" x14ac:dyDescent="0.3">
      <c r="A675" s="118"/>
      <c r="B675" s="17" t="str">
        <f>+B674</f>
        <v>BCV131C</v>
      </c>
      <c r="C675" s="17" t="s">
        <v>499</v>
      </c>
      <c r="D675" s="18"/>
      <c r="E675" s="18"/>
      <c r="F675" s="63"/>
      <c r="G675" s="133"/>
      <c r="H675" s="84">
        <f>+H674</f>
        <v>1</v>
      </c>
      <c r="I675" s="135">
        <v>0</v>
      </c>
      <c r="J675" s="134" t="s">
        <v>591</v>
      </c>
      <c r="K675" s="136" t="s">
        <v>590</v>
      </c>
      <c r="L675" s="64" t="s">
        <v>323</v>
      </c>
      <c r="M675" s="18"/>
      <c r="N675" s="17">
        <v>3</v>
      </c>
      <c r="P675" s="64" t="s">
        <v>589</v>
      </c>
      <c r="Q675" s="64"/>
      <c r="R675" s="64" t="s">
        <v>588</v>
      </c>
      <c r="S675" s="64"/>
      <c r="T675" s="64"/>
      <c r="U675" s="64" t="s">
        <v>164</v>
      </c>
      <c r="V675" s="18"/>
      <c r="W675" s="18"/>
      <c r="X675" s="64" t="s">
        <v>495</v>
      </c>
      <c r="Y675" s="78" t="s">
        <v>289</v>
      </c>
      <c r="Z675" s="33" t="s">
        <v>548</v>
      </c>
      <c r="AA675" s="64"/>
      <c r="AC675" s="116"/>
      <c r="AD675" s="19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</row>
    <row r="676" spans="1:53" s="17" customFormat="1" x14ac:dyDescent="0.3">
      <c r="A676" s="118"/>
      <c r="B676" s="17" t="str">
        <f>+B675</f>
        <v>BCV131C</v>
      </c>
      <c r="C676" s="17" t="s">
        <v>499</v>
      </c>
      <c r="D676" s="18"/>
      <c r="E676" s="18"/>
      <c r="F676" s="63"/>
      <c r="G676" s="133"/>
      <c r="H676" s="84">
        <f>+H675</f>
        <v>1</v>
      </c>
      <c r="I676" s="135">
        <f>$I675+1</f>
        <v>1</v>
      </c>
      <c r="J676" s="134" t="s">
        <v>587</v>
      </c>
      <c r="K676" s="99" t="s">
        <v>586</v>
      </c>
      <c r="L676" s="64" t="s">
        <v>323</v>
      </c>
      <c r="M676" s="18"/>
      <c r="N676" s="17">
        <v>3</v>
      </c>
      <c r="P676" s="64" t="s">
        <v>585</v>
      </c>
      <c r="Q676" s="64"/>
      <c r="R676" s="64" t="s">
        <v>584</v>
      </c>
      <c r="S676" s="64"/>
      <c r="T676" s="64"/>
      <c r="U676" s="64" t="str">
        <f>+U675</f>
        <v>BCV131CVS01</v>
      </c>
      <c r="V676" s="18"/>
      <c r="W676" s="18"/>
      <c r="X676" s="64" t="s">
        <v>495</v>
      </c>
      <c r="Y676" s="78" t="s">
        <v>289</v>
      </c>
      <c r="Z676" s="33" t="s">
        <v>548</v>
      </c>
      <c r="AC676" s="116"/>
      <c r="AD676" s="19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</row>
    <row r="677" spans="1:53" s="17" customFormat="1" x14ac:dyDescent="0.3">
      <c r="A677" s="118"/>
      <c r="B677" s="17" t="str">
        <f>+B676</f>
        <v>BCV131C</v>
      </c>
      <c r="C677" s="17" t="s">
        <v>499</v>
      </c>
      <c r="D677" s="18"/>
      <c r="E677" s="18"/>
      <c r="F677" s="63"/>
      <c r="G677" s="133"/>
      <c r="H677" s="84">
        <f>+H676</f>
        <v>1</v>
      </c>
      <c r="I677" s="135">
        <f>$I676+1</f>
        <v>2</v>
      </c>
      <c r="J677" s="134" t="s">
        <v>583</v>
      </c>
      <c r="K677" s="84"/>
      <c r="L677" s="64" t="s">
        <v>323</v>
      </c>
      <c r="M677" s="18"/>
      <c r="N677" s="17">
        <v>3</v>
      </c>
      <c r="P677" s="64" t="s">
        <v>582</v>
      </c>
      <c r="Q677" s="64"/>
      <c r="R677" s="64" t="s">
        <v>581</v>
      </c>
      <c r="S677" s="64"/>
      <c r="T677" s="64"/>
      <c r="U677" s="64" t="str">
        <f>+U676</f>
        <v>BCV131CVS01</v>
      </c>
      <c r="V677" s="18"/>
      <c r="W677" s="18"/>
      <c r="X677" s="64" t="s">
        <v>495</v>
      </c>
      <c r="Y677" s="78" t="s">
        <v>289</v>
      </c>
      <c r="Z677" s="33" t="s">
        <v>548</v>
      </c>
      <c r="AC677" s="116"/>
      <c r="AD677" s="19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</row>
    <row r="678" spans="1:53" s="17" customFormat="1" x14ac:dyDescent="0.3">
      <c r="A678" s="118"/>
      <c r="B678" s="17" t="str">
        <f>+B677</f>
        <v>BCV131C</v>
      </c>
      <c r="C678" s="17" t="s">
        <v>499</v>
      </c>
      <c r="D678" s="18"/>
      <c r="E678" s="18"/>
      <c r="F678" s="63"/>
      <c r="G678" s="133"/>
      <c r="H678" s="84">
        <f>+H677</f>
        <v>1</v>
      </c>
      <c r="I678" s="135">
        <f>$I677+1</f>
        <v>3</v>
      </c>
      <c r="J678" s="134" t="s">
        <v>580</v>
      </c>
      <c r="K678" s="84"/>
      <c r="L678" s="64" t="s">
        <v>323</v>
      </c>
      <c r="M678" s="18"/>
      <c r="N678" s="17">
        <v>3</v>
      </c>
      <c r="P678" s="64" t="s">
        <v>357</v>
      </c>
      <c r="Q678" s="64"/>
      <c r="R678" s="64" t="s">
        <v>579</v>
      </c>
      <c r="S678" s="64"/>
      <c r="T678" s="64"/>
      <c r="U678" s="64" t="str">
        <f>+U677</f>
        <v>BCV131CVS01</v>
      </c>
      <c r="V678" s="18"/>
      <c r="W678" s="18"/>
      <c r="X678" s="64" t="s">
        <v>495</v>
      </c>
      <c r="Y678" s="78" t="s">
        <v>289</v>
      </c>
      <c r="Z678" s="33" t="s">
        <v>548</v>
      </c>
      <c r="AC678" s="116"/>
      <c r="AD678" s="19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</row>
    <row r="679" spans="1:53" s="17" customFormat="1" x14ac:dyDescent="0.3">
      <c r="A679" s="118"/>
      <c r="B679" s="17" t="str">
        <f>+B678</f>
        <v>BCV131C</v>
      </c>
      <c r="C679" s="17" t="s">
        <v>499</v>
      </c>
      <c r="D679" s="18"/>
      <c r="E679" s="18"/>
      <c r="F679" s="63"/>
      <c r="G679" s="133"/>
      <c r="H679" s="84">
        <f>+H678</f>
        <v>1</v>
      </c>
      <c r="I679" s="135">
        <f>$I678+1</f>
        <v>4</v>
      </c>
      <c r="J679" s="134" t="s">
        <v>578</v>
      </c>
      <c r="K679" s="84"/>
      <c r="L679" s="64" t="s">
        <v>323</v>
      </c>
      <c r="M679" s="18"/>
      <c r="N679" s="17">
        <v>3</v>
      </c>
      <c r="P679" s="64" t="s">
        <v>577</v>
      </c>
      <c r="Q679" s="64"/>
      <c r="R679" s="64" t="s">
        <v>576</v>
      </c>
      <c r="S679" s="64"/>
      <c r="T679" s="64"/>
      <c r="U679" s="64" t="str">
        <f>+U678</f>
        <v>BCV131CVS01</v>
      </c>
      <c r="V679" s="18"/>
      <c r="W679" s="18"/>
      <c r="X679" s="64" t="s">
        <v>495</v>
      </c>
      <c r="Y679" s="78" t="s">
        <v>289</v>
      </c>
      <c r="Z679" s="33" t="s">
        <v>548</v>
      </c>
      <c r="AC679" s="116"/>
      <c r="AD679" s="19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</row>
    <row r="680" spans="1:53" s="17" customFormat="1" x14ac:dyDescent="0.3">
      <c r="A680" s="118"/>
      <c r="B680" s="17" t="str">
        <f>+B679</f>
        <v>BCV131C</v>
      </c>
      <c r="C680" s="17" t="s">
        <v>499</v>
      </c>
      <c r="D680" s="18"/>
      <c r="E680" s="18"/>
      <c r="F680" s="63"/>
      <c r="G680" s="133"/>
      <c r="H680" s="84">
        <f>+H679</f>
        <v>1</v>
      </c>
      <c r="I680" s="135">
        <f>$I679+1</f>
        <v>5</v>
      </c>
      <c r="J680" s="134" t="s">
        <v>575</v>
      </c>
      <c r="K680" s="84"/>
      <c r="L680" s="64" t="s">
        <v>323</v>
      </c>
      <c r="M680" s="18"/>
      <c r="N680" s="17">
        <v>3</v>
      </c>
      <c r="P680" s="64" t="s">
        <v>574</v>
      </c>
      <c r="Q680" s="64"/>
      <c r="R680" s="64" t="s">
        <v>573</v>
      </c>
      <c r="S680" s="64"/>
      <c r="T680" s="64"/>
      <c r="U680" s="64" t="str">
        <f>+U679</f>
        <v>BCV131CVS01</v>
      </c>
      <c r="V680" s="18"/>
      <c r="W680" s="18"/>
      <c r="X680" s="64" t="s">
        <v>495</v>
      </c>
      <c r="Y680" s="78" t="s">
        <v>289</v>
      </c>
      <c r="Z680" s="33" t="s">
        <v>548</v>
      </c>
      <c r="AC680" s="116"/>
      <c r="AD680" s="19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</row>
    <row r="681" spans="1:53" s="17" customFormat="1" x14ac:dyDescent="0.3">
      <c r="A681" s="118"/>
      <c r="B681" s="17" t="str">
        <f>+B680</f>
        <v>BCV131C</v>
      </c>
      <c r="C681" s="17" t="s">
        <v>499</v>
      </c>
      <c r="D681" s="18"/>
      <c r="E681" s="18"/>
      <c r="F681" s="63"/>
      <c r="G681" s="133"/>
      <c r="H681" s="84">
        <f>+H680</f>
        <v>1</v>
      </c>
      <c r="I681" s="135">
        <f>$I680+1</f>
        <v>6</v>
      </c>
      <c r="J681" s="134" t="s">
        <v>572</v>
      </c>
      <c r="K681" s="84"/>
      <c r="L681" s="64" t="s">
        <v>323</v>
      </c>
      <c r="M681" s="18"/>
      <c r="N681" s="17">
        <v>3</v>
      </c>
      <c r="P681" s="64"/>
      <c r="Q681" s="64"/>
      <c r="R681" s="64" t="s">
        <v>291</v>
      </c>
      <c r="S681" s="64"/>
      <c r="T681" s="64"/>
      <c r="U681" s="64" t="str">
        <f>+U680</f>
        <v>BCV131CVS01</v>
      </c>
      <c r="V681" s="18"/>
      <c r="W681" s="18"/>
      <c r="X681" s="64" t="s">
        <v>495</v>
      </c>
      <c r="Y681" s="78" t="s">
        <v>289</v>
      </c>
      <c r="Z681" s="33" t="s">
        <v>548</v>
      </c>
      <c r="AC681" s="116"/>
      <c r="AD681" s="19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</row>
    <row r="682" spans="1:53" s="17" customFormat="1" x14ac:dyDescent="0.3">
      <c r="A682" s="118"/>
      <c r="B682" s="17" t="str">
        <f>+B681</f>
        <v>BCV131C</v>
      </c>
      <c r="C682" s="17" t="s">
        <v>499</v>
      </c>
      <c r="D682" s="18"/>
      <c r="E682" s="18"/>
      <c r="F682" s="63"/>
      <c r="G682" s="133"/>
      <c r="H682" s="84">
        <f>+H681</f>
        <v>1</v>
      </c>
      <c r="I682" s="135">
        <f>$I681+1</f>
        <v>7</v>
      </c>
      <c r="J682" s="134" t="s">
        <v>571</v>
      </c>
      <c r="K682" s="84"/>
      <c r="L682" s="64" t="s">
        <v>323</v>
      </c>
      <c r="M682" s="18"/>
      <c r="N682" s="17">
        <v>3</v>
      </c>
      <c r="P682" s="64" t="s">
        <v>570</v>
      </c>
      <c r="Q682" s="64"/>
      <c r="R682" s="64" t="s">
        <v>569</v>
      </c>
      <c r="S682" s="64"/>
      <c r="T682" s="64"/>
      <c r="U682" s="64" t="str">
        <f>+U681</f>
        <v>BCV131CVS01</v>
      </c>
      <c r="V682" s="18"/>
      <c r="W682" s="18"/>
      <c r="X682" s="64" t="s">
        <v>495</v>
      </c>
      <c r="Y682" s="78" t="s">
        <v>289</v>
      </c>
      <c r="Z682" s="33" t="s">
        <v>548</v>
      </c>
      <c r="AC682" s="116"/>
      <c r="AD682" s="19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</row>
    <row r="683" spans="1:53" s="17" customFormat="1" x14ac:dyDescent="0.3">
      <c r="A683" s="118"/>
      <c r="B683" s="17" t="str">
        <f>+B682</f>
        <v>BCV131C</v>
      </c>
      <c r="C683" s="17" t="s">
        <v>499</v>
      </c>
      <c r="D683" s="18"/>
      <c r="E683" s="18"/>
      <c r="F683" s="63"/>
      <c r="G683" s="133"/>
      <c r="H683" s="84">
        <f>+H682</f>
        <v>1</v>
      </c>
      <c r="I683" s="135">
        <f>$I682+1</f>
        <v>8</v>
      </c>
      <c r="J683" s="134" t="s">
        <v>568</v>
      </c>
      <c r="K683" s="84"/>
      <c r="L683" s="64" t="s">
        <v>323</v>
      </c>
      <c r="M683" s="18"/>
      <c r="N683" s="17">
        <v>3</v>
      </c>
      <c r="P683" s="64" t="s">
        <v>567</v>
      </c>
      <c r="Q683" s="64"/>
      <c r="R683" s="64" t="s">
        <v>566</v>
      </c>
      <c r="S683" s="64" t="s">
        <v>247</v>
      </c>
      <c r="T683" s="64"/>
      <c r="U683" s="64" t="str">
        <f>+U682</f>
        <v>BCV131CVS01</v>
      </c>
      <c r="V683" s="18"/>
      <c r="W683" s="18"/>
      <c r="X683" s="64" t="s">
        <v>495</v>
      </c>
      <c r="Y683" s="78" t="s">
        <v>289</v>
      </c>
      <c r="Z683" s="33" t="s">
        <v>548</v>
      </c>
      <c r="AC683" s="116"/>
      <c r="AD683" s="19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</row>
    <row r="684" spans="1:53" s="17" customFormat="1" x14ac:dyDescent="0.3">
      <c r="A684" s="118"/>
      <c r="B684" s="17" t="str">
        <f>+B683</f>
        <v>BCV131C</v>
      </c>
      <c r="C684" s="17" t="s">
        <v>499</v>
      </c>
      <c r="D684" s="18"/>
      <c r="E684" s="18"/>
      <c r="F684" s="63"/>
      <c r="G684" s="133"/>
      <c r="H684" s="84">
        <f>+H683</f>
        <v>1</v>
      </c>
      <c r="I684" s="135">
        <f>$I683+1</f>
        <v>9</v>
      </c>
      <c r="J684" s="134" t="s">
        <v>565</v>
      </c>
      <c r="K684" s="84"/>
      <c r="L684" s="64" t="s">
        <v>323</v>
      </c>
      <c r="M684" s="18"/>
      <c r="N684" s="17">
        <v>3</v>
      </c>
      <c r="P684" s="64" t="s">
        <v>474</v>
      </c>
      <c r="Q684" s="64"/>
      <c r="R684" s="64" t="s">
        <v>564</v>
      </c>
      <c r="S684" s="64" t="s">
        <v>427</v>
      </c>
      <c r="T684" s="64"/>
      <c r="U684" s="64" t="str">
        <f>+U683</f>
        <v>BCV131CVS01</v>
      </c>
      <c r="V684" s="18"/>
      <c r="W684" s="18"/>
      <c r="X684" s="64" t="s">
        <v>495</v>
      </c>
      <c r="Y684" s="78" t="s">
        <v>289</v>
      </c>
      <c r="Z684" s="33" t="s">
        <v>548</v>
      </c>
      <c r="AC684" s="116"/>
      <c r="AD684" s="19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</row>
    <row r="685" spans="1:53" s="17" customFormat="1" x14ac:dyDescent="0.3">
      <c r="A685" s="118"/>
      <c r="B685" s="17" t="str">
        <f>+B684</f>
        <v>BCV131C</v>
      </c>
      <c r="C685" s="17" t="s">
        <v>499</v>
      </c>
      <c r="D685" s="18"/>
      <c r="E685" s="18"/>
      <c r="F685" s="63"/>
      <c r="G685" s="133"/>
      <c r="H685" s="84">
        <f>+H684</f>
        <v>1</v>
      </c>
      <c r="I685" s="135">
        <f>$I684+1</f>
        <v>10</v>
      </c>
      <c r="J685" s="134" t="s">
        <v>563</v>
      </c>
      <c r="K685" s="84"/>
      <c r="L685" s="64" t="s">
        <v>323</v>
      </c>
      <c r="M685" s="18"/>
      <c r="N685" s="17">
        <v>3</v>
      </c>
      <c r="P685" s="64" t="s">
        <v>562</v>
      </c>
      <c r="Q685" s="64"/>
      <c r="R685" s="64" t="s">
        <v>561</v>
      </c>
      <c r="S685" s="64" t="s">
        <v>211</v>
      </c>
      <c r="T685" s="64"/>
      <c r="U685" s="64" t="str">
        <f>+U684</f>
        <v>BCV131CVS01</v>
      </c>
      <c r="V685" s="18"/>
      <c r="W685" s="18"/>
      <c r="X685" s="64" t="s">
        <v>495</v>
      </c>
      <c r="Y685" s="78" t="s">
        <v>289</v>
      </c>
      <c r="Z685" s="33" t="s">
        <v>548</v>
      </c>
      <c r="AC685" s="116"/>
      <c r="AD685" s="19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</row>
    <row r="686" spans="1:53" s="17" customFormat="1" x14ac:dyDescent="0.3">
      <c r="A686" s="118"/>
      <c r="B686" s="17" t="str">
        <f>+B685</f>
        <v>BCV131C</v>
      </c>
      <c r="C686" s="17" t="s">
        <v>499</v>
      </c>
      <c r="D686" s="18"/>
      <c r="E686" s="18"/>
      <c r="F686" s="63"/>
      <c r="G686" s="133"/>
      <c r="H686" s="84">
        <f>+H685</f>
        <v>1</v>
      </c>
      <c r="I686" s="135">
        <f>$I685+1</f>
        <v>11</v>
      </c>
      <c r="J686" s="134" t="s">
        <v>560</v>
      </c>
      <c r="K686" s="84"/>
      <c r="L686" s="64" t="s">
        <v>323</v>
      </c>
      <c r="M686" s="18"/>
      <c r="N686" s="17">
        <v>6</v>
      </c>
      <c r="P686" s="64" t="s">
        <v>559</v>
      </c>
      <c r="Q686" s="64"/>
      <c r="R686" s="64" t="s">
        <v>558</v>
      </c>
      <c r="S686" s="64" t="s">
        <v>211</v>
      </c>
      <c r="T686" s="64"/>
      <c r="U686" s="64" t="str">
        <f>+U685</f>
        <v>BCV131CVS01</v>
      </c>
      <c r="V686" s="18"/>
      <c r="W686" s="18"/>
      <c r="X686" s="64" t="s">
        <v>495</v>
      </c>
      <c r="Y686" s="78" t="s">
        <v>289</v>
      </c>
      <c r="Z686" s="33" t="s">
        <v>548</v>
      </c>
      <c r="AC686" s="116"/>
      <c r="AD686" s="19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</row>
    <row r="687" spans="1:53" s="17" customFormat="1" x14ac:dyDescent="0.3">
      <c r="A687" s="118"/>
      <c r="B687" s="17" t="str">
        <f>+B686</f>
        <v>BCV131C</v>
      </c>
      <c r="C687" s="17" t="s">
        <v>499</v>
      </c>
      <c r="D687" s="18"/>
      <c r="E687" s="18"/>
      <c r="F687" s="63"/>
      <c r="G687" s="133"/>
      <c r="H687" s="84">
        <f>+H686</f>
        <v>1</v>
      </c>
      <c r="I687" s="135">
        <f>$I686+1</f>
        <v>12</v>
      </c>
      <c r="J687" s="134" t="s">
        <v>557</v>
      </c>
      <c r="K687" s="84"/>
      <c r="L687" s="64" t="s">
        <v>323</v>
      </c>
      <c r="M687" s="18"/>
      <c r="N687" s="17">
        <v>6</v>
      </c>
      <c r="P687" s="64" t="s">
        <v>556</v>
      </c>
      <c r="Q687" s="64"/>
      <c r="R687" s="64" t="s">
        <v>555</v>
      </c>
      <c r="S687" s="64" t="s">
        <v>211</v>
      </c>
      <c r="T687" s="64"/>
      <c r="U687" s="64" t="str">
        <f>+U686</f>
        <v>BCV131CVS01</v>
      </c>
      <c r="V687" s="18"/>
      <c r="W687" s="18"/>
      <c r="X687" s="64" t="s">
        <v>495</v>
      </c>
      <c r="Y687" s="78" t="s">
        <v>289</v>
      </c>
      <c r="Z687" s="33" t="s">
        <v>548</v>
      </c>
      <c r="AC687" s="116"/>
      <c r="AD687" s="19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</row>
    <row r="688" spans="1:53" s="17" customFormat="1" x14ac:dyDescent="0.3">
      <c r="A688" s="118"/>
      <c r="B688" s="17" t="str">
        <f>+B687</f>
        <v>BCV131C</v>
      </c>
      <c r="C688" s="17" t="s">
        <v>499</v>
      </c>
      <c r="D688" s="18"/>
      <c r="E688" s="18"/>
      <c r="F688" s="63"/>
      <c r="G688" s="133"/>
      <c r="H688" s="84">
        <f>+H687</f>
        <v>1</v>
      </c>
      <c r="I688" s="135">
        <f>$I687+1</f>
        <v>13</v>
      </c>
      <c r="J688" s="134" t="s">
        <v>554</v>
      </c>
      <c r="K688" s="84"/>
      <c r="L688" s="64" t="s">
        <v>323</v>
      </c>
      <c r="M688" s="18"/>
      <c r="N688" s="17">
        <v>3</v>
      </c>
      <c r="P688" s="64" t="s">
        <v>429</v>
      </c>
      <c r="Q688" s="64"/>
      <c r="R688" s="64" t="s">
        <v>553</v>
      </c>
      <c r="S688" s="64" t="s">
        <v>211</v>
      </c>
      <c r="T688" s="64"/>
      <c r="U688" s="64" t="str">
        <f>+U687</f>
        <v>BCV131CVS01</v>
      </c>
      <c r="V688" s="18"/>
      <c r="W688" s="18"/>
      <c r="X688" s="64" t="s">
        <v>495</v>
      </c>
      <c r="Y688" s="78" t="s">
        <v>289</v>
      </c>
      <c r="Z688" s="33" t="s">
        <v>548</v>
      </c>
      <c r="AC688" s="116"/>
      <c r="AD688" s="19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</row>
    <row r="689" spans="1:53" s="17" customFormat="1" x14ac:dyDescent="0.3">
      <c r="A689" s="118"/>
      <c r="B689" s="17" t="str">
        <f>+B688</f>
        <v>BCV131C</v>
      </c>
      <c r="C689" s="17" t="s">
        <v>499</v>
      </c>
      <c r="D689" s="18"/>
      <c r="E689" s="18"/>
      <c r="F689" s="63"/>
      <c r="G689" s="133"/>
      <c r="H689" s="84">
        <f>+H688</f>
        <v>1</v>
      </c>
      <c r="I689" s="135">
        <f>$I688+1</f>
        <v>14</v>
      </c>
      <c r="J689" s="134" t="s">
        <v>552</v>
      </c>
      <c r="K689" s="84"/>
      <c r="L689" s="64" t="s">
        <v>323</v>
      </c>
      <c r="M689" s="18"/>
      <c r="N689" s="17">
        <v>3</v>
      </c>
      <c r="P689" s="64" t="s">
        <v>339</v>
      </c>
      <c r="Q689" s="64"/>
      <c r="R689" s="64" t="s">
        <v>551</v>
      </c>
      <c r="S689" s="64" t="s">
        <v>211</v>
      </c>
      <c r="T689" s="64"/>
      <c r="U689" s="64" t="str">
        <f>+U688</f>
        <v>BCV131CVS01</v>
      </c>
      <c r="V689" s="18"/>
      <c r="W689" s="18"/>
      <c r="X689" s="64" t="s">
        <v>495</v>
      </c>
      <c r="Y689" s="78" t="s">
        <v>289</v>
      </c>
      <c r="Z689" s="33" t="s">
        <v>548</v>
      </c>
      <c r="AC689" s="116"/>
      <c r="AD689" s="19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</row>
    <row r="690" spans="1:53" s="17" customFormat="1" x14ac:dyDescent="0.3">
      <c r="A690" s="118"/>
      <c r="B690" s="17" t="str">
        <f>+B689</f>
        <v>BCV131C</v>
      </c>
      <c r="C690" s="17" t="s">
        <v>499</v>
      </c>
      <c r="D690" s="18"/>
      <c r="E690" s="18"/>
      <c r="F690" s="63"/>
      <c r="G690" s="133"/>
      <c r="H690" s="84">
        <f>+H689</f>
        <v>1</v>
      </c>
      <c r="I690" s="135">
        <f>$I689+1</f>
        <v>15</v>
      </c>
      <c r="J690" s="134" t="s">
        <v>550</v>
      </c>
      <c r="K690" s="84"/>
      <c r="L690" s="64" t="s">
        <v>323</v>
      </c>
      <c r="M690" s="18"/>
      <c r="N690" s="17">
        <v>3</v>
      </c>
      <c r="P690" s="64" t="s">
        <v>335</v>
      </c>
      <c r="Q690" s="64"/>
      <c r="R690" s="64" t="s">
        <v>549</v>
      </c>
      <c r="S690" s="64" t="s">
        <v>211</v>
      </c>
      <c r="T690" s="64"/>
      <c r="U690" s="64" t="str">
        <f>+U689</f>
        <v>BCV131CVS01</v>
      </c>
      <c r="V690" s="18"/>
      <c r="W690" s="18"/>
      <c r="X690" s="64" t="s">
        <v>495</v>
      </c>
      <c r="Y690" s="78" t="s">
        <v>289</v>
      </c>
      <c r="Z690" s="33" t="s">
        <v>548</v>
      </c>
      <c r="AC690" s="116"/>
      <c r="AD690" s="19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</row>
    <row r="691" spans="1:53" s="17" customFormat="1" x14ac:dyDescent="0.3">
      <c r="A691" s="118"/>
      <c r="B691" s="17" t="str">
        <f>+B690</f>
        <v>BCV131C</v>
      </c>
      <c r="C691" s="17" t="s">
        <v>499</v>
      </c>
      <c r="D691" s="18"/>
      <c r="E691" s="18"/>
      <c r="F691" s="63"/>
      <c r="G691" s="133"/>
      <c r="H691" s="84">
        <f>+H690</f>
        <v>1</v>
      </c>
      <c r="I691" s="135">
        <f>$I690+1</f>
        <v>16</v>
      </c>
      <c r="J691" s="134" t="s">
        <v>547</v>
      </c>
      <c r="K691" s="84"/>
      <c r="L691" s="64" t="s">
        <v>323</v>
      </c>
      <c r="M691" s="18"/>
      <c r="N691" s="83">
        <v>6</v>
      </c>
      <c r="P691" s="113" t="s">
        <v>546</v>
      </c>
      <c r="Q691" s="113"/>
      <c r="R691" s="113" t="s">
        <v>545</v>
      </c>
      <c r="S691" s="113" t="s">
        <v>211</v>
      </c>
      <c r="T691" s="64"/>
      <c r="U691" s="64" t="str">
        <f>+U690</f>
        <v>BCV131CVS01</v>
      </c>
      <c r="V691" s="18"/>
      <c r="W691" s="18"/>
      <c r="X691" s="64" t="s">
        <v>495</v>
      </c>
      <c r="Y691" s="78" t="s">
        <v>289</v>
      </c>
      <c r="Z691" s="17" t="s">
        <v>535</v>
      </c>
      <c r="AC691" s="116"/>
      <c r="AD691" s="19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</row>
    <row r="692" spans="1:53" s="17" customFormat="1" x14ac:dyDescent="0.3">
      <c r="A692" s="118"/>
      <c r="B692" s="17" t="str">
        <f>+B691</f>
        <v>BCV131C</v>
      </c>
      <c r="C692" s="17" t="s">
        <v>499</v>
      </c>
      <c r="D692" s="18"/>
      <c r="E692" s="18"/>
      <c r="F692" s="63"/>
      <c r="G692" s="133"/>
      <c r="H692" s="84">
        <f>+H691</f>
        <v>1</v>
      </c>
      <c r="I692" s="135">
        <f>$I691+1</f>
        <v>17</v>
      </c>
      <c r="J692" s="134" t="s">
        <v>544</v>
      </c>
      <c r="K692" s="84"/>
      <c r="L692" s="64" t="s">
        <v>323</v>
      </c>
      <c r="M692" s="18"/>
      <c r="N692" s="83">
        <v>6</v>
      </c>
      <c r="P692" s="113" t="s">
        <v>543</v>
      </c>
      <c r="Q692" s="113"/>
      <c r="R692" s="113" t="s">
        <v>542</v>
      </c>
      <c r="S692" s="113" t="s">
        <v>211</v>
      </c>
      <c r="T692" s="64"/>
      <c r="U692" s="64" t="str">
        <f>+U691</f>
        <v>BCV131CVS01</v>
      </c>
      <c r="V692" s="18"/>
      <c r="W692" s="18"/>
      <c r="X692" s="64" t="s">
        <v>495</v>
      </c>
      <c r="Y692" s="78" t="s">
        <v>289</v>
      </c>
      <c r="Z692" s="17" t="s">
        <v>535</v>
      </c>
      <c r="AC692" s="116"/>
      <c r="AD692" s="19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</row>
    <row r="693" spans="1:53" s="17" customFormat="1" x14ac:dyDescent="0.3">
      <c r="A693" s="118"/>
      <c r="B693" s="17" t="str">
        <f>+B692</f>
        <v>BCV131C</v>
      </c>
      <c r="C693" s="17" t="s">
        <v>499</v>
      </c>
      <c r="D693" s="18"/>
      <c r="E693" s="18"/>
      <c r="F693" s="63"/>
      <c r="G693" s="133"/>
      <c r="H693" s="84">
        <f>+H692</f>
        <v>1</v>
      </c>
      <c r="I693" s="135">
        <f>$I692+1</f>
        <v>18</v>
      </c>
      <c r="J693" s="134" t="s">
        <v>541</v>
      </c>
      <c r="K693" s="84"/>
      <c r="L693" s="64" t="s">
        <v>323</v>
      </c>
      <c r="M693" s="18"/>
      <c r="N693" s="17">
        <v>3</v>
      </c>
      <c r="P693" s="64" t="s">
        <v>540</v>
      </c>
      <c r="Q693" s="64"/>
      <c r="R693" s="64" t="s">
        <v>539</v>
      </c>
      <c r="S693" s="64" t="s">
        <v>247</v>
      </c>
      <c r="T693" s="64"/>
      <c r="U693" s="64" t="str">
        <f>+U692</f>
        <v>BCV131CVS01</v>
      </c>
      <c r="V693" s="18"/>
      <c r="W693" s="18"/>
      <c r="X693" s="64" t="s">
        <v>495</v>
      </c>
      <c r="Y693" s="78" t="s">
        <v>289</v>
      </c>
      <c r="Z693" s="17" t="s">
        <v>535</v>
      </c>
      <c r="AC693" s="116"/>
      <c r="AD693" s="19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</row>
    <row r="694" spans="1:53" s="17" customFormat="1" x14ac:dyDescent="0.3">
      <c r="A694" s="118"/>
      <c r="B694" s="17" t="str">
        <f>+B693</f>
        <v>BCV131C</v>
      </c>
      <c r="C694" s="17" t="s">
        <v>499</v>
      </c>
      <c r="D694" s="18"/>
      <c r="E694" s="18"/>
      <c r="F694" s="63"/>
      <c r="G694" s="133"/>
      <c r="H694" s="84">
        <f>+H693</f>
        <v>1</v>
      </c>
      <c r="I694" s="135">
        <f>$I693+1</f>
        <v>19</v>
      </c>
      <c r="J694" s="134" t="s">
        <v>538</v>
      </c>
      <c r="K694" s="84"/>
      <c r="L694" s="64" t="s">
        <v>323</v>
      </c>
      <c r="M694" s="18"/>
      <c r="N694" s="17">
        <v>3</v>
      </c>
      <c r="P694" s="64" t="s">
        <v>537</v>
      </c>
      <c r="Q694" s="64"/>
      <c r="R694" s="64" t="s">
        <v>536</v>
      </c>
      <c r="S694" s="64" t="s">
        <v>211</v>
      </c>
      <c r="T694" s="64"/>
      <c r="U694" s="64" t="str">
        <f>+U693</f>
        <v>BCV131CVS01</v>
      </c>
      <c r="V694" s="18"/>
      <c r="W694" s="18"/>
      <c r="X694" s="64" t="s">
        <v>495</v>
      </c>
      <c r="Y694" s="78" t="s">
        <v>289</v>
      </c>
      <c r="Z694" s="17" t="s">
        <v>535</v>
      </c>
      <c r="AC694" s="116"/>
      <c r="AD694" s="19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</row>
    <row r="695" spans="1:53" s="17" customFormat="1" x14ac:dyDescent="0.3">
      <c r="A695" s="118"/>
      <c r="B695" s="17" t="str">
        <f>+B694</f>
        <v>BCV131C</v>
      </c>
      <c r="C695" s="17" t="s">
        <v>499</v>
      </c>
      <c r="D695" s="18"/>
      <c r="E695" s="18"/>
      <c r="F695" s="63"/>
      <c r="G695" s="133"/>
      <c r="H695" s="84">
        <f>+H694</f>
        <v>1</v>
      </c>
      <c r="I695" s="135">
        <v>0</v>
      </c>
      <c r="J695" s="134" t="s">
        <v>534</v>
      </c>
      <c r="K695" s="65"/>
      <c r="L695" s="18" t="s">
        <v>292</v>
      </c>
      <c r="M695" s="18"/>
      <c r="N695" s="17">
        <v>3</v>
      </c>
      <c r="P695" s="18" t="s">
        <v>416</v>
      </c>
      <c r="Q695" s="18"/>
      <c r="R695" s="64" t="s">
        <v>533</v>
      </c>
      <c r="S695" s="18"/>
      <c r="T695" s="18"/>
      <c r="U695" s="64" t="str">
        <f>+U694</f>
        <v>BCV131CVS01</v>
      </c>
      <c r="V695" s="18"/>
      <c r="W695" s="18"/>
      <c r="X695" s="64" t="s">
        <v>495</v>
      </c>
      <c r="Y695" s="78" t="s">
        <v>289</v>
      </c>
      <c r="Z695" s="17" t="s">
        <v>519</v>
      </c>
      <c r="AC695" s="116"/>
      <c r="AD695" s="19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</row>
    <row r="696" spans="1:53" s="17" customFormat="1" x14ac:dyDescent="0.3">
      <c r="A696" s="118"/>
      <c r="B696" s="17" t="str">
        <f>+B695</f>
        <v>BCV131C</v>
      </c>
      <c r="C696" s="17" t="s">
        <v>499</v>
      </c>
      <c r="D696" s="18"/>
      <c r="E696" s="18"/>
      <c r="F696" s="63"/>
      <c r="G696" s="133"/>
      <c r="H696" s="84">
        <f>+H695</f>
        <v>1</v>
      </c>
      <c r="I696" s="135">
        <v>1</v>
      </c>
      <c r="J696" s="134" t="s">
        <v>532</v>
      </c>
      <c r="K696" s="18"/>
      <c r="L696" s="18" t="s">
        <v>292</v>
      </c>
      <c r="M696" s="18"/>
      <c r="N696" s="17">
        <v>3</v>
      </c>
      <c r="P696" s="18" t="s">
        <v>531</v>
      </c>
      <c r="Q696" s="18"/>
      <c r="R696" s="64" t="s">
        <v>530</v>
      </c>
      <c r="S696" s="18"/>
      <c r="T696" s="18"/>
      <c r="U696" s="64" t="str">
        <f>+U695</f>
        <v>BCV131CVS01</v>
      </c>
      <c r="V696" s="18"/>
      <c r="W696" s="18"/>
      <c r="X696" s="64" t="s">
        <v>495</v>
      </c>
      <c r="Y696" s="78" t="s">
        <v>289</v>
      </c>
      <c r="Z696" s="17" t="s">
        <v>519</v>
      </c>
      <c r="AC696" s="116"/>
      <c r="AD696" s="19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</row>
    <row r="697" spans="1:53" s="17" customFormat="1" x14ac:dyDescent="0.3">
      <c r="A697" s="118"/>
      <c r="B697" s="17" t="str">
        <f>+B696</f>
        <v>BCV131C</v>
      </c>
      <c r="C697" s="17" t="s">
        <v>499</v>
      </c>
      <c r="D697" s="18"/>
      <c r="E697" s="18"/>
      <c r="F697" s="63"/>
      <c r="G697" s="133"/>
      <c r="H697" s="84">
        <f>+H696</f>
        <v>1</v>
      </c>
      <c r="I697" s="135">
        <v>2</v>
      </c>
      <c r="J697" s="134" t="s">
        <v>529</v>
      </c>
      <c r="K697" s="18"/>
      <c r="L697" s="18" t="s">
        <v>292</v>
      </c>
      <c r="M697" s="18"/>
      <c r="N697" s="17">
        <v>3</v>
      </c>
      <c r="P697" s="18" t="s">
        <v>374</v>
      </c>
      <c r="Q697" s="18"/>
      <c r="R697" s="64" t="s">
        <v>528</v>
      </c>
      <c r="S697" s="18"/>
      <c r="T697" s="18"/>
      <c r="U697" s="64" t="str">
        <f>+U696</f>
        <v>BCV131CVS01</v>
      </c>
      <c r="V697" s="18"/>
      <c r="W697" s="18"/>
      <c r="X697" s="64" t="s">
        <v>495</v>
      </c>
      <c r="Y697" s="78" t="s">
        <v>289</v>
      </c>
      <c r="Z697" s="17" t="s">
        <v>519</v>
      </c>
      <c r="AC697" s="116"/>
      <c r="AD697" s="19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</row>
    <row r="698" spans="1:53" s="17" customFormat="1" x14ac:dyDescent="0.3">
      <c r="A698" s="118"/>
      <c r="B698" s="17" t="str">
        <f>+B697</f>
        <v>BCV131C</v>
      </c>
      <c r="C698" s="17" t="s">
        <v>499</v>
      </c>
      <c r="D698" s="18"/>
      <c r="E698" s="18"/>
      <c r="F698" s="63"/>
      <c r="G698" s="133"/>
      <c r="H698" s="84">
        <f>+H697</f>
        <v>1</v>
      </c>
      <c r="I698" s="135">
        <v>3</v>
      </c>
      <c r="J698" s="134" t="s">
        <v>527</v>
      </c>
      <c r="K698" s="18"/>
      <c r="L698" s="18" t="s">
        <v>292</v>
      </c>
      <c r="M698" s="18"/>
      <c r="N698" s="17">
        <v>3</v>
      </c>
      <c r="P698" s="18" t="s">
        <v>347</v>
      </c>
      <c r="Q698" s="18"/>
      <c r="R698" s="64" t="s">
        <v>526</v>
      </c>
      <c r="S698" s="18"/>
      <c r="T698" s="18"/>
      <c r="U698" s="64" t="str">
        <f>+U697</f>
        <v>BCV131CVS01</v>
      </c>
      <c r="V698" s="18"/>
      <c r="W698" s="18"/>
      <c r="X698" s="64" t="s">
        <v>495</v>
      </c>
      <c r="Y698" s="78" t="s">
        <v>289</v>
      </c>
      <c r="Z698" s="17" t="s">
        <v>519</v>
      </c>
      <c r="AC698" s="116"/>
      <c r="AD698" s="19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</row>
    <row r="699" spans="1:53" s="17" customFormat="1" x14ac:dyDescent="0.3">
      <c r="A699" s="118"/>
      <c r="B699" s="17" t="str">
        <f>+B698</f>
        <v>BCV131C</v>
      </c>
      <c r="C699" s="17" t="s">
        <v>499</v>
      </c>
      <c r="D699" s="18"/>
      <c r="E699" s="18"/>
      <c r="F699" s="63"/>
      <c r="G699" s="133"/>
      <c r="H699" s="84">
        <f>+H698</f>
        <v>1</v>
      </c>
      <c r="I699" s="135">
        <v>4</v>
      </c>
      <c r="J699" s="134" t="s">
        <v>525</v>
      </c>
      <c r="K699" s="18"/>
      <c r="L699" s="18" t="s">
        <v>292</v>
      </c>
      <c r="M699" s="18"/>
      <c r="N699" s="17">
        <v>6</v>
      </c>
      <c r="P699" s="18" t="s">
        <v>343</v>
      </c>
      <c r="Q699" s="18"/>
      <c r="R699" s="64" t="s">
        <v>524</v>
      </c>
      <c r="S699" s="18"/>
      <c r="T699" s="18"/>
      <c r="U699" s="64" t="str">
        <f>+U698</f>
        <v>BCV131CVS01</v>
      </c>
      <c r="V699" s="18"/>
      <c r="W699" s="18"/>
      <c r="X699" s="64" t="s">
        <v>495</v>
      </c>
      <c r="Y699" s="78" t="s">
        <v>289</v>
      </c>
      <c r="Z699" s="17" t="s">
        <v>519</v>
      </c>
      <c r="AC699" s="116"/>
      <c r="AD699" s="19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</row>
    <row r="700" spans="1:53" s="17" customFormat="1" x14ac:dyDescent="0.3">
      <c r="A700" s="118"/>
      <c r="B700" s="17" t="str">
        <f>+B699</f>
        <v>BCV131C</v>
      </c>
      <c r="C700" s="17" t="s">
        <v>499</v>
      </c>
      <c r="D700" s="18"/>
      <c r="E700" s="18"/>
      <c r="F700" s="63"/>
      <c r="G700" s="133"/>
      <c r="H700" s="84">
        <f>+H699</f>
        <v>1</v>
      </c>
      <c r="I700" s="135">
        <v>5</v>
      </c>
      <c r="J700" s="134" t="s">
        <v>523</v>
      </c>
      <c r="K700" s="18"/>
      <c r="L700" s="18" t="s">
        <v>292</v>
      </c>
      <c r="M700" s="18"/>
      <c r="N700" s="17">
        <v>3</v>
      </c>
      <c r="P700" s="18"/>
      <c r="Q700" s="18"/>
      <c r="R700" s="64" t="s">
        <v>291</v>
      </c>
      <c r="S700" s="18"/>
      <c r="T700" s="18"/>
      <c r="U700" s="64" t="str">
        <f>+U699</f>
        <v>BCV131CVS01</v>
      </c>
      <c r="V700" s="18"/>
      <c r="W700" s="18"/>
      <c r="X700" s="64" t="s">
        <v>495</v>
      </c>
      <c r="Y700" s="78" t="s">
        <v>289</v>
      </c>
      <c r="Z700" s="17" t="s">
        <v>519</v>
      </c>
      <c r="AC700" s="116"/>
      <c r="AD700" s="19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</row>
    <row r="701" spans="1:53" s="17" customFormat="1" x14ac:dyDescent="0.3">
      <c r="A701" s="118"/>
      <c r="B701" s="17" t="str">
        <f>+B700</f>
        <v>BCV131C</v>
      </c>
      <c r="C701" s="17" t="s">
        <v>499</v>
      </c>
      <c r="D701" s="18"/>
      <c r="E701" s="18"/>
      <c r="F701" s="63"/>
      <c r="G701" s="133"/>
      <c r="H701" s="84">
        <f>+H700</f>
        <v>1</v>
      </c>
      <c r="I701" s="135">
        <v>6</v>
      </c>
      <c r="J701" s="134" t="s">
        <v>522</v>
      </c>
      <c r="K701" s="18"/>
      <c r="L701" s="18" t="s">
        <v>292</v>
      </c>
      <c r="M701" s="18"/>
      <c r="N701" s="17">
        <v>3</v>
      </c>
      <c r="P701" s="18"/>
      <c r="Q701" s="18"/>
      <c r="R701" s="64" t="s">
        <v>291</v>
      </c>
      <c r="S701" s="18"/>
      <c r="T701" s="18"/>
      <c r="U701" s="64" t="str">
        <f>+U700</f>
        <v>BCV131CVS01</v>
      </c>
      <c r="V701" s="18"/>
      <c r="W701" s="18"/>
      <c r="X701" s="64" t="s">
        <v>495</v>
      </c>
      <c r="Y701" s="78" t="s">
        <v>289</v>
      </c>
      <c r="Z701" s="17" t="s">
        <v>519</v>
      </c>
      <c r="AC701" s="116"/>
      <c r="AD701" s="19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</row>
    <row r="702" spans="1:53" s="17" customFormat="1" x14ac:dyDescent="0.3">
      <c r="A702" s="118"/>
      <c r="B702" s="17" t="str">
        <f>+B701</f>
        <v>BCV131C</v>
      </c>
      <c r="C702" s="17" t="s">
        <v>499</v>
      </c>
      <c r="D702" s="18"/>
      <c r="E702" s="18"/>
      <c r="F702" s="63"/>
      <c r="G702" s="133"/>
      <c r="H702" s="84">
        <f>+H701</f>
        <v>1</v>
      </c>
      <c r="I702" s="135">
        <v>7</v>
      </c>
      <c r="J702" s="134" t="s">
        <v>521</v>
      </c>
      <c r="K702" s="18"/>
      <c r="L702" s="18" t="s">
        <v>292</v>
      </c>
      <c r="M702" s="18"/>
      <c r="N702" s="17">
        <v>3</v>
      </c>
      <c r="P702" s="18" t="s">
        <v>327</v>
      </c>
      <c r="Q702" s="18"/>
      <c r="R702" s="64" t="s">
        <v>520</v>
      </c>
      <c r="S702" s="18"/>
      <c r="T702" s="18"/>
      <c r="U702" s="64" t="str">
        <f>+U701</f>
        <v>BCV131CVS01</v>
      </c>
      <c r="V702" s="18"/>
      <c r="W702" s="18"/>
      <c r="X702" s="64" t="s">
        <v>495</v>
      </c>
      <c r="Y702" s="78" t="s">
        <v>289</v>
      </c>
      <c r="Z702" s="17" t="s">
        <v>519</v>
      </c>
      <c r="AC702" s="116"/>
      <c r="AD702" s="19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</row>
    <row r="703" spans="1:53" s="17" customFormat="1" x14ac:dyDescent="0.3">
      <c r="A703" s="118"/>
      <c r="B703" s="17" t="str">
        <f>+B702</f>
        <v>BCV131C</v>
      </c>
      <c r="C703" s="17" t="s">
        <v>499</v>
      </c>
      <c r="D703" s="18"/>
      <c r="E703" s="18"/>
      <c r="F703" s="63"/>
      <c r="G703" s="133"/>
      <c r="H703" s="84">
        <f>+H702</f>
        <v>1</v>
      </c>
      <c r="I703" s="135">
        <v>8</v>
      </c>
      <c r="J703" s="134" t="s">
        <v>518</v>
      </c>
      <c r="K703" s="18"/>
      <c r="L703" s="18" t="s">
        <v>292</v>
      </c>
      <c r="M703" s="18"/>
      <c r="N703" s="17">
        <v>3</v>
      </c>
      <c r="P703" s="18" t="s">
        <v>517</v>
      </c>
      <c r="Q703" s="18"/>
      <c r="R703" s="64" t="s">
        <v>516</v>
      </c>
      <c r="S703" s="18"/>
      <c r="T703" s="18"/>
      <c r="U703" s="64" t="str">
        <f>+U702</f>
        <v>BCV131CVS01</v>
      </c>
      <c r="V703" s="18"/>
      <c r="W703" s="18"/>
      <c r="X703" s="64" t="s">
        <v>495</v>
      </c>
      <c r="Y703" s="78" t="s">
        <v>289</v>
      </c>
      <c r="Z703" s="17" t="s">
        <v>494</v>
      </c>
      <c r="AC703" s="116"/>
      <c r="AD703" s="19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</row>
    <row r="704" spans="1:53" s="17" customFormat="1" x14ac:dyDescent="0.3">
      <c r="A704" s="118"/>
      <c r="B704" s="17" t="str">
        <f>+B703</f>
        <v>BCV131C</v>
      </c>
      <c r="C704" s="17" t="s">
        <v>499</v>
      </c>
      <c r="D704" s="18"/>
      <c r="E704" s="18"/>
      <c r="F704" s="63"/>
      <c r="G704" s="133"/>
      <c r="H704" s="84">
        <f>+H703</f>
        <v>1</v>
      </c>
      <c r="I704" s="135">
        <v>9</v>
      </c>
      <c r="J704" s="134" t="s">
        <v>515</v>
      </c>
      <c r="K704" s="18"/>
      <c r="L704" s="18" t="s">
        <v>292</v>
      </c>
      <c r="M704" s="18"/>
      <c r="N704" s="17">
        <v>3</v>
      </c>
      <c r="P704" s="18" t="s">
        <v>514</v>
      </c>
      <c r="Q704" s="18"/>
      <c r="R704" s="64" t="s">
        <v>513</v>
      </c>
      <c r="S704" s="18"/>
      <c r="T704" s="18"/>
      <c r="U704" s="64" t="str">
        <f>+U703</f>
        <v>BCV131CVS01</v>
      </c>
      <c r="V704" s="18"/>
      <c r="W704" s="18"/>
      <c r="X704" s="64" t="s">
        <v>495</v>
      </c>
      <c r="Y704" s="78" t="s">
        <v>289</v>
      </c>
      <c r="Z704" s="17" t="s">
        <v>494</v>
      </c>
      <c r="AC704" s="116"/>
      <c r="AD704" s="19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</row>
    <row r="705" spans="1:53" s="17" customFormat="1" x14ac:dyDescent="0.3">
      <c r="A705" s="118"/>
      <c r="B705" s="17" t="str">
        <f>+B704</f>
        <v>BCV131C</v>
      </c>
      <c r="C705" s="17" t="s">
        <v>499</v>
      </c>
      <c r="D705" s="18"/>
      <c r="E705" s="18"/>
      <c r="F705" s="63"/>
      <c r="G705" s="133"/>
      <c r="H705" s="84">
        <f>+H704</f>
        <v>1</v>
      </c>
      <c r="I705" s="135">
        <v>10</v>
      </c>
      <c r="J705" s="134" t="s">
        <v>512</v>
      </c>
      <c r="K705" s="18"/>
      <c r="L705" s="18" t="s">
        <v>292</v>
      </c>
      <c r="M705" s="18"/>
      <c r="N705" s="17">
        <v>3</v>
      </c>
      <c r="P705" s="18" t="s">
        <v>511</v>
      </c>
      <c r="Q705" s="18"/>
      <c r="R705" s="64" t="s">
        <v>510</v>
      </c>
      <c r="S705" s="18"/>
      <c r="T705" s="18"/>
      <c r="U705" s="64" t="str">
        <f>+U704</f>
        <v>BCV131CVS01</v>
      </c>
      <c r="V705" s="18"/>
      <c r="W705" s="18"/>
      <c r="X705" s="64" t="s">
        <v>495</v>
      </c>
      <c r="Y705" s="78" t="s">
        <v>289</v>
      </c>
      <c r="Z705" s="17" t="s">
        <v>494</v>
      </c>
      <c r="AC705" s="116"/>
      <c r="AD705" s="19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</row>
    <row r="706" spans="1:53" s="17" customFormat="1" x14ac:dyDescent="0.3">
      <c r="A706" s="118"/>
      <c r="B706" s="17" t="str">
        <f>+B705</f>
        <v>BCV131C</v>
      </c>
      <c r="C706" s="17" t="s">
        <v>499</v>
      </c>
      <c r="D706" s="18"/>
      <c r="E706" s="18"/>
      <c r="F706" s="63"/>
      <c r="G706" s="133"/>
      <c r="H706" s="84">
        <f>+H705</f>
        <v>1</v>
      </c>
      <c r="I706" s="135">
        <v>11</v>
      </c>
      <c r="J706" s="134" t="s">
        <v>509</v>
      </c>
      <c r="K706" s="18"/>
      <c r="L706" s="18" t="s">
        <v>292</v>
      </c>
      <c r="M706" s="18"/>
      <c r="N706" s="83">
        <v>6</v>
      </c>
      <c r="P706" s="78" t="s">
        <v>508</v>
      </c>
      <c r="Q706" s="78"/>
      <c r="R706" s="113" t="s">
        <v>507</v>
      </c>
      <c r="S706" s="18"/>
      <c r="T706" s="18"/>
      <c r="U706" s="64" t="str">
        <f>+U705</f>
        <v>BCV131CVS01</v>
      </c>
      <c r="V706" s="18"/>
      <c r="W706" s="18"/>
      <c r="X706" s="64" t="s">
        <v>495</v>
      </c>
      <c r="Y706" s="78" t="s">
        <v>289</v>
      </c>
      <c r="Z706" s="17" t="s">
        <v>494</v>
      </c>
      <c r="AC706" s="116"/>
      <c r="AD706" s="19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</row>
    <row r="707" spans="1:53" s="17" customFormat="1" x14ac:dyDescent="0.3">
      <c r="A707" s="118"/>
      <c r="B707" s="17" t="str">
        <f>+B706</f>
        <v>BCV131C</v>
      </c>
      <c r="C707" s="17" t="s">
        <v>499</v>
      </c>
      <c r="D707" s="18"/>
      <c r="E707" s="18"/>
      <c r="F707" s="63"/>
      <c r="G707" s="133"/>
      <c r="H707" s="84">
        <f>+H706</f>
        <v>1</v>
      </c>
      <c r="I707" s="135">
        <v>12</v>
      </c>
      <c r="J707" s="134" t="s">
        <v>506</v>
      </c>
      <c r="K707" s="18"/>
      <c r="L707" s="18" t="s">
        <v>292</v>
      </c>
      <c r="M707" s="18"/>
      <c r="N707" s="83">
        <v>6</v>
      </c>
      <c r="P707" s="78" t="s">
        <v>505</v>
      </c>
      <c r="Q707" s="78"/>
      <c r="R707" s="113" t="s">
        <v>504</v>
      </c>
      <c r="S707" s="18"/>
      <c r="T707" s="18"/>
      <c r="U707" s="64" t="str">
        <f>+U706</f>
        <v>BCV131CVS01</v>
      </c>
      <c r="V707" s="18"/>
      <c r="W707" s="18"/>
      <c r="X707" s="64" t="s">
        <v>495</v>
      </c>
      <c r="Y707" s="78" t="s">
        <v>289</v>
      </c>
      <c r="Z707" s="17" t="s">
        <v>494</v>
      </c>
      <c r="AC707" s="116"/>
      <c r="AD707" s="19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</row>
    <row r="708" spans="1:53" s="17" customFormat="1" x14ac:dyDescent="0.3">
      <c r="A708" s="118"/>
      <c r="B708" s="17" t="str">
        <f>+B707</f>
        <v>BCV131C</v>
      </c>
      <c r="C708" s="17" t="s">
        <v>499</v>
      </c>
      <c r="D708" s="18"/>
      <c r="E708" s="18"/>
      <c r="F708" s="63"/>
      <c r="G708" s="133"/>
      <c r="H708" s="84">
        <f>+H707</f>
        <v>1</v>
      </c>
      <c r="I708" s="135">
        <v>13</v>
      </c>
      <c r="J708" s="134" t="s">
        <v>503</v>
      </c>
      <c r="K708" s="18"/>
      <c r="L708" s="18" t="s">
        <v>292</v>
      </c>
      <c r="M708" s="18"/>
      <c r="N708" s="83">
        <v>6</v>
      </c>
      <c r="P708" s="78" t="s">
        <v>459</v>
      </c>
      <c r="Q708" s="18"/>
      <c r="R708" s="64" t="s">
        <v>291</v>
      </c>
      <c r="S708" s="18"/>
      <c r="T708" s="18"/>
      <c r="U708" s="64" t="str">
        <f>+U707</f>
        <v>BCV131CVS01</v>
      </c>
      <c r="V708" s="18"/>
      <c r="W708" s="18"/>
      <c r="X708" s="64" t="s">
        <v>495</v>
      </c>
      <c r="Y708" s="78" t="s">
        <v>289</v>
      </c>
      <c r="Z708" s="17" t="s">
        <v>494</v>
      </c>
      <c r="AC708" s="116"/>
      <c r="AD708" s="19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</row>
    <row r="709" spans="1:53" s="17" customFormat="1" x14ac:dyDescent="0.3">
      <c r="A709" s="118"/>
      <c r="B709" s="17" t="str">
        <f>+B708</f>
        <v>BCV131C</v>
      </c>
      <c r="C709" s="17" t="s">
        <v>499</v>
      </c>
      <c r="D709" s="18"/>
      <c r="E709" s="18"/>
      <c r="F709" s="63"/>
      <c r="G709" s="133"/>
      <c r="H709" s="84">
        <f>+H708</f>
        <v>1</v>
      </c>
      <c r="I709" s="135">
        <v>14</v>
      </c>
      <c r="J709" s="134" t="s">
        <v>502</v>
      </c>
      <c r="K709" s="18"/>
      <c r="L709" s="18" t="s">
        <v>292</v>
      </c>
      <c r="M709" s="18"/>
      <c r="N709" s="17">
        <v>3</v>
      </c>
      <c r="P709" s="18" t="s">
        <v>501</v>
      </c>
      <c r="Q709" s="18"/>
      <c r="R709" s="64" t="s">
        <v>500</v>
      </c>
      <c r="S709" s="18"/>
      <c r="T709" s="18"/>
      <c r="U709" s="64" t="str">
        <f>+U708</f>
        <v>BCV131CVS01</v>
      </c>
      <c r="V709" s="18"/>
      <c r="W709" s="18"/>
      <c r="X709" s="64" t="s">
        <v>495</v>
      </c>
      <c r="Y709" s="78" t="s">
        <v>289</v>
      </c>
      <c r="Z709" s="17" t="s">
        <v>494</v>
      </c>
      <c r="AC709" s="116"/>
      <c r="AD709" s="19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</row>
    <row r="710" spans="1:53" s="17" customFormat="1" ht="13.5" thickBot="1" x14ac:dyDescent="0.35">
      <c r="A710" s="118"/>
      <c r="B710" s="17" t="str">
        <f>+B709</f>
        <v>BCV131C</v>
      </c>
      <c r="C710" s="17" t="s">
        <v>499</v>
      </c>
      <c r="D710" s="18"/>
      <c r="E710" s="18"/>
      <c r="F710" s="63"/>
      <c r="G710" s="133"/>
      <c r="H710" s="84">
        <f>+H709</f>
        <v>1</v>
      </c>
      <c r="I710" s="132">
        <v>15</v>
      </c>
      <c r="J710" s="131" t="s">
        <v>498</v>
      </c>
      <c r="K710" s="18"/>
      <c r="L710" s="18" t="s">
        <v>292</v>
      </c>
      <c r="M710" s="18"/>
      <c r="N710" s="17">
        <v>3</v>
      </c>
      <c r="P710" s="18" t="s">
        <v>497</v>
      </c>
      <c r="Q710" s="18"/>
      <c r="R710" s="64" t="s">
        <v>496</v>
      </c>
      <c r="S710" s="18"/>
      <c r="T710" s="18"/>
      <c r="U710" s="64" t="str">
        <f>+U709</f>
        <v>BCV131CVS01</v>
      </c>
      <c r="V710" s="18"/>
      <c r="W710" s="18"/>
      <c r="X710" s="64" t="s">
        <v>495</v>
      </c>
      <c r="Y710" s="78" t="s">
        <v>289</v>
      </c>
      <c r="Z710" s="17" t="s">
        <v>494</v>
      </c>
      <c r="AC710" s="116"/>
      <c r="AD710" s="19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</row>
    <row r="711" spans="1:53" s="17" customFormat="1" x14ac:dyDescent="0.3">
      <c r="A711" s="118"/>
      <c r="B711" s="101"/>
      <c r="C711" s="101"/>
      <c r="D711" s="101"/>
      <c r="E711" s="117"/>
      <c r="F711" s="101"/>
      <c r="G711" s="101"/>
      <c r="H711" s="101"/>
      <c r="I711" s="101"/>
      <c r="J711" s="18"/>
      <c r="K711" s="101"/>
      <c r="L711" s="101"/>
      <c r="M711" s="101"/>
      <c r="P711" s="101"/>
      <c r="Q711" s="101"/>
      <c r="R711" s="101"/>
      <c r="S711" s="101"/>
      <c r="T711" s="101"/>
      <c r="U711" s="101"/>
      <c r="V711" s="101"/>
      <c r="W711" s="101"/>
      <c r="X711" s="78"/>
      <c r="Y711" s="78"/>
      <c r="Z711" s="78"/>
      <c r="AC711" s="116"/>
      <c r="AD711" s="19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</row>
    <row r="712" spans="1:53" s="17" customFormat="1" x14ac:dyDescent="0.3">
      <c r="A712" s="118"/>
      <c r="B712" s="101"/>
      <c r="C712" s="101"/>
      <c r="D712" s="101"/>
      <c r="E712" s="117"/>
      <c r="F712" s="101"/>
      <c r="G712" s="101"/>
      <c r="H712" s="101"/>
      <c r="I712" s="101"/>
      <c r="J712" s="101"/>
      <c r="K712" s="101"/>
      <c r="L712" s="101"/>
      <c r="M712" s="101"/>
      <c r="P712" s="101"/>
      <c r="Q712" s="101"/>
      <c r="R712" s="101"/>
      <c r="S712" s="101"/>
      <c r="T712" s="101"/>
      <c r="U712" s="101"/>
      <c r="V712" s="101"/>
      <c r="W712" s="101"/>
      <c r="X712" s="78"/>
      <c r="Y712" s="78"/>
      <c r="Z712" s="78"/>
      <c r="AC712" s="116"/>
      <c r="AD712" s="19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</row>
    <row r="713" spans="1:53" s="17" customFormat="1" ht="13.5" thickBot="1" x14ac:dyDescent="0.35">
      <c r="A713" s="118"/>
      <c r="B713" s="101"/>
      <c r="C713" s="101"/>
      <c r="D713" s="101"/>
      <c r="E713" s="117"/>
      <c r="F713" s="101"/>
      <c r="G713" s="101"/>
      <c r="H713" s="101"/>
      <c r="I713" s="101"/>
      <c r="J713" s="101"/>
      <c r="K713" s="101"/>
      <c r="L713" s="101"/>
      <c r="M713" s="101"/>
      <c r="P713" s="101"/>
      <c r="Q713" s="101"/>
      <c r="R713" s="101"/>
      <c r="S713" s="101"/>
      <c r="T713" s="101"/>
      <c r="U713" s="101"/>
      <c r="V713" s="101"/>
      <c r="W713" s="101"/>
      <c r="X713" s="78"/>
      <c r="Y713" s="78"/>
      <c r="Z713" s="78"/>
      <c r="AC713" s="116"/>
      <c r="AD713" s="19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</row>
    <row r="714" spans="1:53" s="17" customFormat="1" x14ac:dyDescent="0.3">
      <c r="A714" s="118"/>
      <c r="B714" s="101"/>
      <c r="C714" s="126" t="s">
        <v>481</v>
      </c>
      <c r="H714" s="97">
        <v>1</v>
      </c>
      <c r="I714" s="130"/>
      <c r="J714" s="111"/>
      <c r="K714" s="129" t="s">
        <v>493</v>
      </c>
      <c r="L714" s="97"/>
      <c r="M714" s="97"/>
      <c r="N714" s="17">
        <v>3</v>
      </c>
      <c r="P714" s="97"/>
      <c r="Q714" s="97"/>
      <c r="R714" s="97"/>
      <c r="U714" s="17" t="s">
        <v>492</v>
      </c>
      <c r="V714" s="33"/>
      <c r="W714" s="33"/>
      <c r="X714" s="17" t="s">
        <v>491</v>
      </c>
      <c r="Y714" s="17" t="s">
        <v>289</v>
      </c>
      <c r="Z714" s="17" t="s">
        <v>490</v>
      </c>
      <c r="AC714" s="116"/>
      <c r="AD714" s="19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</row>
    <row r="715" spans="1:53" s="17" customFormat="1" x14ac:dyDescent="0.3">
      <c r="A715" s="118"/>
      <c r="B715" s="101"/>
      <c r="C715" s="126" t="s">
        <v>481</v>
      </c>
      <c r="D715" s="18"/>
      <c r="E715" s="18"/>
      <c r="F715" s="18"/>
      <c r="G715" s="18"/>
      <c r="H715" s="97">
        <f>+H714</f>
        <v>1</v>
      </c>
      <c r="I715" s="128"/>
      <c r="J715" s="107" t="s">
        <v>489</v>
      </c>
      <c r="K715" s="99" t="s">
        <v>287</v>
      </c>
      <c r="L715" s="103"/>
      <c r="M715" s="97"/>
      <c r="N715" s="17">
        <v>3</v>
      </c>
      <c r="P715" s="97"/>
      <c r="Q715" s="97"/>
      <c r="R715" s="97"/>
      <c r="V715" s="33"/>
      <c r="W715" s="33"/>
      <c r="AC715" s="116"/>
      <c r="AD715" s="19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</row>
    <row r="716" spans="1:53" s="17" customFormat="1" ht="13.5" thickBot="1" x14ac:dyDescent="0.35">
      <c r="A716" s="118"/>
      <c r="B716" s="101"/>
      <c r="C716" s="126" t="s">
        <v>481</v>
      </c>
      <c r="H716" s="97">
        <f>+H715</f>
        <v>1</v>
      </c>
      <c r="I716" s="125"/>
      <c r="J716" s="104" t="s">
        <v>480</v>
      </c>
      <c r="K716" s="99" t="s">
        <v>287</v>
      </c>
      <c r="L716" s="103"/>
      <c r="M716" s="97"/>
      <c r="N716" s="17">
        <v>3</v>
      </c>
      <c r="P716" s="97"/>
      <c r="Q716" s="97"/>
      <c r="R716" s="97"/>
      <c r="V716" s="33"/>
      <c r="W716" s="33"/>
      <c r="AC716" s="116"/>
      <c r="AD716" s="19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</row>
    <row r="717" spans="1:53" s="17" customFormat="1" ht="13.5" thickBot="1" x14ac:dyDescent="0.35">
      <c r="A717" s="118"/>
      <c r="B717" s="101"/>
      <c r="C717" s="33"/>
      <c r="D717" s="33"/>
      <c r="E717" s="100"/>
      <c r="F717" s="33"/>
      <c r="G717" s="33"/>
      <c r="H717" s="33"/>
      <c r="I717" s="33"/>
      <c r="J717" s="33"/>
      <c r="K717" s="33"/>
      <c r="L717" s="33"/>
      <c r="M717" s="33"/>
      <c r="P717" s="33"/>
      <c r="Q717" s="33"/>
      <c r="R717" s="33"/>
      <c r="S717" s="33"/>
      <c r="T717" s="33"/>
      <c r="U717" s="33"/>
      <c r="V717" s="33"/>
      <c r="W717" s="33"/>
      <c r="AC717" s="116"/>
      <c r="AD717" s="19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</row>
    <row r="718" spans="1:53" s="17" customFormat="1" x14ac:dyDescent="0.3">
      <c r="A718" s="118"/>
      <c r="B718" s="101"/>
      <c r="C718" s="126" t="s">
        <v>481</v>
      </c>
      <c r="H718" s="97">
        <v>1</v>
      </c>
      <c r="I718" s="130"/>
      <c r="J718" s="111"/>
      <c r="K718" s="129" t="s">
        <v>485</v>
      </c>
      <c r="L718" s="97"/>
      <c r="M718" s="97"/>
      <c r="N718" s="17">
        <v>3</v>
      </c>
      <c r="P718" s="97"/>
      <c r="Q718" s="97"/>
      <c r="R718" s="97"/>
      <c r="U718" s="17" t="s">
        <v>488</v>
      </c>
      <c r="V718" s="33"/>
      <c r="W718" s="33"/>
      <c r="X718" s="17" t="s">
        <v>487</v>
      </c>
      <c r="Y718" s="17" t="s">
        <v>289</v>
      </c>
      <c r="Z718" s="17" t="s">
        <v>486</v>
      </c>
      <c r="AC718" s="116"/>
      <c r="AD718" s="19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</row>
    <row r="719" spans="1:53" s="17" customFormat="1" x14ac:dyDescent="0.3">
      <c r="A719" s="118"/>
      <c r="B719" s="101"/>
      <c r="C719" s="126" t="s">
        <v>481</v>
      </c>
      <c r="D719" s="18"/>
      <c r="E719" s="18"/>
      <c r="F719" s="18"/>
      <c r="G719" s="18"/>
      <c r="H719" s="97">
        <f>+H718</f>
        <v>1</v>
      </c>
      <c r="I719" s="128"/>
      <c r="J719" s="107"/>
      <c r="K719" s="127"/>
      <c r="L719" s="103"/>
      <c r="M719" s="97"/>
      <c r="N719" s="17">
        <v>3</v>
      </c>
      <c r="P719" s="97"/>
      <c r="Q719" s="97"/>
      <c r="R719" s="97"/>
      <c r="V719" s="33"/>
      <c r="W719" s="33"/>
      <c r="AC719" s="116"/>
      <c r="AD719" s="19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</row>
    <row r="720" spans="1:53" s="17" customFormat="1" ht="13.5" thickBot="1" x14ac:dyDescent="0.35">
      <c r="A720" s="118"/>
      <c r="B720" s="101"/>
      <c r="C720" s="126" t="s">
        <v>481</v>
      </c>
      <c r="H720" s="97">
        <f>+H719</f>
        <v>1</v>
      </c>
      <c r="I720" s="125"/>
      <c r="J720" s="104" t="s">
        <v>480</v>
      </c>
      <c r="K720" s="99" t="s">
        <v>287</v>
      </c>
      <c r="L720" s="103"/>
      <c r="M720" s="97"/>
      <c r="N720" s="17">
        <v>3</v>
      </c>
      <c r="P720" s="97"/>
      <c r="Q720" s="97"/>
      <c r="R720" s="97"/>
      <c r="V720" s="33"/>
      <c r="W720" s="33"/>
      <c r="AC720" s="116"/>
      <c r="AD720" s="19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</row>
    <row r="721" spans="1:53" s="17" customFormat="1" ht="13.5" thickBot="1" x14ac:dyDescent="0.35">
      <c r="A721" s="118"/>
      <c r="B721" s="101"/>
      <c r="C721" s="33"/>
      <c r="D721" s="33"/>
      <c r="E721" s="100"/>
      <c r="F721" s="33"/>
      <c r="G721" s="33"/>
      <c r="H721" s="33"/>
      <c r="I721" s="33"/>
      <c r="J721" s="33"/>
      <c r="K721" s="33"/>
      <c r="L721" s="33"/>
      <c r="M721" s="33"/>
      <c r="P721" s="33"/>
      <c r="Q721" s="33"/>
      <c r="R721" s="33"/>
      <c r="S721" s="33"/>
      <c r="T721" s="33"/>
      <c r="U721" s="33"/>
      <c r="V721" s="33"/>
      <c r="W721" s="33"/>
      <c r="AC721" s="116"/>
      <c r="AD721" s="19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</row>
    <row r="722" spans="1:53" s="17" customFormat="1" x14ac:dyDescent="0.3">
      <c r="A722" s="118"/>
      <c r="B722" s="101"/>
      <c r="C722" s="126" t="s">
        <v>481</v>
      </c>
      <c r="H722" s="97">
        <v>1</v>
      </c>
      <c r="I722" s="130"/>
      <c r="J722" s="111"/>
      <c r="K722" s="129" t="s">
        <v>485</v>
      </c>
      <c r="L722" s="97"/>
      <c r="M722" s="97"/>
      <c r="N722" s="17">
        <v>3</v>
      </c>
      <c r="P722" s="97"/>
      <c r="Q722" s="97"/>
      <c r="R722" s="97"/>
      <c r="U722" s="17" t="s">
        <v>484</v>
      </c>
      <c r="V722" s="33"/>
      <c r="W722" s="33"/>
      <c r="X722" s="17" t="s">
        <v>483</v>
      </c>
      <c r="Y722" s="17" t="s">
        <v>289</v>
      </c>
      <c r="Z722" s="17" t="s">
        <v>482</v>
      </c>
      <c r="AC722" s="116"/>
      <c r="AD722" s="19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</row>
    <row r="723" spans="1:53" s="17" customFormat="1" x14ac:dyDescent="0.3">
      <c r="A723" s="118"/>
      <c r="B723" s="101"/>
      <c r="C723" s="126" t="s">
        <v>481</v>
      </c>
      <c r="D723" s="18"/>
      <c r="E723" s="18"/>
      <c r="F723" s="18"/>
      <c r="G723" s="18"/>
      <c r="H723" s="97">
        <f>+H722</f>
        <v>1</v>
      </c>
      <c r="I723" s="128"/>
      <c r="J723" s="107"/>
      <c r="K723" s="127"/>
      <c r="L723" s="103"/>
      <c r="M723" s="97"/>
      <c r="N723" s="17">
        <v>3</v>
      </c>
      <c r="P723" s="97"/>
      <c r="Q723" s="97"/>
      <c r="R723" s="97"/>
      <c r="V723" s="33"/>
      <c r="W723" s="33"/>
      <c r="AC723" s="116"/>
      <c r="AD723" s="19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</row>
    <row r="724" spans="1:53" s="17" customFormat="1" ht="13.5" thickBot="1" x14ac:dyDescent="0.35">
      <c r="A724" s="118"/>
      <c r="B724" s="101"/>
      <c r="C724" s="126" t="s">
        <v>481</v>
      </c>
      <c r="H724" s="97">
        <f>+H723</f>
        <v>1</v>
      </c>
      <c r="I724" s="125"/>
      <c r="J724" s="104" t="s">
        <v>480</v>
      </c>
      <c r="K724" s="99" t="s">
        <v>287</v>
      </c>
      <c r="L724" s="103"/>
      <c r="M724" s="97"/>
      <c r="N724" s="17">
        <v>3</v>
      </c>
      <c r="P724" s="97"/>
      <c r="Q724" s="97"/>
      <c r="R724" s="97"/>
      <c r="V724" s="33"/>
      <c r="W724" s="33"/>
      <c r="AC724" s="116"/>
      <c r="AD724" s="19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</row>
    <row r="725" spans="1:53" s="17" customFormat="1" x14ac:dyDescent="0.3">
      <c r="A725" s="118"/>
      <c r="B725" s="101"/>
      <c r="C725" s="101"/>
      <c r="D725" s="101"/>
      <c r="E725" s="117"/>
      <c r="F725" s="101"/>
      <c r="G725" s="101"/>
      <c r="H725" s="101"/>
      <c r="I725" s="101"/>
      <c r="J725" s="101"/>
      <c r="K725" s="101"/>
      <c r="L725" s="101"/>
      <c r="M725" s="101"/>
      <c r="P725" s="101"/>
      <c r="Q725" s="101"/>
      <c r="R725" s="101"/>
      <c r="S725" s="101"/>
      <c r="T725" s="101"/>
      <c r="U725" s="101"/>
      <c r="V725" s="101"/>
      <c r="W725" s="101"/>
      <c r="X725" s="78"/>
      <c r="Y725" s="78"/>
      <c r="Z725" s="78"/>
      <c r="AC725" s="116"/>
      <c r="AD725" s="19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</row>
    <row r="726" spans="1:53" s="17" customFormat="1" x14ac:dyDescent="0.3">
      <c r="A726" s="118"/>
      <c r="B726" s="101"/>
      <c r="C726" s="101"/>
      <c r="D726" s="101"/>
      <c r="E726" s="117"/>
      <c r="F726" s="101"/>
      <c r="G726" s="101"/>
      <c r="H726" s="101"/>
      <c r="I726" s="101"/>
      <c r="J726" s="101"/>
      <c r="K726" s="101"/>
      <c r="L726" s="101"/>
      <c r="M726" s="101"/>
      <c r="P726" s="101"/>
      <c r="Q726" s="101"/>
      <c r="R726" s="101"/>
      <c r="S726" s="101"/>
      <c r="T726" s="101"/>
      <c r="U726" s="101"/>
      <c r="V726" s="101"/>
      <c r="W726" s="101"/>
      <c r="X726" s="78"/>
      <c r="Y726" s="78"/>
      <c r="Z726" s="78"/>
      <c r="AC726" s="116"/>
      <c r="AD726" s="19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</row>
    <row r="727" spans="1:53" s="17" customFormat="1" ht="13.5" thickBot="1" x14ac:dyDescent="0.35">
      <c r="A727" s="118"/>
      <c r="B727" s="101"/>
      <c r="C727" s="101"/>
      <c r="D727" s="101"/>
      <c r="E727" s="117"/>
      <c r="F727" s="101"/>
      <c r="G727" s="101"/>
      <c r="H727" s="101"/>
      <c r="I727" s="101"/>
      <c r="J727" s="101"/>
      <c r="K727" s="101"/>
      <c r="L727" s="101"/>
      <c r="M727" s="101"/>
      <c r="P727" s="101"/>
      <c r="Q727" s="101"/>
      <c r="R727" s="101"/>
      <c r="S727" s="101"/>
      <c r="T727" s="101"/>
      <c r="U727" s="101"/>
      <c r="V727" s="101"/>
      <c r="W727" s="101"/>
      <c r="X727" s="78"/>
      <c r="Y727" s="78"/>
      <c r="Z727" s="78"/>
      <c r="AC727" s="116"/>
      <c r="AD727" s="19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</row>
    <row r="728" spans="1:53" s="17" customFormat="1" ht="13.5" thickBot="1" x14ac:dyDescent="0.35">
      <c r="A728" s="118"/>
      <c r="B728" s="101"/>
      <c r="C728" s="106" t="s">
        <v>479</v>
      </c>
      <c r="D728" s="18"/>
      <c r="E728" s="18"/>
      <c r="F728" s="18"/>
      <c r="G728" s="18"/>
      <c r="H728" s="97"/>
      <c r="I728" s="124"/>
      <c r="J728" s="123" t="s">
        <v>478</v>
      </c>
      <c r="K728" s="99" t="s">
        <v>454</v>
      </c>
      <c r="L728" s="103" t="s">
        <v>292</v>
      </c>
      <c r="M728" s="33"/>
      <c r="N728" s="17">
        <v>3</v>
      </c>
      <c r="P728" s="64"/>
      <c r="Q728" s="64"/>
      <c r="R728" s="64" t="s">
        <v>291</v>
      </c>
      <c r="S728" s="64"/>
      <c r="T728" s="64"/>
      <c r="U728" s="64" t="s">
        <v>477</v>
      </c>
      <c r="V728" s="101"/>
      <c r="W728" s="101"/>
      <c r="X728" s="78"/>
      <c r="Y728" s="78"/>
      <c r="Z728" s="78"/>
      <c r="AC728" s="116"/>
      <c r="AD728" s="19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</row>
    <row r="729" spans="1:53" s="17" customFormat="1" x14ac:dyDescent="0.3">
      <c r="A729" s="118"/>
      <c r="B729" s="101"/>
      <c r="C729" s="106"/>
      <c r="D729" s="18"/>
      <c r="E729" s="18"/>
      <c r="F729" s="18"/>
      <c r="G729" s="18"/>
      <c r="H729" s="97"/>
      <c r="I729" s="101"/>
      <c r="J729" s="101"/>
      <c r="L729" s="103"/>
      <c r="M729" s="33"/>
      <c r="P729" s="64"/>
      <c r="Q729" s="64"/>
      <c r="R729" s="64"/>
      <c r="S729" s="64"/>
      <c r="T729" s="64"/>
      <c r="U729" s="64"/>
      <c r="V729" s="101"/>
      <c r="W729" s="101"/>
      <c r="X729" s="78"/>
      <c r="Y729" s="78"/>
      <c r="Z729" s="78"/>
      <c r="AC729" s="116"/>
      <c r="AD729" s="19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</row>
    <row r="730" spans="1:53" s="17" customFormat="1" x14ac:dyDescent="0.3">
      <c r="A730" s="118"/>
      <c r="B730" s="101"/>
      <c r="C730" s="101"/>
      <c r="D730" s="101"/>
      <c r="E730" s="117"/>
      <c r="F730" s="101"/>
      <c r="G730" s="101"/>
      <c r="H730" s="101"/>
      <c r="I730" s="101"/>
      <c r="J730" s="101"/>
      <c r="K730" s="101"/>
      <c r="L730" s="101"/>
      <c r="M730" s="101"/>
      <c r="P730" s="101"/>
      <c r="Q730" s="101"/>
      <c r="R730" s="101"/>
      <c r="S730" s="101"/>
      <c r="T730" s="101"/>
      <c r="U730" s="101"/>
      <c r="V730" s="101"/>
      <c r="W730" s="101"/>
      <c r="X730" s="78"/>
      <c r="Y730" s="78"/>
      <c r="Z730" s="78"/>
      <c r="AC730" s="116"/>
      <c r="AD730" s="19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</row>
    <row r="731" spans="1:53" s="17" customFormat="1" ht="13.5" thickBot="1" x14ac:dyDescent="0.35">
      <c r="A731" s="118"/>
      <c r="B731" s="101"/>
      <c r="C731" s="101"/>
      <c r="D731" s="101"/>
      <c r="E731" s="117"/>
      <c r="F731" s="101"/>
      <c r="G731" s="101"/>
      <c r="H731" s="101"/>
      <c r="I731" s="101"/>
      <c r="J731" s="101"/>
      <c r="K731" s="101"/>
      <c r="L731" s="101"/>
      <c r="M731" s="101"/>
      <c r="P731" s="101"/>
      <c r="Q731" s="101"/>
      <c r="R731" s="101"/>
      <c r="S731" s="101"/>
      <c r="T731" s="101"/>
      <c r="U731" s="101"/>
      <c r="V731" s="101"/>
      <c r="W731" s="101"/>
      <c r="X731" s="78"/>
      <c r="Y731" s="78"/>
      <c r="Z731" s="78"/>
      <c r="AC731" s="116"/>
      <c r="AD731" s="19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</row>
    <row r="732" spans="1:53" s="17" customFormat="1" x14ac:dyDescent="0.3">
      <c r="A732" s="118"/>
      <c r="B732" s="101"/>
      <c r="C732" s="106" t="s">
        <v>476</v>
      </c>
      <c r="D732" s="18"/>
      <c r="E732" s="18"/>
      <c r="F732" s="18"/>
      <c r="G732" s="18"/>
      <c r="H732" s="97" t="s">
        <v>437</v>
      </c>
      <c r="I732" s="112" t="s">
        <v>462</v>
      </c>
      <c r="J732" s="111" t="s">
        <v>461</v>
      </c>
      <c r="K732" s="33" t="s">
        <v>460</v>
      </c>
      <c r="L732" s="103" t="s">
        <v>292</v>
      </c>
      <c r="M732" s="33"/>
      <c r="N732" s="17">
        <v>3</v>
      </c>
      <c r="P732" s="64" t="s">
        <v>459</v>
      </c>
      <c r="Q732" s="64"/>
      <c r="R732" s="64" t="s">
        <v>458</v>
      </c>
      <c r="S732" s="64" t="s">
        <v>457</v>
      </c>
      <c r="T732" s="64"/>
      <c r="U732" s="17" t="s">
        <v>475</v>
      </c>
      <c r="V732" s="101"/>
      <c r="W732" s="101"/>
      <c r="X732" s="17" t="s">
        <v>472</v>
      </c>
      <c r="Y732" s="17" t="s">
        <v>289</v>
      </c>
      <c r="Z732" s="78"/>
      <c r="AC732" s="116"/>
      <c r="AD732" s="19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</row>
    <row r="733" spans="1:53" s="17" customFormat="1" x14ac:dyDescent="0.3">
      <c r="A733" s="118"/>
      <c r="B733" s="101"/>
      <c r="C733" s="106" t="str">
        <f>+C732</f>
        <v>PR1</v>
      </c>
      <c r="D733" s="18"/>
      <c r="E733" s="18"/>
      <c r="F733" s="18"/>
      <c r="G733" s="18"/>
      <c r="H733" s="97" t="str">
        <f>+H732</f>
        <v>G</v>
      </c>
      <c r="I733" s="108" t="s">
        <v>321</v>
      </c>
      <c r="J733" s="107" t="s">
        <v>455</v>
      </c>
      <c r="K733" s="99" t="s">
        <v>454</v>
      </c>
      <c r="L733" s="103" t="s">
        <v>292</v>
      </c>
      <c r="M733" s="33"/>
      <c r="N733" s="17">
        <v>3</v>
      </c>
      <c r="P733" s="64" t="s">
        <v>453</v>
      </c>
      <c r="Q733" s="64"/>
      <c r="R733" s="64" t="s">
        <v>450</v>
      </c>
      <c r="S733" s="64" t="s">
        <v>313</v>
      </c>
      <c r="T733" s="64"/>
      <c r="U733" s="17" t="str">
        <f>+U732</f>
        <v>BMC1321INC01</v>
      </c>
      <c r="V733" s="101"/>
      <c r="W733" s="101"/>
      <c r="X733" s="17" t="s">
        <v>472</v>
      </c>
      <c r="Y733" s="17" t="s">
        <v>289</v>
      </c>
      <c r="Z733" s="78"/>
      <c r="AA733" s="46"/>
      <c r="AC733" s="116"/>
      <c r="AD733" s="19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</row>
    <row r="734" spans="1:53" s="17" customFormat="1" x14ac:dyDescent="0.3">
      <c r="A734" s="118"/>
      <c r="B734" s="101"/>
      <c r="C734" s="106" t="str">
        <f>+C733</f>
        <v>PR1</v>
      </c>
      <c r="D734" s="18"/>
      <c r="E734" s="18"/>
      <c r="F734" s="18"/>
      <c r="G734" s="18"/>
      <c r="H734" s="97" t="str">
        <f>+H733</f>
        <v>G</v>
      </c>
      <c r="I734" s="108" t="s">
        <v>316</v>
      </c>
      <c r="J734" s="107" t="s">
        <v>452</v>
      </c>
      <c r="K734" s="33"/>
      <c r="L734" s="103" t="s">
        <v>292</v>
      </c>
      <c r="M734" s="33"/>
      <c r="N734" s="17">
        <v>3</v>
      </c>
      <c r="P734" s="64" t="s">
        <v>451</v>
      </c>
      <c r="Q734" s="64"/>
      <c r="R734" s="64" t="s">
        <v>450</v>
      </c>
      <c r="S734" s="64" t="s">
        <v>449</v>
      </c>
      <c r="T734" s="64"/>
      <c r="U734" s="17" t="str">
        <f>+U733</f>
        <v>BMC1321INC01</v>
      </c>
      <c r="V734" s="101"/>
      <c r="W734" s="101"/>
      <c r="X734" s="17" t="s">
        <v>472</v>
      </c>
      <c r="Y734" s="17" t="s">
        <v>289</v>
      </c>
      <c r="Z734" s="78"/>
      <c r="AA734" s="46"/>
      <c r="AC734" s="116"/>
      <c r="AD734" s="19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</row>
    <row r="735" spans="1:53" s="17" customFormat="1" x14ac:dyDescent="0.3">
      <c r="A735" s="118"/>
      <c r="B735" s="101"/>
      <c r="C735" s="106" t="str">
        <f>+C734</f>
        <v>PR1</v>
      </c>
      <c r="D735" s="18"/>
      <c r="E735" s="18"/>
      <c r="F735" s="18"/>
      <c r="G735" s="18"/>
      <c r="H735" s="97" t="str">
        <f>+H734</f>
        <v>G</v>
      </c>
      <c r="I735" s="108" t="s">
        <v>448</v>
      </c>
      <c r="J735" s="107" t="s">
        <v>447</v>
      </c>
      <c r="K735" s="33"/>
      <c r="L735" s="103" t="s">
        <v>292</v>
      </c>
      <c r="M735" s="33"/>
      <c r="N735" s="17">
        <v>3</v>
      </c>
      <c r="P735" s="64"/>
      <c r="Q735" s="64"/>
      <c r="R735" s="64" t="s">
        <v>291</v>
      </c>
      <c r="S735" s="64"/>
      <c r="T735" s="64"/>
      <c r="U735" s="17" t="str">
        <f>+U734</f>
        <v>BMC1321INC01</v>
      </c>
      <c r="V735" s="101"/>
      <c r="W735" s="101"/>
      <c r="X735" s="17" t="s">
        <v>472</v>
      </c>
      <c r="Y735" s="17" t="s">
        <v>289</v>
      </c>
      <c r="Z735" s="78"/>
      <c r="AC735" s="116"/>
      <c r="AD735" s="19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</row>
    <row r="736" spans="1:53" s="17" customFormat="1" x14ac:dyDescent="0.3">
      <c r="A736" s="118"/>
      <c r="B736" s="101"/>
      <c r="C736" s="106" t="str">
        <f>+C735</f>
        <v>PR1</v>
      </c>
      <c r="D736" s="18"/>
      <c r="E736" s="18"/>
      <c r="F736" s="18"/>
      <c r="G736" s="18"/>
      <c r="H736" s="97" t="str">
        <f>+H735</f>
        <v>G</v>
      </c>
      <c r="I736" s="108" t="s">
        <v>446</v>
      </c>
      <c r="J736" s="107" t="s">
        <v>445</v>
      </c>
      <c r="K736" s="33"/>
      <c r="L736" s="103" t="s">
        <v>292</v>
      </c>
      <c r="M736" s="33"/>
      <c r="N736" s="17">
        <v>3</v>
      </c>
      <c r="P736" s="64"/>
      <c r="Q736" s="64"/>
      <c r="R736" s="64" t="s">
        <v>291</v>
      </c>
      <c r="S736" s="64"/>
      <c r="T736" s="64"/>
      <c r="U736" s="17" t="str">
        <f>+U735</f>
        <v>BMC1321INC01</v>
      </c>
      <c r="V736" s="101"/>
      <c r="W736" s="101"/>
      <c r="X736" s="17" t="s">
        <v>472</v>
      </c>
      <c r="Y736" s="17" t="s">
        <v>289</v>
      </c>
      <c r="Z736" s="78"/>
      <c r="AC736" s="116"/>
      <c r="AD736" s="19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</row>
    <row r="737" spans="1:53" s="17" customFormat="1" x14ac:dyDescent="0.3">
      <c r="A737" s="118"/>
      <c r="B737" s="101"/>
      <c r="C737" s="106" t="str">
        <f>+C736</f>
        <v>PR1</v>
      </c>
      <c r="D737" s="18"/>
      <c r="E737" s="18"/>
      <c r="F737" s="18"/>
      <c r="G737" s="18"/>
      <c r="H737" s="97" t="str">
        <f>+H736</f>
        <v>G</v>
      </c>
      <c r="I737" s="108" t="s">
        <v>444</v>
      </c>
      <c r="J737" s="107" t="s">
        <v>443</v>
      </c>
      <c r="K737" s="33"/>
      <c r="L737" s="103" t="s">
        <v>292</v>
      </c>
      <c r="M737" s="33"/>
      <c r="N737" s="17">
        <v>3</v>
      </c>
      <c r="P737" s="64" t="s">
        <v>442</v>
      </c>
      <c r="Q737" s="64"/>
      <c r="R737" s="102" t="s">
        <v>438</v>
      </c>
      <c r="S737" s="102" t="s">
        <v>313</v>
      </c>
      <c r="T737" s="102"/>
      <c r="U737" s="17" t="str">
        <f>+U736</f>
        <v>BMC1321INC01</v>
      </c>
      <c r="V737" s="101"/>
      <c r="W737" s="101"/>
      <c r="X737" s="17" t="s">
        <v>472</v>
      </c>
      <c r="Y737" s="17" t="s">
        <v>289</v>
      </c>
      <c r="Z737" s="78"/>
      <c r="AA737" s="46"/>
      <c r="AC737" s="116"/>
      <c r="AD737" s="19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</row>
    <row r="738" spans="1:53" s="17" customFormat="1" ht="13.5" thickBot="1" x14ac:dyDescent="0.35">
      <c r="A738" s="118"/>
      <c r="B738" s="101"/>
      <c r="C738" s="106" t="str">
        <f>+C737</f>
        <v>PR1</v>
      </c>
      <c r="D738" s="63"/>
      <c r="E738" s="63"/>
      <c r="F738" s="63"/>
      <c r="G738" s="63"/>
      <c r="H738" s="97" t="str">
        <f>+H737</f>
        <v>G</v>
      </c>
      <c r="I738" s="105" t="s">
        <v>441</v>
      </c>
      <c r="J738" s="104" t="s">
        <v>440</v>
      </c>
      <c r="K738" s="33"/>
      <c r="L738" s="103" t="s">
        <v>292</v>
      </c>
      <c r="M738" s="122"/>
      <c r="N738" s="17">
        <v>3</v>
      </c>
      <c r="P738" s="64" t="s">
        <v>439</v>
      </c>
      <c r="Q738" s="64"/>
      <c r="R738" s="102" t="s">
        <v>438</v>
      </c>
      <c r="S738" s="102" t="s">
        <v>308</v>
      </c>
      <c r="T738" s="102"/>
      <c r="U738" s="17" t="str">
        <f>+U737</f>
        <v>BMC1321INC01</v>
      </c>
      <c r="V738" s="101"/>
      <c r="W738" s="101"/>
      <c r="X738" s="17" t="s">
        <v>472</v>
      </c>
      <c r="Y738" s="17" t="s">
        <v>289</v>
      </c>
      <c r="Z738" s="78"/>
      <c r="AA738" s="46"/>
      <c r="AC738" s="116"/>
      <c r="AD738" s="19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</row>
    <row r="739" spans="1:53" s="17" customFormat="1" x14ac:dyDescent="0.3">
      <c r="A739" s="118"/>
      <c r="B739" s="101"/>
      <c r="C739" s="106" t="str">
        <f>+C738</f>
        <v>PR1</v>
      </c>
      <c r="D739" s="63"/>
      <c r="E739" s="63"/>
      <c r="F739" s="63"/>
      <c r="G739" s="63"/>
      <c r="H739" s="97" t="s">
        <v>437</v>
      </c>
      <c r="I739" s="112" t="s">
        <v>312</v>
      </c>
      <c r="J739" s="111" t="s">
        <v>436</v>
      </c>
      <c r="K739" s="33"/>
      <c r="L739" s="103" t="s">
        <v>292</v>
      </c>
      <c r="M739" s="33"/>
      <c r="N739" s="17">
        <v>3</v>
      </c>
      <c r="P739" s="64"/>
      <c r="Q739" s="64"/>
      <c r="R739" s="64" t="s">
        <v>291</v>
      </c>
      <c r="S739" s="114" t="s">
        <v>211</v>
      </c>
      <c r="T739" s="102"/>
      <c r="U739" s="17" t="str">
        <f>+U738</f>
        <v>BMC1321INC01</v>
      </c>
      <c r="V739" s="101"/>
      <c r="W739" s="101"/>
      <c r="X739" s="17" t="s">
        <v>472</v>
      </c>
      <c r="Y739" s="17" t="s">
        <v>289</v>
      </c>
      <c r="Z739" s="78"/>
      <c r="AC739" s="116"/>
      <c r="AD739" s="19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</row>
    <row r="740" spans="1:53" s="17" customFormat="1" x14ac:dyDescent="0.3">
      <c r="A740" s="118"/>
      <c r="B740" s="101"/>
      <c r="C740" s="106" t="str">
        <f>+C739</f>
        <v>PR1</v>
      </c>
      <c r="D740" s="63"/>
      <c r="E740" s="63"/>
      <c r="F740" s="63"/>
      <c r="G740" s="63"/>
      <c r="H740" s="97" t="str">
        <f>+H739</f>
        <v>G</v>
      </c>
      <c r="I740" s="108" t="s">
        <v>435</v>
      </c>
      <c r="J740" s="107" t="s">
        <v>434</v>
      </c>
      <c r="K740" s="33"/>
      <c r="L740" s="103" t="s">
        <v>323</v>
      </c>
      <c r="M740" s="33"/>
      <c r="N740" s="17">
        <v>3</v>
      </c>
      <c r="P740" s="64" t="s">
        <v>433</v>
      </c>
      <c r="Q740" s="64"/>
      <c r="R740" s="102" t="s">
        <v>432</v>
      </c>
      <c r="S740" s="115" t="s">
        <v>427</v>
      </c>
      <c r="T740" s="102"/>
      <c r="U740" s="17" t="str">
        <f>+U739</f>
        <v>BMC1321INC01</v>
      </c>
      <c r="V740" s="101"/>
      <c r="W740" s="101"/>
      <c r="X740" s="17" t="s">
        <v>472</v>
      </c>
      <c r="Y740" s="17" t="s">
        <v>289</v>
      </c>
      <c r="Z740" s="78"/>
      <c r="AA740" s="46"/>
      <c r="AC740" s="116"/>
      <c r="AD740" s="19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</row>
    <row r="741" spans="1:53" s="17" customFormat="1" x14ac:dyDescent="0.3">
      <c r="A741" s="118"/>
      <c r="B741" s="101"/>
      <c r="C741" s="106" t="str">
        <f>+C740</f>
        <v>PR1</v>
      </c>
      <c r="D741" s="63"/>
      <c r="E741" s="63"/>
      <c r="F741" s="63"/>
      <c r="G741" s="63"/>
      <c r="H741" s="97" t="str">
        <f>+H740</f>
        <v>G</v>
      </c>
      <c r="I741" s="108" t="s">
        <v>431</v>
      </c>
      <c r="J741" s="107" t="s">
        <v>430</v>
      </c>
      <c r="K741" s="33"/>
      <c r="L741" s="103" t="s">
        <v>323</v>
      </c>
      <c r="M741" s="33"/>
      <c r="N741" s="17">
        <v>3</v>
      </c>
      <c r="P741" s="64" t="s">
        <v>429</v>
      </c>
      <c r="Q741" s="64"/>
      <c r="R741" s="102" t="s">
        <v>428</v>
      </c>
      <c r="S741" s="115" t="s">
        <v>427</v>
      </c>
      <c r="T741" s="102"/>
      <c r="U741" s="17" t="str">
        <f>+U740</f>
        <v>BMC1321INC01</v>
      </c>
      <c r="V741" s="101"/>
      <c r="W741" s="101"/>
      <c r="X741" s="17" t="s">
        <v>472</v>
      </c>
      <c r="Y741" s="17" t="s">
        <v>289</v>
      </c>
      <c r="Z741" s="78"/>
      <c r="AA741" s="46"/>
      <c r="AC741" s="116"/>
      <c r="AD741" s="19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</row>
    <row r="742" spans="1:53" s="17" customFormat="1" ht="13.5" thickBot="1" x14ac:dyDescent="0.35">
      <c r="A742" s="118"/>
      <c r="B742" s="101"/>
      <c r="C742" s="106" t="str">
        <f>+C741</f>
        <v>PR1</v>
      </c>
      <c r="D742" s="63"/>
      <c r="E742" s="63"/>
      <c r="F742" s="63"/>
      <c r="G742" s="63"/>
      <c r="H742" s="97" t="str">
        <f>+H741</f>
        <v>G</v>
      </c>
      <c r="I742" s="108" t="s">
        <v>426</v>
      </c>
      <c r="J742" s="107" t="s">
        <v>425</v>
      </c>
      <c r="K742" s="33"/>
      <c r="L742" s="103" t="s">
        <v>424</v>
      </c>
      <c r="M742" s="33"/>
      <c r="N742" s="17">
        <v>3</v>
      </c>
      <c r="P742" s="64"/>
      <c r="Q742" s="64"/>
      <c r="R742" s="102" t="s">
        <v>291</v>
      </c>
      <c r="S742" s="102"/>
      <c r="T742" s="102"/>
      <c r="U742" s="17" t="str">
        <f>+U741</f>
        <v>BMC1321INC01</v>
      </c>
      <c r="V742" s="101"/>
      <c r="W742" s="101"/>
      <c r="X742" s="17" t="s">
        <v>472</v>
      </c>
      <c r="Y742" s="17" t="s">
        <v>289</v>
      </c>
      <c r="Z742" s="78"/>
      <c r="AC742" s="116"/>
      <c r="AD742" s="19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</row>
    <row r="743" spans="1:53" s="17" customFormat="1" x14ac:dyDescent="0.3">
      <c r="A743" s="118"/>
      <c r="B743" s="101"/>
      <c r="C743" s="106" t="str">
        <f>+C742</f>
        <v>PR1</v>
      </c>
      <c r="D743" s="63"/>
      <c r="E743" s="63"/>
      <c r="F743" s="63"/>
      <c r="G743" s="63"/>
      <c r="H743" s="97" t="s">
        <v>386</v>
      </c>
      <c r="I743" s="112" t="s">
        <v>377</v>
      </c>
      <c r="J743" s="111" t="s">
        <v>423</v>
      </c>
      <c r="K743" s="33" t="s">
        <v>422</v>
      </c>
      <c r="L743" s="103" t="s">
        <v>323</v>
      </c>
      <c r="M743" s="33"/>
      <c r="N743" s="17">
        <v>3</v>
      </c>
      <c r="P743" s="64" t="s">
        <v>421</v>
      </c>
      <c r="Q743" s="64"/>
      <c r="R743" s="102" t="s">
        <v>418</v>
      </c>
      <c r="S743" s="102" t="s">
        <v>247</v>
      </c>
      <c r="T743" s="102"/>
      <c r="U743" s="17" t="str">
        <f>+U742</f>
        <v>BMC1321INC01</v>
      </c>
      <c r="V743" s="101"/>
      <c r="W743" s="101"/>
      <c r="X743" s="17" t="s">
        <v>472</v>
      </c>
      <c r="Y743" s="17" t="s">
        <v>289</v>
      </c>
      <c r="Z743" s="78"/>
      <c r="AA743" s="46"/>
      <c r="AC743" s="116"/>
      <c r="AD743" s="19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</row>
    <row r="744" spans="1:53" s="17" customFormat="1" x14ac:dyDescent="0.3">
      <c r="A744" s="118"/>
      <c r="B744" s="101"/>
      <c r="C744" s="106" t="str">
        <f>+C743</f>
        <v>PR1</v>
      </c>
      <c r="D744" s="33"/>
      <c r="E744" s="100"/>
      <c r="F744" s="33"/>
      <c r="G744" s="33"/>
      <c r="H744" s="97" t="str">
        <f>+H743</f>
        <v>B</v>
      </c>
      <c r="I744" s="108" t="s">
        <v>372</v>
      </c>
      <c r="J744" s="107" t="s">
        <v>420</v>
      </c>
      <c r="L744" s="103" t="s">
        <v>323</v>
      </c>
      <c r="M744" s="33"/>
      <c r="N744" s="17">
        <v>3</v>
      </c>
      <c r="P744" s="64" t="s">
        <v>419</v>
      </c>
      <c r="Q744" s="64"/>
      <c r="R744" s="102" t="s">
        <v>418</v>
      </c>
      <c r="S744" s="102" t="s">
        <v>308</v>
      </c>
      <c r="T744" s="102"/>
      <c r="U744" s="17" t="str">
        <f>+U743</f>
        <v>BMC1321INC01</v>
      </c>
      <c r="V744" s="101"/>
      <c r="W744" s="101"/>
      <c r="X744" s="17" t="s">
        <v>472</v>
      </c>
      <c r="Y744" s="17" t="s">
        <v>289</v>
      </c>
      <c r="Z744" s="78"/>
      <c r="AA744" s="46"/>
      <c r="AC744" s="116"/>
      <c r="AD744" s="19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</row>
    <row r="745" spans="1:53" s="17" customFormat="1" x14ac:dyDescent="0.3">
      <c r="A745" s="118"/>
      <c r="B745" s="101"/>
      <c r="C745" s="106" t="str">
        <f>+C744</f>
        <v>PR1</v>
      </c>
      <c r="D745" s="33"/>
      <c r="E745" s="100"/>
      <c r="F745" s="33"/>
      <c r="G745" s="33"/>
      <c r="H745" s="97" t="str">
        <f>+H744</f>
        <v>B</v>
      </c>
      <c r="I745" s="108" t="s">
        <v>368</v>
      </c>
      <c r="J745" s="107" t="s">
        <v>417</v>
      </c>
      <c r="K745" s="33"/>
      <c r="L745" s="103" t="s">
        <v>323</v>
      </c>
      <c r="M745" s="33"/>
      <c r="N745" s="17">
        <v>3</v>
      </c>
      <c r="P745" s="64" t="s">
        <v>416</v>
      </c>
      <c r="Q745" s="64"/>
      <c r="R745" s="102" t="s">
        <v>415</v>
      </c>
      <c r="S745" s="102" t="s">
        <v>414</v>
      </c>
      <c r="T745" s="102"/>
      <c r="U745" s="17" t="str">
        <f>+U744</f>
        <v>BMC1321INC01</v>
      </c>
      <c r="V745" s="101"/>
      <c r="W745" s="101"/>
      <c r="X745" s="17" t="s">
        <v>472</v>
      </c>
      <c r="Y745" s="17" t="s">
        <v>289</v>
      </c>
      <c r="Z745" s="78"/>
      <c r="AA745" s="46"/>
      <c r="AC745" s="116"/>
      <c r="AD745" s="19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</row>
    <row r="746" spans="1:53" s="17" customFormat="1" x14ac:dyDescent="0.3">
      <c r="A746" s="118"/>
      <c r="B746" s="101"/>
      <c r="C746" s="106" t="str">
        <f>+C745</f>
        <v>PR1</v>
      </c>
      <c r="D746" s="33"/>
      <c r="E746" s="100"/>
      <c r="F746" s="33"/>
      <c r="G746" s="33"/>
      <c r="H746" s="97" t="str">
        <f>+H745</f>
        <v>B</v>
      </c>
      <c r="I746" s="108" t="s">
        <v>363</v>
      </c>
      <c r="J746" s="107" t="s">
        <v>413</v>
      </c>
      <c r="K746" s="33"/>
      <c r="L746" s="103" t="s">
        <v>323</v>
      </c>
      <c r="M746" s="33"/>
      <c r="N746" s="17">
        <v>3</v>
      </c>
      <c r="P746" s="64" t="s">
        <v>412</v>
      </c>
      <c r="Q746" s="64"/>
      <c r="R746" s="102" t="s">
        <v>409</v>
      </c>
      <c r="S746" s="102" t="s">
        <v>247</v>
      </c>
      <c r="T746" s="102"/>
      <c r="U746" s="102" t="str">
        <f>+U745</f>
        <v>BMC1321INC01</v>
      </c>
      <c r="V746" s="101"/>
      <c r="W746" s="101"/>
      <c r="X746" s="17" t="s">
        <v>472</v>
      </c>
      <c r="Y746" s="17" t="s">
        <v>289</v>
      </c>
      <c r="Z746" s="78"/>
      <c r="AA746" s="46"/>
      <c r="AC746" s="116"/>
      <c r="AD746" s="19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</row>
    <row r="747" spans="1:53" s="17" customFormat="1" x14ac:dyDescent="0.3">
      <c r="A747" s="118"/>
      <c r="B747" s="101"/>
      <c r="C747" s="106" t="str">
        <f>+C746</f>
        <v>PR1</v>
      </c>
      <c r="D747" s="33"/>
      <c r="E747" s="100"/>
      <c r="F747" s="33"/>
      <c r="G747" s="33"/>
      <c r="H747" s="97" t="str">
        <f>+H746</f>
        <v>B</v>
      </c>
      <c r="I747" s="108" t="s">
        <v>359</v>
      </c>
      <c r="J747" s="107" t="s">
        <v>411</v>
      </c>
      <c r="K747" s="33"/>
      <c r="L747" s="103" t="s">
        <v>323</v>
      </c>
      <c r="M747" s="33"/>
      <c r="N747" s="17">
        <v>3</v>
      </c>
      <c r="P747" s="64" t="s">
        <v>410</v>
      </c>
      <c r="Q747" s="64"/>
      <c r="R747" s="102" t="s">
        <v>409</v>
      </c>
      <c r="S747" s="102" t="s">
        <v>308</v>
      </c>
      <c r="T747" s="102"/>
      <c r="U747" s="102" t="str">
        <f>+U746</f>
        <v>BMC1321INC01</v>
      </c>
      <c r="V747" s="101"/>
      <c r="W747" s="101"/>
      <c r="X747" s="17" t="s">
        <v>472</v>
      </c>
      <c r="Y747" s="17" t="s">
        <v>289</v>
      </c>
      <c r="Z747" s="78"/>
      <c r="AA747" s="46"/>
      <c r="AC747" s="116"/>
      <c r="AD747" s="19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</row>
    <row r="748" spans="1:53" s="17" customFormat="1" x14ac:dyDescent="0.3">
      <c r="A748" s="118"/>
      <c r="B748" s="101"/>
      <c r="C748" s="106" t="str">
        <f>+C747</f>
        <v>PR1</v>
      </c>
      <c r="D748" s="33"/>
      <c r="E748" s="100"/>
      <c r="F748" s="33"/>
      <c r="G748" s="33"/>
      <c r="H748" s="97" t="str">
        <f>+H747</f>
        <v>B</v>
      </c>
      <c r="I748" s="108" t="s">
        <v>355</v>
      </c>
      <c r="J748" s="107" t="s">
        <v>408</v>
      </c>
      <c r="K748" s="33"/>
      <c r="L748" s="103" t="s">
        <v>323</v>
      </c>
      <c r="M748" s="33"/>
      <c r="N748" s="17">
        <v>3</v>
      </c>
      <c r="P748" s="102" t="s">
        <v>407</v>
      </c>
      <c r="Q748" s="102"/>
      <c r="R748" s="102" t="s">
        <v>404</v>
      </c>
      <c r="S748" s="102" t="s">
        <v>247</v>
      </c>
      <c r="T748" s="102"/>
      <c r="U748" s="102" t="str">
        <f>+U747</f>
        <v>BMC1321INC01</v>
      </c>
      <c r="V748" s="101"/>
      <c r="W748" s="101"/>
      <c r="X748" s="17" t="s">
        <v>472</v>
      </c>
      <c r="Y748" s="17" t="s">
        <v>289</v>
      </c>
      <c r="Z748" s="78"/>
      <c r="AA748" s="46"/>
      <c r="AC748" s="116"/>
      <c r="AD748" s="19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</row>
    <row r="749" spans="1:53" s="17" customFormat="1" x14ac:dyDescent="0.3">
      <c r="A749" s="118"/>
      <c r="B749" s="101"/>
      <c r="C749" s="106" t="str">
        <f>+C748</f>
        <v>PR1</v>
      </c>
      <c r="D749" s="33"/>
      <c r="E749" s="100"/>
      <c r="F749" s="33"/>
      <c r="G749" s="33"/>
      <c r="H749" s="97" t="str">
        <f>+H748</f>
        <v>B</v>
      </c>
      <c r="I749" s="108" t="s">
        <v>351</v>
      </c>
      <c r="J749" s="107" t="s">
        <v>406</v>
      </c>
      <c r="K749" s="33"/>
      <c r="L749" s="103" t="s">
        <v>323</v>
      </c>
      <c r="M749" s="33"/>
      <c r="N749" s="17">
        <v>3</v>
      </c>
      <c r="P749" s="102" t="s">
        <v>405</v>
      </c>
      <c r="Q749" s="102"/>
      <c r="R749" s="102" t="s">
        <v>404</v>
      </c>
      <c r="S749" s="102" t="s">
        <v>308</v>
      </c>
      <c r="T749" s="33"/>
      <c r="U749" s="102" t="str">
        <f>+U748</f>
        <v>BMC1321INC01</v>
      </c>
      <c r="V749" s="101"/>
      <c r="W749" s="101"/>
      <c r="X749" s="17" t="s">
        <v>472</v>
      </c>
      <c r="Y749" s="17" t="s">
        <v>289</v>
      </c>
      <c r="Z749" s="78"/>
      <c r="AA749" s="46"/>
      <c r="AC749" s="116"/>
      <c r="AD749" s="19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</row>
    <row r="750" spans="1:53" s="17" customFormat="1" x14ac:dyDescent="0.3">
      <c r="A750" s="118"/>
      <c r="B750" s="101"/>
      <c r="C750" s="106" t="str">
        <f>+C749</f>
        <v>PR1</v>
      </c>
      <c r="D750" s="33"/>
      <c r="E750" s="100"/>
      <c r="F750" s="33"/>
      <c r="G750" s="33"/>
      <c r="H750" s="97" t="str">
        <f>+H749</f>
        <v>B</v>
      </c>
      <c r="I750" s="108" t="s">
        <v>349</v>
      </c>
      <c r="J750" s="107" t="s">
        <v>403</v>
      </c>
      <c r="K750" s="33"/>
      <c r="L750" s="103" t="s">
        <v>323</v>
      </c>
      <c r="M750" s="33"/>
      <c r="N750" s="17">
        <v>3</v>
      </c>
      <c r="P750" s="102" t="s">
        <v>402</v>
      </c>
      <c r="Q750" s="102"/>
      <c r="R750" s="102" t="s">
        <v>396</v>
      </c>
      <c r="S750" s="102" t="s">
        <v>211</v>
      </c>
      <c r="T750" s="33"/>
      <c r="U750" s="102" t="str">
        <f>+U749</f>
        <v>BMC1321INC01</v>
      </c>
      <c r="V750" s="101"/>
      <c r="W750" s="101"/>
      <c r="X750" s="17" t="s">
        <v>472</v>
      </c>
      <c r="Y750" s="17" t="s">
        <v>289</v>
      </c>
      <c r="Z750" s="78"/>
      <c r="AA750" s="46"/>
      <c r="AC750" s="116"/>
      <c r="AD750" s="19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</row>
    <row r="751" spans="1:53" s="17" customFormat="1" x14ac:dyDescent="0.3">
      <c r="A751" s="118"/>
      <c r="B751" s="101"/>
      <c r="C751" s="106" t="str">
        <f>+C750</f>
        <v>PR1</v>
      </c>
      <c r="D751" s="33"/>
      <c r="E751" s="100"/>
      <c r="F751" s="33"/>
      <c r="G751" s="33"/>
      <c r="H751" s="97" t="str">
        <f>+H750</f>
        <v>B</v>
      </c>
      <c r="I751" s="108" t="s">
        <v>345</v>
      </c>
      <c r="J751" s="107" t="s">
        <v>401</v>
      </c>
      <c r="K751" s="33"/>
      <c r="L751" s="103" t="s">
        <v>323</v>
      </c>
      <c r="M751" s="33"/>
      <c r="N751" s="17">
        <v>3</v>
      </c>
      <c r="P751" s="102" t="s">
        <v>400</v>
      </c>
      <c r="Q751" s="102"/>
      <c r="R751" s="102" t="s">
        <v>396</v>
      </c>
      <c r="S751" s="102" t="s">
        <v>399</v>
      </c>
      <c r="T751" s="33"/>
      <c r="U751" s="102" t="str">
        <f>+U750</f>
        <v>BMC1321INC01</v>
      </c>
      <c r="V751" s="101"/>
      <c r="W751" s="101"/>
      <c r="X751" s="17" t="s">
        <v>472</v>
      </c>
      <c r="Y751" s="17" t="s">
        <v>289</v>
      </c>
      <c r="Z751" s="78"/>
      <c r="AA751" s="46"/>
      <c r="AC751" s="116"/>
      <c r="AD751" s="19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</row>
    <row r="752" spans="1:53" s="17" customFormat="1" x14ac:dyDescent="0.3">
      <c r="A752" s="118"/>
      <c r="B752" s="101"/>
      <c r="C752" s="106" t="str">
        <f>+C751</f>
        <v>PR1</v>
      </c>
      <c r="D752" s="33"/>
      <c r="E752" s="100"/>
      <c r="F752" s="33"/>
      <c r="G752" s="33"/>
      <c r="H752" s="97" t="str">
        <f>+H751</f>
        <v>B</v>
      </c>
      <c r="I752" s="108" t="s">
        <v>341</v>
      </c>
      <c r="J752" s="107" t="s">
        <v>398</v>
      </c>
      <c r="K752" s="33"/>
      <c r="L752" s="103" t="s">
        <v>323</v>
      </c>
      <c r="M752" s="33"/>
      <c r="N752" s="17">
        <v>3</v>
      </c>
      <c r="P752" s="102" t="s">
        <v>397</v>
      </c>
      <c r="Q752" s="102"/>
      <c r="R752" s="102" t="s">
        <v>396</v>
      </c>
      <c r="S752" s="102" t="s">
        <v>395</v>
      </c>
      <c r="T752" s="33"/>
      <c r="U752" s="102" t="str">
        <f>+U751</f>
        <v>BMC1321INC01</v>
      </c>
      <c r="V752" s="101"/>
      <c r="W752" s="101"/>
      <c r="X752" s="17" t="s">
        <v>472</v>
      </c>
      <c r="Y752" s="17" t="s">
        <v>289</v>
      </c>
      <c r="Z752" s="78"/>
      <c r="AA752" s="46"/>
      <c r="AC752" s="116"/>
      <c r="AD752" s="19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</row>
    <row r="753" spans="1:53" s="17" customFormat="1" x14ac:dyDescent="0.3">
      <c r="A753" s="118"/>
      <c r="B753" s="101"/>
      <c r="C753" s="106" t="str">
        <f>+C752</f>
        <v>PR1</v>
      </c>
      <c r="D753" s="33"/>
      <c r="E753" s="100"/>
      <c r="F753" s="33"/>
      <c r="G753" s="33"/>
      <c r="H753" s="97" t="str">
        <f>+H752</f>
        <v>B</v>
      </c>
      <c r="I753" s="108" t="s">
        <v>337</v>
      </c>
      <c r="J753" s="107" t="s">
        <v>394</v>
      </c>
      <c r="K753" s="33"/>
      <c r="L753" s="103" t="s">
        <v>323</v>
      </c>
      <c r="M753" s="33"/>
      <c r="N753" s="17">
        <v>3</v>
      </c>
      <c r="P753" s="64" t="s">
        <v>393</v>
      </c>
      <c r="Q753" s="64"/>
      <c r="R753" s="102" t="s">
        <v>392</v>
      </c>
      <c r="S753" s="102" t="s">
        <v>211</v>
      </c>
      <c r="T753" s="33"/>
      <c r="U753" s="102" t="str">
        <f>+U752</f>
        <v>BMC1321INC01</v>
      </c>
      <c r="V753" s="101"/>
      <c r="W753" s="101"/>
      <c r="X753" s="17" t="s">
        <v>472</v>
      </c>
      <c r="Y753" s="17" t="s">
        <v>289</v>
      </c>
      <c r="Z753" s="78"/>
      <c r="AA753" s="46"/>
      <c r="AC753" s="116"/>
      <c r="AD753" s="19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</row>
    <row r="754" spans="1:53" s="17" customFormat="1" x14ac:dyDescent="0.3">
      <c r="A754" s="118"/>
      <c r="B754" s="101"/>
      <c r="C754" s="106" t="str">
        <f>+C753</f>
        <v>PR1</v>
      </c>
      <c r="D754" s="33"/>
      <c r="E754" s="100"/>
      <c r="F754" s="33"/>
      <c r="G754" s="33"/>
      <c r="H754" s="97" t="str">
        <f>+H753</f>
        <v>B</v>
      </c>
      <c r="I754" s="108" t="s">
        <v>333</v>
      </c>
      <c r="J754" s="107" t="s">
        <v>391</v>
      </c>
      <c r="K754" s="33"/>
      <c r="L754" s="103" t="s">
        <v>323</v>
      </c>
      <c r="M754" s="33"/>
      <c r="N754" s="17">
        <v>3</v>
      </c>
      <c r="P754" s="64" t="s">
        <v>390</v>
      </c>
      <c r="Q754" s="64"/>
      <c r="R754" s="102" t="s">
        <v>389</v>
      </c>
      <c r="S754" s="102" t="s">
        <v>211</v>
      </c>
      <c r="T754" s="33"/>
      <c r="U754" s="102" t="str">
        <f>+U753</f>
        <v>BMC1321INC01</v>
      </c>
      <c r="V754" s="101"/>
      <c r="W754" s="101"/>
      <c r="X754" s="17" t="s">
        <v>472</v>
      </c>
      <c r="Y754" s="17" t="s">
        <v>289</v>
      </c>
      <c r="Z754" s="78"/>
      <c r="AA754" s="46"/>
      <c r="AC754" s="116"/>
      <c r="AD754" s="19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</row>
    <row r="755" spans="1:53" s="17" customFormat="1" x14ac:dyDescent="0.3">
      <c r="A755" s="118"/>
      <c r="B755" s="101"/>
      <c r="C755" s="106" t="str">
        <f>+C754</f>
        <v>PR1</v>
      </c>
      <c r="D755" s="33"/>
      <c r="E755" s="100"/>
      <c r="F755" s="33"/>
      <c r="G755" s="33"/>
      <c r="H755" s="97" t="str">
        <f>+H754</f>
        <v>B</v>
      </c>
      <c r="I755" s="108" t="s">
        <v>329</v>
      </c>
      <c r="J755" s="107" t="s">
        <v>388</v>
      </c>
      <c r="K755" s="33"/>
      <c r="L755" s="103" t="s">
        <v>323</v>
      </c>
      <c r="M755" s="33"/>
      <c r="N755" s="17">
        <v>3</v>
      </c>
      <c r="P755" s="64"/>
      <c r="Q755" s="64"/>
      <c r="R755" s="102" t="s">
        <v>291</v>
      </c>
      <c r="S755" s="102"/>
      <c r="T755" s="33"/>
      <c r="U755" s="102" t="str">
        <f>+U754</f>
        <v>BMC1321INC01</v>
      </c>
      <c r="V755" s="101"/>
      <c r="W755" s="101"/>
      <c r="X755" s="17" t="s">
        <v>472</v>
      </c>
      <c r="Y755" s="17" t="s">
        <v>289</v>
      </c>
      <c r="Z755" s="78"/>
      <c r="AA755" s="46"/>
      <c r="AB755" s="46"/>
      <c r="AC755" s="116"/>
      <c r="AD755" s="19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</row>
    <row r="756" spans="1:53" s="17" customFormat="1" ht="13.5" thickBot="1" x14ac:dyDescent="0.35">
      <c r="A756" s="118"/>
      <c r="B756" s="101"/>
      <c r="C756" s="106" t="str">
        <f>+C755</f>
        <v>PR1</v>
      </c>
      <c r="D756" s="33"/>
      <c r="E756" s="100"/>
      <c r="F756" s="33"/>
      <c r="G756" s="33"/>
      <c r="H756" s="97" t="str">
        <f>+H755</f>
        <v>B</v>
      </c>
      <c r="I756" s="105" t="s">
        <v>325</v>
      </c>
      <c r="J756" s="104" t="s">
        <v>387</v>
      </c>
      <c r="K756" s="33"/>
      <c r="L756" s="103" t="s">
        <v>323</v>
      </c>
      <c r="M756" s="33"/>
      <c r="N756" s="17">
        <v>3</v>
      </c>
      <c r="P756" s="64"/>
      <c r="Q756" s="64"/>
      <c r="R756" s="102" t="s">
        <v>291</v>
      </c>
      <c r="S756" s="102"/>
      <c r="T756" s="33"/>
      <c r="U756" s="102" t="str">
        <f>+U755</f>
        <v>BMC1321INC01</v>
      </c>
      <c r="V756" s="101"/>
      <c r="W756" s="101"/>
      <c r="X756" s="17" t="s">
        <v>472</v>
      </c>
      <c r="Y756" s="17" t="s">
        <v>289</v>
      </c>
      <c r="Z756" s="78"/>
      <c r="AA756" s="20"/>
      <c r="AB756" s="20"/>
      <c r="AC756" s="116"/>
      <c r="AD756" s="19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</row>
    <row r="757" spans="1:53" s="17" customFormat="1" x14ac:dyDescent="0.3">
      <c r="A757" s="118"/>
      <c r="B757" s="101"/>
      <c r="C757" s="106" t="str">
        <f>+C756</f>
        <v>PR1</v>
      </c>
      <c r="D757" s="33"/>
      <c r="E757" s="100"/>
      <c r="F757" s="33"/>
      <c r="G757" s="33"/>
      <c r="H757" s="97" t="s">
        <v>386</v>
      </c>
      <c r="I757" s="112" t="s">
        <v>321</v>
      </c>
      <c r="J757" s="111" t="s">
        <v>385</v>
      </c>
      <c r="K757" s="33"/>
      <c r="L757" s="103" t="s">
        <v>292</v>
      </c>
      <c r="M757" s="33"/>
      <c r="N757" s="17">
        <v>3</v>
      </c>
      <c r="P757" s="33"/>
      <c r="Q757" s="33"/>
      <c r="R757" s="102" t="s">
        <v>291</v>
      </c>
      <c r="S757" s="102"/>
      <c r="T757" s="33"/>
      <c r="U757" s="102" t="str">
        <f>+U756</f>
        <v>BMC1321INC01</v>
      </c>
      <c r="V757" s="101"/>
      <c r="W757" s="101"/>
      <c r="X757" s="17" t="s">
        <v>472</v>
      </c>
      <c r="Y757" s="17" t="s">
        <v>289</v>
      </c>
      <c r="Z757" s="78"/>
      <c r="AA757" s="20"/>
      <c r="AB757" s="20"/>
      <c r="AC757" s="116"/>
      <c r="AD757" s="19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</row>
    <row r="758" spans="1:53" s="17" customFormat="1" x14ac:dyDescent="0.3">
      <c r="A758" s="118"/>
      <c r="B758" s="101"/>
      <c r="C758" s="106" t="str">
        <f>+C757</f>
        <v>PR1</v>
      </c>
      <c r="D758" s="33"/>
      <c r="E758" s="100"/>
      <c r="F758" s="33"/>
      <c r="G758" s="33"/>
      <c r="H758" s="97" t="str">
        <f>+H757</f>
        <v>B</v>
      </c>
      <c r="I758" s="108" t="s">
        <v>316</v>
      </c>
      <c r="J758" s="107" t="s">
        <v>384</v>
      </c>
      <c r="K758" s="33"/>
      <c r="L758" s="103" t="s">
        <v>292</v>
      </c>
      <c r="M758" s="33"/>
      <c r="N758" s="17">
        <v>3</v>
      </c>
      <c r="P758" s="33"/>
      <c r="Q758" s="33"/>
      <c r="R758" s="102" t="s">
        <v>291</v>
      </c>
      <c r="S758" s="102"/>
      <c r="T758" s="33"/>
      <c r="U758" s="102" t="str">
        <f>+U757</f>
        <v>BMC1321INC01</v>
      </c>
      <c r="V758" s="101"/>
      <c r="W758" s="101"/>
      <c r="X758" s="17" t="s">
        <v>472</v>
      </c>
      <c r="Y758" s="17" t="s">
        <v>289</v>
      </c>
      <c r="Z758" s="78"/>
      <c r="AA758" s="20"/>
      <c r="AB758" s="20"/>
      <c r="AC758" s="116"/>
      <c r="AD758" s="19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</row>
    <row r="759" spans="1:53" s="17" customFormat="1" x14ac:dyDescent="0.3">
      <c r="A759" s="118"/>
      <c r="B759" s="101"/>
      <c r="C759" s="106" t="str">
        <f>+C758</f>
        <v>PR1</v>
      </c>
      <c r="D759" s="33"/>
      <c r="E759" s="100"/>
      <c r="F759" s="33"/>
      <c r="G759" s="33"/>
      <c r="H759" s="97" t="str">
        <f>+H758</f>
        <v>B</v>
      </c>
      <c r="I759" s="108" t="s">
        <v>312</v>
      </c>
      <c r="J759" s="107" t="s">
        <v>383</v>
      </c>
      <c r="K759" s="33"/>
      <c r="L759" s="103" t="s">
        <v>292</v>
      </c>
      <c r="M759" s="33"/>
      <c r="N759" s="17">
        <v>3</v>
      </c>
      <c r="P759" s="33"/>
      <c r="Q759" s="33"/>
      <c r="R759" s="102" t="s">
        <v>291</v>
      </c>
      <c r="S759" s="102"/>
      <c r="T759" s="33"/>
      <c r="U759" s="102" t="str">
        <f>+U758</f>
        <v>BMC1321INC01</v>
      </c>
      <c r="V759" s="101"/>
      <c r="W759" s="101"/>
      <c r="X759" s="17" t="s">
        <v>472</v>
      </c>
      <c r="Y759" s="17" t="s">
        <v>289</v>
      </c>
      <c r="Z759" s="78"/>
      <c r="AA759" s="20"/>
      <c r="AB759" s="20"/>
      <c r="AC759" s="116"/>
      <c r="AD759" s="19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</row>
    <row r="760" spans="1:53" s="17" customFormat="1" x14ac:dyDescent="0.3">
      <c r="A760" s="118"/>
      <c r="B760" s="101"/>
      <c r="C760" s="106" t="str">
        <f>+C759</f>
        <v>PR1</v>
      </c>
      <c r="D760" s="33"/>
      <c r="E760" s="100"/>
      <c r="F760" s="33"/>
      <c r="G760" s="33"/>
      <c r="H760" s="97" t="str">
        <f>+H759</f>
        <v>B</v>
      </c>
      <c r="I760" s="108" t="s">
        <v>307</v>
      </c>
      <c r="J760" s="107" t="s">
        <v>382</v>
      </c>
      <c r="K760" s="33"/>
      <c r="L760" s="103" t="s">
        <v>292</v>
      </c>
      <c r="M760" s="33"/>
      <c r="N760" s="17">
        <v>3</v>
      </c>
      <c r="P760" s="64"/>
      <c r="Q760" s="64"/>
      <c r="R760" s="102" t="s">
        <v>291</v>
      </c>
      <c r="S760" s="102"/>
      <c r="T760" s="33"/>
      <c r="U760" s="102" t="str">
        <f>+U759</f>
        <v>BMC1321INC01</v>
      </c>
      <c r="V760" s="101"/>
      <c r="W760" s="101"/>
      <c r="X760" s="17" t="s">
        <v>472</v>
      </c>
      <c r="Y760" s="17" t="s">
        <v>289</v>
      </c>
      <c r="Z760" s="78"/>
      <c r="AA760" s="20"/>
      <c r="AB760" s="20"/>
      <c r="AC760" s="116"/>
      <c r="AD760" s="19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</row>
    <row r="761" spans="1:53" s="17" customFormat="1" x14ac:dyDescent="0.3">
      <c r="A761" s="118"/>
      <c r="B761" s="101"/>
      <c r="C761" s="106" t="str">
        <f>+C760</f>
        <v>PR1</v>
      </c>
      <c r="D761" s="33"/>
      <c r="E761" s="100"/>
      <c r="F761" s="33"/>
      <c r="G761" s="33"/>
      <c r="H761" s="97" t="str">
        <f>+H760</f>
        <v>B</v>
      </c>
      <c r="I761" s="108" t="s">
        <v>303</v>
      </c>
      <c r="J761" s="107" t="s">
        <v>381</v>
      </c>
      <c r="K761" s="33"/>
      <c r="L761" s="103" t="s">
        <v>292</v>
      </c>
      <c r="M761" s="33"/>
      <c r="N761" s="17">
        <v>3</v>
      </c>
      <c r="P761" s="113"/>
      <c r="Q761" s="113"/>
      <c r="R761" s="102" t="s">
        <v>291</v>
      </c>
      <c r="S761" s="102"/>
      <c r="T761" s="33"/>
      <c r="U761" s="102" t="str">
        <f>+U760</f>
        <v>BMC1321INC01</v>
      </c>
      <c r="V761" s="101"/>
      <c r="W761" s="101"/>
      <c r="X761" s="17" t="s">
        <v>472</v>
      </c>
      <c r="Y761" s="17" t="s">
        <v>289</v>
      </c>
      <c r="Z761" s="78"/>
      <c r="AA761" s="20"/>
      <c r="AB761" s="20"/>
      <c r="AC761" s="116"/>
      <c r="AD761" s="19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</row>
    <row r="762" spans="1:53" s="17" customFormat="1" x14ac:dyDescent="0.3">
      <c r="A762" s="118"/>
      <c r="B762" s="101"/>
      <c r="C762" s="106" t="str">
        <f>+C761</f>
        <v>PR1</v>
      </c>
      <c r="D762" s="33"/>
      <c r="E762" s="100"/>
      <c r="F762" s="33"/>
      <c r="G762" s="33"/>
      <c r="H762" s="97" t="str">
        <f>+H761</f>
        <v>B</v>
      </c>
      <c r="I762" s="108" t="s">
        <v>298</v>
      </c>
      <c r="J762" s="107" t="s">
        <v>380</v>
      </c>
      <c r="K762" s="33"/>
      <c r="L762" s="103" t="s">
        <v>292</v>
      </c>
      <c r="M762" s="33"/>
      <c r="N762" s="17">
        <v>3</v>
      </c>
      <c r="P762" s="64"/>
      <c r="Q762" s="64"/>
      <c r="R762" s="102" t="s">
        <v>291</v>
      </c>
      <c r="S762" s="102"/>
      <c r="T762" s="33"/>
      <c r="U762" s="102" t="str">
        <f>+U761</f>
        <v>BMC1321INC01</v>
      </c>
      <c r="V762" s="101"/>
      <c r="W762" s="101"/>
      <c r="X762" s="17" t="s">
        <v>472</v>
      </c>
      <c r="Y762" s="17" t="s">
        <v>289</v>
      </c>
      <c r="Z762" s="78"/>
      <c r="AA762" s="20"/>
      <c r="AB762" s="20"/>
      <c r="AC762" s="116"/>
      <c r="AD762" s="19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</row>
    <row r="763" spans="1:53" s="17" customFormat="1" x14ac:dyDescent="0.3">
      <c r="A763" s="118"/>
      <c r="B763" s="101"/>
      <c r="C763" s="106" t="str">
        <f>+C762</f>
        <v>PR1</v>
      </c>
      <c r="D763" s="33"/>
      <c r="E763" s="100"/>
      <c r="F763" s="33"/>
      <c r="G763" s="33"/>
      <c r="H763" s="97" t="str">
        <f>+H762</f>
        <v>B</v>
      </c>
      <c r="I763" s="108" t="s">
        <v>296</v>
      </c>
      <c r="J763" s="107" t="s">
        <v>379</v>
      </c>
      <c r="K763" s="33"/>
      <c r="L763" s="103" t="s">
        <v>292</v>
      </c>
      <c r="M763" s="33"/>
      <c r="N763" s="17">
        <v>3</v>
      </c>
      <c r="P763" s="64"/>
      <c r="Q763" s="64"/>
      <c r="R763" s="102" t="s">
        <v>291</v>
      </c>
      <c r="S763" s="102"/>
      <c r="T763" s="33"/>
      <c r="U763" s="102" t="str">
        <f>+U762</f>
        <v>BMC1321INC01</v>
      </c>
      <c r="V763" s="101"/>
      <c r="W763" s="101"/>
      <c r="X763" s="17" t="s">
        <v>472</v>
      </c>
      <c r="Y763" s="17" t="s">
        <v>289</v>
      </c>
      <c r="Z763" s="78"/>
      <c r="AA763" s="20"/>
      <c r="AB763" s="20"/>
      <c r="AC763" s="116"/>
      <c r="AD763" s="19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</row>
    <row r="764" spans="1:53" s="17" customFormat="1" ht="13.5" thickBot="1" x14ac:dyDescent="0.35">
      <c r="A764" s="118"/>
      <c r="B764" s="101"/>
      <c r="C764" s="106" t="str">
        <f>+C763</f>
        <v>PR1</v>
      </c>
      <c r="D764" s="33"/>
      <c r="E764" s="100"/>
      <c r="F764" s="33"/>
      <c r="G764" s="33"/>
      <c r="H764" s="97" t="str">
        <f>+H763</f>
        <v>B</v>
      </c>
      <c r="I764" s="105" t="s">
        <v>294</v>
      </c>
      <c r="J764" s="104" t="s">
        <v>378</v>
      </c>
      <c r="K764" s="33"/>
      <c r="L764" s="103" t="s">
        <v>292</v>
      </c>
      <c r="M764" s="33"/>
      <c r="N764" s="17">
        <v>3</v>
      </c>
      <c r="P764" s="64"/>
      <c r="Q764" s="64"/>
      <c r="R764" s="102" t="s">
        <v>291</v>
      </c>
      <c r="S764" s="102"/>
      <c r="T764" s="33"/>
      <c r="U764" s="102" t="str">
        <f>+U763</f>
        <v>BMC1321INC01</v>
      </c>
      <c r="V764" s="101"/>
      <c r="W764" s="101"/>
      <c r="X764" s="17" t="s">
        <v>472</v>
      </c>
      <c r="Y764" s="17" t="s">
        <v>289</v>
      </c>
      <c r="Z764" s="78"/>
      <c r="AA764" s="20"/>
      <c r="AB764" s="20"/>
      <c r="AC764" s="116"/>
      <c r="AD764" s="19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</row>
    <row r="765" spans="1:53" s="17" customFormat="1" x14ac:dyDescent="0.3">
      <c r="A765" s="118"/>
      <c r="B765" s="101"/>
      <c r="C765" s="106" t="str">
        <f>+C764</f>
        <v>PR1</v>
      </c>
      <c r="D765" s="33"/>
      <c r="E765" s="100"/>
      <c r="F765" s="33"/>
      <c r="G765" s="33"/>
      <c r="H765" s="97" t="s">
        <v>322</v>
      </c>
      <c r="I765" s="112" t="s">
        <v>377</v>
      </c>
      <c r="J765" s="111" t="s">
        <v>376</v>
      </c>
      <c r="K765" s="33" t="s">
        <v>375</v>
      </c>
      <c r="L765" s="103" t="s">
        <v>323</v>
      </c>
      <c r="M765" s="33"/>
      <c r="N765" s="17">
        <v>3</v>
      </c>
      <c r="P765" s="64" t="s">
        <v>374</v>
      </c>
      <c r="Q765" s="64"/>
      <c r="R765" s="102" t="s">
        <v>373</v>
      </c>
      <c r="S765" s="102"/>
      <c r="T765" s="33"/>
      <c r="U765" s="102" t="str">
        <f>+U764</f>
        <v>BMC1321INC01</v>
      </c>
      <c r="V765" s="101"/>
      <c r="W765" s="101"/>
      <c r="X765" s="17" t="s">
        <v>472</v>
      </c>
      <c r="Y765" s="17" t="s">
        <v>289</v>
      </c>
      <c r="Z765" s="78"/>
      <c r="AA765" s="20"/>
      <c r="AB765" s="20"/>
      <c r="AC765" s="116"/>
      <c r="AD765" s="19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</row>
    <row r="766" spans="1:53" s="17" customFormat="1" x14ac:dyDescent="0.3">
      <c r="A766" s="118"/>
      <c r="B766" s="101"/>
      <c r="C766" s="106" t="str">
        <f>+C765</f>
        <v>PR1</v>
      </c>
      <c r="D766" s="33"/>
      <c r="E766" s="100"/>
      <c r="F766" s="33"/>
      <c r="G766" s="33"/>
      <c r="H766" s="97" t="str">
        <f>+H765</f>
        <v>C</v>
      </c>
      <c r="I766" s="108" t="s">
        <v>372</v>
      </c>
      <c r="J766" s="107" t="s">
        <v>371</v>
      </c>
      <c r="K766" s="33"/>
      <c r="L766" s="103" t="s">
        <v>323</v>
      </c>
      <c r="M766" s="33"/>
      <c r="N766" s="17">
        <v>3</v>
      </c>
      <c r="P766" s="64" t="s">
        <v>370</v>
      </c>
      <c r="Q766" s="64"/>
      <c r="R766" s="102" t="s">
        <v>369</v>
      </c>
      <c r="S766" s="102" t="s">
        <v>364</v>
      </c>
      <c r="T766" s="33"/>
      <c r="U766" s="102" t="str">
        <f>+U765</f>
        <v>BMC1321INC01</v>
      </c>
      <c r="V766" s="101"/>
      <c r="W766" s="101"/>
      <c r="X766" s="17" t="s">
        <v>472</v>
      </c>
      <c r="Y766" s="17" t="s">
        <v>289</v>
      </c>
      <c r="Z766" s="78"/>
      <c r="AA766" s="20"/>
      <c r="AB766" s="20"/>
      <c r="AC766" s="116"/>
      <c r="AD766" s="19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</row>
    <row r="767" spans="1:53" s="17" customFormat="1" x14ac:dyDescent="0.3">
      <c r="A767" s="118"/>
      <c r="B767" s="101"/>
      <c r="C767" s="106" t="str">
        <f>+C766</f>
        <v>PR1</v>
      </c>
      <c r="D767" s="33"/>
      <c r="E767" s="100"/>
      <c r="F767" s="33"/>
      <c r="G767" s="33"/>
      <c r="H767" s="97" t="str">
        <f>+H766</f>
        <v>C</v>
      </c>
      <c r="I767" s="108" t="s">
        <v>368</v>
      </c>
      <c r="J767" s="107" t="s">
        <v>367</v>
      </c>
      <c r="K767" s="33"/>
      <c r="L767" s="103" t="s">
        <v>323</v>
      </c>
      <c r="M767" s="33"/>
      <c r="N767" s="17">
        <v>3</v>
      </c>
      <c r="P767" s="64" t="s">
        <v>366</v>
      </c>
      <c r="Q767" s="64"/>
      <c r="R767" s="102" t="s">
        <v>365</v>
      </c>
      <c r="S767" s="102" t="s">
        <v>364</v>
      </c>
      <c r="T767" s="33"/>
      <c r="U767" s="102" t="str">
        <f>+U766</f>
        <v>BMC1321INC01</v>
      </c>
      <c r="V767" s="101"/>
      <c r="W767" s="101"/>
      <c r="X767" s="17" t="s">
        <v>472</v>
      </c>
      <c r="Y767" s="17" t="s">
        <v>289</v>
      </c>
      <c r="Z767" s="78"/>
      <c r="AA767" s="20"/>
      <c r="AB767" s="20"/>
      <c r="AC767" s="116"/>
      <c r="AD767" s="19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</row>
    <row r="768" spans="1:53" s="17" customFormat="1" x14ac:dyDescent="0.3">
      <c r="A768" s="118"/>
      <c r="B768" s="101"/>
      <c r="C768" s="106" t="str">
        <f>+C767</f>
        <v>PR1</v>
      </c>
      <c r="D768" s="33"/>
      <c r="E768" s="100"/>
      <c r="F768" s="33"/>
      <c r="G768" s="33"/>
      <c r="H768" s="97" t="str">
        <f>+H767</f>
        <v>C</v>
      </c>
      <c r="I768" s="108" t="s">
        <v>363</v>
      </c>
      <c r="J768" s="107" t="s">
        <v>362</v>
      </c>
      <c r="K768" s="33"/>
      <c r="L768" s="103" t="s">
        <v>323</v>
      </c>
      <c r="M768" s="33"/>
      <c r="N768" s="17">
        <v>3</v>
      </c>
      <c r="P768" s="64" t="s">
        <v>361</v>
      </c>
      <c r="Q768" s="64"/>
      <c r="R768" s="102" t="s">
        <v>360</v>
      </c>
      <c r="S768" s="102" t="s">
        <v>247</v>
      </c>
      <c r="T768" s="33"/>
      <c r="U768" s="102" t="str">
        <f>+U767</f>
        <v>BMC1321INC01</v>
      </c>
      <c r="V768" s="101"/>
      <c r="W768" s="101"/>
      <c r="X768" s="17" t="s">
        <v>472</v>
      </c>
      <c r="Y768" s="17" t="s">
        <v>289</v>
      </c>
      <c r="Z768" s="78"/>
      <c r="AA768" s="20"/>
      <c r="AB768" s="20"/>
      <c r="AC768" s="116"/>
      <c r="AD768" s="19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</row>
    <row r="769" spans="1:53" s="17" customFormat="1" x14ac:dyDescent="0.3">
      <c r="A769" s="118"/>
      <c r="B769" s="101"/>
      <c r="C769" s="106" t="str">
        <f>+C768</f>
        <v>PR1</v>
      </c>
      <c r="D769" s="33"/>
      <c r="E769" s="100"/>
      <c r="F769" s="33"/>
      <c r="G769" s="33"/>
      <c r="H769" s="97" t="str">
        <f>+H768</f>
        <v>C</v>
      </c>
      <c r="I769" s="108" t="s">
        <v>359</v>
      </c>
      <c r="J769" s="107" t="s">
        <v>358</v>
      </c>
      <c r="K769" s="33"/>
      <c r="L769" s="103" t="s">
        <v>323</v>
      </c>
      <c r="M769" s="33"/>
      <c r="N769" s="17">
        <v>3</v>
      </c>
      <c r="P769" s="64" t="s">
        <v>357</v>
      </c>
      <c r="Q769" s="64"/>
      <c r="R769" s="102" t="s">
        <v>356</v>
      </c>
      <c r="S769" s="102" t="s">
        <v>247</v>
      </c>
      <c r="T769" s="33"/>
      <c r="U769" s="102" t="str">
        <f>+U768</f>
        <v>BMC1321INC01</v>
      </c>
      <c r="V769" s="101"/>
      <c r="W769" s="101"/>
      <c r="X769" s="17" t="s">
        <v>472</v>
      </c>
      <c r="Y769" s="17" t="s">
        <v>289</v>
      </c>
      <c r="Z769" s="78"/>
      <c r="AA769" s="20"/>
      <c r="AB769" s="20"/>
      <c r="AC769" s="116"/>
      <c r="AD769" s="19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</row>
    <row r="770" spans="1:53" s="17" customFormat="1" x14ac:dyDescent="0.3">
      <c r="A770" s="118"/>
      <c r="B770" s="101"/>
      <c r="C770" s="106" t="str">
        <f>+C769</f>
        <v>PR1</v>
      </c>
      <c r="D770" s="33"/>
      <c r="E770" s="100"/>
      <c r="F770" s="33"/>
      <c r="G770" s="33"/>
      <c r="H770" s="97" t="str">
        <f>+H769</f>
        <v>C</v>
      </c>
      <c r="I770" s="108" t="s">
        <v>355</v>
      </c>
      <c r="J770" s="107" t="s">
        <v>354</v>
      </c>
      <c r="K770" s="33"/>
      <c r="L770" s="103" t="s">
        <v>323</v>
      </c>
      <c r="M770" s="33"/>
      <c r="N770" s="17">
        <v>3</v>
      </c>
      <c r="P770" s="64" t="s">
        <v>353</v>
      </c>
      <c r="Q770" s="64"/>
      <c r="R770" s="102" t="s">
        <v>352</v>
      </c>
      <c r="S770" s="102" t="s">
        <v>247</v>
      </c>
      <c r="T770" s="33"/>
      <c r="U770" s="102" t="str">
        <f>+U769</f>
        <v>BMC1321INC01</v>
      </c>
      <c r="V770" s="101"/>
      <c r="W770" s="101"/>
      <c r="X770" s="17" t="s">
        <v>472</v>
      </c>
      <c r="Y770" s="17" t="s">
        <v>289</v>
      </c>
      <c r="Z770" s="78"/>
      <c r="AA770" s="20"/>
      <c r="AB770" s="20"/>
      <c r="AC770" s="116"/>
      <c r="AD770" s="19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</row>
    <row r="771" spans="1:53" s="17" customFormat="1" x14ac:dyDescent="0.3">
      <c r="A771" s="118"/>
      <c r="B771" s="101"/>
      <c r="C771" s="106" t="str">
        <f>+C770</f>
        <v>PR1</v>
      </c>
      <c r="D771" s="33"/>
      <c r="E771" s="100"/>
      <c r="F771" s="33"/>
      <c r="G771" s="33"/>
      <c r="H771" s="97" t="str">
        <f>+H770</f>
        <v>C</v>
      </c>
      <c r="I771" s="108" t="s">
        <v>351</v>
      </c>
      <c r="J771" s="107" t="s">
        <v>350</v>
      </c>
      <c r="K771" s="33"/>
      <c r="L771" s="103" t="s">
        <v>323</v>
      </c>
      <c r="M771" s="33"/>
      <c r="N771" s="17">
        <v>3</v>
      </c>
      <c r="R771" s="102" t="s">
        <v>291</v>
      </c>
      <c r="T771" s="33"/>
      <c r="U771" s="102" t="str">
        <f>+U770</f>
        <v>BMC1321INC01</v>
      </c>
      <c r="V771" s="101"/>
      <c r="W771" s="101"/>
      <c r="X771" s="17" t="s">
        <v>472</v>
      </c>
      <c r="Y771" s="17" t="s">
        <v>289</v>
      </c>
      <c r="Z771" s="78"/>
      <c r="AA771" s="20"/>
      <c r="AB771" s="20"/>
      <c r="AC771" s="116"/>
      <c r="AD771" s="19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</row>
    <row r="772" spans="1:53" s="17" customFormat="1" x14ac:dyDescent="0.3">
      <c r="A772" s="118"/>
      <c r="B772" s="101"/>
      <c r="C772" s="106" t="str">
        <f>+C771</f>
        <v>PR1</v>
      </c>
      <c r="D772" s="33"/>
      <c r="E772" s="100"/>
      <c r="F772" s="33"/>
      <c r="G772" s="33"/>
      <c r="H772" s="97" t="str">
        <f>+H771</f>
        <v>C</v>
      </c>
      <c r="I772" s="108" t="s">
        <v>349</v>
      </c>
      <c r="J772" s="107" t="s">
        <v>348</v>
      </c>
      <c r="K772" s="33"/>
      <c r="L772" s="103" t="s">
        <v>323</v>
      </c>
      <c r="M772" s="33"/>
      <c r="N772" s="17">
        <v>3</v>
      </c>
      <c r="P772" s="102" t="s">
        <v>347</v>
      </c>
      <c r="Q772" s="102"/>
      <c r="R772" s="102" t="s">
        <v>346</v>
      </c>
      <c r="S772" s="102" t="s">
        <v>211</v>
      </c>
      <c r="T772" s="33"/>
      <c r="U772" s="102" t="str">
        <f>+U771</f>
        <v>BMC1321INC01</v>
      </c>
      <c r="V772" s="101"/>
      <c r="W772" s="101"/>
      <c r="X772" s="17" t="s">
        <v>472</v>
      </c>
      <c r="Y772" s="17" t="s">
        <v>289</v>
      </c>
      <c r="Z772" s="78"/>
      <c r="AA772" s="20"/>
      <c r="AB772" s="20"/>
      <c r="AC772" s="116"/>
      <c r="AD772" s="19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</row>
    <row r="773" spans="1:53" s="17" customFormat="1" x14ac:dyDescent="0.3">
      <c r="A773" s="118"/>
      <c r="B773" s="101"/>
      <c r="C773" s="106" t="str">
        <f>+C772</f>
        <v>PR1</v>
      </c>
      <c r="D773" s="33"/>
      <c r="E773" s="100"/>
      <c r="F773" s="33"/>
      <c r="G773" s="33"/>
      <c r="H773" s="97" t="str">
        <f>+H772</f>
        <v>C</v>
      </c>
      <c r="I773" s="108" t="s">
        <v>345</v>
      </c>
      <c r="J773" s="107" t="s">
        <v>344</v>
      </c>
      <c r="K773" s="33"/>
      <c r="L773" s="103" t="s">
        <v>323</v>
      </c>
      <c r="M773" s="33"/>
      <c r="N773" s="17">
        <v>3</v>
      </c>
      <c r="R773" s="102" t="s">
        <v>291</v>
      </c>
      <c r="T773" s="33"/>
      <c r="U773" s="102" t="str">
        <f>+U772</f>
        <v>BMC1321INC01</v>
      </c>
      <c r="V773" s="101"/>
      <c r="W773" s="101"/>
      <c r="X773" s="17" t="s">
        <v>472</v>
      </c>
      <c r="Y773" s="17" t="s">
        <v>289</v>
      </c>
      <c r="Z773" s="78"/>
      <c r="AA773" s="20"/>
      <c r="AB773" s="20"/>
      <c r="AC773" s="116"/>
      <c r="AD773" s="19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</row>
    <row r="774" spans="1:53" s="17" customFormat="1" x14ac:dyDescent="0.3">
      <c r="A774" s="118"/>
      <c r="B774" s="101"/>
      <c r="C774" s="106" t="str">
        <f>+C773</f>
        <v>PR1</v>
      </c>
      <c r="D774" s="33"/>
      <c r="E774" s="100"/>
      <c r="F774" s="33"/>
      <c r="G774" s="33"/>
      <c r="H774" s="97" t="str">
        <f>+H773</f>
        <v>C</v>
      </c>
      <c r="I774" s="108" t="s">
        <v>341</v>
      </c>
      <c r="J774" s="107" t="s">
        <v>340</v>
      </c>
      <c r="K774" s="33"/>
      <c r="L774" s="103" t="s">
        <v>323</v>
      </c>
      <c r="M774" s="33"/>
      <c r="N774" s="17">
        <v>3</v>
      </c>
      <c r="P774" s="64" t="s">
        <v>339</v>
      </c>
      <c r="Q774" s="64"/>
      <c r="R774" s="102" t="s">
        <v>338</v>
      </c>
      <c r="S774" s="102" t="s">
        <v>299</v>
      </c>
      <c r="T774" s="33"/>
      <c r="U774" s="102" t="str">
        <f>+U773</f>
        <v>BMC1321INC01</v>
      </c>
      <c r="V774" s="101"/>
      <c r="W774" s="101"/>
      <c r="X774" s="17" t="s">
        <v>472</v>
      </c>
      <c r="Y774" s="17" t="s">
        <v>289</v>
      </c>
      <c r="Z774" s="78"/>
      <c r="AA774" s="20"/>
      <c r="AB774" s="20"/>
      <c r="AC774" s="116"/>
      <c r="AD774" s="19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</row>
    <row r="775" spans="1:53" s="17" customFormat="1" x14ac:dyDescent="0.3">
      <c r="A775" s="118"/>
      <c r="B775" s="101"/>
      <c r="C775" s="106" t="str">
        <f>+C774</f>
        <v>PR1</v>
      </c>
      <c r="D775" s="33"/>
      <c r="E775" s="100"/>
      <c r="F775" s="33"/>
      <c r="G775" s="33"/>
      <c r="H775" s="97" t="str">
        <f>+H774</f>
        <v>C</v>
      </c>
      <c r="I775" s="108" t="s">
        <v>337</v>
      </c>
      <c r="J775" s="107" t="s">
        <v>336</v>
      </c>
      <c r="K775" s="33"/>
      <c r="L775" s="103" t="s">
        <v>323</v>
      </c>
      <c r="M775" s="33"/>
      <c r="N775" s="17">
        <v>3</v>
      </c>
      <c r="P775" s="64" t="s">
        <v>335</v>
      </c>
      <c r="Q775" s="64"/>
      <c r="R775" s="102" t="s">
        <v>334</v>
      </c>
      <c r="S775" s="102" t="s">
        <v>299</v>
      </c>
      <c r="T775" s="33"/>
      <c r="U775" s="102" t="str">
        <f>+U774</f>
        <v>BMC1321INC01</v>
      </c>
      <c r="V775" s="101"/>
      <c r="W775" s="101"/>
      <c r="X775" s="17" t="s">
        <v>472</v>
      </c>
      <c r="Y775" s="17" t="s">
        <v>289</v>
      </c>
      <c r="Z775" s="78"/>
      <c r="AA775" s="20"/>
      <c r="AB775" s="20"/>
      <c r="AC775" s="116"/>
      <c r="AD775" s="19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</row>
    <row r="776" spans="1:53" s="17" customFormat="1" x14ac:dyDescent="0.3">
      <c r="A776" s="118"/>
      <c r="B776" s="101"/>
      <c r="C776" s="106" t="str">
        <f>+C775</f>
        <v>PR1</v>
      </c>
      <c r="D776" s="33"/>
      <c r="E776" s="100"/>
      <c r="F776" s="33"/>
      <c r="G776" s="33"/>
      <c r="H776" s="97" t="str">
        <f>+H775</f>
        <v>C</v>
      </c>
      <c r="I776" s="108" t="s">
        <v>333</v>
      </c>
      <c r="J776" s="107" t="s">
        <v>332</v>
      </c>
      <c r="K776" s="33"/>
      <c r="L776" s="103" t="s">
        <v>323</v>
      </c>
      <c r="M776" s="33"/>
      <c r="N776" s="17">
        <v>3</v>
      </c>
      <c r="P776" s="64" t="s">
        <v>474</v>
      </c>
      <c r="Q776" s="64"/>
      <c r="R776" s="102" t="s">
        <v>473</v>
      </c>
      <c r="S776" s="102" t="s">
        <v>299</v>
      </c>
      <c r="T776" s="33"/>
      <c r="U776" s="102" t="str">
        <f>+U775</f>
        <v>BMC1321INC01</v>
      </c>
      <c r="V776" s="101"/>
      <c r="W776" s="101"/>
      <c r="X776" s="17" t="s">
        <v>472</v>
      </c>
      <c r="Y776" s="17" t="s">
        <v>289</v>
      </c>
      <c r="Z776" s="78"/>
      <c r="AA776" s="20"/>
      <c r="AB776" s="20"/>
      <c r="AC776" s="116"/>
      <c r="AD776" s="19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</row>
    <row r="777" spans="1:53" s="17" customFormat="1" x14ac:dyDescent="0.3">
      <c r="A777" s="118"/>
      <c r="B777" s="101"/>
      <c r="C777" s="106" t="str">
        <f>+C776</f>
        <v>PR1</v>
      </c>
      <c r="D777" s="33"/>
      <c r="E777" s="100"/>
      <c r="F777" s="33"/>
      <c r="G777" s="33"/>
      <c r="H777" s="97" t="str">
        <f>+H776</f>
        <v>C</v>
      </c>
      <c r="I777" s="108" t="s">
        <v>329</v>
      </c>
      <c r="J777" s="107" t="s">
        <v>328</v>
      </c>
      <c r="K777" s="33"/>
      <c r="L777" s="103" t="s">
        <v>323</v>
      </c>
      <c r="M777" s="33"/>
      <c r="N777" s="17">
        <v>3</v>
      </c>
      <c r="P777" s="33"/>
      <c r="Q777" s="33"/>
      <c r="R777" s="102" t="s">
        <v>291</v>
      </c>
      <c r="S777" s="109"/>
      <c r="T777" s="33"/>
      <c r="U777" s="102" t="str">
        <f>+U776</f>
        <v>BMC1321INC01</v>
      </c>
      <c r="V777" s="101"/>
      <c r="W777" s="101"/>
      <c r="X777" s="17" t="s">
        <v>472</v>
      </c>
      <c r="Y777" s="17" t="s">
        <v>289</v>
      </c>
      <c r="Z777" s="78"/>
      <c r="AA777" s="20"/>
      <c r="AB777" s="20"/>
      <c r="AC777" s="116"/>
      <c r="AD777" s="19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</row>
    <row r="778" spans="1:53" s="17" customFormat="1" ht="13.5" thickBot="1" x14ac:dyDescent="0.35">
      <c r="A778" s="118"/>
      <c r="B778" s="101"/>
      <c r="C778" s="106" t="str">
        <f>+C777</f>
        <v>PR1</v>
      </c>
      <c r="D778" s="33"/>
      <c r="E778" s="100"/>
      <c r="F778" s="33"/>
      <c r="G778" s="33"/>
      <c r="H778" s="97" t="str">
        <f>+H777</f>
        <v>C</v>
      </c>
      <c r="I778" s="105" t="s">
        <v>325</v>
      </c>
      <c r="J778" s="104" t="s">
        <v>324</v>
      </c>
      <c r="K778" s="33"/>
      <c r="L778" s="103" t="s">
        <v>323</v>
      </c>
      <c r="M778" s="33"/>
      <c r="N778" s="17">
        <v>3</v>
      </c>
      <c r="P778" s="33"/>
      <c r="Q778" s="33"/>
      <c r="R778" s="102" t="s">
        <v>291</v>
      </c>
      <c r="S778" s="109"/>
      <c r="T778" s="33"/>
      <c r="U778" s="102" t="str">
        <f>+U777</f>
        <v>BMC1321INC01</v>
      </c>
      <c r="V778" s="101"/>
      <c r="W778" s="101"/>
      <c r="X778" s="17" t="s">
        <v>472</v>
      </c>
      <c r="Y778" s="17" t="s">
        <v>289</v>
      </c>
      <c r="Z778" s="78"/>
      <c r="AA778" s="20"/>
      <c r="AB778" s="20"/>
      <c r="AC778" s="116"/>
      <c r="AD778" s="19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</row>
    <row r="779" spans="1:53" s="17" customFormat="1" x14ac:dyDescent="0.3">
      <c r="A779" s="118"/>
      <c r="B779" s="101"/>
      <c r="C779" s="106" t="str">
        <f>+C778</f>
        <v>PR1</v>
      </c>
      <c r="D779" s="33"/>
      <c r="E779" s="100"/>
      <c r="F779" s="33"/>
      <c r="G779" s="33"/>
      <c r="H779" s="97" t="s">
        <v>322</v>
      </c>
      <c r="I779" s="112" t="s">
        <v>321</v>
      </c>
      <c r="J779" s="111" t="s">
        <v>320</v>
      </c>
      <c r="K779" s="33"/>
      <c r="L779" s="103" t="s">
        <v>292</v>
      </c>
      <c r="M779" s="33"/>
      <c r="N779" s="17">
        <v>3</v>
      </c>
      <c r="P779" s="64" t="s">
        <v>319</v>
      </c>
      <c r="Q779" s="64"/>
      <c r="R779" s="102" t="s">
        <v>318</v>
      </c>
      <c r="S779" s="102" t="s">
        <v>317</v>
      </c>
      <c r="T779" s="33"/>
      <c r="U779" s="102" t="str">
        <f>+U778</f>
        <v>BMC1321INC01</v>
      </c>
      <c r="V779" s="101"/>
      <c r="W779" s="101"/>
      <c r="X779" s="17" t="s">
        <v>472</v>
      </c>
      <c r="Y779" s="17" t="s">
        <v>289</v>
      </c>
      <c r="Z779" s="78"/>
      <c r="AA779" s="20"/>
      <c r="AB779" s="20"/>
      <c r="AC779" s="116"/>
      <c r="AD779" s="19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</row>
    <row r="780" spans="1:53" s="17" customFormat="1" x14ac:dyDescent="0.3">
      <c r="A780" s="118"/>
      <c r="B780" s="101"/>
      <c r="C780" s="106" t="str">
        <f>+C779</f>
        <v>PR1</v>
      </c>
      <c r="D780" s="33"/>
      <c r="E780" s="100"/>
      <c r="F780" s="33"/>
      <c r="G780" s="33"/>
      <c r="H780" s="97" t="str">
        <f>+H779</f>
        <v>C</v>
      </c>
      <c r="I780" s="108" t="s">
        <v>316</v>
      </c>
      <c r="J780" s="107" t="s">
        <v>315</v>
      </c>
      <c r="K780" s="33"/>
      <c r="L780" s="103" t="s">
        <v>292</v>
      </c>
      <c r="M780" s="33"/>
      <c r="N780" s="17">
        <v>3</v>
      </c>
      <c r="P780" s="64" t="s">
        <v>314</v>
      </c>
      <c r="Q780" s="64"/>
      <c r="R780" s="102" t="s">
        <v>309</v>
      </c>
      <c r="S780" s="102" t="s">
        <v>313</v>
      </c>
      <c r="T780" s="33"/>
      <c r="U780" s="102" t="str">
        <f>+U779</f>
        <v>BMC1321INC01</v>
      </c>
      <c r="V780" s="101"/>
      <c r="W780" s="101"/>
      <c r="X780" s="17" t="s">
        <v>472</v>
      </c>
      <c r="Y780" s="17" t="s">
        <v>289</v>
      </c>
      <c r="Z780" s="78"/>
      <c r="AA780" s="20"/>
      <c r="AB780" s="20"/>
      <c r="AC780" s="116"/>
      <c r="AD780" s="19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</row>
    <row r="781" spans="1:53" s="17" customFormat="1" x14ac:dyDescent="0.3">
      <c r="A781" s="118"/>
      <c r="B781" s="101"/>
      <c r="C781" s="106" t="str">
        <f>+C780</f>
        <v>PR1</v>
      </c>
      <c r="D781" s="33"/>
      <c r="E781" s="100"/>
      <c r="F781" s="33"/>
      <c r="G781" s="33"/>
      <c r="H781" s="97" t="str">
        <f>+H780</f>
        <v>C</v>
      </c>
      <c r="I781" s="108" t="s">
        <v>312</v>
      </c>
      <c r="J781" s="107" t="s">
        <v>311</v>
      </c>
      <c r="K781" s="33"/>
      <c r="L781" s="103" t="s">
        <v>292</v>
      </c>
      <c r="M781" s="33"/>
      <c r="N781" s="17">
        <v>3</v>
      </c>
      <c r="P781" s="64" t="s">
        <v>310</v>
      </c>
      <c r="Q781" s="64"/>
      <c r="R781" s="102" t="s">
        <v>309</v>
      </c>
      <c r="S781" s="102" t="s">
        <v>308</v>
      </c>
      <c r="T781" s="33"/>
      <c r="U781" s="102" t="str">
        <f>+U780</f>
        <v>BMC1321INC01</v>
      </c>
      <c r="V781" s="101"/>
      <c r="W781" s="101"/>
      <c r="X781" s="17" t="s">
        <v>472</v>
      </c>
      <c r="Y781" s="17" t="s">
        <v>289</v>
      </c>
      <c r="Z781" s="78"/>
      <c r="AA781" s="20"/>
      <c r="AB781" s="20"/>
      <c r="AC781" s="116"/>
      <c r="AD781" s="19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</row>
    <row r="782" spans="1:53" s="17" customFormat="1" x14ac:dyDescent="0.3">
      <c r="A782" s="118"/>
      <c r="B782" s="101"/>
      <c r="C782" s="106" t="str">
        <f>+C781</f>
        <v>PR1</v>
      </c>
      <c r="D782" s="33"/>
      <c r="E782" s="100"/>
      <c r="F782" s="33"/>
      <c r="G782" s="33"/>
      <c r="H782" s="97" t="str">
        <f>+H781</f>
        <v>C</v>
      </c>
      <c r="I782" s="108" t="s">
        <v>307</v>
      </c>
      <c r="J782" s="107" t="s">
        <v>306</v>
      </c>
      <c r="K782" s="33"/>
      <c r="L782" s="103" t="s">
        <v>292</v>
      </c>
      <c r="M782" s="33"/>
      <c r="N782" s="17">
        <v>3</v>
      </c>
      <c r="P782" s="33"/>
      <c r="Q782" s="33"/>
      <c r="R782" s="102" t="s">
        <v>291</v>
      </c>
      <c r="S782" s="109"/>
      <c r="T782" s="33"/>
      <c r="U782" s="102" t="str">
        <f>+U781</f>
        <v>BMC1321INC01</v>
      </c>
      <c r="V782" s="101"/>
      <c r="W782" s="101"/>
      <c r="X782" s="17" t="s">
        <v>472</v>
      </c>
      <c r="Y782" s="17" t="s">
        <v>289</v>
      </c>
      <c r="Z782" s="78"/>
      <c r="AA782" s="20"/>
      <c r="AB782" s="20"/>
      <c r="AC782" s="116"/>
      <c r="AD782" s="19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</row>
    <row r="783" spans="1:53" s="17" customFormat="1" x14ac:dyDescent="0.3">
      <c r="A783" s="118"/>
      <c r="B783" s="101"/>
      <c r="C783" s="106" t="str">
        <f>+C782</f>
        <v>PR1</v>
      </c>
      <c r="D783" s="33"/>
      <c r="E783" s="100"/>
      <c r="F783" s="33"/>
      <c r="G783" s="33"/>
      <c r="H783" s="97" t="str">
        <f>+H782</f>
        <v>C</v>
      </c>
      <c r="I783" s="108" t="s">
        <v>303</v>
      </c>
      <c r="J783" s="107" t="s">
        <v>302</v>
      </c>
      <c r="K783" s="33"/>
      <c r="L783" s="103" t="s">
        <v>292</v>
      </c>
      <c r="M783" s="33"/>
      <c r="N783" s="17">
        <v>3</v>
      </c>
      <c r="P783" s="33"/>
      <c r="Q783" s="33"/>
      <c r="R783" s="102" t="s">
        <v>291</v>
      </c>
      <c r="S783" s="102"/>
      <c r="T783" s="33"/>
      <c r="U783" s="102" t="str">
        <f>+U782</f>
        <v>BMC1321INC01</v>
      </c>
      <c r="V783" s="101"/>
      <c r="W783" s="101"/>
      <c r="X783" s="17" t="s">
        <v>472</v>
      </c>
      <c r="Y783" s="17" t="s">
        <v>289</v>
      </c>
      <c r="Z783" s="78"/>
      <c r="AA783" s="20"/>
      <c r="AB783" s="20"/>
      <c r="AC783" s="116"/>
      <c r="AD783" s="19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</row>
    <row r="784" spans="1:53" s="17" customFormat="1" x14ac:dyDescent="0.3">
      <c r="A784" s="118"/>
      <c r="B784" s="101"/>
      <c r="C784" s="106" t="str">
        <f>+C783</f>
        <v>PR1</v>
      </c>
      <c r="D784" s="33"/>
      <c r="E784" s="100"/>
      <c r="F784" s="33"/>
      <c r="G784" s="33"/>
      <c r="H784" s="97" t="str">
        <f>+H783</f>
        <v>C</v>
      </c>
      <c r="I784" s="108" t="s">
        <v>298</v>
      </c>
      <c r="J784" s="107" t="s">
        <v>297</v>
      </c>
      <c r="K784" s="33"/>
      <c r="L784" s="103" t="s">
        <v>292</v>
      </c>
      <c r="M784" s="33"/>
      <c r="N784" s="17">
        <v>3</v>
      </c>
      <c r="P784" s="33"/>
      <c r="Q784" s="33"/>
      <c r="R784" s="102" t="s">
        <v>291</v>
      </c>
      <c r="S784" s="102"/>
      <c r="T784" s="33"/>
      <c r="U784" s="102" t="str">
        <f>+U783</f>
        <v>BMC1321INC01</v>
      </c>
      <c r="V784" s="101"/>
      <c r="W784" s="101"/>
      <c r="X784" s="17" t="s">
        <v>472</v>
      </c>
      <c r="Y784" s="17" t="s">
        <v>289</v>
      </c>
      <c r="Z784" s="78"/>
      <c r="AC784" s="116"/>
      <c r="AD784" s="19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</row>
    <row r="785" spans="1:53" s="17" customFormat="1" x14ac:dyDescent="0.3">
      <c r="A785" s="118"/>
      <c r="B785" s="101"/>
      <c r="C785" s="106" t="str">
        <f>+C784</f>
        <v>PR1</v>
      </c>
      <c r="D785" s="33"/>
      <c r="E785" s="100"/>
      <c r="F785" s="33"/>
      <c r="G785" s="33"/>
      <c r="H785" s="97" t="str">
        <f>+H784</f>
        <v>C</v>
      </c>
      <c r="I785" s="108" t="s">
        <v>296</v>
      </c>
      <c r="J785" s="107" t="s">
        <v>295</v>
      </c>
      <c r="K785" s="33"/>
      <c r="L785" s="103" t="s">
        <v>292</v>
      </c>
      <c r="M785" s="33"/>
      <c r="N785" s="17">
        <v>3</v>
      </c>
      <c r="P785" s="33"/>
      <c r="Q785" s="33"/>
      <c r="R785" s="102" t="s">
        <v>291</v>
      </c>
      <c r="S785" s="102"/>
      <c r="T785" s="33"/>
      <c r="U785" s="102" t="str">
        <f>+U784</f>
        <v>BMC1321INC01</v>
      </c>
      <c r="V785" s="101"/>
      <c r="W785" s="101"/>
      <c r="X785" s="17" t="s">
        <v>472</v>
      </c>
      <c r="Y785" s="17" t="s">
        <v>289</v>
      </c>
      <c r="Z785" s="78"/>
      <c r="AC785" s="116"/>
      <c r="AD785" s="19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</row>
    <row r="786" spans="1:53" s="17" customFormat="1" ht="13.5" thickBot="1" x14ac:dyDescent="0.35">
      <c r="A786" s="118"/>
      <c r="B786" s="101"/>
      <c r="C786" s="106" t="str">
        <f>+C785</f>
        <v>PR1</v>
      </c>
      <c r="D786" s="33"/>
      <c r="E786" s="100"/>
      <c r="F786" s="33"/>
      <c r="G786" s="33"/>
      <c r="H786" s="97" t="str">
        <f>+H785</f>
        <v>C</v>
      </c>
      <c r="I786" s="105" t="s">
        <v>294</v>
      </c>
      <c r="J786" s="104" t="s">
        <v>293</v>
      </c>
      <c r="K786" s="33"/>
      <c r="L786" s="103" t="s">
        <v>292</v>
      </c>
      <c r="M786" s="33"/>
      <c r="N786" s="17">
        <v>3</v>
      </c>
      <c r="P786" s="33"/>
      <c r="Q786" s="33"/>
      <c r="R786" s="102" t="s">
        <v>291</v>
      </c>
      <c r="S786" s="102"/>
      <c r="T786" s="33"/>
      <c r="U786" s="102" t="str">
        <f>+U785</f>
        <v>BMC1321INC01</v>
      </c>
      <c r="V786" s="101"/>
      <c r="W786" s="101"/>
      <c r="X786" s="17" t="s">
        <v>472</v>
      </c>
      <c r="Y786" s="17" t="s">
        <v>289</v>
      </c>
      <c r="Z786" s="78"/>
      <c r="AC786" s="116"/>
      <c r="AD786" s="19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</row>
    <row r="787" spans="1:53" s="17" customFormat="1" x14ac:dyDescent="0.3">
      <c r="A787" s="118"/>
      <c r="B787" s="101"/>
      <c r="C787" s="33"/>
      <c r="D787" s="33"/>
      <c r="E787" s="100"/>
      <c r="F787" s="33"/>
      <c r="G787" s="33"/>
      <c r="H787" s="33"/>
      <c r="I787" s="33"/>
      <c r="J787" s="33"/>
      <c r="K787" s="33"/>
      <c r="L787" s="103"/>
      <c r="M787" s="33"/>
      <c r="P787" s="33"/>
      <c r="Q787" s="33"/>
      <c r="R787" s="102"/>
      <c r="S787" s="102"/>
      <c r="T787" s="33"/>
      <c r="U787" s="33"/>
      <c r="V787" s="101"/>
      <c r="W787" s="101"/>
      <c r="X787" s="33"/>
      <c r="Y787" s="33"/>
      <c r="Z787" s="78"/>
      <c r="AC787" s="116"/>
      <c r="AD787" s="19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</row>
    <row r="788" spans="1:53" s="17" customFormat="1" x14ac:dyDescent="0.3">
      <c r="A788" s="118"/>
      <c r="B788" s="101"/>
      <c r="C788" s="33"/>
      <c r="D788" s="33"/>
      <c r="E788" s="100"/>
      <c r="F788" s="33"/>
      <c r="G788" s="33"/>
      <c r="H788" s="33"/>
      <c r="I788" s="33"/>
      <c r="J788" s="33"/>
      <c r="K788" s="33"/>
      <c r="L788" s="103"/>
      <c r="M788" s="33"/>
      <c r="P788" s="33"/>
      <c r="Q788" s="33"/>
      <c r="R788" s="102"/>
      <c r="S788" s="102"/>
      <c r="T788" s="33"/>
      <c r="U788" s="33"/>
      <c r="V788" s="101"/>
      <c r="W788" s="101"/>
      <c r="X788" s="78"/>
      <c r="Y788" s="78"/>
      <c r="Z788" s="78"/>
      <c r="AC788" s="116"/>
      <c r="AD788" s="19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</row>
    <row r="789" spans="1:53" s="17" customFormat="1" ht="13.5" thickBot="1" x14ac:dyDescent="0.35">
      <c r="A789" s="118"/>
      <c r="B789" s="101"/>
      <c r="C789" s="33"/>
      <c r="D789" s="33"/>
      <c r="E789" s="100"/>
      <c r="F789" s="33"/>
      <c r="G789" s="33"/>
      <c r="H789" s="33"/>
      <c r="I789" s="33"/>
      <c r="J789" s="33"/>
      <c r="K789" s="33"/>
      <c r="L789" s="103"/>
      <c r="M789" s="33"/>
      <c r="P789" s="33"/>
      <c r="Q789" s="33"/>
      <c r="R789" s="102"/>
      <c r="S789" s="102"/>
      <c r="T789" s="33"/>
      <c r="U789" s="33"/>
      <c r="V789" s="101"/>
      <c r="W789" s="101"/>
      <c r="X789" s="78"/>
      <c r="Y789" s="78"/>
      <c r="Z789" s="78"/>
      <c r="AC789" s="116"/>
      <c r="AD789" s="19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</row>
    <row r="790" spans="1:53" s="17" customFormat="1" x14ac:dyDescent="0.3">
      <c r="A790" s="118"/>
      <c r="B790" s="101"/>
      <c r="C790" s="106" t="s">
        <v>471</v>
      </c>
      <c r="D790" s="18"/>
      <c r="E790" s="18"/>
      <c r="H790" s="97" t="s">
        <v>437</v>
      </c>
      <c r="I790" s="112" t="s">
        <v>462</v>
      </c>
      <c r="J790" s="111" t="s">
        <v>461</v>
      </c>
      <c r="K790" s="33" t="s">
        <v>460</v>
      </c>
      <c r="L790" s="103" t="s">
        <v>292</v>
      </c>
      <c r="M790" s="33"/>
      <c r="N790" s="17">
        <v>3</v>
      </c>
      <c r="P790" s="64" t="s">
        <v>459</v>
      </c>
      <c r="Q790" s="64"/>
      <c r="R790" s="64" t="s">
        <v>458</v>
      </c>
      <c r="S790" s="64" t="s">
        <v>457</v>
      </c>
      <c r="T790" s="113"/>
      <c r="U790" s="64" t="s">
        <v>470</v>
      </c>
      <c r="W790" s="101"/>
      <c r="X790" s="17" t="s">
        <v>467</v>
      </c>
      <c r="Y790" s="17" t="s">
        <v>289</v>
      </c>
      <c r="Z790" s="64" t="s">
        <v>179</v>
      </c>
      <c r="AC790" s="116"/>
      <c r="AD790" s="19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</row>
    <row r="791" spans="1:53" s="17" customFormat="1" x14ac:dyDescent="0.3">
      <c r="A791" s="118"/>
      <c r="B791" s="101"/>
      <c r="C791" s="106" t="str">
        <f>+C790</f>
        <v>PR2</v>
      </c>
      <c r="D791" s="18"/>
      <c r="E791" s="18"/>
      <c r="H791" s="97" t="str">
        <f>+H790</f>
        <v>G</v>
      </c>
      <c r="I791" s="108" t="s">
        <v>321</v>
      </c>
      <c r="J791" s="107" t="s">
        <v>455</v>
      </c>
      <c r="K791" s="99" t="s">
        <v>454</v>
      </c>
      <c r="L791" s="103" t="s">
        <v>292</v>
      </c>
      <c r="M791" s="33"/>
      <c r="N791" s="17">
        <v>3</v>
      </c>
      <c r="P791" s="64" t="s">
        <v>453</v>
      </c>
      <c r="Q791" s="64"/>
      <c r="R791" s="64" t="s">
        <v>450</v>
      </c>
      <c r="S791" s="64" t="s">
        <v>313</v>
      </c>
      <c r="T791" s="113"/>
      <c r="U791" s="64" t="str">
        <f>+U790</f>
        <v>BMC1321FDR01</v>
      </c>
      <c r="V791" s="101"/>
      <c r="W791" s="101"/>
      <c r="X791" s="17" t="s">
        <v>467</v>
      </c>
      <c r="Y791" s="17" t="s">
        <v>289</v>
      </c>
      <c r="Z791" s="78"/>
      <c r="AC791" s="116"/>
      <c r="AD791" s="19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</row>
    <row r="792" spans="1:53" s="17" customFormat="1" x14ac:dyDescent="0.3">
      <c r="A792" s="118"/>
      <c r="B792" s="101"/>
      <c r="C792" s="106" t="str">
        <f>+C791</f>
        <v>PR2</v>
      </c>
      <c r="D792" s="18"/>
      <c r="E792" s="18"/>
      <c r="H792" s="97" t="str">
        <f>+H791</f>
        <v>G</v>
      </c>
      <c r="I792" s="108" t="s">
        <v>316</v>
      </c>
      <c r="J792" s="107" t="s">
        <v>452</v>
      </c>
      <c r="K792" s="33"/>
      <c r="L792" s="103" t="s">
        <v>292</v>
      </c>
      <c r="M792" s="33"/>
      <c r="N792" s="17">
        <v>3</v>
      </c>
      <c r="P792" s="64" t="s">
        <v>451</v>
      </c>
      <c r="Q792" s="64"/>
      <c r="R792" s="64" t="s">
        <v>450</v>
      </c>
      <c r="S792" s="64" t="s">
        <v>449</v>
      </c>
      <c r="T792" s="113"/>
      <c r="U792" s="64" t="str">
        <f>+U791</f>
        <v>BMC1321FDR01</v>
      </c>
      <c r="V792" s="101"/>
      <c r="W792" s="101"/>
      <c r="X792" s="17" t="s">
        <v>467</v>
      </c>
      <c r="Y792" s="17" t="s">
        <v>289</v>
      </c>
      <c r="Z792" s="78"/>
      <c r="AC792" s="116"/>
      <c r="AD792" s="19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</row>
    <row r="793" spans="1:53" s="17" customFormat="1" x14ac:dyDescent="0.3">
      <c r="A793" s="118"/>
      <c r="B793" s="101"/>
      <c r="C793" s="106" t="str">
        <f>+C792</f>
        <v>PR2</v>
      </c>
      <c r="D793" s="18"/>
      <c r="E793" s="18"/>
      <c r="H793" s="97" t="str">
        <f>+H792</f>
        <v>G</v>
      </c>
      <c r="I793" s="108" t="s">
        <v>448</v>
      </c>
      <c r="J793" s="107" t="s">
        <v>447</v>
      </c>
      <c r="K793" s="33"/>
      <c r="L793" s="103" t="s">
        <v>292</v>
      </c>
      <c r="M793" s="33"/>
      <c r="N793" s="17">
        <v>3</v>
      </c>
      <c r="P793" s="64"/>
      <c r="Q793" s="64"/>
      <c r="R793" s="64" t="s">
        <v>291</v>
      </c>
      <c r="S793" s="64"/>
      <c r="T793" s="113"/>
      <c r="U793" s="64" t="str">
        <f>+U792</f>
        <v>BMC1321FDR01</v>
      </c>
      <c r="V793" s="101"/>
      <c r="W793" s="101"/>
      <c r="X793" s="17" t="s">
        <v>467</v>
      </c>
      <c r="Y793" s="17" t="s">
        <v>289</v>
      </c>
      <c r="Z793" s="78"/>
      <c r="AC793" s="116"/>
      <c r="AD793" s="19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</row>
    <row r="794" spans="1:53" s="17" customFormat="1" x14ac:dyDescent="0.3">
      <c r="A794" s="118"/>
      <c r="B794" s="101"/>
      <c r="C794" s="106" t="str">
        <f>+C793</f>
        <v>PR2</v>
      </c>
      <c r="D794" s="18"/>
      <c r="E794" s="18"/>
      <c r="H794" s="97" t="str">
        <f>+H793</f>
        <v>G</v>
      </c>
      <c r="I794" s="108" t="s">
        <v>446</v>
      </c>
      <c r="J794" s="107" t="s">
        <v>445</v>
      </c>
      <c r="K794" s="33"/>
      <c r="L794" s="103" t="s">
        <v>292</v>
      </c>
      <c r="M794" s="33"/>
      <c r="N794" s="17">
        <v>3</v>
      </c>
      <c r="P794" s="64"/>
      <c r="Q794" s="64"/>
      <c r="R794" s="64" t="s">
        <v>291</v>
      </c>
      <c r="S794" s="64"/>
      <c r="T794" s="113"/>
      <c r="U794" s="64" t="str">
        <f>+U793</f>
        <v>BMC1321FDR01</v>
      </c>
      <c r="V794" s="101"/>
      <c r="W794" s="101"/>
      <c r="X794" s="17" t="s">
        <v>467</v>
      </c>
      <c r="Y794" s="17" t="s">
        <v>289</v>
      </c>
      <c r="Z794" s="78"/>
      <c r="AC794" s="116"/>
      <c r="AD794" s="19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</row>
    <row r="795" spans="1:53" s="17" customFormat="1" x14ac:dyDescent="0.3">
      <c r="A795" s="118"/>
      <c r="B795" s="101"/>
      <c r="C795" s="106" t="str">
        <f>+C794</f>
        <v>PR2</v>
      </c>
      <c r="D795" s="18"/>
      <c r="E795" s="18"/>
      <c r="H795" s="97" t="str">
        <f>+H794</f>
        <v>G</v>
      </c>
      <c r="I795" s="108" t="s">
        <v>444</v>
      </c>
      <c r="J795" s="107" t="s">
        <v>443</v>
      </c>
      <c r="K795" s="33"/>
      <c r="L795" s="103" t="s">
        <v>292</v>
      </c>
      <c r="M795" s="33"/>
      <c r="N795" s="17">
        <v>3</v>
      </c>
      <c r="P795" s="64" t="s">
        <v>442</v>
      </c>
      <c r="Q795" s="64"/>
      <c r="R795" s="102" t="s">
        <v>438</v>
      </c>
      <c r="S795" s="102" t="s">
        <v>313</v>
      </c>
      <c r="T795" s="114"/>
      <c r="U795" s="102" t="str">
        <f>+U794</f>
        <v>BMC1321FDR01</v>
      </c>
      <c r="V795" s="101"/>
      <c r="W795" s="101"/>
      <c r="X795" s="17" t="s">
        <v>467</v>
      </c>
      <c r="Y795" s="17" t="s">
        <v>289</v>
      </c>
      <c r="Z795" s="78"/>
      <c r="AC795" s="116"/>
      <c r="AD795" s="19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</row>
    <row r="796" spans="1:53" s="17" customFormat="1" ht="13.5" thickBot="1" x14ac:dyDescent="0.35">
      <c r="A796" s="118"/>
      <c r="B796" s="101"/>
      <c r="C796" s="106" t="str">
        <f>+C795</f>
        <v>PR2</v>
      </c>
      <c r="D796" s="63"/>
      <c r="E796" s="63"/>
      <c r="H796" s="97" t="str">
        <f>+H795</f>
        <v>G</v>
      </c>
      <c r="I796" s="105" t="s">
        <v>441</v>
      </c>
      <c r="J796" s="104" t="s">
        <v>440</v>
      </c>
      <c r="K796" s="33"/>
      <c r="L796" s="103" t="s">
        <v>292</v>
      </c>
      <c r="M796" s="33"/>
      <c r="N796" s="17">
        <v>3</v>
      </c>
      <c r="P796" s="64" t="s">
        <v>439</v>
      </c>
      <c r="Q796" s="64"/>
      <c r="R796" s="102" t="s">
        <v>438</v>
      </c>
      <c r="S796" s="102" t="s">
        <v>308</v>
      </c>
      <c r="T796" s="114"/>
      <c r="U796" s="102" t="str">
        <f>+U795</f>
        <v>BMC1321FDR01</v>
      </c>
      <c r="V796" s="101"/>
      <c r="W796" s="101"/>
      <c r="X796" s="17" t="s">
        <v>467</v>
      </c>
      <c r="Y796" s="17" t="s">
        <v>289</v>
      </c>
      <c r="Z796" s="78"/>
      <c r="AC796" s="116"/>
      <c r="AD796" s="19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</row>
    <row r="797" spans="1:53" s="17" customFormat="1" x14ac:dyDescent="0.3">
      <c r="A797" s="118"/>
      <c r="B797" s="101"/>
      <c r="C797" s="106" t="str">
        <f>+C796</f>
        <v>PR2</v>
      </c>
      <c r="D797" s="63"/>
      <c r="E797" s="63"/>
      <c r="H797" s="97" t="s">
        <v>437</v>
      </c>
      <c r="I797" s="112" t="s">
        <v>312</v>
      </c>
      <c r="J797" s="111" t="s">
        <v>436</v>
      </c>
      <c r="K797" s="33"/>
      <c r="L797" s="103" t="s">
        <v>292</v>
      </c>
      <c r="M797" s="33"/>
      <c r="N797" s="17">
        <v>3</v>
      </c>
      <c r="P797" s="64"/>
      <c r="Q797" s="64"/>
      <c r="R797" s="64" t="s">
        <v>291</v>
      </c>
      <c r="S797" s="114" t="s">
        <v>211</v>
      </c>
      <c r="T797" s="114"/>
      <c r="U797" s="102" t="str">
        <f>+U796</f>
        <v>BMC1321FDR01</v>
      </c>
      <c r="V797" s="101"/>
      <c r="W797" s="101"/>
      <c r="X797" s="17" t="s">
        <v>467</v>
      </c>
      <c r="Y797" s="17" t="s">
        <v>289</v>
      </c>
      <c r="Z797" s="78"/>
      <c r="AC797" s="116"/>
      <c r="AD797" s="19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</row>
    <row r="798" spans="1:53" s="17" customFormat="1" x14ac:dyDescent="0.3">
      <c r="A798" s="118"/>
      <c r="B798" s="101"/>
      <c r="C798" s="106" t="str">
        <f>+C797</f>
        <v>PR2</v>
      </c>
      <c r="D798" s="63"/>
      <c r="E798" s="63"/>
      <c r="H798" s="97" t="str">
        <f>+H797</f>
        <v>G</v>
      </c>
      <c r="I798" s="108" t="s">
        <v>435</v>
      </c>
      <c r="J798" s="107" t="s">
        <v>434</v>
      </c>
      <c r="K798" s="33"/>
      <c r="L798" s="103" t="s">
        <v>323</v>
      </c>
      <c r="M798" s="33"/>
      <c r="N798" s="17">
        <v>3</v>
      </c>
      <c r="P798" s="64" t="s">
        <v>433</v>
      </c>
      <c r="Q798" s="64"/>
      <c r="R798" s="102" t="s">
        <v>432</v>
      </c>
      <c r="S798" s="102" t="s">
        <v>427</v>
      </c>
      <c r="T798" s="114"/>
      <c r="U798" s="102" t="str">
        <f>+U797</f>
        <v>BMC1321FDR01</v>
      </c>
      <c r="V798" s="101"/>
      <c r="W798" s="101"/>
      <c r="X798" s="17" t="s">
        <v>467</v>
      </c>
      <c r="Y798" s="17" t="s">
        <v>289</v>
      </c>
      <c r="Z798" s="78"/>
      <c r="AC798" s="116"/>
      <c r="AD798" s="19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</row>
    <row r="799" spans="1:53" s="17" customFormat="1" x14ac:dyDescent="0.3">
      <c r="A799" s="118"/>
      <c r="B799" s="101"/>
      <c r="C799" s="106" t="str">
        <f>+C798</f>
        <v>PR2</v>
      </c>
      <c r="D799" s="63"/>
      <c r="E799" s="63"/>
      <c r="H799" s="97" t="str">
        <f>+H798</f>
        <v>G</v>
      </c>
      <c r="I799" s="108" t="s">
        <v>431</v>
      </c>
      <c r="J799" s="107" t="s">
        <v>430</v>
      </c>
      <c r="K799" s="33"/>
      <c r="L799" s="103" t="s">
        <v>323</v>
      </c>
      <c r="M799" s="33"/>
      <c r="N799" s="17">
        <v>3</v>
      </c>
      <c r="O799" s="78"/>
      <c r="P799" s="64" t="s">
        <v>429</v>
      </c>
      <c r="Q799" s="64"/>
      <c r="R799" s="102" t="s">
        <v>428</v>
      </c>
      <c r="S799" s="102" t="s">
        <v>427</v>
      </c>
      <c r="T799" s="114"/>
      <c r="U799" s="102" t="str">
        <f>+U798</f>
        <v>BMC1321FDR01</v>
      </c>
      <c r="V799" s="101"/>
      <c r="W799" s="101"/>
      <c r="X799" s="17" t="s">
        <v>467</v>
      </c>
      <c r="Y799" s="17" t="s">
        <v>289</v>
      </c>
      <c r="Z799" s="78"/>
      <c r="AC799" s="116"/>
      <c r="AD799" s="19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</row>
    <row r="800" spans="1:53" s="17" customFormat="1" ht="13.5" thickBot="1" x14ac:dyDescent="0.35">
      <c r="A800" s="118"/>
      <c r="B800" s="101"/>
      <c r="C800" s="106" t="str">
        <f>+C799</f>
        <v>PR2</v>
      </c>
      <c r="D800" s="63"/>
      <c r="E800" s="63"/>
      <c r="H800" s="97" t="str">
        <f>+H799</f>
        <v>G</v>
      </c>
      <c r="I800" s="108" t="s">
        <v>426</v>
      </c>
      <c r="J800" s="107" t="s">
        <v>425</v>
      </c>
      <c r="K800" s="33"/>
      <c r="L800" s="103" t="s">
        <v>424</v>
      </c>
      <c r="M800" s="33"/>
      <c r="N800" s="17">
        <v>3</v>
      </c>
      <c r="P800" s="64"/>
      <c r="Q800" s="64"/>
      <c r="R800" s="102" t="s">
        <v>291</v>
      </c>
      <c r="S800" s="102"/>
      <c r="T800" s="114"/>
      <c r="U800" s="102" t="str">
        <f>+U799</f>
        <v>BMC1321FDR01</v>
      </c>
      <c r="V800" s="101"/>
      <c r="W800" s="101"/>
      <c r="X800" s="17" t="s">
        <v>467</v>
      </c>
      <c r="Y800" s="17" t="s">
        <v>289</v>
      </c>
      <c r="Z800" s="78"/>
      <c r="AC800" s="116"/>
      <c r="AD800" s="19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</row>
    <row r="801" spans="1:53" s="17" customFormat="1" x14ac:dyDescent="0.3">
      <c r="A801" s="118"/>
      <c r="B801" s="101"/>
      <c r="C801" s="106" t="str">
        <f>+C800</f>
        <v>PR2</v>
      </c>
      <c r="D801" s="63"/>
      <c r="E801" s="63"/>
      <c r="H801" s="97" t="s">
        <v>386</v>
      </c>
      <c r="I801" s="112" t="s">
        <v>377</v>
      </c>
      <c r="J801" s="111" t="s">
        <v>423</v>
      </c>
      <c r="K801" s="33" t="s">
        <v>422</v>
      </c>
      <c r="L801" s="103" t="s">
        <v>323</v>
      </c>
      <c r="M801" s="33"/>
      <c r="N801" s="17">
        <v>3</v>
      </c>
      <c r="P801" s="64" t="s">
        <v>421</v>
      </c>
      <c r="Q801" s="64"/>
      <c r="R801" s="102" t="s">
        <v>418</v>
      </c>
      <c r="S801" s="102" t="s">
        <v>247</v>
      </c>
      <c r="T801" s="102"/>
      <c r="U801" s="102" t="str">
        <f>+U800</f>
        <v>BMC1321FDR01</v>
      </c>
      <c r="V801" s="101"/>
      <c r="W801" s="101"/>
      <c r="X801" s="17" t="s">
        <v>467</v>
      </c>
      <c r="Y801" s="17" t="s">
        <v>289</v>
      </c>
      <c r="Z801" s="78"/>
      <c r="AC801" s="116"/>
      <c r="AD801" s="19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</row>
    <row r="802" spans="1:53" s="17" customFormat="1" x14ac:dyDescent="0.3">
      <c r="A802" s="118"/>
      <c r="B802" s="101"/>
      <c r="C802" s="106" t="str">
        <f>+C801</f>
        <v>PR2</v>
      </c>
      <c r="D802" s="63"/>
      <c r="E802" s="63"/>
      <c r="H802" s="97" t="str">
        <f>+H801</f>
        <v>B</v>
      </c>
      <c r="I802" s="108" t="s">
        <v>372</v>
      </c>
      <c r="J802" s="107" t="s">
        <v>420</v>
      </c>
      <c r="L802" s="103" t="s">
        <v>323</v>
      </c>
      <c r="M802" s="33"/>
      <c r="N802" s="17">
        <v>3</v>
      </c>
      <c r="P802" s="64" t="s">
        <v>419</v>
      </c>
      <c r="Q802" s="64"/>
      <c r="R802" s="102" t="s">
        <v>418</v>
      </c>
      <c r="S802" s="102" t="s">
        <v>308</v>
      </c>
      <c r="T802" s="102"/>
      <c r="U802" s="102" t="str">
        <f>+U801</f>
        <v>BMC1321FDR01</v>
      </c>
      <c r="V802" s="101"/>
      <c r="W802" s="101"/>
      <c r="X802" s="17" t="s">
        <v>467</v>
      </c>
      <c r="Y802" s="17" t="s">
        <v>289</v>
      </c>
      <c r="Z802" s="78"/>
      <c r="AC802" s="116"/>
      <c r="AD802" s="19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</row>
    <row r="803" spans="1:53" s="17" customFormat="1" x14ac:dyDescent="0.3">
      <c r="A803" s="118"/>
      <c r="B803" s="101"/>
      <c r="C803" s="106" t="str">
        <f>+C802</f>
        <v>PR2</v>
      </c>
      <c r="D803" s="63"/>
      <c r="E803" s="63"/>
      <c r="H803" s="97" t="str">
        <f>+H802</f>
        <v>B</v>
      </c>
      <c r="I803" s="108" t="s">
        <v>368</v>
      </c>
      <c r="J803" s="107" t="s">
        <v>417</v>
      </c>
      <c r="K803" s="33"/>
      <c r="L803" s="103" t="s">
        <v>323</v>
      </c>
      <c r="M803" s="33"/>
      <c r="N803" s="17">
        <v>3</v>
      </c>
      <c r="P803" s="64" t="s">
        <v>416</v>
      </c>
      <c r="Q803" s="64"/>
      <c r="R803" s="102" t="s">
        <v>415</v>
      </c>
      <c r="S803" s="102" t="s">
        <v>414</v>
      </c>
      <c r="T803" s="102"/>
      <c r="U803" s="102" t="str">
        <f>+U802</f>
        <v>BMC1321FDR01</v>
      </c>
      <c r="V803" s="101"/>
      <c r="W803" s="101"/>
      <c r="X803" s="17" t="s">
        <v>467</v>
      </c>
      <c r="Y803" s="17" t="s">
        <v>289</v>
      </c>
      <c r="Z803" s="78"/>
      <c r="AC803" s="116"/>
      <c r="AD803" s="19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</row>
    <row r="804" spans="1:53" s="17" customFormat="1" x14ac:dyDescent="0.3">
      <c r="A804" s="118"/>
      <c r="B804" s="101"/>
      <c r="C804" s="106" t="str">
        <f>+C803</f>
        <v>PR2</v>
      </c>
      <c r="D804" s="63"/>
      <c r="E804" s="63"/>
      <c r="H804" s="97" t="str">
        <f>+H803</f>
        <v>B</v>
      </c>
      <c r="I804" s="108" t="s">
        <v>363</v>
      </c>
      <c r="J804" s="107" t="s">
        <v>413</v>
      </c>
      <c r="K804" s="33"/>
      <c r="L804" s="103" t="s">
        <v>323</v>
      </c>
      <c r="M804" s="33"/>
      <c r="N804" s="17">
        <v>3</v>
      </c>
      <c r="P804" s="64" t="s">
        <v>412</v>
      </c>
      <c r="Q804" s="64"/>
      <c r="R804" s="102" t="s">
        <v>409</v>
      </c>
      <c r="S804" s="102" t="s">
        <v>247</v>
      </c>
      <c r="T804" s="102"/>
      <c r="U804" s="102" t="str">
        <f>+U803</f>
        <v>BMC1321FDR01</v>
      </c>
      <c r="V804" s="101"/>
      <c r="W804" s="101"/>
      <c r="X804" s="17" t="s">
        <v>467</v>
      </c>
      <c r="Y804" s="17" t="s">
        <v>289</v>
      </c>
      <c r="Z804" s="78"/>
      <c r="AC804" s="116"/>
      <c r="AD804" s="19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</row>
    <row r="805" spans="1:53" s="17" customFormat="1" x14ac:dyDescent="0.3">
      <c r="A805" s="118"/>
      <c r="B805" s="101"/>
      <c r="C805" s="106" t="str">
        <f>+C804</f>
        <v>PR2</v>
      </c>
      <c r="D805" s="63"/>
      <c r="E805" s="63"/>
      <c r="H805" s="97" t="str">
        <f>+H804</f>
        <v>B</v>
      </c>
      <c r="I805" s="108" t="s">
        <v>359</v>
      </c>
      <c r="J805" s="107" t="s">
        <v>411</v>
      </c>
      <c r="K805" s="33"/>
      <c r="L805" s="103" t="s">
        <v>323</v>
      </c>
      <c r="M805" s="33"/>
      <c r="N805" s="17">
        <v>3</v>
      </c>
      <c r="P805" s="64" t="s">
        <v>410</v>
      </c>
      <c r="Q805" s="64"/>
      <c r="R805" s="102" t="s">
        <v>409</v>
      </c>
      <c r="S805" s="102" t="s">
        <v>308</v>
      </c>
      <c r="T805" s="102"/>
      <c r="U805" s="102" t="str">
        <f>+U804</f>
        <v>BMC1321FDR01</v>
      </c>
      <c r="V805" s="101"/>
      <c r="W805" s="101"/>
      <c r="X805" s="17" t="s">
        <v>467</v>
      </c>
      <c r="Y805" s="17" t="s">
        <v>289</v>
      </c>
      <c r="Z805" s="78"/>
      <c r="AC805" s="116"/>
      <c r="AD805" s="19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</row>
    <row r="806" spans="1:53" s="17" customFormat="1" x14ac:dyDescent="0.3">
      <c r="A806" s="118"/>
      <c r="B806" s="101"/>
      <c r="C806" s="106" t="str">
        <f>+C805</f>
        <v>PR2</v>
      </c>
      <c r="D806" s="63"/>
      <c r="E806" s="63"/>
      <c r="H806" s="97" t="str">
        <f>+H805</f>
        <v>B</v>
      </c>
      <c r="I806" s="108" t="s">
        <v>355</v>
      </c>
      <c r="J806" s="107" t="s">
        <v>408</v>
      </c>
      <c r="K806" s="33"/>
      <c r="L806" s="103" t="s">
        <v>323</v>
      </c>
      <c r="M806" s="33"/>
      <c r="N806" s="17">
        <v>3</v>
      </c>
      <c r="P806" s="102" t="s">
        <v>407</v>
      </c>
      <c r="Q806" s="102"/>
      <c r="R806" s="102" t="s">
        <v>404</v>
      </c>
      <c r="S806" s="102" t="s">
        <v>247</v>
      </c>
      <c r="T806" s="102"/>
      <c r="U806" s="102" t="str">
        <f>+U805</f>
        <v>BMC1321FDR01</v>
      </c>
      <c r="V806" s="101"/>
      <c r="W806" s="101"/>
      <c r="X806" s="17" t="s">
        <v>467</v>
      </c>
      <c r="Y806" s="17" t="s">
        <v>289</v>
      </c>
      <c r="Z806" s="78"/>
      <c r="AC806" s="116"/>
      <c r="AD806" s="19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</row>
    <row r="807" spans="1:53" s="17" customFormat="1" x14ac:dyDescent="0.3">
      <c r="A807" s="118"/>
      <c r="B807" s="101"/>
      <c r="C807" s="106" t="str">
        <f>+C806</f>
        <v>PR2</v>
      </c>
      <c r="D807" s="63"/>
      <c r="E807" s="63"/>
      <c r="H807" s="97" t="str">
        <f>+H806</f>
        <v>B</v>
      </c>
      <c r="I807" s="108" t="s">
        <v>351</v>
      </c>
      <c r="J807" s="107" t="s">
        <v>406</v>
      </c>
      <c r="K807" s="33"/>
      <c r="L807" s="103" t="s">
        <v>323</v>
      </c>
      <c r="M807" s="33"/>
      <c r="N807" s="17">
        <v>3</v>
      </c>
      <c r="P807" s="102" t="s">
        <v>405</v>
      </c>
      <c r="Q807" s="102"/>
      <c r="R807" s="102" t="s">
        <v>404</v>
      </c>
      <c r="S807" s="102" t="s">
        <v>308</v>
      </c>
      <c r="T807" s="33"/>
      <c r="U807" s="102" t="str">
        <f>+U806</f>
        <v>BMC1321FDR01</v>
      </c>
      <c r="V807" s="101"/>
      <c r="W807" s="101"/>
      <c r="X807" s="17" t="s">
        <v>467</v>
      </c>
      <c r="Y807" s="17" t="s">
        <v>289</v>
      </c>
      <c r="Z807" s="78"/>
      <c r="AC807" s="116"/>
      <c r="AD807" s="19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</row>
    <row r="808" spans="1:53" s="17" customFormat="1" x14ac:dyDescent="0.3">
      <c r="A808" s="118"/>
      <c r="B808" s="101"/>
      <c r="C808" s="106" t="str">
        <f>+C807</f>
        <v>PR2</v>
      </c>
      <c r="D808" s="63"/>
      <c r="E808" s="63"/>
      <c r="H808" s="97" t="str">
        <f>+H807</f>
        <v>B</v>
      </c>
      <c r="I808" s="108" t="s">
        <v>349</v>
      </c>
      <c r="J808" s="107" t="s">
        <v>403</v>
      </c>
      <c r="K808" s="33"/>
      <c r="L808" s="103" t="s">
        <v>323</v>
      </c>
      <c r="M808" s="33"/>
      <c r="N808" s="17">
        <v>3</v>
      </c>
      <c r="P808" s="102" t="s">
        <v>402</v>
      </c>
      <c r="Q808" s="102"/>
      <c r="R808" s="102" t="s">
        <v>396</v>
      </c>
      <c r="S808" s="102" t="s">
        <v>211</v>
      </c>
      <c r="T808" s="33"/>
      <c r="U808" s="102" t="str">
        <f>+U807</f>
        <v>BMC1321FDR01</v>
      </c>
      <c r="V808" s="101"/>
      <c r="W808" s="101"/>
      <c r="X808" s="17" t="s">
        <v>467</v>
      </c>
      <c r="Y808" s="17" t="s">
        <v>289</v>
      </c>
      <c r="Z808" s="78"/>
      <c r="AC808" s="116"/>
      <c r="AD808" s="19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</row>
    <row r="809" spans="1:53" s="17" customFormat="1" x14ac:dyDescent="0.3">
      <c r="A809" s="118"/>
      <c r="B809" s="101"/>
      <c r="C809" s="106" t="str">
        <f>+C808</f>
        <v>PR2</v>
      </c>
      <c r="D809" s="63"/>
      <c r="E809" s="63"/>
      <c r="H809" s="97" t="str">
        <f>+H808</f>
        <v>B</v>
      </c>
      <c r="I809" s="108" t="s">
        <v>345</v>
      </c>
      <c r="J809" s="107" t="s">
        <v>401</v>
      </c>
      <c r="K809" s="33"/>
      <c r="L809" s="103" t="s">
        <v>323</v>
      </c>
      <c r="M809" s="33"/>
      <c r="N809" s="17">
        <v>3</v>
      </c>
      <c r="P809" s="102" t="s">
        <v>400</v>
      </c>
      <c r="Q809" s="102"/>
      <c r="R809" s="102" t="s">
        <v>396</v>
      </c>
      <c r="S809" s="102" t="s">
        <v>399</v>
      </c>
      <c r="T809" s="33"/>
      <c r="U809" s="102" t="str">
        <f>+U808</f>
        <v>BMC1321FDR01</v>
      </c>
      <c r="V809" s="101"/>
      <c r="W809" s="101"/>
      <c r="X809" s="17" t="s">
        <v>467</v>
      </c>
      <c r="Y809" s="17" t="s">
        <v>289</v>
      </c>
      <c r="Z809" s="78"/>
      <c r="AC809" s="116"/>
      <c r="AD809" s="19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</row>
    <row r="810" spans="1:53" s="17" customFormat="1" x14ac:dyDescent="0.3">
      <c r="A810" s="118"/>
      <c r="B810" s="101"/>
      <c r="C810" s="106" t="str">
        <f>+C809</f>
        <v>PR2</v>
      </c>
      <c r="D810" s="63"/>
      <c r="E810" s="63"/>
      <c r="H810" s="97" t="str">
        <f>+H809</f>
        <v>B</v>
      </c>
      <c r="I810" s="108" t="s">
        <v>341</v>
      </c>
      <c r="J810" s="107" t="s">
        <v>398</v>
      </c>
      <c r="K810" s="33"/>
      <c r="L810" s="103" t="s">
        <v>323</v>
      </c>
      <c r="M810" s="33"/>
      <c r="N810" s="17">
        <v>3</v>
      </c>
      <c r="P810" s="102" t="s">
        <v>397</v>
      </c>
      <c r="Q810" s="102"/>
      <c r="R810" s="102" t="s">
        <v>396</v>
      </c>
      <c r="S810" s="102" t="s">
        <v>395</v>
      </c>
      <c r="T810" s="33"/>
      <c r="U810" s="102" t="str">
        <f>+U809</f>
        <v>BMC1321FDR01</v>
      </c>
      <c r="V810" s="101"/>
      <c r="W810" s="101"/>
      <c r="X810" s="17" t="s">
        <v>467</v>
      </c>
      <c r="Y810" s="17" t="s">
        <v>289</v>
      </c>
      <c r="Z810" s="78"/>
      <c r="AC810" s="116"/>
      <c r="AD810" s="19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</row>
    <row r="811" spans="1:53" s="17" customFormat="1" x14ac:dyDescent="0.3">
      <c r="A811" s="118"/>
      <c r="B811" s="101"/>
      <c r="C811" s="106" t="str">
        <f>+C810</f>
        <v>PR2</v>
      </c>
      <c r="D811" s="63"/>
      <c r="E811" s="63"/>
      <c r="H811" s="97" t="str">
        <f>+H810</f>
        <v>B</v>
      </c>
      <c r="I811" s="108" t="s">
        <v>337</v>
      </c>
      <c r="J811" s="107" t="s">
        <v>394</v>
      </c>
      <c r="K811" s="33"/>
      <c r="L811" s="103" t="s">
        <v>323</v>
      </c>
      <c r="M811" s="33"/>
      <c r="N811" s="17">
        <v>3</v>
      </c>
      <c r="P811" s="64" t="s">
        <v>393</v>
      </c>
      <c r="Q811" s="64"/>
      <c r="R811" s="102" t="s">
        <v>392</v>
      </c>
      <c r="S811" s="102" t="s">
        <v>211</v>
      </c>
      <c r="T811" s="33"/>
      <c r="U811" s="102" t="str">
        <f>+U810</f>
        <v>BMC1321FDR01</v>
      </c>
      <c r="V811" s="101"/>
      <c r="W811" s="101"/>
      <c r="X811" s="17" t="s">
        <v>467</v>
      </c>
      <c r="Y811" s="17" t="s">
        <v>289</v>
      </c>
      <c r="Z811" s="78"/>
      <c r="AC811" s="116"/>
      <c r="AD811" s="19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</row>
    <row r="812" spans="1:53" s="17" customFormat="1" x14ac:dyDescent="0.3">
      <c r="A812" s="118"/>
      <c r="B812" s="101"/>
      <c r="C812" s="106" t="str">
        <f>+C811</f>
        <v>PR2</v>
      </c>
      <c r="D812" s="63"/>
      <c r="E812" s="63"/>
      <c r="H812" s="97" t="str">
        <f>+H811</f>
        <v>B</v>
      </c>
      <c r="I812" s="108" t="s">
        <v>333</v>
      </c>
      <c r="J812" s="107" t="s">
        <v>391</v>
      </c>
      <c r="K812" s="33"/>
      <c r="L812" s="103" t="s">
        <v>323</v>
      </c>
      <c r="M812" s="33"/>
      <c r="N812" s="17">
        <v>3</v>
      </c>
      <c r="P812" s="64" t="s">
        <v>390</v>
      </c>
      <c r="Q812" s="64"/>
      <c r="R812" s="102" t="s">
        <v>389</v>
      </c>
      <c r="S812" s="102" t="s">
        <v>211</v>
      </c>
      <c r="T812" s="33"/>
      <c r="U812" s="102" t="str">
        <f>+U811</f>
        <v>BMC1321FDR01</v>
      </c>
      <c r="V812" s="101"/>
      <c r="W812" s="101"/>
      <c r="X812" s="17" t="s">
        <v>467</v>
      </c>
      <c r="Y812" s="17" t="s">
        <v>289</v>
      </c>
      <c r="Z812" s="78"/>
      <c r="AC812" s="116"/>
      <c r="AD812" s="19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</row>
    <row r="813" spans="1:53" s="17" customFormat="1" x14ac:dyDescent="0.3">
      <c r="A813" s="118"/>
      <c r="B813" s="101"/>
      <c r="C813" s="106" t="str">
        <f>+C812</f>
        <v>PR2</v>
      </c>
      <c r="D813" s="63"/>
      <c r="E813" s="63"/>
      <c r="H813" s="97" t="str">
        <f>+H812</f>
        <v>B</v>
      </c>
      <c r="I813" s="108" t="s">
        <v>329</v>
      </c>
      <c r="J813" s="107" t="s">
        <v>388</v>
      </c>
      <c r="K813" s="33"/>
      <c r="L813" s="103" t="s">
        <v>323</v>
      </c>
      <c r="M813" s="33"/>
      <c r="N813" s="17">
        <v>3</v>
      </c>
      <c r="P813" s="64"/>
      <c r="Q813" s="64"/>
      <c r="R813" s="102" t="s">
        <v>291</v>
      </c>
      <c r="S813" s="102"/>
      <c r="T813" s="33"/>
      <c r="U813" s="102" t="str">
        <f>+U812</f>
        <v>BMC1321FDR01</v>
      </c>
      <c r="V813" s="101"/>
      <c r="W813" s="101"/>
      <c r="X813" s="17" t="s">
        <v>467</v>
      </c>
      <c r="Y813" s="17" t="s">
        <v>289</v>
      </c>
      <c r="Z813" s="78"/>
      <c r="AC813" s="116"/>
      <c r="AD813" s="19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</row>
    <row r="814" spans="1:53" s="17" customFormat="1" ht="13.5" thickBot="1" x14ac:dyDescent="0.35">
      <c r="A814" s="118"/>
      <c r="B814" s="101"/>
      <c r="C814" s="106" t="str">
        <f>+C813</f>
        <v>PR2</v>
      </c>
      <c r="D814" s="63"/>
      <c r="E814" s="63"/>
      <c r="H814" s="97" t="str">
        <f>+H813</f>
        <v>B</v>
      </c>
      <c r="I814" s="105" t="s">
        <v>325</v>
      </c>
      <c r="J814" s="104" t="s">
        <v>387</v>
      </c>
      <c r="K814" s="33"/>
      <c r="L814" s="103" t="s">
        <v>323</v>
      </c>
      <c r="M814" s="33"/>
      <c r="N814" s="17">
        <v>3</v>
      </c>
      <c r="P814" s="64"/>
      <c r="Q814" s="64"/>
      <c r="R814" s="102" t="s">
        <v>291</v>
      </c>
      <c r="S814" s="102"/>
      <c r="T814" s="33"/>
      <c r="U814" s="102" t="str">
        <f>+U813</f>
        <v>BMC1321FDR01</v>
      </c>
      <c r="V814" s="101"/>
      <c r="W814" s="101"/>
      <c r="X814" s="17" t="s">
        <v>467</v>
      </c>
      <c r="Y814" s="17" t="s">
        <v>289</v>
      </c>
      <c r="Z814" s="78"/>
      <c r="AC814" s="116"/>
      <c r="AD814" s="19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</row>
    <row r="815" spans="1:53" s="17" customFormat="1" x14ac:dyDescent="0.3">
      <c r="A815" s="118"/>
      <c r="B815" s="101"/>
      <c r="C815" s="106" t="str">
        <f>+C814</f>
        <v>PR2</v>
      </c>
      <c r="D815" s="63"/>
      <c r="E815" s="63"/>
      <c r="H815" s="97" t="s">
        <v>386</v>
      </c>
      <c r="I815" s="112" t="s">
        <v>321</v>
      </c>
      <c r="J815" s="111" t="s">
        <v>385</v>
      </c>
      <c r="K815" s="33"/>
      <c r="L815" s="103" t="s">
        <v>292</v>
      </c>
      <c r="M815" s="33"/>
      <c r="N815" s="17">
        <v>3</v>
      </c>
      <c r="P815" s="33"/>
      <c r="Q815" s="33"/>
      <c r="R815" s="102" t="s">
        <v>291</v>
      </c>
      <c r="S815" s="102"/>
      <c r="T815" s="33"/>
      <c r="U815" s="102" t="str">
        <f>+U814</f>
        <v>BMC1321FDR01</v>
      </c>
      <c r="V815" s="101"/>
      <c r="W815" s="101"/>
      <c r="X815" s="17" t="s">
        <v>467</v>
      </c>
      <c r="Y815" s="17" t="s">
        <v>289</v>
      </c>
      <c r="Z815" s="78"/>
      <c r="AC815" s="116"/>
      <c r="AD815" s="19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</row>
    <row r="816" spans="1:53" s="17" customFormat="1" x14ac:dyDescent="0.3">
      <c r="A816" s="118"/>
      <c r="B816" s="101"/>
      <c r="C816" s="106" t="str">
        <f>+C815</f>
        <v>PR2</v>
      </c>
      <c r="D816" s="63"/>
      <c r="E816" s="63"/>
      <c r="H816" s="97" t="str">
        <f>+H815</f>
        <v>B</v>
      </c>
      <c r="I816" s="108" t="s">
        <v>316</v>
      </c>
      <c r="J816" s="107" t="s">
        <v>384</v>
      </c>
      <c r="K816" s="33"/>
      <c r="L816" s="103" t="s">
        <v>292</v>
      </c>
      <c r="M816" s="33"/>
      <c r="N816" s="17">
        <v>3</v>
      </c>
      <c r="P816" s="33"/>
      <c r="Q816" s="33"/>
      <c r="R816" s="102" t="s">
        <v>291</v>
      </c>
      <c r="S816" s="102"/>
      <c r="T816" s="33"/>
      <c r="U816" s="102" t="str">
        <f>+U815</f>
        <v>BMC1321FDR01</v>
      </c>
      <c r="V816" s="101"/>
      <c r="W816" s="101"/>
      <c r="X816" s="17" t="s">
        <v>467</v>
      </c>
      <c r="Y816" s="17" t="s">
        <v>289</v>
      </c>
      <c r="Z816" s="78"/>
      <c r="AC816" s="116"/>
      <c r="AD816" s="19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</row>
    <row r="817" spans="1:53" s="17" customFormat="1" x14ac:dyDescent="0.3">
      <c r="A817" s="118"/>
      <c r="B817" s="101"/>
      <c r="C817" s="106" t="str">
        <f>+C816</f>
        <v>PR2</v>
      </c>
      <c r="D817" s="63"/>
      <c r="E817" s="63"/>
      <c r="H817" s="97" t="str">
        <f>+H816</f>
        <v>B</v>
      </c>
      <c r="I817" s="108" t="s">
        <v>312</v>
      </c>
      <c r="J817" s="107" t="s">
        <v>383</v>
      </c>
      <c r="K817" s="33"/>
      <c r="L817" s="103" t="s">
        <v>292</v>
      </c>
      <c r="M817" s="33"/>
      <c r="N817" s="17">
        <v>3</v>
      </c>
      <c r="P817" s="33"/>
      <c r="Q817" s="33"/>
      <c r="R817" s="102" t="s">
        <v>291</v>
      </c>
      <c r="S817" s="102"/>
      <c r="T817" s="33"/>
      <c r="U817" s="102" t="str">
        <f>+U816</f>
        <v>BMC1321FDR01</v>
      </c>
      <c r="V817" s="101"/>
      <c r="W817" s="101"/>
      <c r="X817" s="17" t="s">
        <v>467</v>
      </c>
      <c r="Y817" s="17" t="s">
        <v>289</v>
      </c>
      <c r="Z817" s="78"/>
      <c r="AA817" s="33"/>
      <c r="AB817" s="33"/>
      <c r="AC817" s="116"/>
      <c r="AD817" s="19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</row>
    <row r="818" spans="1:53" s="17" customFormat="1" x14ac:dyDescent="0.3">
      <c r="A818" s="118"/>
      <c r="B818" s="101"/>
      <c r="C818" s="106" t="str">
        <f>+C817</f>
        <v>PR2</v>
      </c>
      <c r="D818" s="63"/>
      <c r="E818" s="63"/>
      <c r="H818" s="97" t="str">
        <f>+H817</f>
        <v>B</v>
      </c>
      <c r="I818" s="108" t="s">
        <v>307</v>
      </c>
      <c r="J818" s="107" t="s">
        <v>382</v>
      </c>
      <c r="K818" s="33"/>
      <c r="L818" s="103" t="s">
        <v>292</v>
      </c>
      <c r="M818" s="33"/>
      <c r="N818" s="17">
        <v>3</v>
      </c>
      <c r="P818" s="64"/>
      <c r="Q818" s="64"/>
      <c r="R818" s="102" t="s">
        <v>291</v>
      </c>
      <c r="S818" s="102"/>
      <c r="T818" s="33"/>
      <c r="U818" s="102" t="str">
        <f>+U817</f>
        <v>BMC1321FDR01</v>
      </c>
      <c r="V818" s="101"/>
      <c r="W818" s="101"/>
      <c r="X818" s="17" t="s">
        <v>467</v>
      </c>
      <c r="Y818" s="17" t="s">
        <v>289</v>
      </c>
      <c r="Z818" s="78"/>
      <c r="AC818" s="116"/>
      <c r="AD818" s="19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</row>
    <row r="819" spans="1:53" s="17" customFormat="1" x14ac:dyDescent="0.3">
      <c r="A819" s="118"/>
      <c r="B819" s="101"/>
      <c r="C819" s="106" t="str">
        <f>+C818</f>
        <v>PR2</v>
      </c>
      <c r="D819" s="63"/>
      <c r="E819" s="63"/>
      <c r="H819" s="97" t="str">
        <f>+H818</f>
        <v>B</v>
      </c>
      <c r="I819" s="108" t="s">
        <v>303</v>
      </c>
      <c r="J819" s="107" t="s">
        <v>381</v>
      </c>
      <c r="K819" s="33"/>
      <c r="L819" s="103" t="s">
        <v>292</v>
      </c>
      <c r="M819" s="33"/>
      <c r="N819" s="17">
        <v>3</v>
      </c>
      <c r="P819" s="113"/>
      <c r="Q819" s="113"/>
      <c r="R819" s="102" t="s">
        <v>291</v>
      </c>
      <c r="S819" s="102"/>
      <c r="T819" s="33"/>
      <c r="U819" s="102" t="str">
        <f>+U818</f>
        <v>BMC1321FDR01</v>
      </c>
      <c r="V819" s="101"/>
      <c r="W819" s="101"/>
      <c r="X819" s="17" t="s">
        <v>467</v>
      </c>
      <c r="Y819" s="17" t="s">
        <v>289</v>
      </c>
      <c r="Z819" s="78"/>
      <c r="AC819" s="116"/>
      <c r="AD819" s="19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</row>
    <row r="820" spans="1:53" s="17" customFormat="1" x14ac:dyDescent="0.3">
      <c r="A820" s="118"/>
      <c r="B820" s="101"/>
      <c r="C820" s="106" t="str">
        <f>+C819</f>
        <v>PR2</v>
      </c>
      <c r="D820" s="63"/>
      <c r="E820" s="63"/>
      <c r="H820" s="97" t="str">
        <f>+H819</f>
        <v>B</v>
      </c>
      <c r="I820" s="108" t="s">
        <v>298</v>
      </c>
      <c r="J820" s="107" t="s">
        <v>380</v>
      </c>
      <c r="K820" s="33"/>
      <c r="L820" s="103" t="s">
        <v>292</v>
      </c>
      <c r="M820" s="33"/>
      <c r="N820" s="17">
        <v>3</v>
      </c>
      <c r="P820" s="64"/>
      <c r="Q820" s="64"/>
      <c r="R820" s="102" t="s">
        <v>291</v>
      </c>
      <c r="S820" s="102"/>
      <c r="T820" s="33"/>
      <c r="U820" s="102" t="str">
        <f>+U819</f>
        <v>BMC1321FDR01</v>
      </c>
      <c r="V820" s="101"/>
      <c r="W820" s="101"/>
      <c r="X820" s="17" t="s">
        <v>467</v>
      </c>
      <c r="Y820" s="17" t="s">
        <v>289</v>
      </c>
      <c r="Z820" s="78"/>
      <c r="AC820" s="116"/>
      <c r="AD820" s="19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</row>
    <row r="821" spans="1:53" s="17" customFormat="1" x14ac:dyDescent="0.3">
      <c r="A821" s="118"/>
      <c r="B821" s="101"/>
      <c r="C821" s="106" t="str">
        <f>+C820</f>
        <v>PR2</v>
      </c>
      <c r="D821" s="63"/>
      <c r="E821" s="63"/>
      <c r="H821" s="97" t="str">
        <f>+H820</f>
        <v>B</v>
      </c>
      <c r="I821" s="108" t="s">
        <v>296</v>
      </c>
      <c r="J821" s="107" t="s">
        <v>379</v>
      </c>
      <c r="K821" s="33"/>
      <c r="L821" s="103" t="s">
        <v>292</v>
      </c>
      <c r="M821" s="33"/>
      <c r="N821" s="17">
        <v>3</v>
      </c>
      <c r="P821" s="64"/>
      <c r="Q821" s="64"/>
      <c r="R821" s="102" t="s">
        <v>291</v>
      </c>
      <c r="S821" s="102"/>
      <c r="T821" s="33"/>
      <c r="U821" s="102" t="str">
        <f>+U820</f>
        <v>BMC1321FDR01</v>
      </c>
      <c r="V821" s="101"/>
      <c r="W821" s="101"/>
      <c r="X821" s="17" t="s">
        <v>467</v>
      </c>
      <c r="Y821" s="17" t="s">
        <v>289</v>
      </c>
      <c r="Z821" s="78"/>
      <c r="AC821" s="116"/>
      <c r="AD821" s="19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</row>
    <row r="822" spans="1:53" s="17" customFormat="1" ht="13.5" thickBot="1" x14ac:dyDescent="0.35">
      <c r="A822" s="118"/>
      <c r="B822" s="101"/>
      <c r="C822" s="106" t="str">
        <f>+C821</f>
        <v>PR2</v>
      </c>
      <c r="D822" s="63"/>
      <c r="E822" s="63"/>
      <c r="H822" s="97" t="str">
        <f>+H821</f>
        <v>B</v>
      </c>
      <c r="I822" s="105" t="s">
        <v>294</v>
      </c>
      <c r="J822" s="104" t="s">
        <v>378</v>
      </c>
      <c r="K822" s="33"/>
      <c r="L822" s="103" t="s">
        <v>292</v>
      </c>
      <c r="M822" s="33"/>
      <c r="N822" s="17">
        <v>3</v>
      </c>
      <c r="P822" s="64"/>
      <c r="Q822" s="64"/>
      <c r="R822" s="102" t="s">
        <v>291</v>
      </c>
      <c r="S822" s="102"/>
      <c r="T822" s="33"/>
      <c r="U822" s="102" t="str">
        <f>+U821</f>
        <v>BMC1321FDR01</v>
      </c>
      <c r="V822" s="101"/>
      <c r="W822" s="101"/>
      <c r="X822" s="17" t="s">
        <v>467</v>
      </c>
      <c r="Y822" s="17" t="s">
        <v>289</v>
      </c>
      <c r="Z822" s="78"/>
      <c r="AC822" s="116"/>
      <c r="AD822" s="19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</row>
    <row r="823" spans="1:53" s="17" customFormat="1" x14ac:dyDescent="0.3">
      <c r="A823" s="118"/>
      <c r="B823" s="101"/>
      <c r="C823" s="106" t="str">
        <f>+C822</f>
        <v>PR2</v>
      </c>
      <c r="D823" s="63"/>
      <c r="E823" s="63"/>
      <c r="H823" s="97" t="s">
        <v>322</v>
      </c>
      <c r="I823" s="112" t="s">
        <v>377</v>
      </c>
      <c r="J823" s="111" t="s">
        <v>376</v>
      </c>
      <c r="K823" s="33" t="s">
        <v>375</v>
      </c>
      <c r="L823" s="103" t="s">
        <v>323</v>
      </c>
      <c r="M823" s="33"/>
      <c r="N823" s="17">
        <v>3</v>
      </c>
      <c r="P823" s="64" t="s">
        <v>374</v>
      </c>
      <c r="Q823" s="64"/>
      <c r="R823" s="102" t="s">
        <v>373</v>
      </c>
      <c r="S823" s="102"/>
      <c r="T823" s="33"/>
      <c r="U823" s="102" t="str">
        <f>+U822</f>
        <v>BMC1321FDR01</v>
      </c>
      <c r="V823" s="101"/>
      <c r="W823" s="101"/>
      <c r="X823" s="17" t="s">
        <v>467</v>
      </c>
      <c r="Y823" s="17" t="s">
        <v>289</v>
      </c>
      <c r="Z823" s="78"/>
      <c r="AC823" s="116"/>
      <c r="AD823" s="19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</row>
    <row r="824" spans="1:53" s="17" customFormat="1" x14ac:dyDescent="0.3">
      <c r="A824" s="118"/>
      <c r="B824" s="101"/>
      <c r="C824" s="106" t="str">
        <f>+C823</f>
        <v>PR2</v>
      </c>
      <c r="D824" s="63"/>
      <c r="E824" s="63"/>
      <c r="H824" s="97" t="str">
        <f>+H823</f>
        <v>C</v>
      </c>
      <c r="I824" s="108" t="s">
        <v>372</v>
      </c>
      <c r="J824" s="107" t="s">
        <v>371</v>
      </c>
      <c r="K824" s="33"/>
      <c r="L824" s="103" t="s">
        <v>323</v>
      </c>
      <c r="M824" s="33"/>
      <c r="N824" s="17">
        <v>3</v>
      </c>
      <c r="P824" s="64" t="s">
        <v>370</v>
      </c>
      <c r="Q824" s="64"/>
      <c r="R824" s="102" t="s">
        <v>369</v>
      </c>
      <c r="S824" s="102" t="s">
        <v>364</v>
      </c>
      <c r="T824" s="33"/>
      <c r="U824" s="102" t="str">
        <f>+U823</f>
        <v>BMC1321FDR01</v>
      </c>
      <c r="V824" s="101"/>
      <c r="W824" s="101"/>
      <c r="X824" s="17" t="s">
        <v>467</v>
      </c>
      <c r="Y824" s="17" t="s">
        <v>289</v>
      </c>
      <c r="Z824" s="78"/>
      <c r="AC824" s="116"/>
      <c r="AD824" s="19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</row>
    <row r="825" spans="1:53" s="17" customFormat="1" x14ac:dyDescent="0.3">
      <c r="A825" s="118"/>
      <c r="B825" s="101"/>
      <c r="C825" s="106" t="str">
        <f>+C824</f>
        <v>PR2</v>
      </c>
      <c r="H825" s="97" t="str">
        <f>+H824</f>
        <v>C</v>
      </c>
      <c r="I825" s="108" t="s">
        <v>368</v>
      </c>
      <c r="J825" s="107" t="s">
        <v>367</v>
      </c>
      <c r="K825" s="33"/>
      <c r="L825" s="103" t="s">
        <v>323</v>
      </c>
      <c r="M825" s="33"/>
      <c r="N825" s="17">
        <v>3</v>
      </c>
      <c r="P825" s="64" t="s">
        <v>366</v>
      </c>
      <c r="Q825" s="64"/>
      <c r="R825" s="102" t="s">
        <v>365</v>
      </c>
      <c r="S825" s="102" t="s">
        <v>364</v>
      </c>
      <c r="T825" s="33"/>
      <c r="U825" s="102" t="str">
        <f>+U824</f>
        <v>BMC1321FDR01</v>
      </c>
      <c r="V825" s="101"/>
      <c r="W825" s="101"/>
      <c r="X825" s="17" t="s">
        <v>467</v>
      </c>
      <c r="Y825" s="17" t="s">
        <v>289</v>
      </c>
      <c r="Z825" s="78"/>
      <c r="AC825" s="116"/>
      <c r="AD825" s="19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</row>
    <row r="826" spans="1:53" s="17" customFormat="1" x14ac:dyDescent="0.3">
      <c r="A826" s="118"/>
      <c r="B826" s="101"/>
      <c r="C826" s="106" t="str">
        <f>+C825</f>
        <v>PR2</v>
      </c>
      <c r="D826" s="18"/>
      <c r="E826" s="18"/>
      <c r="H826" s="97" t="str">
        <f>+H825</f>
        <v>C</v>
      </c>
      <c r="I826" s="108" t="s">
        <v>363</v>
      </c>
      <c r="J826" s="107" t="s">
        <v>362</v>
      </c>
      <c r="K826" s="33"/>
      <c r="L826" s="103" t="s">
        <v>323</v>
      </c>
      <c r="M826" s="33"/>
      <c r="N826" s="17">
        <v>3</v>
      </c>
      <c r="P826" s="64" t="s">
        <v>361</v>
      </c>
      <c r="Q826" s="64"/>
      <c r="R826" s="102" t="s">
        <v>360</v>
      </c>
      <c r="S826" s="102" t="s">
        <v>247</v>
      </c>
      <c r="T826" s="33"/>
      <c r="U826" s="102" t="str">
        <f>+U825</f>
        <v>BMC1321FDR01</v>
      </c>
      <c r="V826" s="101"/>
      <c r="W826" s="101"/>
      <c r="X826" s="17" t="s">
        <v>467</v>
      </c>
      <c r="Y826" s="17" t="s">
        <v>289</v>
      </c>
      <c r="Z826" s="78"/>
      <c r="AC826" s="116"/>
      <c r="AD826" s="19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</row>
    <row r="827" spans="1:53" s="17" customFormat="1" x14ac:dyDescent="0.3">
      <c r="A827" s="118"/>
      <c r="B827" s="101"/>
      <c r="C827" s="106" t="str">
        <f>+C826</f>
        <v>PR2</v>
      </c>
      <c r="H827" s="97" t="str">
        <f>+H826</f>
        <v>C</v>
      </c>
      <c r="I827" s="108" t="s">
        <v>359</v>
      </c>
      <c r="J827" s="107" t="s">
        <v>358</v>
      </c>
      <c r="K827" s="33"/>
      <c r="L827" s="103" t="s">
        <v>323</v>
      </c>
      <c r="M827" s="33"/>
      <c r="N827" s="17">
        <v>3</v>
      </c>
      <c r="P827" s="64" t="s">
        <v>357</v>
      </c>
      <c r="Q827" s="64"/>
      <c r="R827" s="102" t="s">
        <v>356</v>
      </c>
      <c r="S827" s="102" t="s">
        <v>247</v>
      </c>
      <c r="T827" s="33"/>
      <c r="U827" s="102" t="str">
        <f>+U826</f>
        <v>BMC1321FDR01</v>
      </c>
      <c r="V827" s="101"/>
      <c r="W827" s="101"/>
      <c r="X827" s="17" t="s">
        <v>467</v>
      </c>
      <c r="Y827" s="17" t="s">
        <v>289</v>
      </c>
      <c r="Z827" s="78"/>
      <c r="AC827" s="116"/>
      <c r="AD827" s="19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</row>
    <row r="828" spans="1:53" s="17" customFormat="1" x14ac:dyDescent="0.3">
      <c r="A828" s="118"/>
      <c r="B828" s="101"/>
      <c r="C828" s="106" t="str">
        <f>+C827</f>
        <v>PR2</v>
      </c>
      <c r="D828" s="18"/>
      <c r="E828" s="18"/>
      <c r="H828" s="97" t="str">
        <f>+H827</f>
        <v>C</v>
      </c>
      <c r="I828" s="108" t="s">
        <v>355</v>
      </c>
      <c r="J828" s="107" t="s">
        <v>354</v>
      </c>
      <c r="K828" s="33"/>
      <c r="L828" s="103" t="s">
        <v>323</v>
      </c>
      <c r="M828" s="33"/>
      <c r="N828" s="17">
        <v>3</v>
      </c>
      <c r="P828" s="64" t="s">
        <v>353</v>
      </c>
      <c r="Q828" s="64"/>
      <c r="R828" s="102" t="s">
        <v>352</v>
      </c>
      <c r="S828" s="102" t="s">
        <v>247</v>
      </c>
      <c r="T828" s="33"/>
      <c r="U828" s="102" t="str">
        <f>+U827</f>
        <v>BMC1321FDR01</v>
      </c>
      <c r="V828" s="101"/>
      <c r="W828" s="101"/>
      <c r="X828" s="17" t="s">
        <v>467</v>
      </c>
      <c r="Y828" s="17" t="s">
        <v>289</v>
      </c>
      <c r="Z828" s="78"/>
      <c r="AC828" s="116"/>
      <c r="AD828" s="19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</row>
    <row r="829" spans="1:53" s="17" customFormat="1" x14ac:dyDescent="0.3">
      <c r="A829" s="118"/>
      <c r="B829" s="101"/>
      <c r="C829" s="106" t="str">
        <f>+C828</f>
        <v>PR2</v>
      </c>
      <c r="H829" s="97" t="str">
        <f>+H828</f>
        <v>C</v>
      </c>
      <c r="I829" s="108" t="s">
        <v>351</v>
      </c>
      <c r="J829" s="107" t="s">
        <v>350</v>
      </c>
      <c r="K829" s="33"/>
      <c r="L829" s="103" t="s">
        <v>323</v>
      </c>
      <c r="M829" s="33"/>
      <c r="N829" s="17">
        <v>3</v>
      </c>
      <c r="R829" s="102" t="s">
        <v>291</v>
      </c>
      <c r="T829" s="33"/>
      <c r="U829" s="102" t="str">
        <f>+U828</f>
        <v>BMC1321FDR01</v>
      </c>
      <c r="V829" s="101"/>
      <c r="W829" s="101"/>
      <c r="X829" s="17" t="s">
        <v>467</v>
      </c>
      <c r="Y829" s="17" t="s">
        <v>289</v>
      </c>
      <c r="Z829" s="78"/>
      <c r="AC829" s="116"/>
      <c r="AD829" s="19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</row>
    <row r="830" spans="1:53" s="17" customFormat="1" x14ac:dyDescent="0.3">
      <c r="A830" s="118"/>
      <c r="B830" s="101"/>
      <c r="C830" s="106" t="str">
        <f>+C829</f>
        <v>PR2</v>
      </c>
      <c r="D830" s="33"/>
      <c r="E830" s="100"/>
      <c r="F830" s="33"/>
      <c r="G830" s="33"/>
      <c r="H830" s="97" t="str">
        <f>+H829</f>
        <v>C</v>
      </c>
      <c r="I830" s="108" t="s">
        <v>349</v>
      </c>
      <c r="J830" s="107" t="s">
        <v>348</v>
      </c>
      <c r="K830" s="33"/>
      <c r="L830" s="103" t="s">
        <v>323</v>
      </c>
      <c r="M830" s="33"/>
      <c r="N830" s="17">
        <v>3</v>
      </c>
      <c r="P830" s="102" t="s">
        <v>347</v>
      </c>
      <c r="Q830" s="102"/>
      <c r="R830" s="102" t="s">
        <v>346</v>
      </c>
      <c r="S830" s="102" t="s">
        <v>211</v>
      </c>
      <c r="T830" s="33"/>
      <c r="U830" s="102" t="str">
        <f>+U829</f>
        <v>BMC1321FDR01</v>
      </c>
      <c r="V830" s="101"/>
      <c r="W830" s="101"/>
      <c r="X830" s="17" t="s">
        <v>467</v>
      </c>
      <c r="Y830" s="17" t="s">
        <v>289</v>
      </c>
      <c r="Z830" s="78"/>
      <c r="AA830" s="33"/>
      <c r="AB830" s="33"/>
      <c r="AC830" s="116"/>
      <c r="AD830" s="19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</row>
    <row r="831" spans="1:53" s="17" customFormat="1" x14ac:dyDescent="0.3">
      <c r="A831" s="118"/>
      <c r="B831" s="101"/>
      <c r="C831" s="106" t="str">
        <f>+C830</f>
        <v>PR2</v>
      </c>
      <c r="D831" s="33"/>
      <c r="E831" s="33"/>
      <c r="F831" s="33"/>
      <c r="G831" s="33"/>
      <c r="H831" s="97" t="str">
        <f>+H830</f>
        <v>C</v>
      </c>
      <c r="I831" s="108" t="s">
        <v>345</v>
      </c>
      <c r="J831" s="107" t="s">
        <v>344</v>
      </c>
      <c r="K831" s="33"/>
      <c r="L831" s="103" t="s">
        <v>323</v>
      </c>
      <c r="M831" s="33"/>
      <c r="N831" s="83">
        <v>4</v>
      </c>
      <c r="O831" s="83"/>
      <c r="P831" s="92" t="s">
        <v>343</v>
      </c>
      <c r="Q831" s="83"/>
      <c r="R831" s="109" t="s">
        <v>342</v>
      </c>
      <c r="S831" s="109" t="s">
        <v>211</v>
      </c>
      <c r="T831" s="33"/>
      <c r="U831" s="102" t="str">
        <f>+U830</f>
        <v>BMC1321FDR01</v>
      </c>
      <c r="V831" s="101"/>
      <c r="W831" s="101"/>
      <c r="X831" s="17" t="s">
        <v>467</v>
      </c>
      <c r="Y831" s="17" t="s">
        <v>289</v>
      </c>
      <c r="Z831" s="78"/>
      <c r="AA831" s="33"/>
      <c r="AB831" s="33"/>
      <c r="AC831" s="116"/>
      <c r="AD831" s="19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</row>
    <row r="832" spans="1:53" s="17" customFormat="1" x14ac:dyDescent="0.3">
      <c r="A832" s="118"/>
      <c r="B832" s="101"/>
      <c r="C832" s="106" t="str">
        <f>+C831</f>
        <v>PR2</v>
      </c>
      <c r="D832" s="33"/>
      <c r="E832" s="33"/>
      <c r="F832" s="33"/>
      <c r="G832" s="33"/>
      <c r="H832" s="97" t="str">
        <f>+H831</f>
        <v>C</v>
      </c>
      <c r="I832" s="108" t="s">
        <v>341</v>
      </c>
      <c r="J832" s="107" t="s">
        <v>340</v>
      </c>
      <c r="K832" s="33"/>
      <c r="L832" s="103" t="s">
        <v>323</v>
      </c>
      <c r="M832" s="33"/>
      <c r="N832" s="17">
        <v>3</v>
      </c>
      <c r="P832" s="64" t="s">
        <v>339</v>
      </c>
      <c r="Q832" s="64"/>
      <c r="R832" s="102" t="s">
        <v>469</v>
      </c>
      <c r="S832" s="102" t="s">
        <v>299</v>
      </c>
      <c r="T832" s="33"/>
      <c r="U832" s="102" t="str">
        <f>+U831</f>
        <v>BMC1321FDR01</v>
      </c>
      <c r="V832" s="101"/>
      <c r="W832" s="101"/>
      <c r="X832" s="17" t="s">
        <v>467</v>
      </c>
      <c r="Y832" s="17" t="s">
        <v>289</v>
      </c>
      <c r="Z832" s="78"/>
      <c r="AA832" s="33"/>
      <c r="AB832" s="33"/>
      <c r="AC832" s="116"/>
      <c r="AD832" s="19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</row>
    <row r="833" spans="1:53" s="17" customFormat="1" x14ac:dyDescent="0.3">
      <c r="A833" s="118"/>
      <c r="B833" s="101"/>
      <c r="C833" s="106" t="str">
        <f>+C832</f>
        <v>PR2</v>
      </c>
      <c r="D833" s="33"/>
      <c r="E833" s="33"/>
      <c r="F833" s="33"/>
      <c r="G833" s="33"/>
      <c r="H833" s="97" t="str">
        <f>+H832</f>
        <v>C</v>
      </c>
      <c r="I833" s="108" t="s">
        <v>337</v>
      </c>
      <c r="J833" s="107" t="s">
        <v>336</v>
      </c>
      <c r="K833" s="33"/>
      <c r="L833" s="103" t="s">
        <v>323</v>
      </c>
      <c r="M833" s="33"/>
      <c r="N833" s="17">
        <v>3</v>
      </c>
      <c r="P833" s="64" t="s">
        <v>335</v>
      </c>
      <c r="Q833" s="64"/>
      <c r="R833" s="102" t="s">
        <v>468</v>
      </c>
      <c r="S833" s="102" t="s">
        <v>299</v>
      </c>
      <c r="T833" s="33"/>
      <c r="U833" s="102" t="str">
        <f>+U832</f>
        <v>BMC1321FDR01</v>
      </c>
      <c r="V833" s="101"/>
      <c r="W833" s="101"/>
      <c r="X833" s="17" t="s">
        <v>467</v>
      </c>
      <c r="Y833" s="17" t="s">
        <v>289</v>
      </c>
      <c r="Z833" s="78"/>
      <c r="AA833" s="33"/>
      <c r="AB833" s="33"/>
      <c r="AC833" s="116"/>
      <c r="AD833" s="19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</row>
    <row r="834" spans="1:53" s="17" customFormat="1" x14ac:dyDescent="0.3">
      <c r="A834" s="118"/>
      <c r="B834" s="101"/>
      <c r="C834" s="106" t="str">
        <f>+C833</f>
        <v>PR2</v>
      </c>
      <c r="D834" s="33"/>
      <c r="E834" s="33"/>
      <c r="F834" s="33"/>
      <c r="G834" s="33"/>
      <c r="H834" s="97" t="str">
        <f>+H833</f>
        <v>C</v>
      </c>
      <c r="I834" s="108" t="s">
        <v>333</v>
      </c>
      <c r="J834" s="107" t="s">
        <v>332</v>
      </c>
      <c r="K834" s="33"/>
      <c r="L834" s="103" t="s">
        <v>323</v>
      </c>
      <c r="M834" s="33"/>
      <c r="N834" s="83">
        <v>6</v>
      </c>
      <c r="O834" s="83"/>
      <c r="P834" s="92" t="s">
        <v>331</v>
      </c>
      <c r="Q834" s="64"/>
      <c r="R834" s="109" t="s">
        <v>330</v>
      </c>
      <c r="S834" s="102" t="s">
        <v>299</v>
      </c>
      <c r="T834" s="33"/>
      <c r="U834" s="102" t="str">
        <f>+U833</f>
        <v>BMC1321FDR01</v>
      </c>
      <c r="V834" s="101"/>
      <c r="W834" s="101"/>
      <c r="X834" s="17" t="s">
        <v>467</v>
      </c>
      <c r="Y834" s="17" t="s">
        <v>289</v>
      </c>
      <c r="Z834" s="78"/>
      <c r="AC834" s="116"/>
      <c r="AD834" s="19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</row>
    <row r="835" spans="1:53" s="17" customFormat="1" x14ac:dyDescent="0.3">
      <c r="A835" s="118"/>
      <c r="B835" s="101"/>
      <c r="C835" s="106" t="str">
        <f>+C834</f>
        <v>PR2</v>
      </c>
      <c r="D835" s="33"/>
      <c r="E835" s="33"/>
      <c r="F835" s="33"/>
      <c r="G835" s="33"/>
      <c r="H835" s="97" t="str">
        <f>+H834</f>
        <v>C</v>
      </c>
      <c r="I835" s="108" t="s">
        <v>329</v>
      </c>
      <c r="J835" s="107" t="s">
        <v>328</v>
      </c>
      <c r="K835" s="33"/>
      <c r="L835" s="103" t="s">
        <v>323</v>
      </c>
      <c r="M835" s="33"/>
      <c r="N835" s="83">
        <v>4</v>
      </c>
      <c r="P835" s="92" t="s">
        <v>327</v>
      </c>
      <c r="Q835" s="92"/>
      <c r="R835" s="109" t="s">
        <v>326</v>
      </c>
      <c r="S835" s="109" t="s">
        <v>299</v>
      </c>
      <c r="T835" s="33"/>
      <c r="U835" s="102" t="str">
        <f>+U834</f>
        <v>BMC1321FDR01</v>
      </c>
      <c r="V835" s="101"/>
      <c r="W835" s="101"/>
      <c r="X835" s="17" t="s">
        <v>467</v>
      </c>
      <c r="Y835" s="17" t="s">
        <v>289</v>
      </c>
      <c r="Z835" s="78"/>
      <c r="AC835" s="116"/>
      <c r="AD835" s="19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</row>
    <row r="836" spans="1:53" s="17" customFormat="1" ht="13.5" thickBot="1" x14ac:dyDescent="0.35">
      <c r="A836" s="118"/>
      <c r="B836" s="101"/>
      <c r="C836" s="106" t="str">
        <f>+C835</f>
        <v>PR2</v>
      </c>
      <c r="D836" s="33"/>
      <c r="E836" s="33"/>
      <c r="F836" s="33"/>
      <c r="G836" s="33"/>
      <c r="H836" s="97" t="str">
        <f>+H835</f>
        <v>C</v>
      </c>
      <c r="I836" s="105" t="s">
        <v>325</v>
      </c>
      <c r="J836" s="104" t="s">
        <v>324</v>
      </c>
      <c r="K836" s="33"/>
      <c r="L836" s="103" t="s">
        <v>323</v>
      </c>
      <c r="M836" s="33"/>
      <c r="N836" s="83">
        <v>4</v>
      </c>
      <c r="P836" s="121"/>
      <c r="Q836" s="121"/>
      <c r="R836" s="120"/>
      <c r="S836" s="120"/>
      <c r="T836" s="33"/>
      <c r="U836" s="102" t="str">
        <f>+U835</f>
        <v>BMC1321FDR01</v>
      </c>
      <c r="V836" s="101"/>
      <c r="W836" s="101"/>
      <c r="X836" s="17" t="s">
        <v>467</v>
      </c>
      <c r="Y836" s="17" t="s">
        <v>289</v>
      </c>
      <c r="Z836" s="78"/>
      <c r="AC836" s="116"/>
      <c r="AD836" s="19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</row>
    <row r="837" spans="1:53" s="17" customFormat="1" x14ac:dyDescent="0.3">
      <c r="A837" s="118"/>
      <c r="B837" s="101"/>
      <c r="C837" s="106" t="str">
        <f>+C836</f>
        <v>PR2</v>
      </c>
      <c r="D837" s="33"/>
      <c r="E837" s="33"/>
      <c r="F837" s="33"/>
      <c r="G837" s="33"/>
      <c r="H837" s="97" t="s">
        <v>322</v>
      </c>
      <c r="I837" s="112" t="s">
        <v>321</v>
      </c>
      <c r="J837" s="111" t="s">
        <v>320</v>
      </c>
      <c r="K837" s="33"/>
      <c r="L837" s="103" t="s">
        <v>292</v>
      </c>
      <c r="M837" s="33"/>
      <c r="N837" s="17">
        <v>3</v>
      </c>
      <c r="P837" s="64" t="s">
        <v>319</v>
      </c>
      <c r="Q837" s="64"/>
      <c r="R837" s="102" t="s">
        <v>318</v>
      </c>
      <c r="S837" s="102" t="s">
        <v>317</v>
      </c>
      <c r="T837" s="33"/>
      <c r="U837" s="102" t="str">
        <f>+U836</f>
        <v>BMC1321FDR01</v>
      </c>
      <c r="V837" s="101"/>
      <c r="W837" s="101"/>
      <c r="X837" s="17" t="s">
        <v>467</v>
      </c>
      <c r="Y837" s="17" t="s">
        <v>289</v>
      </c>
      <c r="Z837" s="78"/>
      <c r="AC837" s="116"/>
      <c r="AD837" s="19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</row>
    <row r="838" spans="1:53" s="17" customFormat="1" x14ac:dyDescent="0.3">
      <c r="A838" s="118"/>
      <c r="B838" s="101"/>
      <c r="C838" s="106" t="str">
        <f>+C837</f>
        <v>PR2</v>
      </c>
      <c r="D838" s="33"/>
      <c r="E838" s="33"/>
      <c r="F838" s="33"/>
      <c r="G838" s="33"/>
      <c r="H838" s="97" t="str">
        <f>+H837</f>
        <v>C</v>
      </c>
      <c r="I838" s="108" t="s">
        <v>316</v>
      </c>
      <c r="J838" s="107" t="s">
        <v>315</v>
      </c>
      <c r="K838" s="33"/>
      <c r="L838" s="103" t="s">
        <v>292</v>
      </c>
      <c r="M838" s="33"/>
      <c r="N838" s="17">
        <v>3</v>
      </c>
      <c r="P838" s="64" t="s">
        <v>314</v>
      </c>
      <c r="Q838" s="64"/>
      <c r="R838" s="102" t="s">
        <v>309</v>
      </c>
      <c r="S838" s="102" t="s">
        <v>313</v>
      </c>
      <c r="T838" s="33"/>
      <c r="U838" s="102" t="str">
        <f>+U837</f>
        <v>BMC1321FDR01</v>
      </c>
      <c r="V838" s="101"/>
      <c r="W838" s="101"/>
      <c r="X838" s="17" t="s">
        <v>467</v>
      </c>
      <c r="Y838" s="17" t="s">
        <v>289</v>
      </c>
      <c r="Z838" s="78"/>
      <c r="AC838" s="116"/>
      <c r="AD838" s="19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</row>
    <row r="839" spans="1:53" s="17" customFormat="1" x14ac:dyDescent="0.3">
      <c r="A839" s="118"/>
      <c r="B839" s="101"/>
      <c r="C839" s="106" t="str">
        <f>+C838</f>
        <v>PR2</v>
      </c>
      <c r="D839" s="33"/>
      <c r="E839" s="33"/>
      <c r="F839" s="33"/>
      <c r="G839" s="33"/>
      <c r="H839" s="97" t="str">
        <f>+H838</f>
        <v>C</v>
      </c>
      <c r="I839" s="108" t="s">
        <v>312</v>
      </c>
      <c r="J839" s="107" t="s">
        <v>311</v>
      </c>
      <c r="K839" s="33"/>
      <c r="L839" s="103" t="s">
        <v>292</v>
      </c>
      <c r="M839" s="33"/>
      <c r="N839" s="17">
        <v>3</v>
      </c>
      <c r="P839" s="64" t="s">
        <v>310</v>
      </c>
      <c r="Q839" s="64"/>
      <c r="R839" s="102" t="s">
        <v>309</v>
      </c>
      <c r="S839" s="102" t="s">
        <v>308</v>
      </c>
      <c r="T839" s="33"/>
      <c r="U839" s="102" t="str">
        <f>+U838</f>
        <v>BMC1321FDR01</v>
      </c>
      <c r="V839" s="101"/>
      <c r="W839" s="101"/>
      <c r="X839" s="17" t="s">
        <v>467</v>
      </c>
      <c r="Y839" s="17" t="s">
        <v>289</v>
      </c>
      <c r="Z839" s="78"/>
      <c r="AC839" s="116"/>
      <c r="AD839" s="19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</row>
    <row r="840" spans="1:53" s="17" customFormat="1" x14ac:dyDescent="0.3">
      <c r="A840" s="118"/>
      <c r="B840" s="101"/>
      <c r="C840" s="106" t="str">
        <f>+C839</f>
        <v>PR2</v>
      </c>
      <c r="D840" s="33"/>
      <c r="E840" s="33"/>
      <c r="F840" s="33"/>
      <c r="G840" s="33"/>
      <c r="H840" s="97" t="str">
        <f>+H839</f>
        <v>C</v>
      </c>
      <c r="I840" s="108" t="s">
        <v>307</v>
      </c>
      <c r="J840" s="107" t="s">
        <v>306</v>
      </c>
      <c r="K840" s="33"/>
      <c r="L840" s="103" t="s">
        <v>292</v>
      </c>
      <c r="M840" s="33"/>
      <c r="N840" s="83">
        <v>6</v>
      </c>
      <c r="O840" s="83"/>
      <c r="P840" s="92" t="s">
        <v>305</v>
      </c>
      <c r="Q840" s="110"/>
      <c r="R840" s="109" t="s">
        <v>304</v>
      </c>
      <c r="S840" s="109" t="s">
        <v>211</v>
      </c>
      <c r="T840" s="33"/>
      <c r="U840" s="102" t="str">
        <f>+U839</f>
        <v>BMC1321FDR01</v>
      </c>
      <c r="V840" s="101"/>
      <c r="W840" s="101"/>
      <c r="X840" s="17" t="s">
        <v>467</v>
      </c>
      <c r="Y840" s="17" t="s">
        <v>289</v>
      </c>
      <c r="Z840" s="78"/>
      <c r="AC840" s="116"/>
      <c r="AD840" s="19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</row>
    <row r="841" spans="1:53" s="17" customFormat="1" x14ac:dyDescent="0.3">
      <c r="A841" s="118"/>
      <c r="B841" s="101"/>
      <c r="C841" s="106" t="str">
        <f>+C840</f>
        <v>PR2</v>
      </c>
      <c r="D841" s="33"/>
      <c r="E841" s="33"/>
      <c r="F841" s="33"/>
      <c r="G841" s="33"/>
      <c r="H841" s="97" t="str">
        <f>+H840</f>
        <v>C</v>
      </c>
      <c r="I841" s="108" t="s">
        <v>303</v>
      </c>
      <c r="J841" s="107" t="s">
        <v>302</v>
      </c>
      <c r="K841" s="33"/>
      <c r="L841" s="103" t="s">
        <v>292</v>
      </c>
      <c r="M841" s="33"/>
      <c r="N841" s="83">
        <v>6</v>
      </c>
      <c r="P841" s="92" t="s">
        <v>301</v>
      </c>
      <c r="Q841" s="33"/>
      <c r="R841" s="109" t="s">
        <v>300</v>
      </c>
      <c r="S841" s="102" t="s">
        <v>299</v>
      </c>
      <c r="T841" s="33"/>
      <c r="U841" s="102" t="str">
        <f>+U840</f>
        <v>BMC1321FDR01</v>
      </c>
      <c r="V841" s="101"/>
      <c r="W841" s="101"/>
      <c r="X841" s="17" t="s">
        <v>467</v>
      </c>
      <c r="Y841" s="17" t="s">
        <v>289</v>
      </c>
      <c r="Z841" s="78"/>
      <c r="AC841" s="116"/>
      <c r="AD841" s="19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</row>
    <row r="842" spans="1:53" s="17" customFormat="1" x14ac:dyDescent="0.3">
      <c r="A842" s="118"/>
      <c r="B842" s="101"/>
      <c r="C842" s="106" t="str">
        <f>+C841</f>
        <v>PR2</v>
      </c>
      <c r="D842" s="33"/>
      <c r="E842" s="33"/>
      <c r="F842" s="33"/>
      <c r="G842" s="33"/>
      <c r="H842" s="97" t="str">
        <f>+H841</f>
        <v>C</v>
      </c>
      <c r="I842" s="108" t="s">
        <v>298</v>
      </c>
      <c r="J842" s="107" t="s">
        <v>297</v>
      </c>
      <c r="K842" s="33"/>
      <c r="L842" s="103" t="s">
        <v>292</v>
      </c>
      <c r="M842" s="33"/>
      <c r="N842" s="17">
        <v>3</v>
      </c>
      <c r="P842" s="33"/>
      <c r="Q842" s="33"/>
      <c r="R842" s="102" t="s">
        <v>291</v>
      </c>
      <c r="S842" s="102"/>
      <c r="T842" s="33"/>
      <c r="U842" s="102" t="str">
        <f>+U841</f>
        <v>BMC1321FDR01</v>
      </c>
      <c r="V842" s="101"/>
      <c r="W842" s="101"/>
      <c r="X842" s="17" t="s">
        <v>467</v>
      </c>
      <c r="Y842" s="17" t="s">
        <v>289</v>
      </c>
      <c r="Z842" s="78"/>
      <c r="AC842" s="116"/>
      <c r="AD842" s="19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</row>
    <row r="843" spans="1:53" s="17" customFormat="1" x14ac:dyDescent="0.3">
      <c r="A843" s="118"/>
      <c r="B843" s="101"/>
      <c r="C843" s="106" t="str">
        <f>+C842</f>
        <v>PR2</v>
      </c>
      <c r="D843" s="33"/>
      <c r="E843" s="33"/>
      <c r="F843" s="33"/>
      <c r="G843" s="33"/>
      <c r="H843" s="97" t="str">
        <f>+H842</f>
        <v>C</v>
      </c>
      <c r="I843" s="108" t="s">
        <v>296</v>
      </c>
      <c r="J843" s="107" t="s">
        <v>295</v>
      </c>
      <c r="K843" s="33"/>
      <c r="L843" s="103" t="s">
        <v>292</v>
      </c>
      <c r="M843" s="33"/>
      <c r="N843" s="17">
        <v>3</v>
      </c>
      <c r="P843" s="33"/>
      <c r="Q843" s="33"/>
      <c r="R843" s="102" t="s">
        <v>291</v>
      </c>
      <c r="S843" s="102"/>
      <c r="T843" s="33"/>
      <c r="U843" s="102" t="str">
        <f>+U842</f>
        <v>BMC1321FDR01</v>
      </c>
      <c r="V843" s="101"/>
      <c r="W843" s="101"/>
      <c r="X843" s="17" t="s">
        <v>467</v>
      </c>
      <c r="Y843" s="17" t="s">
        <v>289</v>
      </c>
      <c r="Z843" s="78"/>
      <c r="AC843" s="116"/>
      <c r="AD843" s="19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</row>
    <row r="844" spans="1:53" s="17" customFormat="1" ht="13.5" thickBot="1" x14ac:dyDescent="0.35">
      <c r="A844" s="118"/>
      <c r="B844" s="101"/>
      <c r="C844" s="106" t="str">
        <f>+C843</f>
        <v>PR2</v>
      </c>
      <c r="D844" s="33"/>
      <c r="E844" s="33"/>
      <c r="F844" s="33"/>
      <c r="G844" s="33"/>
      <c r="H844" s="97" t="str">
        <f>+H843</f>
        <v>C</v>
      </c>
      <c r="I844" s="105" t="s">
        <v>294</v>
      </c>
      <c r="J844" s="104" t="s">
        <v>293</v>
      </c>
      <c r="K844" s="33"/>
      <c r="L844" s="103" t="s">
        <v>292</v>
      </c>
      <c r="M844" s="33"/>
      <c r="N844" s="17">
        <v>3</v>
      </c>
      <c r="P844" s="33"/>
      <c r="Q844" s="33"/>
      <c r="R844" s="102" t="s">
        <v>291</v>
      </c>
      <c r="S844" s="102"/>
      <c r="T844" s="33"/>
      <c r="U844" s="102" t="str">
        <f>+U843</f>
        <v>BMC1321FDR01</v>
      </c>
      <c r="V844" s="101"/>
      <c r="W844" s="101"/>
      <c r="X844" s="17" t="s">
        <v>467</v>
      </c>
      <c r="Y844" s="17" t="s">
        <v>289</v>
      </c>
      <c r="Z844" s="78"/>
      <c r="AC844" s="116"/>
      <c r="AD844" s="19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</row>
    <row r="845" spans="1:53" s="17" customFormat="1" ht="13.5" thickBot="1" x14ac:dyDescent="0.35">
      <c r="A845" s="118"/>
      <c r="B845" s="101"/>
      <c r="C845" s="97"/>
      <c r="D845" s="33"/>
      <c r="E845" s="33"/>
      <c r="F845" s="33"/>
      <c r="G845" s="33"/>
      <c r="H845" s="119"/>
      <c r="I845" s="33"/>
      <c r="J845" s="33"/>
      <c r="K845" s="33"/>
      <c r="L845" s="103"/>
      <c r="M845" s="33"/>
      <c r="P845" s="33"/>
      <c r="Q845" s="33"/>
      <c r="R845" s="102"/>
      <c r="S845" s="102"/>
      <c r="T845" s="33"/>
      <c r="U845" s="102"/>
      <c r="V845" s="101"/>
      <c r="W845" s="101"/>
      <c r="X845" s="78"/>
      <c r="Y845" s="78"/>
      <c r="Z845" s="78"/>
      <c r="AA845" s="33"/>
      <c r="AB845" s="33"/>
      <c r="AC845" s="116"/>
      <c r="AD845" s="19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</row>
    <row r="846" spans="1:53" s="17" customFormat="1" x14ac:dyDescent="0.3">
      <c r="A846" s="118"/>
      <c r="B846" s="101"/>
      <c r="C846" s="106" t="s">
        <v>466</v>
      </c>
      <c r="D846" s="18"/>
      <c r="E846" s="18"/>
      <c r="H846" s="97" t="s">
        <v>437</v>
      </c>
      <c r="I846" s="112" t="s">
        <v>462</v>
      </c>
      <c r="J846" s="111" t="s">
        <v>461</v>
      </c>
      <c r="K846" s="33" t="s">
        <v>460</v>
      </c>
      <c r="L846" s="103" t="s">
        <v>292</v>
      </c>
      <c r="M846" s="33"/>
      <c r="N846" s="17">
        <v>3</v>
      </c>
      <c r="P846" s="64" t="s">
        <v>459</v>
      </c>
      <c r="Q846" s="64"/>
      <c r="R846" s="64" t="s">
        <v>458</v>
      </c>
      <c r="S846" s="64" t="s">
        <v>457</v>
      </c>
      <c r="T846" s="113"/>
      <c r="U846" s="64" t="s">
        <v>465</v>
      </c>
      <c r="W846" s="101"/>
      <c r="X846" s="17" t="s">
        <v>464</v>
      </c>
      <c r="Y846" s="17" t="s">
        <v>289</v>
      </c>
      <c r="Z846" s="64" t="s">
        <v>172</v>
      </c>
      <c r="AA846" s="33"/>
      <c r="AB846" s="33"/>
      <c r="AC846" s="116"/>
      <c r="AD846" s="19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</row>
    <row r="847" spans="1:53" s="17" customFormat="1" x14ac:dyDescent="0.3">
      <c r="A847" s="118"/>
      <c r="B847" s="101"/>
      <c r="C847" s="106" t="str">
        <f>+C846</f>
        <v>PR3</v>
      </c>
      <c r="D847" s="18"/>
      <c r="E847" s="18"/>
      <c r="H847" s="97" t="str">
        <f>+H846</f>
        <v>G</v>
      </c>
      <c r="I847" s="108" t="s">
        <v>321</v>
      </c>
      <c r="J847" s="107" t="s">
        <v>455</v>
      </c>
      <c r="K847" s="99" t="s">
        <v>454</v>
      </c>
      <c r="L847" s="103" t="s">
        <v>292</v>
      </c>
      <c r="M847" s="33"/>
      <c r="N847" s="17">
        <v>3</v>
      </c>
      <c r="P847" s="64" t="s">
        <v>453</v>
      </c>
      <c r="Q847" s="64"/>
      <c r="R847" s="64" t="s">
        <v>450</v>
      </c>
      <c r="S847" s="64" t="s">
        <v>313</v>
      </c>
      <c r="T847" s="113"/>
      <c r="U847" s="64" t="str">
        <f>+U846</f>
        <v>BMC1321FDR02</v>
      </c>
      <c r="V847" s="101"/>
      <c r="W847" s="101"/>
      <c r="X847" s="17" t="s">
        <v>464</v>
      </c>
      <c r="Y847" s="17" t="s">
        <v>289</v>
      </c>
      <c r="Z847" s="78"/>
      <c r="AA847" s="33"/>
      <c r="AB847" s="33"/>
      <c r="AC847" s="116"/>
      <c r="AD847" s="19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</row>
    <row r="848" spans="1:53" s="17" customFormat="1" x14ac:dyDescent="0.3">
      <c r="A848" s="118"/>
      <c r="B848" s="101"/>
      <c r="C848" s="106" t="str">
        <f>+C847</f>
        <v>PR3</v>
      </c>
      <c r="D848" s="18"/>
      <c r="E848" s="18"/>
      <c r="H848" s="97" t="str">
        <f>+H847</f>
        <v>G</v>
      </c>
      <c r="I848" s="108" t="s">
        <v>316</v>
      </c>
      <c r="J848" s="107" t="s">
        <v>452</v>
      </c>
      <c r="K848" s="33"/>
      <c r="L848" s="103" t="s">
        <v>292</v>
      </c>
      <c r="M848" s="33"/>
      <c r="N848" s="17">
        <v>3</v>
      </c>
      <c r="P848" s="64" t="s">
        <v>451</v>
      </c>
      <c r="Q848" s="64"/>
      <c r="R848" s="64" t="s">
        <v>450</v>
      </c>
      <c r="S848" s="64" t="s">
        <v>449</v>
      </c>
      <c r="T848" s="113"/>
      <c r="U848" s="64" t="str">
        <f>+U847</f>
        <v>BMC1321FDR02</v>
      </c>
      <c r="V848" s="101"/>
      <c r="W848" s="101"/>
      <c r="X848" s="17" t="s">
        <v>464</v>
      </c>
      <c r="Y848" s="17" t="s">
        <v>289</v>
      </c>
      <c r="Z848" s="78"/>
      <c r="AA848" s="33"/>
      <c r="AB848" s="33"/>
      <c r="AC848" s="116"/>
      <c r="AD848" s="19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</row>
    <row r="849" spans="1:53" s="17" customFormat="1" x14ac:dyDescent="0.3">
      <c r="A849" s="118"/>
      <c r="B849" s="101"/>
      <c r="C849" s="106" t="str">
        <f>+C848</f>
        <v>PR3</v>
      </c>
      <c r="D849" s="18"/>
      <c r="E849" s="18"/>
      <c r="H849" s="97" t="str">
        <f>+H848</f>
        <v>G</v>
      </c>
      <c r="I849" s="108" t="s">
        <v>448</v>
      </c>
      <c r="J849" s="107" t="s">
        <v>447</v>
      </c>
      <c r="K849" s="33"/>
      <c r="L849" s="103" t="s">
        <v>292</v>
      </c>
      <c r="M849" s="33"/>
      <c r="N849" s="17">
        <v>3</v>
      </c>
      <c r="P849" s="64"/>
      <c r="Q849" s="64"/>
      <c r="R849" s="64" t="s">
        <v>291</v>
      </c>
      <c r="S849" s="64"/>
      <c r="T849" s="113"/>
      <c r="U849" s="64" t="str">
        <f>+U848</f>
        <v>BMC1321FDR02</v>
      </c>
      <c r="V849" s="101"/>
      <c r="W849" s="101"/>
      <c r="X849" s="17" t="s">
        <v>464</v>
      </c>
      <c r="Y849" s="17" t="s">
        <v>289</v>
      </c>
      <c r="Z849" s="78"/>
      <c r="AA849" s="33"/>
      <c r="AB849" s="33"/>
      <c r="AC849" s="116"/>
      <c r="AD849" s="19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</row>
    <row r="850" spans="1:53" s="17" customFormat="1" x14ac:dyDescent="0.3">
      <c r="A850" s="118"/>
      <c r="B850" s="101"/>
      <c r="C850" s="106" t="str">
        <f>+C849</f>
        <v>PR3</v>
      </c>
      <c r="D850" s="18"/>
      <c r="E850" s="18"/>
      <c r="H850" s="97" t="str">
        <f>+H849</f>
        <v>G</v>
      </c>
      <c r="I850" s="108" t="s">
        <v>446</v>
      </c>
      <c r="J850" s="107" t="s">
        <v>445</v>
      </c>
      <c r="K850" s="33"/>
      <c r="L850" s="103" t="s">
        <v>292</v>
      </c>
      <c r="M850" s="33"/>
      <c r="N850" s="17">
        <v>3</v>
      </c>
      <c r="P850" s="64"/>
      <c r="Q850" s="64"/>
      <c r="R850" s="64" t="s">
        <v>291</v>
      </c>
      <c r="S850" s="64"/>
      <c r="T850" s="113"/>
      <c r="U850" s="64" t="str">
        <f>+U849</f>
        <v>BMC1321FDR02</v>
      </c>
      <c r="V850" s="101"/>
      <c r="W850" s="101"/>
      <c r="X850" s="17" t="s">
        <v>464</v>
      </c>
      <c r="Y850" s="17" t="s">
        <v>289</v>
      </c>
      <c r="Z850" s="78"/>
      <c r="AA850" s="33"/>
      <c r="AB850" s="33"/>
      <c r="AC850" s="116"/>
      <c r="AD850" s="19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</row>
    <row r="851" spans="1:53" s="17" customFormat="1" x14ac:dyDescent="0.3">
      <c r="A851" s="118"/>
      <c r="B851" s="101"/>
      <c r="C851" s="106" t="str">
        <f>+C850</f>
        <v>PR3</v>
      </c>
      <c r="D851" s="18"/>
      <c r="E851" s="18"/>
      <c r="H851" s="97" t="str">
        <f>+H850</f>
        <v>G</v>
      </c>
      <c r="I851" s="108" t="s">
        <v>444</v>
      </c>
      <c r="J851" s="107" t="s">
        <v>443</v>
      </c>
      <c r="K851" s="33"/>
      <c r="L851" s="103" t="s">
        <v>292</v>
      </c>
      <c r="M851" s="33"/>
      <c r="N851" s="17">
        <v>3</v>
      </c>
      <c r="P851" s="64" t="s">
        <v>442</v>
      </c>
      <c r="Q851" s="64"/>
      <c r="R851" s="102" t="s">
        <v>438</v>
      </c>
      <c r="S851" s="102" t="s">
        <v>313</v>
      </c>
      <c r="T851" s="114"/>
      <c r="U851" s="102" t="str">
        <f>+U850</f>
        <v>BMC1321FDR02</v>
      </c>
      <c r="V851" s="101"/>
      <c r="W851" s="101"/>
      <c r="X851" s="17" t="s">
        <v>464</v>
      </c>
      <c r="Y851" s="17" t="s">
        <v>289</v>
      </c>
      <c r="Z851" s="78"/>
      <c r="AA851" s="33"/>
      <c r="AB851" s="33"/>
      <c r="AC851" s="116"/>
      <c r="AD851" s="19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</row>
    <row r="852" spans="1:53" s="17" customFormat="1" ht="13.5" thickBot="1" x14ac:dyDescent="0.35">
      <c r="A852" s="118"/>
      <c r="B852" s="101"/>
      <c r="C852" s="106" t="str">
        <f>+C851</f>
        <v>PR3</v>
      </c>
      <c r="D852" s="63"/>
      <c r="E852" s="63"/>
      <c r="H852" s="97" t="str">
        <f>+H851</f>
        <v>G</v>
      </c>
      <c r="I852" s="105" t="s">
        <v>441</v>
      </c>
      <c r="J852" s="104" t="s">
        <v>440</v>
      </c>
      <c r="K852" s="33"/>
      <c r="L852" s="103" t="s">
        <v>292</v>
      </c>
      <c r="M852" s="33"/>
      <c r="N852" s="17">
        <v>3</v>
      </c>
      <c r="P852" s="64" t="s">
        <v>439</v>
      </c>
      <c r="Q852" s="64"/>
      <c r="R852" s="102" t="s">
        <v>438</v>
      </c>
      <c r="S852" s="102" t="s">
        <v>308</v>
      </c>
      <c r="T852" s="114"/>
      <c r="U852" s="102" t="str">
        <f>+U851</f>
        <v>BMC1321FDR02</v>
      </c>
      <c r="V852" s="101"/>
      <c r="W852" s="101"/>
      <c r="X852" s="17" t="s">
        <v>464</v>
      </c>
      <c r="Y852" s="17" t="s">
        <v>289</v>
      </c>
      <c r="Z852" s="78"/>
      <c r="AA852" s="33"/>
      <c r="AB852" s="33"/>
      <c r="AC852" s="116"/>
      <c r="AD852" s="19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</row>
    <row r="853" spans="1:53" s="17" customFormat="1" x14ac:dyDescent="0.3">
      <c r="A853" s="118"/>
      <c r="B853" s="101"/>
      <c r="C853" s="106" t="str">
        <f>+C852</f>
        <v>PR3</v>
      </c>
      <c r="D853" s="63"/>
      <c r="E853" s="63"/>
      <c r="H853" s="97" t="s">
        <v>437</v>
      </c>
      <c r="I853" s="112" t="s">
        <v>312</v>
      </c>
      <c r="J853" s="111" t="s">
        <v>436</v>
      </c>
      <c r="K853" s="33"/>
      <c r="L853" s="103" t="s">
        <v>292</v>
      </c>
      <c r="M853" s="33"/>
      <c r="N853" s="17">
        <v>3</v>
      </c>
      <c r="P853" s="64"/>
      <c r="Q853" s="64"/>
      <c r="R853" s="64" t="s">
        <v>291</v>
      </c>
      <c r="S853" s="114" t="s">
        <v>211</v>
      </c>
      <c r="T853" s="114"/>
      <c r="U853" s="102" t="str">
        <f>+U852</f>
        <v>BMC1321FDR02</v>
      </c>
      <c r="V853" s="101"/>
      <c r="W853" s="101"/>
      <c r="X853" s="17" t="s">
        <v>464</v>
      </c>
      <c r="Y853" s="17" t="s">
        <v>289</v>
      </c>
      <c r="Z853" s="78"/>
      <c r="AA853" s="33"/>
      <c r="AB853" s="33"/>
      <c r="AC853" s="116"/>
      <c r="AD853" s="19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</row>
    <row r="854" spans="1:53" s="17" customFormat="1" x14ac:dyDescent="0.3">
      <c r="A854" s="118"/>
      <c r="B854" s="101"/>
      <c r="C854" s="106" t="str">
        <f>+C853</f>
        <v>PR3</v>
      </c>
      <c r="D854" s="63"/>
      <c r="E854" s="63"/>
      <c r="H854" s="97" t="str">
        <f>+H853</f>
        <v>G</v>
      </c>
      <c r="I854" s="108" t="s">
        <v>435</v>
      </c>
      <c r="J854" s="107" t="s">
        <v>434</v>
      </c>
      <c r="K854" s="33"/>
      <c r="L854" s="103" t="s">
        <v>323</v>
      </c>
      <c r="M854" s="33"/>
      <c r="N854" s="17">
        <v>3</v>
      </c>
      <c r="P854" s="64" t="s">
        <v>433</v>
      </c>
      <c r="Q854" s="64"/>
      <c r="R854" s="102" t="s">
        <v>432</v>
      </c>
      <c r="S854" s="115" t="s">
        <v>427</v>
      </c>
      <c r="T854" s="114"/>
      <c r="U854" s="102" t="str">
        <f>+U853</f>
        <v>BMC1321FDR02</v>
      </c>
      <c r="V854" s="101"/>
      <c r="W854" s="101"/>
      <c r="X854" s="17" t="s">
        <v>464</v>
      </c>
      <c r="Y854" s="17" t="s">
        <v>289</v>
      </c>
      <c r="Z854" s="78"/>
      <c r="AA854" s="33"/>
      <c r="AB854" s="33"/>
      <c r="AC854" s="116"/>
      <c r="AD854" s="19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</row>
    <row r="855" spans="1:53" s="17" customFormat="1" x14ac:dyDescent="0.3">
      <c r="A855" s="118"/>
      <c r="B855" s="101"/>
      <c r="C855" s="106" t="str">
        <f>+C854</f>
        <v>PR3</v>
      </c>
      <c r="D855" s="63"/>
      <c r="E855" s="63"/>
      <c r="H855" s="97" t="str">
        <f>+H854</f>
        <v>G</v>
      </c>
      <c r="I855" s="108" t="s">
        <v>431</v>
      </c>
      <c r="J855" s="107" t="s">
        <v>430</v>
      </c>
      <c r="K855" s="33"/>
      <c r="L855" s="103" t="s">
        <v>323</v>
      </c>
      <c r="M855" s="33"/>
      <c r="N855" s="17">
        <v>3</v>
      </c>
      <c r="P855" s="64" t="s">
        <v>429</v>
      </c>
      <c r="Q855" s="64"/>
      <c r="R855" s="102" t="s">
        <v>428</v>
      </c>
      <c r="S855" s="102" t="s">
        <v>427</v>
      </c>
      <c r="T855" s="114"/>
      <c r="U855" s="102" t="str">
        <f>+U854</f>
        <v>BMC1321FDR02</v>
      </c>
      <c r="V855" s="101"/>
      <c r="W855" s="101"/>
      <c r="X855" s="17" t="s">
        <v>464</v>
      </c>
      <c r="Y855" s="17" t="s">
        <v>289</v>
      </c>
      <c r="Z855" s="78"/>
      <c r="AA855" s="33"/>
      <c r="AB855" s="33"/>
      <c r="AC855" s="116"/>
      <c r="AD855" s="19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</row>
    <row r="856" spans="1:53" s="17" customFormat="1" ht="13.5" thickBot="1" x14ac:dyDescent="0.35">
      <c r="A856" s="118"/>
      <c r="B856" s="101"/>
      <c r="C856" s="106" t="str">
        <f>+C855</f>
        <v>PR3</v>
      </c>
      <c r="D856" s="63"/>
      <c r="E856" s="63"/>
      <c r="H856" s="97" t="str">
        <f>+H855</f>
        <v>G</v>
      </c>
      <c r="I856" s="108" t="s">
        <v>426</v>
      </c>
      <c r="J856" s="107" t="s">
        <v>425</v>
      </c>
      <c r="K856" s="33"/>
      <c r="L856" s="103" t="s">
        <v>424</v>
      </c>
      <c r="M856" s="33"/>
      <c r="N856" s="17">
        <v>3</v>
      </c>
      <c r="P856" s="64"/>
      <c r="Q856" s="64"/>
      <c r="R856" s="102" t="s">
        <v>291</v>
      </c>
      <c r="S856" s="102"/>
      <c r="T856" s="114"/>
      <c r="U856" s="102" t="str">
        <f>+U855</f>
        <v>BMC1321FDR02</v>
      </c>
      <c r="V856" s="101"/>
      <c r="W856" s="101"/>
      <c r="X856" s="17" t="s">
        <v>464</v>
      </c>
      <c r="Y856" s="17" t="s">
        <v>289</v>
      </c>
      <c r="Z856" s="78"/>
      <c r="AA856" s="33"/>
      <c r="AB856" s="33"/>
      <c r="AC856" s="116"/>
      <c r="AD856" s="19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</row>
    <row r="857" spans="1:53" s="17" customFormat="1" x14ac:dyDescent="0.3">
      <c r="A857" s="118"/>
      <c r="B857" s="101"/>
      <c r="C857" s="106" t="str">
        <f>+C856</f>
        <v>PR3</v>
      </c>
      <c r="D857" s="63"/>
      <c r="E857" s="63"/>
      <c r="H857" s="97" t="s">
        <v>386</v>
      </c>
      <c r="I857" s="112" t="s">
        <v>377</v>
      </c>
      <c r="J857" s="111" t="s">
        <v>423</v>
      </c>
      <c r="K857" s="33" t="s">
        <v>422</v>
      </c>
      <c r="L857" s="103" t="s">
        <v>323</v>
      </c>
      <c r="M857" s="33"/>
      <c r="N857" s="17">
        <v>3</v>
      </c>
      <c r="P857" s="64" t="s">
        <v>421</v>
      </c>
      <c r="Q857" s="64"/>
      <c r="R857" s="102" t="s">
        <v>418</v>
      </c>
      <c r="S857" s="102" t="s">
        <v>247</v>
      </c>
      <c r="T857" s="102"/>
      <c r="U857" s="102" t="str">
        <f>+U856</f>
        <v>BMC1321FDR02</v>
      </c>
      <c r="V857" s="101"/>
      <c r="W857" s="101"/>
      <c r="X857" s="17" t="s">
        <v>464</v>
      </c>
      <c r="Y857" s="17" t="s">
        <v>289</v>
      </c>
      <c r="Z857" s="78"/>
      <c r="AA857" s="33"/>
      <c r="AB857" s="33"/>
      <c r="AC857" s="116"/>
      <c r="AD857" s="19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</row>
    <row r="858" spans="1:53" s="17" customFormat="1" x14ac:dyDescent="0.3">
      <c r="A858" s="118"/>
      <c r="B858" s="101"/>
      <c r="C858" s="106" t="str">
        <f>+C857</f>
        <v>PR3</v>
      </c>
      <c r="D858" s="63"/>
      <c r="E858" s="63"/>
      <c r="H858" s="97" t="str">
        <f>+H857</f>
        <v>B</v>
      </c>
      <c r="I858" s="108" t="s">
        <v>372</v>
      </c>
      <c r="J858" s="107" t="s">
        <v>420</v>
      </c>
      <c r="L858" s="103" t="s">
        <v>323</v>
      </c>
      <c r="M858" s="33"/>
      <c r="N858" s="17">
        <v>3</v>
      </c>
      <c r="P858" s="64" t="s">
        <v>419</v>
      </c>
      <c r="Q858" s="64"/>
      <c r="R858" s="102" t="s">
        <v>418</v>
      </c>
      <c r="S858" s="102" t="s">
        <v>308</v>
      </c>
      <c r="T858" s="102"/>
      <c r="U858" s="102" t="str">
        <f>+U857</f>
        <v>BMC1321FDR02</v>
      </c>
      <c r="V858" s="101"/>
      <c r="W858" s="101"/>
      <c r="X858" s="17" t="s">
        <v>464</v>
      </c>
      <c r="Y858" s="17" t="s">
        <v>289</v>
      </c>
      <c r="Z858" s="78"/>
      <c r="AA858" s="33"/>
      <c r="AB858" s="33"/>
      <c r="AC858" s="116"/>
      <c r="AD858" s="19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</row>
    <row r="859" spans="1:53" s="17" customFormat="1" x14ac:dyDescent="0.3">
      <c r="A859" s="118"/>
      <c r="B859" s="101"/>
      <c r="C859" s="106" t="str">
        <f>+C858</f>
        <v>PR3</v>
      </c>
      <c r="D859" s="63"/>
      <c r="E859" s="63"/>
      <c r="H859" s="97" t="str">
        <f>+H858</f>
        <v>B</v>
      </c>
      <c r="I859" s="108" t="s">
        <v>368</v>
      </c>
      <c r="J859" s="107" t="s">
        <v>417</v>
      </c>
      <c r="K859" s="33"/>
      <c r="L859" s="103" t="s">
        <v>323</v>
      </c>
      <c r="M859" s="33"/>
      <c r="N859" s="17">
        <v>3</v>
      </c>
      <c r="P859" s="64" t="s">
        <v>416</v>
      </c>
      <c r="Q859" s="64"/>
      <c r="R859" s="102" t="s">
        <v>415</v>
      </c>
      <c r="S859" s="102" t="s">
        <v>414</v>
      </c>
      <c r="T859" s="102"/>
      <c r="U859" s="102" t="str">
        <f>+U858</f>
        <v>BMC1321FDR02</v>
      </c>
      <c r="V859" s="101"/>
      <c r="W859" s="101"/>
      <c r="X859" s="17" t="s">
        <v>464</v>
      </c>
      <c r="Y859" s="17" t="s">
        <v>289</v>
      </c>
      <c r="Z859" s="78"/>
      <c r="AA859" s="33"/>
      <c r="AB859" s="33"/>
      <c r="AC859" s="116"/>
      <c r="AD859" s="19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</row>
    <row r="860" spans="1:53" s="17" customFormat="1" x14ac:dyDescent="0.3">
      <c r="A860" s="118"/>
      <c r="B860" s="101"/>
      <c r="C860" s="106" t="str">
        <f>+C859</f>
        <v>PR3</v>
      </c>
      <c r="D860" s="63"/>
      <c r="E860" s="63"/>
      <c r="H860" s="97" t="str">
        <f>+H859</f>
        <v>B</v>
      </c>
      <c r="I860" s="108" t="s">
        <v>363</v>
      </c>
      <c r="J860" s="107" t="s">
        <v>413</v>
      </c>
      <c r="K860" s="33"/>
      <c r="L860" s="103" t="s">
        <v>323</v>
      </c>
      <c r="M860" s="33"/>
      <c r="N860" s="17">
        <v>3</v>
      </c>
      <c r="P860" s="64" t="s">
        <v>412</v>
      </c>
      <c r="Q860" s="64"/>
      <c r="R860" s="102" t="s">
        <v>409</v>
      </c>
      <c r="S860" s="102" t="s">
        <v>247</v>
      </c>
      <c r="T860" s="102"/>
      <c r="U860" s="102" t="str">
        <f>+U859</f>
        <v>BMC1321FDR02</v>
      </c>
      <c r="V860" s="101"/>
      <c r="W860" s="101"/>
      <c r="X860" s="17" t="s">
        <v>464</v>
      </c>
      <c r="Y860" s="17" t="s">
        <v>289</v>
      </c>
      <c r="Z860" s="78"/>
      <c r="AA860" s="33"/>
      <c r="AB860" s="33"/>
      <c r="AC860" s="116"/>
      <c r="AD860" s="19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</row>
    <row r="861" spans="1:53" s="17" customFormat="1" x14ac:dyDescent="0.3">
      <c r="A861" s="118"/>
      <c r="B861" s="101"/>
      <c r="C861" s="106" t="str">
        <f>+C860</f>
        <v>PR3</v>
      </c>
      <c r="D861" s="63"/>
      <c r="E861" s="63"/>
      <c r="H861" s="97" t="str">
        <f>+H860</f>
        <v>B</v>
      </c>
      <c r="I861" s="108" t="s">
        <v>359</v>
      </c>
      <c r="J861" s="107" t="s">
        <v>411</v>
      </c>
      <c r="K861" s="33"/>
      <c r="L861" s="103" t="s">
        <v>323</v>
      </c>
      <c r="M861" s="33"/>
      <c r="N861" s="17">
        <v>3</v>
      </c>
      <c r="P861" s="64" t="s">
        <v>410</v>
      </c>
      <c r="Q861" s="64"/>
      <c r="R861" s="102" t="s">
        <v>409</v>
      </c>
      <c r="S861" s="102" t="s">
        <v>308</v>
      </c>
      <c r="T861" s="102"/>
      <c r="U861" s="102" t="str">
        <f>+U860</f>
        <v>BMC1321FDR02</v>
      </c>
      <c r="V861" s="101"/>
      <c r="W861" s="101"/>
      <c r="X861" s="17" t="s">
        <v>464</v>
      </c>
      <c r="Y861" s="17" t="s">
        <v>289</v>
      </c>
      <c r="Z861" s="78"/>
      <c r="AA861" s="33"/>
      <c r="AB861" s="33"/>
      <c r="AC861" s="116"/>
      <c r="AD861" s="19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</row>
    <row r="862" spans="1:53" s="17" customFormat="1" x14ac:dyDescent="0.3">
      <c r="A862" s="118"/>
      <c r="B862" s="101"/>
      <c r="C862" s="106" t="str">
        <f>+C861</f>
        <v>PR3</v>
      </c>
      <c r="D862" s="63"/>
      <c r="E862" s="63"/>
      <c r="H862" s="97" t="str">
        <f>+H861</f>
        <v>B</v>
      </c>
      <c r="I862" s="108" t="s">
        <v>355</v>
      </c>
      <c r="J862" s="107" t="s">
        <v>408</v>
      </c>
      <c r="K862" s="33"/>
      <c r="L862" s="103" t="s">
        <v>323</v>
      </c>
      <c r="M862" s="33"/>
      <c r="N862" s="17">
        <v>3</v>
      </c>
      <c r="P862" s="102" t="s">
        <v>407</v>
      </c>
      <c r="Q862" s="102"/>
      <c r="R862" s="102" t="s">
        <v>404</v>
      </c>
      <c r="S862" s="102" t="s">
        <v>247</v>
      </c>
      <c r="T862" s="102"/>
      <c r="U862" s="102" t="str">
        <f>+U861</f>
        <v>BMC1321FDR02</v>
      </c>
      <c r="V862" s="101"/>
      <c r="W862" s="101"/>
      <c r="X862" s="17" t="s">
        <v>464</v>
      </c>
      <c r="Y862" s="17" t="s">
        <v>289</v>
      </c>
      <c r="Z862" s="78"/>
      <c r="AA862" s="33"/>
      <c r="AB862" s="33"/>
      <c r="AC862" s="116"/>
      <c r="AD862" s="19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</row>
    <row r="863" spans="1:53" s="17" customFormat="1" x14ac:dyDescent="0.3">
      <c r="A863" s="118"/>
      <c r="B863" s="101"/>
      <c r="C863" s="106" t="str">
        <f>+C862</f>
        <v>PR3</v>
      </c>
      <c r="D863" s="63"/>
      <c r="E863" s="63"/>
      <c r="H863" s="97" t="str">
        <f>+H862</f>
        <v>B</v>
      </c>
      <c r="I863" s="108" t="s">
        <v>351</v>
      </c>
      <c r="J863" s="107" t="s">
        <v>406</v>
      </c>
      <c r="K863" s="33"/>
      <c r="L863" s="103" t="s">
        <v>323</v>
      </c>
      <c r="M863" s="33"/>
      <c r="N863" s="17">
        <v>3</v>
      </c>
      <c r="P863" s="102" t="s">
        <v>405</v>
      </c>
      <c r="Q863" s="102"/>
      <c r="R863" s="102" t="s">
        <v>404</v>
      </c>
      <c r="S863" s="102" t="s">
        <v>308</v>
      </c>
      <c r="T863" s="33"/>
      <c r="U863" s="102" t="str">
        <f>+U862</f>
        <v>BMC1321FDR02</v>
      </c>
      <c r="V863" s="101"/>
      <c r="W863" s="101"/>
      <c r="X863" s="17" t="s">
        <v>464</v>
      </c>
      <c r="Y863" s="17" t="s">
        <v>289</v>
      </c>
      <c r="Z863" s="78"/>
      <c r="AA863" s="33"/>
      <c r="AB863" s="33"/>
      <c r="AC863" s="116"/>
      <c r="AD863" s="19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</row>
    <row r="864" spans="1:53" s="17" customFormat="1" x14ac:dyDescent="0.3">
      <c r="A864" s="118"/>
      <c r="B864" s="101"/>
      <c r="C864" s="106" t="str">
        <f>+C863</f>
        <v>PR3</v>
      </c>
      <c r="D864" s="63"/>
      <c r="E864" s="63"/>
      <c r="H864" s="97" t="str">
        <f>+H863</f>
        <v>B</v>
      </c>
      <c r="I864" s="108" t="s">
        <v>349</v>
      </c>
      <c r="J864" s="107" t="s">
        <v>403</v>
      </c>
      <c r="K864" s="33"/>
      <c r="L864" s="103" t="s">
        <v>323</v>
      </c>
      <c r="M864" s="33"/>
      <c r="N864" s="17">
        <v>3</v>
      </c>
      <c r="P864" s="102" t="s">
        <v>402</v>
      </c>
      <c r="Q864" s="102"/>
      <c r="R864" s="102" t="s">
        <v>396</v>
      </c>
      <c r="S864" s="102" t="s">
        <v>211</v>
      </c>
      <c r="T864" s="33"/>
      <c r="U864" s="102" t="str">
        <f>+U863</f>
        <v>BMC1321FDR02</v>
      </c>
      <c r="V864" s="101"/>
      <c r="W864" s="101"/>
      <c r="X864" s="17" t="s">
        <v>464</v>
      </c>
      <c r="Y864" s="17" t="s">
        <v>289</v>
      </c>
      <c r="Z864" s="78"/>
      <c r="AA864" s="33"/>
      <c r="AB864" s="33"/>
      <c r="AC864" s="116"/>
      <c r="AD864" s="19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</row>
    <row r="865" spans="1:53" s="17" customFormat="1" x14ac:dyDescent="0.3">
      <c r="A865" s="118"/>
      <c r="B865" s="101"/>
      <c r="C865" s="106" t="str">
        <f>+C864</f>
        <v>PR3</v>
      </c>
      <c r="D865" s="63"/>
      <c r="E865" s="63"/>
      <c r="H865" s="97" t="str">
        <f>+H864</f>
        <v>B</v>
      </c>
      <c r="I865" s="108" t="s">
        <v>345</v>
      </c>
      <c r="J865" s="107" t="s">
        <v>401</v>
      </c>
      <c r="K865" s="33"/>
      <c r="L865" s="103" t="s">
        <v>323</v>
      </c>
      <c r="M865" s="33"/>
      <c r="N865" s="17">
        <v>3</v>
      </c>
      <c r="P865" s="102" t="s">
        <v>400</v>
      </c>
      <c r="Q865" s="102"/>
      <c r="R865" s="102" t="s">
        <v>396</v>
      </c>
      <c r="S865" s="102" t="s">
        <v>399</v>
      </c>
      <c r="T865" s="33"/>
      <c r="U865" s="102" t="str">
        <f>+U864</f>
        <v>BMC1321FDR02</v>
      </c>
      <c r="V865" s="101"/>
      <c r="W865" s="101"/>
      <c r="X865" s="17" t="s">
        <v>464</v>
      </c>
      <c r="Y865" s="17" t="s">
        <v>289</v>
      </c>
      <c r="Z865" s="78"/>
      <c r="AA865" s="33"/>
      <c r="AB865" s="33"/>
      <c r="AC865" s="116"/>
      <c r="AD865" s="19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</row>
    <row r="866" spans="1:53" s="17" customFormat="1" x14ac:dyDescent="0.3">
      <c r="A866" s="118"/>
      <c r="B866" s="101"/>
      <c r="C866" s="106" t="str">
        <f>+C865</f>
        <v>PR3</v>
      </c>
      <c r="D866" s="63"/>
      <c r="E866" s="63"/>
      <c r="H866" s="97" t="str">
        <f>+H865</f>
        <v>B</v>
      </c>
      <c r="I866" s="108" t="s">
        <v>341</v>
      </c>
      <c r="J866" s="107" t="s">
        <v>398</v>
      </c>
      <c r="K866" s="33"/>
      <c r="L866" s="103" t="s">
        <v>323</v>
      </c>
      <c r="M866" s="33"/>
      <c r="N866" s="17">
        <v>3</v>
      </c>
      <c r="P866" s="102" t="s">
        <v>397</v>
      </c>
      <c r="Q866" s="102"/>
      <c r="R866" s="102" t="s">
        <v>396</v>
      </c>
      <c r="S866" s="102" t="s">
        <v>395</v>
      </c>
      <c r="T866" s="33"/>
      <c r="U866" s="102" t="str">
        <f>+U865</f>
        <v>BMC1321FDR02</v>
      </c>
      <c r="V866" s="101"/>
      <c r="W866" s="101"/>
      <c r="X866" s="17" t="s">
        <v>464</v>
      </c>
      <c r="Y866" s="17" t="s">
        <v>289</v>
      </c>
      <c r="Z866" s="78"/>
      <c r="AA866" s="33"/>
      <c r="AB866" s="33"/>
      <c r="AC866" s="116"/>
      <c r="AD866" s="19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</row>
    <row r="867" spans="1:53" s="17" customFormat="1" x14ac:dyDescent="0.3">
      <c r="A867" s="118"/>
      <c r="B867" s="101"/>
      <c r="C867" s="106" t="str">
        <f>+C866</f>
        <v>PR3</v>
      </c>
      <c r="D867" s="63"/>
      <c r="E867" s="63"/>
      <c r="H867" s="97" t="str">
        <f>+H866</f>
        <v>B</v>
      </c>
      <c r="I867" s="108" t="s">
        <v>337</v>
      </c>
      <c r="J867" s="107" t="s">
        <v>394</v>
      </c>
      <c r="K867" s="33"/>
      <c r="L867" s="103" t="s">
        <v>323</v>
      </c>
      <c r="M867" s="33"/>
      <c r="N867" s="17">
        <v>3</v>
      </c>
      <c r="P867" s="64" t="s">
        <v>393</v>
      </c>
      <c r="Q867" s="64"/>
      <c r="R867" s="102" t="s">
        <v>392</v>
      </c>
      <c r="S867" s="102" t="s">
        <v>211</v>
      </c>
      <c r="T867" s="33"/>
      <c r="U867" s="102" t="str">
        <f>+U866</f>
        <v>BMC1321FDR02</v>
      </c>
      <c r="V867" s="101"/>
      <c r="W867" s="101"/>
      <c r="X867" s="17" t="s">
        <v>464</v>
      </c>
      <c r="Y867" s="17" t="s">
        <v>289</v>
      </c>
      <c r="Z867" s="78"/>
      <c r="AA867" s="33"/>
      <c r="AB867" s="33"/>
      <c r="AC867" s="116"/>
      <c r="AD867" s="19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</row>
    <row r="868" spans="1:53" s="17" customFormat="1" x14ac:dyDescent="0.3">
      <c r="A868" s="118"/>
      <c r="B868" s="101"/>
      <c r="C868" s="106" t="str">
        <f>+C867</f>
        <v>PR3</v>
      </c>
      <c r="D868" s="63"/>
      <c r="E868" s="63"/>
      <c r="H868" s="97" t="str">
        <f>+H867</f>
        <v>B</v>
      </c>
      <c r="I868" s="108" t="s">
        <v>333</v>
      </c>
      <c r="J868" s="107" t="s">
        <v>391</v>
      </c>
      <c r="K868" s="33"/>
      <c r="L868" s="103" t="s">
        <v>323</v>
      </c>
      <c r="M868" s="33"/>
      <c r="N868" s="17">
        <v>3</v>
      </c>
      <c r="P868" s="64" t="s">
        <v>390</v>
      </c>
      <c r="Q868" s="64"/>
      <c r="R868" s="102" t="s">
        <v>389</v>
      </c>
      <c r="S868" s="102" t="s">
        <v>211</v>
      </c>
      <c r="T868" s="33"/>
      <c r="U868" s="102" t="str">
        <f>+U867</f>
        <v>BMC1321FDR02</v>
      </c>
      <c r="V868" s="101"/>
      <c r="W868" s="101"/>
      <c r="X868" s="17" t="s">
        <v>464</v>
      </c>
      <c r="Y868" s="17" t="s">
        <v>289</v>
      </c>
      <c r="Z868" s="78"/>
      <c r="AA868" s="33"/>
      <c r="AB868" s="33"/>
      <c r="AC868" s="116"/>
      <c r="AD868" s="19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</row>
    <row r="869" spans="1:53" s="17" customFormat="1" x14ac:dyDescent="0.3">
      <c r="A869" s="118"/>
      <c r="B869" s="101"/>
      <c r="C869" s="106" t="str">
        <f>+C868</f>
        <v>PR3</v>
      </c>
      <c r="D869" s="63"/>
      <c r="E869" s="63"/>
      <c r="H869" s="97" t="str">
        <f>+H868</f>
        <v>B</v>
      </c>
      <c r="I869" s="108" t="s">
        <v>329</v>
      </c>
      <c r="J869" s="107" t="s">
        <v>388</v>
      </c>
      <c r="K869" s="33"/>
      <c r="L869" s="103" t="s">
        <v>323</v>
      </c>
      <c r="M869" s="33"/>
      <c r="N869" s="17">
        <v>3</v>
      </c>
      <c r="P869" s="64"/>
      <c r="Q869" s="64"/>
      <c r="R869" s="102" t="s">
        <v>291</v>
      </c>
      <c r="S869" s="102"/>
      <c r="T869" s="33"/>
      <c r="U869" s="102" t="str">
        <f>+U868</f>
        <v>BMC1321FDR02</v>
      </c>
      <c r="V869" s="101"/>
      <c r="W869" s="101"/>
      <c r="X869" s="17" t="s">
        <v>464</v>
      </c>
      <c r="Y869" s="17" t="s">
        <v>289</v>
      </c>
      <c r="Z869" s="78"/>
      <c r="AA869" s="33"/>
      <c r="AB869" s="33"/>
      <c r="AC869" s="116"/>
      <c r="AD869" s="19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</row>
    <row r="870" spans="1:53" s="17" customFormat="1" ht="13.5" thickBot="1" x14ac:dyDescent="0.35">
      <c r="A870" s="118"/>
      <c r="B870" s="101"/>
      <c r="C870" s="106" t="str">
        <f>+C869</f>
        <v>PR3</v>
      </c>
      <c r="D870" s="63"/>
      <c r="E870" s="63"/>
      <c r="H870" s="97" t="str">
        <f>+H869</f>
        <v>B</v>
      </c>
      <c r="I870" s="105" t="s">
        <v>325</v>
      </c>
      <c r="J870" s="104" t="s">
        <v>387</v>
      </c>
      <c r="K870" s="33"/>
      <c r="L870" s="103" t="s">
        <v>323</v>
      </c>
      <c r="M870" s="33"/>
      <c r="N870" s="17">
        <v>3</v>
      </c>
      <c r="P870" s="64"/>
      <c r="Q870" s="64"/>
      <c r="R870" s="102" t="s">
        <v>291</v>
      </c>
      <c r="S870" s="102"/>
      <c r="T870" s="33"/>
      <c r="U870" s="102" t="str">
        <f>+U869</f>
        <v>BMC1321FDR02</v>
      </c>
      <c r="V870" s="101"/>
      <c r="W870" s="101"/>
      <c r="X870" s="17" t="s">
        <v>464</v>
      </c>
      <c r="Y870" s="17" t="s">
        <v>289</v>
      </c>
      <c r="Z870" s="78"/>
      <c r="AA870" s="33"/>
      <c r="AB870" s="33"/>
      <c r="AC870" s="116"/>
      <c r="AD870" s="19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</row>
    <row r="871" spans="1:53" s="17" customFormat="1" x14ac:dyDescent="0.3">
      <c r="A871" s="118"/>
      <c r="B871" s="101"/>
      <c r="C871" s="106" t="str">
        <f>+C870</f>
        <v>PR3</v>
      </c>
      <c r="D871" s="63"/>
      <c r="E871" s="63"/>
      <c r="H871" s="97" t="s">
        <v>386</v>
      </c>
      <c r="I871" s="112" t="s">
        <v>321</v>
      </c>
      <c r="J871" s="111" t="s">
        <v>385</v>
      </c>
      <c r="K871" s="33"/>
      <c r="L871" s="103" t="s">
        <v>292</v>
      </c>
      <c r="M871" s="33"/>
      <c r="N871" s="17">
        <v>3</v>
      </c>
      <c r="P871" s="33"/>
      <c r="Q871" s="33"/>
      <c r="R871" s="102" t="s">
        <v>291</v>
      </c>
      <c r="S871" s="102"/>
      <c r="T871" s="33"/>
      <c r="U871" s="102" t="str">
        <f>+U870</f>
        <v>BMC1321FDR02</v>
      </c>
      <c r="V871" s="101"/>
      <c r="W871" s="101"/>
      <c r="X871" s="17" t="s">
        <v>464</v>
      </c>
      <c r="Y871" s="17" t="s">
        <v>289</v>
      </c>
      <c r="Z871" s="78"/>
      <c r="AA871" s="33"/>
      <c r="AB871" s="33"/>
      <c r="AC871" s="116"/>
      <c r="AD871" s="19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</row>
    <row r="872" spans="1:53" s="17" customFormat="1" x14ac:dyDescent="0.3">
      <c r="A872" s="118"/>
      <c r="B872" s="101"/>
      <c r="C872" s="106" t="str">
        <f>+C871</f>
        <v>PR3</v>
      </c>
      <c r="D872" s="63"/>
      <c r="E872" s="63"/>
      <c r="H872" s="97" t="str">
        <f>+H871</f>
        <v>B</v>
      </c>
      <c r="I872" s="108" t="s">
        <v>316</v>
      </c>
      <c r="J872" s="107" t="s">
        <v>384</v>
      </c>
      <c r="K872" s="33"/>
      <c r="L872" s="103" t="s">
        <v>292</v>
      </c>
      <c r="M872" s="33"/>
      <c r="N872" s="17">
        <v>3</v>
      </c>
      <c r="P872" s="33"/>
      <c r="Q872" s="33"/>
      <c r="R872" s="102" t="s">
        <v>291</v>
      </c>
      <c r="S872" s="102"/>
      <c r="T872" s="33"/>
      <c r="U872" s="102" t="str">
        <f>+U871</f>
        <v>BMC1321FDR02</v>
      </c>
      <c r="V872" s="101"/>
      <c r="W872" s="101"/>
      <c r="X872" s="17" t="s">
        <v>464</v>
      </c>
      <c r="Y872" s="17" t="s">
        <v>289</v>
      </c>
      <c r="Z872" s="78"/>
      <c r="AA872" s="33"/>
      <c r="AB872" s="33"/>
      <c r="AC872" s="116"/>
      <c r="AD872" s="19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</row>
    <row r="873" spans="1:53" s="17" customFormat="1" x14ac:dyDescent="0.3">
      <c r="A873" s="118"/>
      <c r="B873" s="101"/>
      <c r="C873" s="106" t="str">
        <f>+C872</f>
        <v>PR3</v>
      </c>
      <c r="D873" s="63"/>
      <c r="E873" s="63"/>
      <c r="H873" s="97" t="str">
        <f>+H872</f>
        <v>B</v>
      </c>
      <c r="I873" s="108" t="s">
        <v>312</v>
      </c>
      <c r="J873" s="107" t="s">
        <v>383</v>
      </c>
      <c r="K873" s="33"/>
      <c r="L873" s="103" t="s">
        <v>292</v>
      </c>
      <c r="M873" s="33"/>
      <c r="N873" s="17">
        <v>3</v>
      </c>
      <c r="P873" s="33"/>
      <c r="Q873" s="33"/>
      <c r="R873" s="102" t="s">
        <v>291</v>
      </c>
      <c r="S873" s="102"/>
      <c r="T873" s="33"/>
      <c r="U873" s="102" t="str">
        <f>+U872</f>
        <v>BMC1321FDR02</v>
      </c>
      <c r="V873" s="101"/>
      <c r="W873" s="101"/>
      <c r="X873" s="17" t="s">
        <v>464</v>
      </c>
      <c r="Y873" s="17" t="s">
        <v>289</v>
      </c>
      <c r="Z873" s="78"/>
      <c r="AA873" s="33"/>
      <c r="AB873" s="33"/>
      <c r="AC873" s="116"/>
      <c r="AD873" s="19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</row>
    <row r="874" spans="1:53" s="17" customFormat="1" x14ac:dyDescent="0.3">
      <c r="A874" s="118"/>
      <c r="B874" s="101"/>
      <c r="C874" s="106" t="str">
        <f>+C873</f>
        <v>PR3</v>
      </c>
      <c r="D874" s="63"/>
      <c r="E874" s="63"/>
      <c r="H874" s="97" t="str">
        <f>+H873</f>
        <v>B</v>
      </c>
      <c r="I874" s="108" t="s">
        <v>307</v>
      </c>
      <c r="J874" s="107" t="s">
        <v>382</v>
      </c>
      <c r="K874" s="33"/>
      <c r="L874" s="103" t="s">
        <v>292</v>
      </c>
      <c r="M874" s="33"/>
      <c r="N874" s="17">
        <v>3</v>
      </c>
      <c r="P874" s="64"/>
      <c r="Q874" s="64"/>
      <c r="R874" s="102" t="s">
        <v>291</v>
      </c>
      <c r="S874" s="102"/>
      <c r="T874" s="33"/>
      <c r="U874" s="102" t="str">
        <f>+U873</f>
        <v>BMC1321FDR02</v>
      </c>
      <c r="V874" s="101"/>
      <c r="W874" s="101"/>
      <c r="X874" s="17" t="s">
        <v>464</v>
      </c>
      <c r="Y874" s="17" t="s">
        <v>289</v>
      </c>
      <c r="Z874" s="78"/>
      <c r="AA874" s="33"/>
      <c r="AB874" s="33"/>
      <c r="AC874" s="116"/>
      <c r="AD874" s="19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</row>
    <row r="875" spans="1:53" s="17" customFormat="1" x14ac:dyDescent="0.3">
      <c r="A875" s="118"/>
      <c r="B875" s="101"/>
      <c r="C875" s="106" t="str">
        <f>+C874</f>
        <v>PR3</v>
      </c>
      <c r="D875" s="63"/>
      <c r="E875" s="63"/>
      <c r="H875" s="97" t="str">
        <f>+H874</f>
        <v>B</v>
      </c>
      <c r="I875" s="108" t="s">
        <v>303</v>
      </c>
      <c r="J875" s="107" t="s">
        <v>381</v>
      </c>
      <c r="K875" s="33"/>
      <c r="L875" s="103" t="s">
        <v>292</v>
      </c>
      <c r="M875" s="33"/>
      <c r="N875" s="17">
        <v>3</v>
      </c>
      <c r="P875" s="113"/>
      <c r="Q875" s="113"/>
      <c r="R875" s="102" t="s">
        <v>291</v>
      </c>
      <c r="S875" s="102"/>
      <c r="T875" s="33"/>
      <c r="U875" s="102" t="str">
        <f>+U874</f>
        <v>BMC1321FDR02</v>
      </c>
      <c r="V875" s="101"/>
      <c r="W875" s="101"/>
      <c r="X875" s="17" t="s">
        <v>464</v>
      </c>
      <c r="Y875" s="17" t="s">
        <v>289</v>
      </c>
      <c r="Z875" s="78"/>
      <c r="AA875" s="33"/>
      <c r="AB875" s="33"/>
      <c r="AC875" s="116"/>
      <c r="AD875" s="19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</row>
    <row r="876" spans="1:53" s="17" customFormat="1" x14ac:dyDescent="0.3">
      <c r="A876" s="118"/>
      <c r="B876" s="101"/>
      <c r="C876" s="106" t="str">
        <f>+C875</f>
        <v>PR3</v>
      </c>
      <c r="D876" s="63"/>
      <c r="E876" s="63"/>
      <c r="H876" s="97" t="str">
        <f>+H875</f>
        <v>B</v>
      </c>
      <c r="I876" s="108" t="s">
        <v>298</v>
      </c>
      <c r="J876" s="107" t="s">
        <v>380</v>
      </c>
      <c r="K876" s="33"/>
      <c r="L876" s="103" t="s">
        <v>292</v>
      </c>
      <c r="M876" s="33"/>
      <c r="N876" s="17">
        <v>3</v>
      </c>
      <c r="P876" s="64"/>
      <c r="Q876" s="64"/>
      <c r="R876" s="102" t="s">
        <v>291</v>
      </c>
      <c r="S876" s="102"/>
      <c r="T876" s="33"/>
      <c r="U876" s="102" t="str">
        <f>+U875</f>
        <v>BMC1321FDR02</v>
      </c>
      <c r="V876" s="101"/>
      <c r="W876" s="101"/>
      <c r="X876" s="17" t="s">
        <v>464</v>
      </c>
      <c r="Y876" s="17" t="s">
        <v>289</v>
      </c>
      <c r="Z876" s="78"/>
      <c r="AC876" s="116"/>
      <c r="AD876" s="19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</row>
    <row r="877" spans="1:53" s="17" customFormat="1" x14ac:dyDescent="0.3">
      <c r="A877" s="118"/>
      <c r="B877" s="101"/>
      <c r="C877" s="106" t="str">
        <f>+C876</f>
        <v>PR3</v>
      </c>
      <c r="D877" s="63"/>
      <c r="E877" s="63"/>
      <c r="H877" s="97" t="str">
        <f>+H876</f>
        <v>B</v>
      </c>
      <c r="I877" s="108" t="s">
        <v>296</v>
      </c>
      <c r="J877" s="107" t="s">
        <v>379</v>
      </c>
      <c r="K877" s="33"/>
      <c r="L877" s="103" t="s">
        <v>292</v>
      </c>
      <c r="M877" s="33"/>
      <c r="N877" s="17">
        <v>3</v>
      </c>
      <c r="P877" s="64"/>
      <c r="Q877" s="64"/>
      <c r="R877" s="102" t="s">
        <v>291</v>
      </c>
      <c r="S877" s="102"/>
      <c r="T877" s="33"/>
      <c r="U877" s="102" t="str">
        <f>+U876</f>
        <v>BMC1321FDR02</v>
      </c>
      <c r="V877" s="101"/>
      <c r="W877" s="101"/>
      <c r="X877" s="17" t="s">
        <v>464</v>
      </c>
      <c r="Y877" s="17" t="s">
        <v>289</v>
      </c>
      <c r="Z877" s="78"/>
      <c r="AA877" s="46"/>
      <c r="AB877" s="46"/>
      <c r="AC877" s="116"/>
      <c r="AD877" s="19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</row>
    <row r="878" spans="1:53" s="17" customFormat="1" ht="13.5" thickBot="1" x14ac:dyDescent="0.35">
      <c r="A878" s="118"/>
      <c r="B878" s="101"/>
      <c r="C878" s="106" t="str">
        <f>+C877</f>
        <v>PR3</v>
      </c>
      <c r="D878" s="63"/>
      <c r="E878" s="63"/>
      <c r="H878" s="97" t="str">
        <f>+H877</f>
        <v>B</v>
      </c>
      <c r="I878" s="105" t="s">
        <v>294</v>
      </c>
      <c r="J878" s="104" t="s">
        <v>378</v>
      </c>
      <c r="K878" s="33"/>
      <c r="L878" s="103" t="s">
        <v>292</v>
      </c>
      <c r="M878" s="33"/>
      <c r="N878" s="17">
        <v>3</v>
      </c>
      <c r="P878" s="64"/>
      <c r="Q878" s="64"/>
      <c r="R878" s="102" t="s">
        <v>291</v>
      </c>
      <c r="S878" s="102"/>
      <c r="T878" s="33"/>
      <c r="U878" s="102" t="str">
        <f>+U877</f>
        <v>BMC1321FDR02</v>
      </c>
      <c r="V878" s="101"/>
      <c r="W878" s="101"/>
      <c r="X878" s="17" t="s">
        <v>464</v>
      </c>
      <c r="Y878" s="17" t="s">
        <v>289</v>
      </c>
      <c r="Z878" s="78"/>
      <c r="AA878" s="20"/>
      <c r="AB878" s="20"/>
      <c r="AC878" s="116"/>
      <c r="AD878" s="19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</row>
    <row r="879" spans="1:53" s="17" customFormat="1" x14ac:dyDescent="0.3">
      <c r="A879" s="118"/>
      <c r="B879" s="101"/>
      <c r="C879" s="106" t="str">
        <f>+C878</f>
        <v>PR3</v>
      </c>
      <c r="D879" s="63"/>
      <c r="E879" s="63"/>
      <c r="H879" s="97" t="s">
        <v>322</v>
      </c>
      <c r="I879" s="112" t="s">
        <v>377</v>
      </c>
      <c r="J879" s="111" t="s">
        <v>376</v>
      </c>
      <c r="K879" s="33" t="s">
        <v>375</v>
      </c>
      <c r="L879" s="103" t="s">
        <v>323</v>
      </c>
      <c r="M879" s="33"/>
      <c r="N879" s="17">
        <v>3</v>
      </c>
      <c r="P879" s="64" t="s">
        <v>374</v>
      </c>
      <c r="Q879" s="64"/>
      <c r="R879" s="102" t="s">
        <v>373</v>
      </c>
      <c r="S879" s="102"/>
      <c r="T879" s="33"/>
      <c r="U879" s="102" t="str">
        <f>+U878</f>
        <v>BMC1321FDR02</v>
      </c>
      <c r="V879" s="101"/>
      <c r="W879" s="101"/>
      <c r="X879" s="17" t="s">
        <v>464</v>
      </c>
      <c r="Y879" s="17" t="s">
        <v>289</v>
      </c>
      <c r="Z879" s="78"/>
      <c r="AA879" s="20"/>
      <c r="AB879" s="20"/>
      <c r="AC879" s="116"/>
      <c r="AD879" s="19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</row>
    <row r="880" spans="1:53" s="17" customFormat="1" x14ac:dyDescent="0.3">
      <c r="A880" s="118"/>
      <c r="B880" s="101"/>
      <c r="C880" s="106" t="str">
        <f>+C879</f>
        <v>PR3</v>
      </c>
      <c r="D880" s="63"/>
      <c r="E880" s="63"/>
      <c r="H880" s="97" t="str">
        <f>+H879</f>
        <v>C</v>
      </c>
      <c r="I880" s="108" t="s">
        <v>372</v>
      </c>
      <c r="J880" s="107" t="s">
        <v>371</v>
      </c>
      <c r="K880" s="33"/>
      <c r="L880" s="103" t="s">
        <v>323</v>
      </c>
      <c r="M880" s="33"/>
      <c r="N880" s="17">
        <v>3</v>
      </c>
      <c r="P880" s="64" t="s">
        <v>370</v>
      </c>
      <c r="Q880" s="64"/>
      <c r="R880" s="102" t="s">
        <v>369</v>
      </c>
      <c r="S880" s="102" t="s">
        <v>364</v>
      </c>
      <c r="T880" s="33"/>
      <c r="U880" s="102" t="str">
        <f>+U879</f>
        <v>BMC1321FDR02</v>
      </c>
      <c r="V880" s="101"/>
      <c r="W880" s="101"/>
      <c r="X880" s="17" t="s">
        <v>464</v>
      </c>
      <c r="Y880" s="17" t="s">
        <v>289</v>
      </c>
      <c r="Z880" s="78"/>
      <c r="AA880" s="20"/>
      <c r="AB880" s="20"/>
      <c r="AC880" s="116"/>
      <c r="AD880" s="19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</row>
    <row r="881" spans="1:53" s="17" customFormat="1" x14ac:dyDescent="0.3">
      <c r="A881" s="118"/>
      <c r="B881" s="101"/>
      <c r="C881" s="106" t="str">
        <f>+C880</f>
        <v>PR3</v>
      </c>
      <c r="H881" s="97" t="str">
        <f>+H880</f>
        <v>C</v>
      </c>
      <c r="I881" s="108" t="s">
        <v>368</v>
      </c>
      <c r="J881" s="107" t="s">
        <v>367</v>
      </c>
      <c r="K881" s="33"/>
      <c r="L881" s="103" t="s">
        <v>323</v>
      </c>
      <c r="M881" s="33"/>
      <c r="N881" s="17">
        <v>3</v>
      </c>
      <c r="P881" s="64" t="s">
        <v>366</v>
      </c>
      <c r="Q881" s="64"/>
      <c r="R881" s="102" t="s">
        <v>365</v>
      </c>
      <c r="S881" s="102" t="s">
        <v>364</v>
      </c>
      <c r="T881" s="33"/>
      <c r="U881" s="102" t="str">
        <f>+U880</f>
        <v>BMC1321FDR02</v>
      </c>
      <c r="V881" s="101"/>
      <c r="W881" s="101"/>
      <c r="X881" s="17" t="s">
        <v>464</v>
      </c>
      <c r="Y881" s="17" t="s">
        <v>289</v>
      </c>
      <c r="Z881" s="78"/>
      <c r="AA881" s="20"/>
      <c r="AB881" s="20"/>
      <c r="AC881" s="116"/>
      <c r="AD881" s="19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</row>
    <row r="882" spans="1:53" s="17" customFormat="1" x14ac:dyDescent="0.3">
      <c r="A882" s="118"/>
      <c r="B882" s="101"/>
      <c r="C882" s="106" t="str">
        <f>+C881</f>
        <v>PR3</v>
      </c>
      <c r="D882" s="18"/>
      <c r="E882" s="18"/>
      <c r="H882" s="97" t="str">
        <f>+H881</f>
        <v>C</v>
      </c>
      <c r="I882" s="108" t="s">
        <v>363</v>
      </c>
      <c r="J882" s="107" t="s">
        <v>362</v>
      </c>
      <c r="K882" s="33"/>
      <c r="L882" s="103" t="s">
        <v>323</v>
      </c>
      <c r="M882" s="33"/>
      <c r="N882" s="17">
        <v>3</v>
      </c>
      <c r="P882" s="64" t="s">
        <v>361</v>
      </c>
      <c r="Q882" s="64"/>
      <c r="R882" s="102" t="s">
        <v>360</v>
      </c>
      <c r="S882" s="102" t="s">
        <v>247</v>
      </c>
      <c r="T882" s="33"/>
      <c r="U882" s="102" t="str">
        <f>+U881</f>
        <v>BMC1321FDR02</v>
      </c>
      <c r="V882" s="101"/>
      <c r="W882" s="101"/>
      <c r="X882" s="17" t="s">
        <v>464</v>
      </c>
      <c r="Y882" s="17" t="s">
        <v>289</v>
      </c>
      <c r="Z882" s="78"/>
      <c r="AA882" s="20"/>
      <c r="AB882" s="20"/>
      <c r="AC882" s="116"/>
      <c r="AD882" s="19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</row>
    <row r="883" spans="1:53" s="17" customFormat="1" x14ac:dyDescent="0.3">
      <c r="A883" s="118"/>
      <c r="B883" s="101"/>
      <c r="C883" s="106" t="str">
        <f>+C882</f>
        <v>PR3</v>
      </c>
      <c r="H883" s="97" t="str">
        <f>+H882</f>
        <v>C</v>
      </c>
      <c r="I883" s="108" t="s">
        <v>359</v>
      </c>
      <c r="J883" s="107" t="s">
        <v>358</v>
      </c>
      <c r="K883" s="33"/>
      <c r="L883" s="103" t="s">
        <v>323</v>
      </c>
      <c r="M883" s="33"/>
      <c r="N883" s="17">
        <v>3</v>
      </c>
      <c r="P883" s="64" t="s">
        <v>357</v>
      </c>
      <c r="Q883" s="64"/>
      <c r="R883" s="102" t="s">
        <v>356</v>
      </c>
      <c r="S883" s="102" t="s">
        <v>247</v>
      </c>
      <c r="T883" s="33"/>
      <c r="U883" s="102" t="str">
        <f>+U882</f>
        <v>BMC1321FDR02</v>
      </c>
      <c r="V883" s="101"/>
      <c r="W883" s="101"/>
      <c r="X883" s="17" t="s">
        <v>464</v>
      </c>
      <c r="Y883" s="17" t="s">
        <v>289</v>
      </c>
      <c r="Z883" s="78"/>
      <c r="AA883" s="20"/>
      <c r="AB883" s="20"/>
      <c r="AC883" s="116"/>
      <c r="AD883" s="19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</row>
    <row r="884" spans="1:53" s="17" customFormat="1" x14ac:dyDescent="0.3">
      <c r="A884" s="118"/>
      <c r="B884" s="101"/>
      <c r="C884" s="106" t="str">
        <f>+C883</f>
        <v>PR3</v>
      </c>
      <c r="D884" s="18"/>
      <c r="E884" s="18"/>
      <c r="H884" s="97" t="str">
        <f>+H883</f>
        <v>C</v>
      </c>
      <c r="I884" s="108" t="s">
        <v>355</v>
      </c>
      <c r="J884" s="107" t="s">
        <v>354</v>
      </c>
      <c r="K884" s="33"/>
      <c r="L884" s="103" t="s">
        <v>323</v>
      </c>
      <c r="M884" s="33"/>
      <c r="N884" s="17">
        <v>3</v>
      </c>
      <c r="P884" s="64" t="s">
        <v>353</v>
      </c>
      <c r="Q884" s="64"/>
      <c r="R884" s="102" t="s">
        <v>352</v>
      </c>
      <c r="S884" s="102" t="s">
        <v>247</v>
      </c>
      <c r="T884" s="33"/>
      <c r="U884" s="102" t="str">
        <f>+U883</f>
        <v>BMC1321FDR02</v>
      </c>
      <c r="V884" s="101"/>
      <c r="W884" s="101"/>
      <c r="X884" s="17" t="s">
        <v>464</v>
      </c>
      <c r="Y884" s="17" t="s">
        <v>289</v>
      </c>
      <c r="Z884" s="78"/>
      <c r="AA884" s="20"/>
      <c r="AB884" s="20"/>
      <c r="AC884" s="116"/>
      <c r="AD884" s="19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</row>
    <row r="885" spans="1:53" s="17" customFormat="1" x14ac:dyDescent="0.3">
      <c r="A885" s="118"/>
      <c r="B885" s="101"/>
      <c r="C885" s="106" t="str">
        <f>+C884</f>
        <v>PR3</v>
      </c>
      <c r="H885" s="97" t="str">
        <f>+H884</f>
        <v>C</v>
      </c>
      <c r="I885" s="108" t="s">
        <v>351</v>
      </c>
      <c r="J885" s="107" t="s">
        <v>350</v>
      </c>
      <c r="K885" s="33"/>
      <c r="L885" s="103" t="s">
        <v>323</v>
      </c>
      <c r="M885" s="33"/>
      <c r="N885" s="17">
        <v>3</v>
      </c>
      <c r="R885" s="102" t="s">
        <v>291</v>
      </c>
      <c r="T885" s="33"/>
      <c r="U885" s="102" t="str">
        <f>+U884</f>
        <v>BMC1321FDR02</v>
      </c>
      <c r="V885" s="101"/>
      <c r="W885" s="101"/>
      <c r="X885" s="17" t="s">
        <v>464</v>
      </c>
      <c r="Y885" s="17" t="s">
        <v>289</v>
      </c>
      <c r="Z885" s="78"/>
      <c r="AA885" s="20"/>
      <c r="AB885" s="20"/>
      <c r="AC885" s="116"/>
      <c r="AD885" s="19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</row>
    <row r="886" spans="1:53" s="17" customFormat="1" x14ac:dyDescent="0.3">
      <c r="A886" s="118"/>
      <c r="B886" s="101"/>
      <c r="C886" s="106" t="str">
        <f>+C885</f>
        <v>PR3</v>
      </c>
      <c r="D886" s="33"/>
      <c r="E886" s="100"/>
      <c r="F886" s="33"/>
      <c r="G886" s="33"/>
      <c r="H886" s="97" t="str">
        <f>+H885</f>
        <v>C</v>
      </c>
      <c r="I886" s="108" t="s">
        <v>349</v>
      </c>
      <c r="J886" s="107" t="s">
        <v>348</v>
      </c>
      <c r="K886" s="33"/>
      <c r="L886" s="103" t="s">
        <v>323</v>
      </c>
      <c r="M886" s="33"/>
      <c r="N886" s="17">
        <v>3</v>
      </c>
      <c r="P886" s="102" t="s">
        <v>347</v>
      </c>
      <c r="Q886" s="102"/>
      <c r="R886" s="102" t="s">
        <v>346</v>
      </c>
      <c r="S886" s="102" t="s">
        <v>211</v>
      </c>
      <c r="T886" s="33"/>
      <c r="U886" s="102" t="str">
        <f>+U885</f>
        <v>BMC1321FDR02</v>
      </c>
      <c r="V886" s="101"/>
      <c r="W886" s="101"/>
      <c r="X886" s="17" t="s">
        <v>464</v>
      </c>
      <c r="Y886" s="17" t="s">
        <v>289</v>
      </c>
      <c r="Z886" s="78"/>
      <c r="AA886" s="20"/>
      <c r="AB886" s="20"/>
      <c r="AC886" s="116"/>
      <c r="AD886" s="19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</row>
    <row r="887" spans="1:53" s="17" customFormat="1" x14ac:dyDescent="0.3">
      <c r="A887" s="118"/>
      <c r="B887" s="101"/>
      <c r="C887" s="106" t="str">
        <f>+C886</f>
        <v>PR3</v>
      </c>
      <c r="D887" s="33"/>
      <c r="E887" s="33"/>
      <c r="F887" s="33"/>
      <c r="G887" s="33"/>
      <c r="H887" s="97" t="str">
        <f>+H886</f>
        <v>C</v>
      </c>
      <c r="I887" s="108" t="s">
        <v>345</v>
      </c>
      <c r="J887" s="107" t="s">
        <v>344</v>
      </c>
      <c r="K887" s="33"/>
      <c r="L887" s="103" t="s">
        <v>323</v>
      </c>
      <c r="M887" s="33"/>
      <c r="N887" s="83">
        <v>6</v>
      </c>
      <c r="O887" s="83"/>
      <c r="P887" s="92" t="s">
        <v>343</v>
      </c>
      <c r="Q887" s="83"/>
      <c r="R887" s="109" t="s">
        <v>342</v>
      </c>
      <c r="S887" s="109" t="s">
        <v>211</v>
      </c>
      <c r="T887" s="33"/>
      <c r="U887" s="102" t="str">
        <f>+U886</f>
        <v>BMC1321FDR02</v>
      </c>
      <c r="V887" s="101"/>
      <c r="W887" s="101"/>
      <c r="X887" s="17" t="s">
        <v>464</v>
      </c>
      <c r="Y887" s="17" t="s">
        <v>289</v>
      </c>
      <c r="Z887" s="78"/>
      <c r="AA887" s="20"/>
      <c r="AB887" s="20"/>
      <c r="AC887" s="116"/>
      <c r="AD887" s="19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</row>
    <row r="888" spans="1:53" s="17" customFormat="1" x14ac:dyDescent="0.3">
      <c r="A888" s="118"/>
      <c r="B888" s="101"/>
      <c r="C888" s="106" t="str">
        <f>+C887</f>
        <v>PR3</v>
      </c>
      <c r="D888" s="33"/>
      <c r="E888" s="33"/>
      <c r="F888" s="33"/>
      <c r="G888" s="33"/>
      <c r="H888" s="97" t="str">
        <f>+H887</f>
        <v>C</v>
      </c>
      <c r="I888" s="108" t="s">
        <v>341</v>
      </c>
      <c r="J888" s="107" t="s">
        <v>340</v>
      </c>
      <c r="K888" s="33"/>
      <c r="L888" s="103" t="s">
        <v>323</v>
      </c>
      <c r="M888" s="33"/>
      <c r="N888" s="17">
        <v>3</v>
      </c>
      <c r="P888" s="64" t="s">
        <v>339</v>
      </c>
      <c r="Q888" s="64"/>
      <c r="R888" s="102" t="s">
        <v>338</v>
      </c>
      <c r="S888" s="102" t="s">
        <v>299</v>
      </c>
      <c r="T888" s="33"/>
      <c r="U888" s="102" t="str">
        <f>+U887</f>
        <v>BMC1321FDR02</v>
      </c>
      <c r="V888" s="101"/>
      <c r="W888" s="101"/>
      <c r="X888" s="17" t="s">
        <v>464</v>
      </c>
      <c r="Y888" s="17" t="s">
        <v>289</v>
      </c>
      <c r="Z888" s="78"/>
      <c r="AA888" s="20"/>
      <c r="AB888" s="20"/>
      <c r="AC888" s="116"/>
      <c r="AD888" s="19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</row>
    <row r="889" spans="1:53" s="17" customFormat="1" x14ac:dyDescent="0.3">
      <c r="A889" s="118"/>
      <c r="B889" s="101"/>
      <c r="C889" s="106" t="str">
        <f>+C888</f>
        <v>PR3</v>
      </c>
      <c r="D889" s="33"/>
      <c r="E889" s="33"/>
      <c r="F889" s="33"/>
      <c r="G889" s="33"/>
      <c r="H889" s="97" t="str">
        <f>+H888</f>
        <v>C</v>
      </c>
      <c r="I889" s="108" t="s">
        <v>337</v>
      </c>
      <c r="J889" s="107" t="s">
        <v>336</v>
      </c>
      <c r="K889" s="33"/>
      <c r="L889" s="103" t="s">
        <v>323</v>
      </c>
      <c r="M889" s="33"/>
      <c r="N889" s="17">
        <v>3</v>
      </c>
      <c r="P889" s="64" t="s">
        <v>335</v>
      </c>
      <c r="Q889" s="64"/>
      <c r="R889" s="102" t="s">
        <v>334</v>
      </c>
      <c r="S889" s="102" t="s">
        <v>299</v>
      </c>
      <c r="T889" s="33"/>
      <c r="U889" s="102" t="str">
        <f>+U888</f>
        <v>BMC1321FDR02</v>
      </c>
      <c r="V889" s="101"/>
      <c r="W889" s="101"/>
      <c r="X889" s="17" t="s">
        <v>464</v>
      </c>
      <c r="Y889" s="17" t="s">
        <v>289</v>
      </c>
      <c r="Z889" s="78"/>
      <c r="AA889" s="20"/>
      <c r="AB889" s="20"/>
      <c r="AC889" s="116"/>
      <c r="AD889" s="19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</row>
    <row r="890" spans="1:53" s="17" customFormat="1" x14ac:dyDescent="0.3">
      <c r="A890" s="118"/>
      <c r="B890" s="101"/>
      <c r="C890" s="106" t="str">
        <f>+C889</f>
        <v>PR3</v>
      </c>
      <c r="D890" s="33"/>
      <c r="E890" s="33"/>
      <c r="F890" s="33"/>
      <c r="G890" s="33"/>
      <c r="H890" s="97" t="str">
        <f>+H889</f>
        <v>C</v>
      </c>
      <c r="I890" s="108" t="s">
        <v>333</v>
      </c>
      <c r="J890" s="107" t="s">
        <v>332</v>
      </c>
      <c r="K890" s="33"/>
      <c r="L890" s="103" t="s">
        <v>323</v>
      </c>
      <c r="M890" s="33"/>
      <c r="N890" s="83">
        <v>6</v>
      </c>
      <c r="O890" s="83"/>
      <c r="P890" s="92" t="s">
        <v>331</v>
      </c>
      <c r="Q890" s="64"/>
      <c r="R890" s="109" t="s">
        <v>330</v>
      </c>
      <c r="S890" s="102" t="s">
        <v>299</v>
      </c>
      <c r="T890" s="33"/>
      <c r="U890" s="102" t="str">
        <f>+U889</f>
        <v>BMC1321FDR02</v>
      </c>
      <c r="V890" s="101"/>
      <c r="W890" s="101"/>
      <c r="X890" s="17" t="s">
        <v>464</v>
      </c>
      <c r="Y890" s="17" t="s">
        <v>289</v>
      </c>
      <c r="Z890" s="78"/>
      <c r="AA890" s="20"/>
      <c r="AB890" s="20"/>
      <c r="AC890" s="116"/>
      <c r="AD890" s="19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</row>
    <row r="891" spans="1:53" s="17" customFormat="1" x14ac:dyDescent="0.3">
      <c r="A891" s="118"/>
      <c r="B891" s="101"/>
      <c r="C891" s="106" t="str">
        <f>+C890</f>
        <v>PR3</v>
      </c>
      <c r="D891" s="33"/>
      <c r="E891" s="33"/>
      <c r="F891" s="33"/>
      <c r="G891" s="33"/>
      <c r="H891" s="97" t="str">
        <f>+H890</f>
        <v>C</v>
      </c>
      <c r="I891" s="108" t="s">
        <v>329</v>
      </c>
      <c r="J891" s="107" t="s">
        <v>328</v>
      </c>
      <c r="K891" s="33"/>
      <c r="L891" s="103" t="s">
        <v>323</v>
      </c>
      <c r="M891" s="33"/>
      <c r="N891" s="83">
        <v>6</v>
      </c>
      <c r="P891" s="92" t="s">
        <v>327</v>
      </c>
      <c r="Q891" s="92"/>
      <c r="R891" s="109" t="s">
        <v>326</v>
      </c>
      <c r="S891" s="109" t="s">
        <v>299</v>
      </c>
      <c r="T891" s="33"/>
      <c r="U891" s="102" t="str">
        <f>+U890</f>
        <v>BMC1321FDR02</v>
      </c>
      <c r="V891" s="101"/>
      <c r="W891" s="101"/>
      <c r="X891" s="17" t="s">
        <v>464</v>
      </c>
      <c r="Y891" s="17" t="s">
        <v>289</v>
      </c>
      <c r="Z891" s="78"/>
      <c r="AA891" s="20"/>
      <c r="AB891" s="20"/>
      <c r="AC891" s="116"/>
      <c r="AD891" s="19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</row>
    <row r="892" spans="1:53" s="17" customFormat="1" ht="13.5" thickBot="1" x14ac:dyDescent="0.35">
      <c r="A892" s="118"/>
      <c r="B892" s="101"/>
      <c r="C892" s="106" t="str">
        <f>+C891</f>
        <v>PR3</v>
      </c>
      <c r="D892" s="33"/>
      <c r="E892" s="33"/>
      <c r="F892" s="33"/>
      <c r="G892" s="33"/>
      <c r="H892" s="97" t="str">
        <f>+H891</f>
        <v>C</v>
      </c>
      <c r="I892" s="105" t="s">
        <v>325</v>
      </c>
      <c r="J892" s="104" t="s">
        <v>324</v>
      </c>
      <c r="K892" s="33"/>
      <c r="L892" s="103" t="s">
        <v>323</v>
      </c>
      <c r="M892" s="33"/>
      <c r="N892" s="83">
        <v>6</v>
      </c>
      <c r="O892" s="33"/>
      <c r="T892" s="33"/>
      <c r="U892" s="102" t="str">
        <f>+U891</f>
        <v>BMC1321FDR02</v>
      </c>
      <c r="V892" s="101"/>
      <c r="W892" s="101"/>
      <c r="X892" s="17" t="s">
        <v>464</v>
      </c>
      <c r="Y892" s="17" t="s">
        <v>289</v>
      </c>
      <c r="Z892" s="78"/>
      <c r="AA892" s="20"/>
      <c r="AB892" s="20"/>
      <c r="AC892" s="116"/>
      <c r="AD892" s="19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</row>
    <row r="893" spans="1:53" s="17" customFormat="1" x14ac:dyDescent="0.3">
      <c r="A893" s="118"/>
      <c r="B893" s="101"/>
      <c r="C893" s="106" t="str">
        <f>+C892</f>
        <v>PR3</v>
      </c>
      <c r="D893" s="33"/>
      <c r="E893" s="33"/>
      <c r="F893" s="33"/>
      <c r="G893" s="33"/>
      <c r="H893" s="97" t="s">
        <v>322</v>
      </c>
      <c r="I893" s="112" t="s">
        <v>321</v>
      </c>
      <c r="J893" s="111" t="s">
        <v>320</v>
      </c>
      <c r="K893" s="33"/>
      <c r="L893" s="103" t="s">
        <v>292</v>
      </c>
      <c r="M893" s="33"/>
      <c r="N893" s="17">
        <v>3</v>
      </c>
      <c r="P893" s="64" t="s">
        <v>319</v>
      </c>
      <c r="Q893" s="64"/>
      <c r="R893" s="102" t="s">
        <v>318</v>
      </c>
      <c r="S893" s="102" t="s">
        <v>317</v>
      </c>
      <c r="T893" s="33"/>
      <c r="U893" s="102" t="str">
        <f>+U892</f>
        <v>BMC1321FDR02</v>
      </c>
      <c r="V893" s="101"/>
      <c r="W893" s="101"/>
      <c r="X893" s="17" t="s">
        <v>464</v>
      </c>
      <c r="Y893" s="17" t="s">
        <v>289</v>
      </c>
      <c r="Z893" s="78"/>
      <c r="AA893" s="20"/>
      <c r="AB893" s="20"/>
      <c r="AC893" s="116"/>
      <c r="AD893" s="19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</row>
    <row r="894" spans="1:53" s="17" customFormat="1" x14ac:dyDescent="0.3">
      <c r="A894" s="118"/>
      <c r="B894" s="101"/>
      <c r="C894" s="106" t="str">
        <f>+C893</f>
        <v>PR3</v>
      </c>
      <c r="D894" s="33"/>
      <c r="E894" s="33"/>
      <c r="F894" s="33"/>
      <c r="G894" s="33"/>
      <c r="H894" s="97" t="str">
        <f>+H893</f>
        <v>C</v>
      </c>
      <c r="I894" s="108" t="s">
        <v>316</v>
      </c>
      <c r="J894" s="107" t="s">
        <v>315</v>
      </c>
      <c r="K894" s="33"/>
      <c r="L894" s="103" t="s">
        <v>292</v>
      </c>
      <c r="M894" s="33"/>
      <c r="N894" s="17">
        <v>3</v>
      </c>
      <c r="P894" s="64" t="s">
        <v>314</v>
      </c>
      <c r="Q894" s="64"/>
      <c r="R894" s="102" t="s">
        <v>309</v>
      </c>
      <c r="S894" s="102" t="s">
        <v>313</v>
      </c>
      <c r="T894" s="33"/>
      <c r="U894" s="102" t="str">
        <f>+U893</f>
        <v>BMC1321FDR02</v>
      </c>
      <c r="V894" s="101"/>
      <c r="W894" s="101"/>
      <c r="X894" s="17" t="s">
        <v>464</v>
      </c>
      <c r="Y894" s="17" t="s">
        <v>289</v>
      </c>
      <c r="Z894" s="78"/>
      <c r="AA894" s="20"/>
      <c r="AB894" s="20"/>
      <c r="AC894" s="116"/>
      <c r="AD894" s="19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</row>
    <row r="895" spans="1:53" s="17" customFormat="1" x14ac:dyDescent="0.3">
      <c r="A895" s="118"/>
      <c r="B895" s="101"/>
      <c r="C895" s="106" t="str">
        <f>+C894</f>
        <v>PR3</v>
      </c>
      <c r="D895" s="33"/>
      <c r="E895" s="33"/>
      <c r="F895" s="33"/>
      <c r="G895" s="33"/>
      <c r="H895" s="97" t="str">
        <f>+H894</f>
        <v>C</v>
      </c>
      <c r="I895" s="108" t="s">
        <v>312</v>
      </c>
      <c r="J895" s="107" t="s">
        <v>311</v>
      </c>
      <c r="K895" s="33"/>
      <c r="L895" s="103" t="s">
        <v>292</v>
      </c>
      <c r="M895" s="33"/>
      <c r="N895" s="17">
        <v>3</v>
      </c>
      <c r="P895" s="64" t="s">
        <v>310</v>
      </c>
      <c r="Q895" s="64"/>
      <c r="R895" s="102" t="s">
        <v>309</v>
      </c>
      <c r="S895" s="102" t="s">
        <v>308</v>
      </c>
      <c r="T895" s="33"/>
      <c r="U895" s="102" t="str">
        <f>+U894</f>
        <v>BMC1321FDR02</v>
      </c>
      <c r="V895" s="101"/>
      <c r="W895" s="101"/>
      <c r="X895" s="17" t="s">
        <v>464</v>
      </c>
      <c r="Y895" s="17" t="s">
        <v>289</v>
      </c>
      <c r="Z895" s="78"/>
      <c r="AA895" s="20"/>
      <c r="AB895" s="20"/>
      <c r="AC895" s="116"/>
      <c r="AD895" s="19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</row>
    <row r="896" spans="1:53" s="17" customFormat="1" x14ac:dyDescent="0.3">
      <c r="A896" s="118"/>
      <c r="B896" s="101"/>
      <c r="C896" s="106" t="str">
        <f>+C895</f>
        <v>PR3</v>
      </c>
      <c r="D896" s="33"/>
      <c r="E896" s="33"/>
      <c r="F896" s="33"/>
      <c r="G896" s="33"/>
      <c r="H896" s="97" t="str">
        <f>+H895</f>
        <v>C</v>
      </c>
      <c r="I896" s="108" t="s">
        <v>307</v>
      </c>
      <c r="J896" s="107" t="s">
        <v>306</v>
      </c>
      <c r="K896" s="33"/>
      <c r="L896" s="103" t="s">
        <v>292</v>
      </c>
      <c r="M896" s="33"/>
      <c r="N896" s="83">
        <v>6</v>
      </c>
      <c r="O896" s="83"/>
      <c r="P896" s="92" t="s">
        <v>305</v>
      </c>
      <c r="Q896" s="110"/>
      <c r="R896" s="109" t="s">
        <v>304</v>
      </c>
      <c r="S896" s="109" t="s">
        <v>211</v>
      </c>
      <c r="T896" s="33"/>
      <c r="U896" s="102" t="str">
        <f>+U895</f>
        <v>BMC1321FDR02</v>
      </c>
      <c r="V896" s="101"/>
      <c r="W896" s="101"/>
      <c r="X896" s="17" t="s">
        <v>464</v>
      </c>
      <c r="Y896" s="17" t="s">
        <v>289</v>
      </c>
      <c r="Z896" s="78"/>
      <c r="AA896" s="20"/>
      <c r="AB896" s="20"/>
      <c r="AC896" s="116"/>
      <c r="AD896" s="19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</row>
    <row r="897" spans="1:53" s="17" customFormat="1" x14ac:dyDescent="0.3">
      <c r="A897" s="118"/>
      <c r="B897" s="101"/>
      <c r="C897" s="106" t="str">
        <f>+C896</f>
        <v>PR3</v>
      </c>
      <c r="D897" s="33"/>
      <c r="E897" s="33"/>
      <c r="F897" s="33"/>
      <c r="G897" s="33"/>
      <c r="H897" s="97" t="str">
        <f>+H896</f>
        <v>C</v>
      </c>
      <c r="I897" s="108" t="s">
        <v>303</v>
      </c>
      <c r="J897" s="107" t="s">
        <v>302</v>
      </c>
      <c r="K897" s="33"/>
      <c r="L897" s="103" t="s">
        <v>292</v>
      </c>
      <c r="M897" s="33"/>
      <c r="N897" s="83">
        <v>6</v>
      </c>
      <c r="P897" s="92" t="s">
        <v>301</v>
      </c>
      <c r="Q897" s="33"/>
      <c r="R897" s="109" t="s">
        <v>300</v>
      </c>
      <c r="S897" s="102" t="s">
        <v>299</v>
      </c>
      <c r="T897" s="33"/>
      <c r="U897" s="102" t="str">
        <f>+U896</f>
        <v>BMC1321FDR02</v>
      </c>
      <c r="V897" s="101"/>
      <c r="W897" s="101"/>
      <c r="X897" s="17" t="s">
        <v>464</v>
      </c>
      <c r="Y897" s="17" t="s">
        <v>289</v>
      </c>
      <c r="Z897" s="78"/>
      <c r="AA897" s="20"/>
      <c r="AB897" s="20"/>
      <c r="AC897" s="116"/>
      <c r="AD897" s="19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</row>
    <row r="898" spans="1:53" s="17" customFormat="1" x14ac:dyDescent="0.3">
      <c r="A898" s="118"/>
      <c r="B898" s="101"/>
      <c r="C898" s="106" t="str">
        <f>+C897</f>
        <v>PR3</v>
      </c>
      <c r="D898" s="33"/>
      <c r="E898" s="33"/>
      <c r="F898" s="33"/>
      <c r="G898" s="33"/>
      <c r="H898" s="97" t="str">
        <f>+H897</f>
        <v>C</v>
      </c>
      <c r="I898" s="108" t="s">
        <v>298</v>
      </c>
      <c r="J898" s="107" t="s">
        <v>297</v>
      </c>
      <c r="K898" s="33"/>
      <c r="L898" s="103" t="s">
        <v>292</v>
      </c>
      <c r="M898" s="33"/>
      <c r="N898" s="17">
        <v>3</v>
      </c>
      <c r="P898" s="33"/>
      <c r="Q898" s="33"/>
      <c r="R898" s="102" t="s">
        <v>291</v>
      </c>
      <c r="S898" s="102"/>
      <c r="T898" s="33"/>
      <c r="U898" s="102" t="str">
        <f>+U897</f>
        <v>BMC1321FDR02</v>
      </c>
      <c r="V898" s="101"/>
      <c r="W898" s="101"/>
      <c r="X898" s="17" t="s">
        <v>464</v>
      </c>
      <c r="Y898" s="17" t="s">
        <v>289</v>
      </c>
      <c r="Z898" s="78"/>
      <c r="AC898" s="116"/>
      <c r="AD898" s="19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</row>
    <row r="899" spans="1:53" s="17" customFormat="1" x14ac:dyDescent="0.3">
      <c r="A899" s="118"/>
      <c r="B899" s="101"/>
      <c r="C899" s="106" t="str">
        <f>+C898</f>
        <v>PR3</v>
      </c>
      <c r="D899" s="33"/>
      <c r="E899" s="33"/>
      <c r="F899" s="33"/>
      <c r="G899" s="33"/>
      <c r="H899" s="97" t="str">
        <f>+H898</f>
        <v>C</v>
      </c>
      <c r="I899" s="108" t="s">
        <v>296</v>
      </c>
      <c r="J899" s="107" t="s">
        <v>295</v>
      </c>
      <c r="K899" s="33"/>
      <c r="L899" s="103" t="s">
        <v>292</v>
      </c>
      <c r="M899" s="33"/>
      <c r="N899" s="17">
        <v>3</v>
      </c>
      <c r="P899" s="33"/>
      <c r="Q899" s="33"/>
      <c r="R899" s="102" t="s">
        <v>291</v>
      </c>
      <c r="S899" s="102"/>
      <c r="T899" s="33"/>
      <c r="U899" s="102" t="str">
        <f>+U898</f>
        <v>BMC1321FDR02</v>
      </c>
      <c r="V899" s="101"/>
      <c r="W899" s="101"/>
      <c r="X899" s="17" t="s">
        <v>464</v>
      </c>
      <c r="Y899" s="17" t="s">
        <v>289</v>
      </c>
      <c r="Z899" s="78"/>
      <c r="AC899" s="116"/>
      <c r="AD899" s="19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</row>
    <row r="900" spans="1:53" s="17" customFormat="1" ht="13.5" thickBot="1" x14ac:dyDescent="0.35">
      <c r="A900" s="118"/>
      <c r="B900" s="101"/>
      <c r="C900" s="106" t="str">
        <f>+C899</f>
        <v>PR3</v>
      </c>
      <c r="D900" s="33"/>
      <c r="E900" s="33"/>
      <c r="F900" s="33"/>
      <c r="G900" s="33"/>
      <c r="H900" s="97" t="str">
        <f>+H899</f>
        <v>C</v>
      </c>
      <c r="I900" s="105" t="s">
        <v>294</v>
      </c>
      <c r="J900" s="104" t="s">
        <v>293</v>
      </c>
      <c r="K900" s="33"/>
      <c r="L900" s="103" t="s">
        <v>292</v>
      </c>
      <c r="M900" s="33"/>
      <c r="N900" s="17">
        <v>3</v>
      </c>
      <c r="P900" s="33"/>
      <c r="Q900" s="33"/>
      <c r="R900" s="102" t="s">
        <v>291</v>
      </c>
      <c r="S900" s="102"/>
      <c r="T900" s="33"/>
      <c r="U900" s="102" t="str">
        <f>+U899</f>
        <v>BMC1321FDR02</v>
      </c>
      <c r="V900" s="101"/>
      <c r="W900" s="101"/>
      <c r="X900" s="17" t="s">
        <v>464</v>
      </c>
      <c r="Y900" s="17" t="s">
        <v>289</v>
      </c>
      <c r="Z900" s="78"/>
      <c r="AC900" s="116"/>
      <c r="AD900" s="19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</row>
    <row r="901" spans="1:53" s="17" customFormat="1" ht="13.5" thickBot="1" x14ac:dyDescent="0.35">
      <c r="A901" s="118"/>
      <c r="B901" s="101"/>
      <c r="C901" s="101"/>
      <c r="D901" s="101"/>
      <c r="E901" s="117"/>
      <c r="F901" s="101"/>
      <c r="G901" s="101"/>
      <c r="H901" s="101"/>
      <c r="I901" s="101"/>
      <c r="J901" s="101"/>
      <c r="K901" s="101"/>
      <c r="L901" s="101"/>
      <c r="M901" s="101"/>
      <c r="P901" s="101"/>
      <c r="Q901" s="101"/>
      <c r="R901" s="101"/>
      <c r="S901" s="101"/>
      <c r="T901" s="101"/>
      <c r="U901" s="101"/>
      <c r="V901" s="101"/>
      <c r="W901" s="101"/>
      <c r="X901" s="78"/>
      <c r="Y901" s="78"/>
      <c r="Z901" s="78"/>
      <c r="AC901" s="116"/>
      <c r="AD901" s="19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</row>
    <row r="902" spans="1:53" s="17" customFormat="1" x14ac:dyDescent="0.3">
      <c r="A902" s="101"/>
      <c r="B902" s="101"/>
      <c r="C902" s="106" t="s">
        <v>463</v>
      </c>
      <c r="D902" s="18"/>
      <c r="E902" s="18"/>
      <c r="H902" s="97" t="s">
        <v>437</v>
      </c>
      <c r="I902" s="112" t="s">
        <v>462</v>
      </c>
      <c r="J902" s="111" t="s">
        <v>461</v>
      </c>
      <c r="K902" s="33" t="s">
        <v>460</v>
      </c>
      <c r="L902" s="103" t="s">
        <v>292</v>
      </c>
      <c r="M902" s="33"/>
      <c r="N902" s="17">
        <v>3</v>
      </c>
      <c r="P902" s="64" t="s">
        <v>459</v>
      </c>
      <c r="Q902" s="64"/>
      <c r="R902" s="64" t="s">
        <v>458</v>
      </c>
      <c r="S902" s="64" t="s">
        <v>457</v>
      </c>
      <c r="T902" s="113"/>
      <c r="U902" s="64" t="s">
        <v>456</v>
      </c>
      <c r="W902" s="101"/>
      <c r="X902" s="17" t="s">
        <v>290</v>
      </c>
      <c r="Y902" s="17" t="s">
        <v>289</v>
      </c>
      <c r="Z902" s="64" t="s">
        <v>172</v>
      </c>
      <c r="AC902" s="78"/>
      <c r="AD902" s="19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</row>
    <row r="903" spans="1:53" s="17" customFormat="1" x14ac:dyDescent="0.3">
      <c r="A903" s="101"/>
      <c r="B903" s="101"/>
      <c r="C903" s="106" t="str">
        <f>+C902</f>
        <v>PR4</v>
      </c>
      <c r="D903" s="18"/>
      <c r="E903" s="18"/>
      <c r="H903" s="97" t="str">
        <f>+H902</f>
        <v>G</v>
      </c>
      <c r="I903" s="108" t="s">
        <v>321</v>
      </c>
      <c r="J903" s="107" t="s">
        <v>455</v>
      </c>
      <c r="K903" s="99" t="s">
        <v>454</v>
      </c>
      <c r="L903" s="103" t="s">
        <v>292</v>
      </c>
      <c r="M903" s="33"/>
      <c r="N903" s="17">
        <v>3</v>
      </c>
      <c r="P903" s="64" t="s">
        <v>453</v>
      </c>
      <c r="Q903" s="64"/>
      <c r="R903" s="64" t="s">
        <v>450</v>
      </c>
      <c r="S903" s="64" t="s">
        <v>313</v>
      </c>
      <c r="T903" s="113"/>
      <c r="U903" s="64" t="str">
        <f>+U902</f>
        <v>BMC1321FDR03</v>
      </c>
      <c r="V903" s="101"/>
      <c r="W903" s="101"/>
      <c r="X903" s="17" t="s">
        <v>290</v>
      </c>
      <c r="Y903" s="17" t="s">
        <v>289</v>
      </c>
      <c r="Z903" s="78"/>
      <c r="AC903" s="78"/>
      <c r="AD903" s="19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</row>
    <row r="904" spans="1:53" s="17" customFormat="1" x14ac:dyDescent="0.3">
      <c r="A904" s="101"/>
      <c r="B904" s="101"/>
      <c r="C904" s="106" t="str">
        <f>+C903</f>
        <v>PR4</v>
      </c>
      <c r="D904" s="18"/>
      <c r="E904" s="18"/>
      <c r="H904" s="97" t="str">
        <f>+H903</f>
        <v>G</v>
      </c>
      <c r="I904" s="108" t="s">
        <v>316</v>
      </c>
      <c r="J904" s="107" t="s">
        <v>452</v>
      </c>
      <c r="K904" s="33"/>
      <c r="L904" s="103" t="s">
        <v>292</v>
      </c>
      <c r="M904" s="33"/>
      <c r="N904" s="17">
        <v>3</v>
      </c>
      <c r="P904" s="64" t="s">
        <v>451</v>
      </c>
      <c r="Q904" s="64"/>
      <c r="R904" s="64" t="s">
        <v>450</v>
      </c>
      <c r="S904" s="64" t="s">
        <v>449</v>
      </c>
      <c r="T904" s="113"/>
      <c r="U904" s="64" t="str">
        <f>+U903</f>
        <v>BMC1321FDR03</v>
      </c>
      <c r="V904" s="101"/>
      <c r="W904" s="101"/>
      <c r="X904" s="17" t="s">
        <v>290</v>
      </c>
      <c r="Y904" s="17" t="s">
        <v>289</v>
      </c>
      <c r="Z904" s="78"/>
      <c r="AC904" s="78"/>
      <c r="AD904" s="19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</row>
    <row r="905" spans="1:53" s="17" customFormat="1" x14ac:dyDescent="0.3">
      <c r="A905" s="101"/>
      <c r="B905" s="101"/>
      <c r="C905" s="106" t="str">
        <f>+C904</f>
        <v>PR4</v>
      </c>
      <c r="D905" s="18"/>
      <c r="E905" s="18"/>
      <c r="H905" s="97" t="str">
        <f>+H904</f>
        <v>G</v>
      </c>
      <c r="I905" s="108" t="s">
        <v>448</v>
      </c>
      <c r="J905" s="107" t="s">
        <v>447</v>
      </c>
      <c r="K905" s="33"/>
      <c r="L905" s="103" t="s">
        <v>292</v>
      </c>
      <c r="M905" s="33"/>
      <c r="N905" s="17">
        <v>3</v>
      </c>
      <c r="P905" s="64"/>
      <c r="Q905" s="64"/>
      <c r="R905" s="64" t="s">
        <v>291</v>
      </c>
      <c r="S905" s="64"/>
      <c r="T905" s="113"/>
      <c r="U905" s="64" t="str">
        <f>+U904</f>
        <v>BMC1321FDR03</v>
      </c>
      <c r="V905" s="101"/>
      <c r="W905" s="101"/>
      <c r="X905" s="17" t="s">
        <v>290</v>
      </c>
      <c r="Y905" s="17" t="s">
        <v>289</v>
      </c>
      <c r="Z905" s="78"/>
      <c r="AC905" s="78"/>
      <c r="AD905" s="19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</row>
    <row r="906" spans="1:53" s="17" customFormat="1" x14ac:dyDescent="0.3">
      <c r="A906" s="101"/>
      <c r="B906" s="101"/>
      <c r="C906" s="106" t="str">
        <f>+C905</f>
        <v>PR4</v>
      </c>
      <c r="D906" s="18"/>
      <c r="E906" s="18"/>
      <c r="H906" s="97" t="str">
        <f>+H905</f>
        <v>G</v>
      </c>
      <c r="I906" s="108" t="s">
        <v>446</v>
      </c>
      <c r="J906" s="107" t="s">
        <v>445</v>
      </c>
      <c r="K906" s="33"/>
      <c r="L906" s="103" t="s">
        <v>292</v>
      </c>
      <c r="M906" s="33"/>
      <c r="N906" s="17">
        <v>3</v>
      </c>
      <c r="P906" s="64"/>
      <c r="Q906" s="64"/>
      <c r="R906" s="64" t="s">
        <v>291</v>
      </c>
      <c r="S906" s="64"/>
      <c r="T906" s="113"/>
      <c r="U906" s="64" t="str">
        <f>+U905</f>
        <v>BMC1321FDR03</v>
      </c>
      <c r="V906" s="101"/>
      <c r="W906" s="101"/>
      <c r="X906" s="17" t="s">
        <v>290</v>
      </c>
      <c r="Y906" s="17" t="s">
        <v>289</v>
      </c>
      <c r="Z906" s="78"/>
      <c r="AC906" s="78"/>
      <c r="AD906" s="19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</row>
    <row r="907" spans="1:53" s="17" customFormat="1" x14ac:dyDescent="0.3">
      <c r="A907" s="101"/>
      <c r="B907" s="101"/>
      <c r="C907" s="106" t="str">
        <f>+C906</f>
        <v>PR4</v>
      </c>
      <c r="D907" s="18"/>
      <c r="E907" s="18"/>
      <c r="H907" s="97" t="str">
        <f>+H906</f>
        <v>G</v>
      </c>
      <c r="I907" s="108" t="s">
        <v>444</v>
      </c>
      <c r="J907" s="107" t="s">
        <v>443</v>
      </c>
      <c r="K907" s="33"/>
      <c r="L907" s="103" t="s">
        <v>292</v>
      </c>
      <c r="M907" s="33"/>
      <c r="N907" s="17">
        <v>3</v>
      </c>
      <c r="P907" s="64" t="s">
        <v>442</v>
      </c>
      <c r="Q907" s="64"/>
      <c r="R907" s="102" t="s">
        <v>438</v>
      </c>
      <c r="S907" s="102" t="s">
        <v>313</v>
      </c>
      <c r="T907" s="114"/>
      <c r="U907" s="102" t="str">
        <f>+U906</f>
        <v>BMC1321FDR03</v>
      </c>
      <c r="V907" s="101"/>
      <c r="W907" s="101"/>
      <c r="X907" s="17" t="s">
        <v>290</v>
      </c>
      <c r="Y907" s="17" t="s">
        <v>289</v>
      </c>
      <c r="Z907" s="78"/>
      <c r="AC907" s="78"/>
      <c r="AD907" s="19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</row>
    <row r="908" spans="1:53" s="17" customFormat="1" ht="13.5" thickBot="1" x14ac:dyDescent="0.35">
      <c r="A908" s="101"/>
      <c r="B908" s="101"/>
      <c r="C908" s="106" t="str">
        <f>+C907</f>
        <v>PR4</v>
      </c>
      <c r="D908" s="63"/>
      <c r="E908" s="63"/>
      <c r="H908" s="97" t="str">
        <f>+H907</f>
        <v>G</v>
      </c>
      <c r="I908" s="105" t="s">
        <v>441</v>
      </c>
      <c r="J908" s="104" t="s">
        <v>440</v>
      </c>
      <c r="K908" s="33"/>
      <c r="L908" s="103" t="s">
        <v>292</v>
      </c>
      <c r="M908" s="33"/>
      <c r="N908" s="17">
        <v>3</v>
      </c>
      <c r="P908" s="64" t="s">
        <v>439</v>
      </c>
      <c r="Q908" s="64"/>
      <c r="R908" s="102" t="s">
        <v>438</v>
      </c>
      <c r="S908" s="102" t="s">
        <v>308</v>
      </c>
      <c r="T908" s="114"/>
      <c r="U908" s="102" t="str">
        <f>+U907</f>
        <v>BMC1321FDR03</v>
      </c>
      <c r="V908" s="101"/>
      <c r="W908" s="101"/>
      <c r="X908" s="17" t="s">
        <v>290</v>
      </c>
      <c r="Y908" s="17" t="s">
        <v>289</v>
      </c>
      <c r="Z908" s="78"/>
      <c r="AC908" s="78"/>
      <c r="AD908" s="19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</row>
    <row r="909" spans="1:53" s="17" customFormat="1" x14ac:dyDescent="0.3">
      <c r="A909" s="101"/>
      <c r="B909" s="101"/>
      <c r="C909" s="106" t="str">
        <f>+C908</f>
        <v>PR4</v>
      </c>
      <c r="D909" s="63"/>
      <c r="E909" s="63"/>
      <c r="H909" s="97" t="s">
        <v>437</v>
      </c>
      <c r="I909" s="112" t="s">
        <v>312</v>
      </c>
      <c r="J909" s="111" t="s">
        <v>436</v>
      </c>
      <c r="K909" s="33"/>
      <c r="L909" s="103" t="s">
        <v>292</v>
      </c>
      <c r="M909" s="33"/>
      <c r="N909" s="17">
        <v>3</v>
      </c>
      <c r="P909" s="64"/>
      <c r="Q909" s="64"/>
      <c r="R909" s="64" t="s">
        <v>291</v>
      </c>
      <c r="S909" s="114" t="s">
        <v>211</v>
      </c>
      <c r="T909" s="114"/>
      <c r="U909" s="102" t="str">
        <f>+U908</f>
        <v>BMC1321FDR03</v>
      </c>
      <c r="V909" s="101"/>
      <c r="W909" s="101"/>
      <c r="X909" s="17" t="s">
        <v>290</v>
      </c>
      <c r="Y909" s="17" t="s">
        <v>289</v>
      </c>
      <c r="Z909" s="78"/>
      <c r="AC909" s="78"/>
      <c r="AD909" s="19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</row>
    <row r="910" spans="1:53" s="17" customFormat="1" x14ac:dyDescent="0.3">
      <c r="A910" s="101"/>
      <c r="B910" s="101"/>
      <c r="C910" s="106" t="str">
        <f>+C909</f>
        <v>PR4</v>
      </c>
      <c r="D910" s="63"/>
      <c r="E910" s="63"/>
      <c r="H910" s="97" t="str">
        <f>+H909</f>
        <v>G</v>
      </c>
      <c r="I910" s="108" t="s">
        <v>435</v>
      </c>
      <c r="J910" s="107" t="s">
        <v>434</v>
      </c>
      <c r="K910" s="33"/>
      <c r="L910" s="103" t="s">
        <v>323</v>
      </c>
      <c r="M910" s="33"/>
      <c r="N910" s="17">
        <v>3</v>
      </c>
      <c r="P910" s="64" t="s">
        <v>433</v>
      </c>
      <c r="Q910" s="64"/>
      <c r="R910" s="102" t="s">
        <v>432</v>
      </c>
      <c r="S910" s="115" t="s">
        <v>427</v>
      </c>
      <c r="T910" s="114"/>
      <c r="U910" s="102" t="str">
        <f>+U909</f>
        <v>BMC1321FDR03</v>
      </c>
      <c r="V910" s="101"/>
      <c r="W910" s="101"/>
      <c r="X910" s="17" t="s">
        <v>290</v>
      </c>
      <c r="Y910" s="17" t="s">
        <v>289</v>
      </c>
      <c r="Z910" s="78"/>
      <c r="AC910" s="78"/>
      <c r="AD910" s="19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</row>
    <row r="911" spans="1:53" s="17" customFormat="1" x14ac:dyDescent="0.3">
      <c r="A911" s="101"/>
      <c r="B911" s="101"/>
      <c r="C911" s="106" t="str">
        <f>+C910</f>
        <v>PR4</v>
      </c>
      <c r="D911" s="63"/>
      <c r="E911" s="63"/>
      <c r="H911" s="97" t="str">
        <f>+H910</f>
        <v>G</v>
      </c>
      <c r="I911" s="108" t="s">
        <v>431</v>
      </c>
      <c r="J911" s="107" t="s">
        <v>430</v>
      </c>
      <c r="K911" s="33"/>
      <c r="L911" s="103" t="s">
        <v>323</v>
      </c>
      <c r="M911" s="33"/>
      <c r="N911" s="17">
        <v>3</v>
      </c>
      <c r="P911" s="64" t="s">
        <v>429</v>
      </c>
      <c r="Q911" s="64"/>
      <c r="R911" s="102" t="s">
        <v>428</v>
      </c>
      <c r="S911" s="102" t="s">
        <v>427</v>
      </c>
      <c r="T911" s="114"/>
      <c r="U911" s="102" t="str">
        <f>+U910</f>
        <v>BMC1321FDR03</v>
      </c>
      <c r="V911" s="101"/>
      <c r="W911" s="101"/>
      <c r="X911" s="17" t="s">
        <v>290</v>
      </c>
      <c r="Y911" s="17" t="s">
        <v>289</v>
      </c>
      <c r="Z911" s="78"/>
      <c r="AC911" s="78"/>
      <c r="AD911" s="19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</row>
    <row r="912" spans="1:53" s="17" customFormat="1" ht="13.5" thickBot="1" x14ac:dyDescent="0.35">
      <c r="A912" s="101"/>
      <c r="B912" s="101"/>
      <c r="C912" s="106" t="str">
        <f>+C911</f>
        <v>PR4</v>
      </c>
      <c r="D912" s="63"/>
      <c r="E912" s="63"/>
      <c r="H912" s="97" t="str">
        <f>+H911</f>
        <v>G</v>
      </c>
      <c r="I912" s="108" t="s">
        <v>426</v>
      </c>
      <c r="J912" s="107" t="s">
        <v>425</v>
      </c>
      <c r="K912" s="33"/>
      <c r="L912" s="103" t="s">
        <v>424</v>
      </c>
      <c r="M912" s="33"/>
      <c r="N912" s="17">
        <v>3</v>
      </c>
      <c r="P912" s="64"/>
      <c r="Q912" s="64"/>
      <c r="R912" s="102" t="s">
        <v>291</v>
      </c>
      <c r="S912" s="102"/>
      <c r="T912" s="114"/>
      <c r="U912" s="102" t="str">
        <f>+U911</f>
        <v>BMC1321FDR03</v>
      </c>
      <c r="V912" s="101"/>
      <c r="W912" s="101"/>
      <c r="X912" s="17" t="s">
        <v>290</v>
      </c>
      <c r="Y912" s="17" t="s">
        <v>289</v>
      </c>
      <c r="Z912" s="78"/>
      <c r="AC912" s="78"/>
      <c r="AD912" s="19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</row>
    <row r="913" spans="1:53" s="17" customFormat="1" x14ac:dyDescent="0.3">
      <c r="A913" s="101"/>
      <c r="B913" s="101"/>
      <c r="C913" s="106" t="str">
        <f>+C912</f>
        <v>PR4</v>
      </c>
      <c r="D913" s="63"/>
      <c r="E913" s="63"/>
      <c r="H913" s="97" t="s">
        <v>386</v>
      </c>
      <c r="I913" s="112" t="s">
        <v>377</v>
      </c>
      <c r="J913" s="111" t="s">
        <v>423</v>
      </c>
      <c r="K913" s="33" t="s">
        <v>422</v>
      </c>
      <c r="L913" s="103" t="s">
        <v>323</v>
      </c>
      <c r="M913" s="33"/>
      <c r="N913" s="17">
        <v>3</v>
      </c>
      <c r="P913" s="64" t="s">
        <v>421</v>
      </c>
      <c r="Q913" s="64"/>
      <c r="R913" s="102" t="s">
        <v>418</v>
      </c>
      <c r="S913" s="102" t="s">
        <v>247</v>
      </c>
      <c r="T913" s="102"/>
      <c r="U913" s="102" t="str">
        <f>+U912</f>
        <v>BMC1321FDR03</v>
      </c>
      <c r="V913" s="101"/>
      <c r="W913" s="101"/>
      <c r="X913" s="17" t="s">
        <v>290</v>
      </c>
      <c r="Y913" s="17" t="s">
        <v>289</v>
      </c>
      <c r="Z913" s="78"/>
      <c r="AC913" s="78"/>
      <c r="AD913" s="19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</row>
    <row r="914" spans="1:53" s="17" customFormat="1" x14ac:dyDescent="0.3">
      <c r="A914" s="101"/>
      <c r="B914" s="101"/>
      <c r="C914" s="106" t="str">
        <f>+C913</f>
        <v>PR4</v>
      </c>
      <c r="D914" s="63"/>
      <c r="E914" s="63"/>
      <c r="H914" s="97" t="str">
        <f>+H913</f>
        <v>B</v>
      </c>
      <c r="I914" s="108" t="s">
        <v>372</v>
      </c>
      <c r="J914" s="107" t="s">
        <v>420</v>
      </c>
      <c r="L914" s="103" t="s">
        <v>323</v>
      </c>
      <c r="M914" s="33"/>
      <c r="N914" s="17">
        <v>3</v>
      </c>
      <c r="P914" s="64" t="s">
        <v>419</v>
      </c>
      <c r="Q914" s="64"/>
      <c r="R914" s="102" t="s">
        <v>418</v>
      </c>
      <c r="S914" s="102" t="s">
        <v>308</v>
      </c>
      <c r="T914" s="102"/>
      <c r="U914" s="102" t="str">
        <f>+U913</f>
        <v>BMC1321FDR03</v>
      </c>
      <c r="V914" s="101"/>
      <c r="W914" s="101"/>
      <c r="X914" s="17" t="s">
        <v>290</v>
      </c>
      <c r="Y914" s="17" t="s">
        <v>289</v>
      </c>
      <c r="Z914" s="78"/>
      <c r="AC914" s="78"/>
      <c r="AD914" s="19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</row>
    <row r="915" spans="1:53" s="17" customFormat="1" x14ac:dyDescent="0.3">
      <c r="A915" s="101"/>
      <c r="B915" s="101"/>
      <c r="C915" s="106" t="str">
        <f>+C914</f>
        <v>PR4</v>
      </c>
      <c r="D915" s="63"/>
      <c r="E915" s="63"/>
      <c r="H915" s="97" t="str">
        <f>+H914</f>
        <v>B</v>
      </c>
      <c r="I915" s="108" t="s">
        <v>368</v>
      </c>
      <c r="J915" s="107" t="s">
        <v>417</v>
      </c>
      <c r="K915" s="33"/>
      <c r="L915" s="103" t="s">
        <v>323</v>
      </c>
      <c r="M915" s="33"/>
      <c r="N915" s="17">
        <v>3</v>
      </c>
      <c r="P915" s="64" t="s">
        <v>416</v>
      </c>
      <c r="Q915" s="64"/>
      <c r="R915" s="102" t="s">
        <v>415</v>
      </c>
      <c r="S915" s="102" t="s">
        <v>414</v>
      </c>
      <c r="T915" s="102"/>
      <c r="U915" s="102" t="str">
        <f>+U914</f>
        <v>BMC1321FDR03</v>
      </c>
      <c r="V915" s="101"/>
      <c r="W915" s="101"/>
      <c r="X915" s="17" t="s">
        <v>290</v>
      </c>
      <c r="Y915" s="17" t="s">
        <v>289</v>
      </c>
      <c r="Z915" s="78"/>
      <c r="AC915" s="78"/>
      <c r="AD915" s="19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</row>
    <row r="916" spans="1:53" s="17" customFormat="1" x14ac:dyDescent="0.3">
      <c r="A916" s="101"/>
      <c r="B916" s="101"/>
      <c r="C916" s="106" t="str">
        <f>+C915</f>
        <v>PR4</v>
      </c>
      <c r="D916" s="63"/>
      <c r="E916" s="63"/>
      <c r="H916" s="97" t="str">
        <f>+H915</f>
        <v>B</v>
      </c>
      <c r="I916" s="108" t="s">
        <v>363</v>
      </c>
      <c r="J916" s="107" t="s">
        <v>413</v>
      </c>
      <c r="K916" s="33"/>
      <c r="L916" s="103" t="s">
        <v>323</v>
      </c>
      <c r="M916" s="33"/>
      <c r="N916" s="17">
        <v>3</v>
      </c>
      <c r="P916" s="64" t="s">
        <v>412</v>
      </c>
      <c r="Q916" s="64"/>
      <c r="R916" s="102" t="s">
        <v>409</v>
      </c>
      <c r="S916" s="102" t="s">
        <v>247</v>
      </c>
      <c r="T916" s="102"/>
      <c r="U916" s="102" t="str">
        <f>+U915</f>
        <v>BMC1321FDR03</v>
      </c>
      <c r="V916" s="101"/>
      <c r="W916" s="101"/>
      <c r="X916" s="17" t="s">
        <v>290</v>
      </c>
      <c r="Y916" s="17" t="s">
        <v>289</v>
      </c>
      <c r="Z916" s="78"/>
      <c r="AC916" s="78"/>
      <c r="AD916" s="19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</row>
    <row r="917" spans="1:53" s="17" customFormat="1" x14ac:dyDescent="0.3">
      <c r="A917" s="101"/>
      <c r="B917" s="101"/>
      <c r="C917" s="106" t="str">
        <f>+C916</f>
        <v>PR4</v>
      </c>
      <c r="D917" s="63"/>
      <c r="E917" s="63"/>
      <c r="H917" s="97" t="str">
        <f>+H916</f>
        <v>B</v>
      </c>
      <c r="I917" s="108" t="s">
        <v>359</v>
      </c>
      <c r="J917" s="107" t="s">
        <v>411</v>
      </c>
      <c r="K917" s="33"/>
      <c r="L917" s="103" t="s">
        <v>323</v>
      </c>
      <c r="M917" s="33"/>
      <c r="N917" s="17">
        <v>3</v>
      </c>
      <c r="P917" s="64" t="s">
        <v>410</v>
      </c>
      <c r="Q917" s="64"/>
      <c r="R917" s="102" t="s">
        <v>409</v>
      </c>
      <c r="S917" s="102" t="s">
        <v>308</v>
      </c>
      <c r="T917" s="102"/>
      <c r="U917" s="102" t="str">
        <f>+U916</f>
        <v>BMC1321FDR03</v>
      </c>
      <c r="V917" s="101"/>
      <c r="W917" s="101"/>
      <c r="X917" s="17" t="s">
        <v>290</v>
      </c>
      <c r="Y917" s="17" t="s">
        <v>289</v>
      </c>
      <c r="Z917" s="78"/>
      <c r="AC917" s="78"/>
      <c r="AD917" s="19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</row>
    <row r="918" spans="1:53" s="17" customFormat="1" x14ac:dyDescent="0.3">
      <c r="A918" s="101"/>
      <c r="B918" s="101"/>
      <c r="C918" s="106" t="str">
        <f>+C917</f>
        <v>PR4</v>
      </c>
      <c r="D918" s="63"/>
      <c r="E918" s="63"/>
      <c r="H918" s="97" t="str">
        <f>+H917</f>
        <v>B</v>
      </c>
      <c r="I918" s="108" t="s">
        <v>355</v>
      </c>
      <c r="J918" s="107" t="s">
        <v>408</v>
      </c>
      <c r="K918" s="33"/>
      <c r="L918" s="103" t="s">
        <v>323</v>
      </c>
      <c r="M918" s="33"/>
      <c r="N918" s="17">
        <v>3</v>
      </c>
      <c r="P918" s="102" t="s">
        <v>407</v>
      </c>
      <c r="Q918" s="102"/>
      <c r="R918" s="102" t="s">
        <v>404</v>
      </c>
      <c r="S918" s="102" t="s">
        <v>247</v>
      </c>
      <c r="T918" s="102"/>
      <c r="U918" s="102" t="str">
        <f>+U917</f>
        <v>BMC1321FDR03</v>
      </c>
      <c r="V918" s="101"/>
      <c r="W918" s="101"/>
      <c r="X918" s="17" t="s">
        <v>290</v>
      </c>
      <c r="Y918" s="17" t="s">
        <v>289</v>
      </c>
      <c r="Z918" s="78"/>
      <c r="AC918" s="78"/>
      <c r="AD918" s="19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</row>
    <row r="919" spans="1:53" s="17" customFormat="1" x14ac:dyDescent="0.3">
      <c r="A919" s="101"/>
      <c r="B919" s="101"/>
      <c r="C919" s="106" t="str">
        <f>+C918</f>
        <v>PR4</v>
      </c>
      <c r="D919" s="63"/>
      <c r="E919" s="63"/>
      <c r="H919" s="97" t="str">
        <f>+H918</f>
        <v>B</v>
      </c>
      <c r="I919" s="108" t="s">
        <v>351</v>
      </c>
      <c r="J919" s="107" t="s">
        <v>406</v>
      </c>
      <c r="K919" s="33"/>
      <c r="L919" s="103" t="s">
        <v>323</v>
      </c>
      <c r="M919" s="33"/>
      <c r="N919" s="17">
        <v>3</v>
      </c>
      <c r="P919" s="102" t="s">
        <v>405</v>
      </c>
      <c r="Q919" s="102"/>
      <c r="R919" s="102" t="s">
        <v>404</v>
      </c>
      <c r="S919" s="102" t="s">
        <v>308</v>
      </c>
      <c r="T919" s="33"/>
      <c r="U919" s="102" t="str">
        <f>+U918</f>
        <v>BMC1321FDR03</v>
      </c>
      <c r="V919" s="101"/>
      <c r="W919" s="101"/>
      <c r="X919" s="17" t="s">
        <v>290</v>
      </c>
      <c r="Y919" s="17" t="s">
        <v>289</v>
      </c>
      <c r="Z919" s="78"/>
      <c r="AC919" s="78"/>
      <c r="AD919" s="19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</row>
    <row r="920" spans="1:53" s="17" customFormat="1" x14ac:dyDescent="0.3">
      <c r="A920" s="101"/>
      <c r="B920" s="101"/>
      <c r="C920" s="106" t="str">
        <f>+C919</f>
        <v>PR4</v>
      </c>
      <c r="D920" s="63"/>
      <c r="E920" s="63"/>
      <c r="H920" s="97" t="str">
        <f>+H919</f>
        <v>B</v>
      </c>
      <c r="I920" s="108" t="s">
        <v>349</v>
      </c>
      <c r="J920" s="107" t="s">
        <v>403</v>
      </c>
      <c r="K920" s="33"/>
      <c r="L920" s="103" t="s">
        <v>323</v>
      </c>
      <c r="M920" s="33"/>
      <c r="N920" s="17">
        <v>3</v>
      </c>
      <c r="P920" s="102" t="s">
        <v>402</v>
      </c>
      <c r="Q920" s="102"/>
      <c r="R920" s="102" t="s">
        <v>396</v>
      </c>
      <c r="S920" s="102" t="s">
        <v>211</v>
      </c>
      <c r="T920" s="33"/>
      <c r="U920" s="102" t="str">
        <f>+U919</f>
        <v>BMC1321FDR03</v>
      </c>
      <c r="V920" s="101"/>
      <c r="W920" s="101"/>
      <c r="X920" s="17" t="s">
        <v>290</v>
      </c>
      <c r="Y920" s="17" t="s">
        <v>289</v>
      </c>
      <c r="Z920" s="78"/>
      <c r="AC920" s="78"/>
      <c r="AD920" s="19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</row>
    <row r="921" spans="1:53" s="17" customFormat="1" x14ac:dyDescent="0.3">
      <c r="A921" s="101"/>
      <c r="B921" s="101"/>
      <c r="C921" s="106" t="str">
        <f>+C920</f>
        <v>PR4</v>
      </c>
      <c r="D921" s="63"/>
      <c r="E921" s="63"/>
      <c r="H921" s="97" t="str">
        <f>+H920</f>
        <v>B</v>
      </c>
      <c r="I921" s="108" t="s">
        <v>345</v>
      </c>
      <c r="J921" s="107" t="s">
        <v>401</v>
      </c>
      <c r="K921" s="33"/>
      <c r="L921" s="103" t="s">
        <v>323</v>
      </c>
      <c r="M921" s="33"/>
      <c r="N921" s="17">
        <v>3</v>
      </c>
      <c r="P921" s="102" t="s">
        <v>400</v>
      </c>
      <c r="Q921" s="102"/>
      <c r="R921" s="102" t="s">
        <v>396</v>
      </c>
      <c r="S921" s="102" t="s">
        <v>399</v>
      </c>
      <c r="T921" s="33"/>
      <c r="U921" s="102" t="str">
        <f>+U920</f>
        <v>BMC1321FDR03</v>
      </c>
      <c r="V921" s="101"/>
      <c r="W921" s="101"/>
      <c r="X921" s="17" t="s">
        <v>290</v>
      </c>
      <c r="Y921" s="17" t="s">
        <v>289</v>
      </c>
      <c r="Z921" s="78"/>
      <c r="AC921" s="78"/>
      <c r="AD921" s="19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</row>
    <row r="922" spans="1:53" s="17" customFormat="1" x14ac:dyDescent="0.3">
      <c r="A922" s="101"/>
      <c r="B922" s="101"/>
      <c r="C922" s="106" t="str">
        <f>+C921</f>
        <v>PR4</v>
      </c>
      <c r="D922" s="63"/>
      <c r="E922" s="63"/>
      <c r="H922" s="97" t="str">
        <f>+H921</f>
        <v>B</v>
      </c>
      <c r="I922" s="108" t="s">
        <v>341</v>
      </c>
      <c r="J922" s="107" t="s">
        <v>398</v>
      </c>
      <c r="K922" s="33"/>
      <c r="L922" s="103" t="s">
        <v>323</v>
      </c>
      <c r="M922" s="33"/>
      <c r="N922" s="17">
        <v>3</v>
      </c>
      <c r="P922" s="102" t="s">
        <v>397</v>
      </c>
      <c r="Q922" s="102"/>
      <c r="R922" s="102" t="s">
        <v>396</v>
      </c>
      <c r="S922" s="102" t="s">
        <v>395</v>
      </c>
      <c r="T922" s="33"/>
      <c r="U922" s="102" t="str">
        <f>+U921</f>
        <v>BMC1321FDR03</v>
      </c>
      <c r="V922" s="101"/>
      <c r="W922" s="101"/>
      <c r="X922" s="17" t="s">
        <v>290</v>
      </c>
      <c r="Y922" s="17" t="s">
        <v>289</v>
      </c>
      <c r="Z922" s="78"/>
      <c r="AC922" s="78"/>
      <c r="AD922" s="19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</row>
    <row r="923" spans="1:53" s="17" customFormat="1" x14ac:dyDescent="0.3">
      <c r="A923" s="101"/>
      <c r="B923" s="101"/>
      <c r="C923" s="106" t="str">
        <f>+C922</f>
        <v>PR4</v>
      </c>
      <c r="D923" s="63"/>
      <c r="E923" s="63"/>
      <c r="H923" s="97" t="str">
        <f>+H922</f>
        <v>B</v>
      </c>
      <c r="I923" s="108" t="s">
        <v>337</v>
      </c>
      <c r="J923" s="107" t="s">
        <v>394</v>
      </c>
      <c r="K923" s="33"/>
      <c r="L923" s="103" t="s">
        <v>323</v>
      </c>
      <c r="M923" s="33"/>
      <c r="N923" s="17">
        <v>3</v>
      </c>
      <c r="P923" s="64" t="s">
        <v>393</v>
      </c>
      <c r="Q923" s="64"/>
      <c r="R923" s="102" t="s">
        <v>392</v>
      </c>
      <c r="S923" s="102" t="s">
        <v>211</v>
      </c>
      <c r="T923" s="33"/>
      <c r="U923" s="102" t="str">
        <f>+U922</f>
        <v>BMC1321FDR03</v>
      </c>
      <c r="V923" s="101"/>
      <c r="W923" s="101"/>
      <c r="X923" s="17" t="s">
        <v>290</v>
      </c>
      <c r="Y923" s="17" t="s">
        <v>289</v>
      </c>
      <c r="Z923" s="78"/>
      <c r="AC923" s="78"/>
      <c r="AD923" s="19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</row>
    <row r="924" spans="1:53" s="17" customFormat="1" x14ac:dyDescent="0.3">
      <c r="A924" s="101"/>
      <c r="B924" s="101"/>
      <c r="C924" s="106" t="str">
        <f>+C923</f>
        <v>PR4</v>
      </c>
      <c r="D924" s="63"/>
      <c r="E924" s="63"/>
      <c r="H924" s="97" t="str">
        <f>+H923</f>
        <v>B</v>
      </c>
      <c r="I924" s="108" t="s">
        <v>333</v>
      </c>
      <c r="J924" s="107" t="s">
        <v>391</v>
      </c>
      <c r="K924" s="33"/>
      <c r="L924" s="103" t="s">
        <v>323</v>
      </c>
      <c r="M924" s="33"/>
      <c r="N924" s="17">
        <v>3</v>
      </c>
      <c r="P924" s="64" t="s">
        <v>390</v>
      </c>
      <c r="Q924" s="64"/>
      <c r="R924" s="102" t="s">
        <v>389</v>
      </c>
      <c r="S924" s="102" t="s">
        <v>211</v>
      </c>
      <c r="T924" s="33"/>
      <c r="U924" s="102" t="str">
        <f>+U923</f>
        <v>BMC1321FDR03</v>
      </c>
      <c r="V924" s="101"/>
      <c r="W924" s="101"/>
      <c r="X924" s="17" t="s">
        <v>290</v>
      </c>
      <c r="Y924" s="17" t="s">
        <v>289</v>
      </c>
      <c r="Z924" s="78"/>
      <c r="AC924" s="78"/>
      <c r="AD924" s="19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</row>
    <row r="925" spans="1:53" s="17" customFormat="1" x14ac:dyDescent="0.3">
      <c r="A925" s="101"/>
      <c r="B925" s="101"/>
      <c r="C925" s="106" t="str">
        <f>+C924</f>
        <v>PR4</v>
      </c>
      <c r="D925" s="63"/>
      <c r="E925" s="63"/>
      <c r="H925" s="97" t="str">
        <f>+H924</f>
        <v>B</v>
      </c>
      <c r="I925" s="108" t="s">
        <v>329</v>
      </c>
      <c r="J925" s="107" t="s">
        <v>388</v>
      </c>
      <c r="K925" s="33"/>
      <c r="L925" s="103" t="s">
        <v>323</v>
      </c>
      <c r="M925" s="33"/>
      <c r="N925" s="17">
        <v>3</v>
      </c>
      <c r="P925" s="64"/>
      <c r="Q925" s="64"/>
      <c r="R925" s="102" t="s">
        <v>291</v>
      </c>
      <c r="S925" s="102"/>
      <c r="T925" s="33"/>
      <c r="U925" s="102" t="str">
        <f>+U924</f>
        <v>BMC1321FDR03</v>
      </c>
      <c r="V925" s="101"/>
      <c r="W925" s="101"/>
      <c r="X925" s="17" t="s">
        <v>290</v>
      </c>
      <c r="Y925" s="17" t="s">
        <v>289</v>
      </c>
      <c r="Z925" s="78"/>
      <c r="AC925" s="78"/>
      <c r="AD925" s="19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</row>
    <row r="926" spans="1:53" s="17" customFormat="1" ht="13.5" thickBot="1" x14ac:dyDescent="0.35">
      <c r="A926" s="101"/>
      <c r="B926" s="101"/>
      <c r="C926" s="106" t="str">
        <f>+C925</f>
        <v>PR4</v>
      </c>
      <c r="D926" s="63"/>
      <c r="E926" s="63"/>
      <c r="H926" s="97" t="str">
        <f>+H925</f>
        <v>B</v>
      </c>
      <c r="I926" s="105" t="s">
        <v>325</v>
      </c>
      <c r="J926" s="104" t="s">
        <v>387</v>
      </c>
      <c r="K926" s="33"/>
      <c r="L926" s="103" t="s">
        <v>323</v>
      </c>
      <c r="M926" s="33"/>
      <c r="N926" s="17">
        <v>3</v>
      </c>
      <c r="P926" s="64"/>
      <c r="Q926" s="64"/>
      <c r="R926" s="102" t="s">
        <v>291</v>
      </c>
      <c r="S926" s="102"/>
      <c r="T926" s="33"/>
      <c r="U926" s="102" t="str">
        <f>+U925</f>
        <v>BMC1321FDR03</v>
      </c>
      <c r="V926" s="101"/>
      <c r="W926" s="101"/>
      <c r="X926" s="17" t="s">
        <v>290</v>
      </c>
      <c r="Y926" s="17" t="s">
        <v>289</v>
      </c>
      <c r="Z926" s="78"/>
      <c r="AC926" s="78"/>
      <c r="AD926" s="19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</row>
    <row r="927" spans="1:53" s="17" customFormat="1" x14ac:dyDescent="0.3">
      <c r="A927" s="101"/>
      <c r="B927" s="101"/>
      <c r="C927" s="106" t="str">
        <f>+C926</f>
        <v>PR4</v>
      </c>
      <c r="D927" s="63"/>
      <c r="E927" s="63"/>
      <c r="H927" s="97" t="s">
        <v>386</v>
      </c>
      <c r="I927" s="112" t="s">
        <v>321</v>
      </c>
      <c r="J927" s="111" t="s">
        <v>385</v>
      </c>
      <c r="K927" s="33"/>
      <c r="L927" s="103" t="s">
        <v>292</v>
      </c>
      <c r="M927" s="33"/>
      <c r="N927" s="17">
        <v>3</v>
      </c>
      <c r="P927" s="33"/>
      <c r="Q927" s="33"/>
      <c r="R927" s="102" t="s">
        <v>291</v>
      </c>
      <c r="S927" s="102"/>
      <c r="T927" s="33"/>
      <c r="U927" s="102" t="str">
        <f>+U926</f>
        <v>BMC1321FDR03</v>
      </c>
      <c r="V927" s="101"/>
      <c r="W927" s="101"/>
      <c r="X927" s="17" t="s">
        <v>290</v>
      </c>
      <c r="Y927" s="17" t="s">
        <v>289</v>
      </c>
      <c r="Z927" s="78"/>
      <c r="AC927" s="78"/>
      <c r="AD927" s="19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</row>
    <row r="928" spans="1:53" s="17" customFormat="1" x14ac:dyDescent="0.3">
      <c r="A928" s="101"/>
      <c r="B928" s="101"/>
      <c r="C928" s="106" t="str">
        <f>+C927</f>
        <v>PR4</v>
      </c>
      <c r="D928" s="63"/>
      <c r="E928" s="63"/>
      <c r="H928" s="97" t="str">
        <f>+H927</f>
        <v>B</v>
      </c>
      <c r="I928" s="108" t="s">
        <v>316</v>
      </c>
      <c r="J928" s="107" t="s">
        <v>384</v>
      </c>
      <c r="K928" s="33"/>
      <c r="L928" s="103" t="s">
        <v>292</v>
      </c>
      <c r="M928" s="33"/>
      <c r="N928" s="17">
        <v>3</v>
      </c>
      <c r="P928" s="33"/>
      <c r="Q928" s="33"/>
      <c r="R928" s="102" t="s">
        <v>291</v>
      </c>
      <c r="S928" s="102"/>
      <c r="T928" s="33"/>
      <c r="U928" s="102" t="str">
        <f>+U927</f>
        <v>BMC1321FDR03</v>
      </c>
      <c r="V928" s="101"/>
      <c r="W928" s="101"/>
      <c r="X928" s="17" t="s">
        <v>290</v>
      </c>
      <c r="Y928" s="17" t="s">
        <v>289</v>
      </c>
      <c r="Z928" s="78"/>
      <c r="AC928" s="78"/>
      <c r="AD928" s="19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</row>
    <row r="929" spans="1:53" s="17" customFormat="1" x14ac:dyDescent="0.3">
      <c r="A929" s="101"/>
      <c r="B929" s="101"/>
      <c r="C929" s="106" t="str">
        <f>+C928</f>
        <v>PR4</v>
      </c>
      <c r="D929" s="63"/>
      <c r="E929" s="63"/>
      <c r="H929" s="97" t="str">
        <f>+H928</f>
        <v>B</v>
      </c>
      <c r="I929" s="108" t="s">
        <v>312</v>
      </c>
      <c r="J929" s="107" t="s">
        <v>383</v>
      </c>
      <c r="K929" s="33"/>
      <c r="L929" s="103" t="s">
        <v>292</v>
      </c>
      <c r="M929" s="33"/>
      <c r="N929" s="17">
        <v>3</v>
      </c>
      <c r="P929" s="33"/>
      <c r="Q929" s="33"/>
      <c r="R929" s="102" t="s">
        <v>291</v>
      </c>
      <c r="S929" s="102"/>
      <c r="T929" s="33"/>
      <c r="U929" s="102" t="str">
        <f>+U928</f>
        <v>BMC1321FDR03</v>
      </c>
      <c r="V929" s="101"/>
      <c r="W929" s="101"/>
      <c r="X929" s="17" t="s">
        <v>290</v>
      </c>
      <c r="Y929" s="17" t="s">
        <v>289</v>
      </c>
      <c r="Z929" s="78"/>
      <c r="AC929" s="78"/>
      <c r="AD929" s="19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</row>
    <row r="930" spans="1:53" s="17" customFormat="1" x14ac:dyDescent="0.3">
      <c r="A930" s="101"/>
      <c r="B930" s="101"/>
      <c r="C930" s="106" t="str">
        <f>+C929</f>
        <v>PR4</v>
      </c>
      <c r="D930" s="63"/>
      <c r="E930" s="63"/>
      <c r="H930" s="97" t="str">
        <f>+H929</f>
        <v>B</v>
      </c>
      <c r="I930" s="108" t="s">
        <v>307</v>
      </c>
      <c r="J930" s="107" t="s">
        <v>382</v>
      </c>
      <c r="K930" s="33"/>
      <c r="L930" s="103" t="s">
        <v>292</v>
      </c>
      <c r="M930" s="33"/>
      <c r="N930" s="17">
        <v>3</v>
      </c>
      <c r="P930" s="64"/>
      <c r="Q930" s="64"/>
      <c r="R930" s="102" t="s">
        <v>291</v>
      </c>
      <c r="S930" s="102"/>
      <c r="T930" s="33"/>
      <c r="U930" s="102" t="str">
        <f>+U929</f>
        <v>BMC1321FDR03</v>
      </c>
      <c r="V930" s="101"/>
      <c r="W930" s="101"/>
      <c r="X930" s="17" t="s">
        <v>290</v>
      </c>
      <c r="Y930" s="17" t="s">
        <v>289</v>
      </c>
      <c r="Z930" s="78"/>
      <c r="AC930" s="78"/>
      <c r="AD930" s="19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</row>
    <row r="931" spans="1:53" s="17" customFormat="1" x14ac:dyDescent="0.3">
      <c r="A931" s="101"/>
      <c r="B931" s="101"/>
      <c r="C931" s="106" t="str">
        <f>+C930</f>
        <v>PR4</v>
      </c>
      <c r="D931" s="63"/>
      <c r="E931" s="63"/>
      <c r="H931" s="97" t="str">
        <f>+H930</f>
        <v>B</v>
      </c>
      <c r="I931" s="108" t="s">
        <v>303</v>
      </c>
      <c r="J931" s="107" t="s">
        <v>381</v>
      </c>
      <c r="K931" s="33"/>
      <c r="L931" s="103" t="s">
        <v>292</v>
      </c>
      <c r="M931" s="33"/>
      <c r="N931" s="17">
        <v>3</v>
      </c>
      <c r="P931" s="113"/>
      <c r="Q931" s="113"/>
      <c r="R931" s="102" t="s">
        <v>291</v>
      </c>
      <c r="S931" s="102"/>
      <c r="T931" s="33"/>
      <c r="U931" s="102" t="str">
        <f>+U930</f>
        <v>BMC1321FDR03</v>
      </c>
      <c r="V931" s="101"/>
      <c r="W931" s="101"/>
      <c r="X931" s="17" t="s">
        <v>290</v>
      </c>
      <c r="Y931" s="17" t="s">
        <v>289</v>
      </c>
      <c r="Z931" s="78"/>
      <c r="AC931" s="78"/>
      <c r="AD931" s="19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</row>
    <row r="932" spans="1:53" s="17" customFormat="1" x14ac:dyDescent="0.3">
      <c r="A932" s="101"/>
      <c r="B932" s="101"/>
      <c r="C932" s="106" t="str">
        <f>+C931</f>
        <v>PR4</v>
      </c>
      <c r="D932" s="63"/>
      <c r="E932" s="63"/>
      <c r="H932" s="97" t="str">
        <f>+H931</f>
        <v>B</v>
      </c>
      <c r="I932" s="108" t="s">
        <v>298</v>
      </c>
      <c r="J932" s="107" t="s">
        <v>380</v>
      </c>
      <c r="K932" s="33"/>
      <c r="L932" s="103" t="s">
        <v>292</v>
      </c>
      <c r="M932" s="33"/>
      <c r="N932" s="17">
        <v>3</v>
      </c>
      <c r="P932" s="64"/>
      <c r="Q932" s="64"/>
      <c r="R932" s="102" t="s">
        <v>291</v>
      </c>
      <c r="S932" s="102"/>
      <c r="T932" s="33"/>
      <c r="U932" s="102" t="str">
        <f>+U931</f>
        <v>BMC1321FDR03</v>
      </c>
      <c r="V932" s="101"/>
      <c r="W932" s="101"/>
      <c r="X932" s="17" t="s">
        <v>290</v>
      </c>
      <c r="Y932" s="17" t="s">
        <v>289</v>
      </c>
      <c r="Z932" s="78"/>
      <c r="AC932" s="78"/>
      <c r="AD932" s="19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</row>
    <row r="933" spans="1:53" s="17" customFormat="1" x14ac:dyDescent="0.3">
      <c r="A933" s="101"/>
      <c r="B933" s="101"/>
      <c r="C933" s="106" t="str">
        <f>+C932</f>
        <v>PR4</v>
      </c>
      <c r="D933" s="63"/>
      <c r="E933" s="63"/>
      <c r="H933" s="97" t="str">
        <f>+H932</f>
        <v>B</v>
      </c>
      <c r="I933" s="108" t="s">
        <v>296</v>
      </c>
      <c r="J933" s="107" t="s">
        <v>379</v>
      </c>
      <c r="K933" s="33"/>
      <c r="L933" s="103" t="s">
        <v>292</v>
      </c>
      <c r="M933" s="33"/>
      <c r="N933" s="17">
        <v>3</v>
      </c>
      <c r="P933" s="64"/>
      <c r="Q933" s="64"/>
      <c r="R933" s="102" t="s">
        <v>291</v>
      </c>
      <c r="S933" s="102"/>
      <c r="T933" s="33"/>
      <c r="U933" s="102" t="str">
        <f>+U932</f>
        <v>BMC1321FDR03</v>
      </c>
      <c r="V933" s="101"/>
      <c r="W933" s="101"/>
      <c r="X933" s="17" t="s">
        <v>290</v>
      </c>
      <c r="Y933" s="17" t="s">
        <v>289</v>
      </c>
      <c r="Z933" s="78"/>
      <c r="AC933" s="78"/>
      <c r="AD933" s="19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</row>
    <row r="934" spans="1:53" s="17" customFormat="1" ht="13.5" thickBot="1" x14ac:dyDescent="0.35">
      <c r="A934" s="101"/>
      <c r="B934" s="101"/>
      <c r="C934" s="106" t="str">
        <f>+C933</f>
        <v>PR4</v>
      </c>
      <c r="D934" s="63"/>
      <c r="E934" s="63"/>
      <c r="H934" s="97" t="str">
        <f>+H933</f>
        <v>B</v>
      </c>
      <c r="I934" s="105" t="s">
        <v>294</v>
      </c>
      <c r="J934" s="104" t="s">
        <v>378</v>
      </c>
      <c r="K934" s="33"/>
      <c r="L934" s="103" t="s">
        <v>292</v>
      </c>
      <c r="M934" s="33"/>
      <c r="N934" s="17">
        <v>3</v>
      </c>
      <c r="P934" s="64"/>
      <c r="Q934" s="64"/>
      <c r="R934" s="102" t="s">
        <v>291</v>
      </c>
      <c r="S934" s="102"/>
      <c r="T934" s="33"/>
      <c r="U934" s="102" t="str">
        <f>+U933</f>
        <v>BMC1321FDR03</v>
      </c>
      <c r="V934" s="101"/>
      <c r="W934" s="101"/>
      <c r="X934" s="17" t="s">
        <v>290</v>
      </c>
      <c r="Y934" s="17" t="s">
        <v>289</v>
      </c>
      <c r="Z934" s="78"/>
      <c r="AC934" s="78"/>
      <c r="AD934" s="19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</row>
    <row r="935" spans="1:53" s="17" customFormat="1" x14ac:dyDescent="0.3">
      <c r="A935" s="101"/>
      <c r="B935" s="101"/>
      <c r="C935" s="106" t="str">
        <f>+C934</f>
        <v>PR4</v>
      </c>
      <c r="D935" s="63"/>
      <c r="E935" s="63"/>
      <c r="H935" s="97" t="s">
        <v>322</v>
      </c>
      <c r="I935" s="112" t="s">
        <v>377</v>
      </c>
      <c r="J935" s="111" t="s">
        <v>376</v>
      </c>
      <c r="K935" s="33" t="s">
        <v>375</v>
      </c>
      <c r="L935" s="103" t="s">
        <v>323</v>
      </c>
      <c r="M935" s="33"/>
      <c r="N935" s="17">
        <v>3</v>
      </c>
      <c r="P935" s="64" t="s">
        <v>374</v>
      </c>
      <c r="Q935" s="64"/>
      <c r="R935" s="102" t="s">
        <v>373</v>
      </c>
      <c r="S935" s="102"/>
      <c r="T935" s="33"/>
      <c r="U935" s="102" t="str">
        <f>+U934</f>
        <v>BMC1321FDR03</v>
      </c>
      <c r="V935" s="101"/>
      <c r="W935" s="101"/>
      <c r="X935" s="17" t="s">
        <v>290</v>
      </c>
      <c r="Y935" s="17" t="s">
        <v>289</v>
      </c>
      <c r="Z935" s="78"/>
      <c r="AC935" s="78"/>
      <c r="AD935" s="19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</row>
    <row r="936" spans="1:53" s="17" customFormat="1" x14ac:dyDescent="0.3">
      <c r="A936" s="101"/>
      <c r="B936" s="101"/>
      <c r="C936" s="106" t="str">
        <f>+C935</f>
        <v>PR4</v>
      </c>
      <c r="D936" s="63"/>
      <c r="E936" s="63"/>
      <c r="H936" s="97" t="str">
        <f>+H935</f>
        <v>C</v>
      </c>
      <c r="I936" s="108" t="s">
        <v>372</v>
      </c>
      <c r="J936" s="107" t="s">
        <v>371</v>
      </c>
      <c r="K936" s="33"/>
      <c r="L936" s="103" t="s">
        <v>323</v>
      </c>
      <c r="M936" s="33"/>
      <c r="N936" s="17">
        <v>3</v>
      </c>
      <c r="P936" s="64" t="s">
        <v>370</v>
      </c>
      <c r="Q936" s="64"/>
      <c r="R936" s="102" t="s">
        <v>369</v>
      </c>
      <c r="S936" s="102" t="s">
        <v>364</v>
      </c>
      <c r="T936" s="33"/>
      <c r="U936" s="102" t="str">
        <f>+U935</f>
        <v>BMC1321FDR03</v>
      </c>
      <c r="V936" s="101"/>
      <c r="W936" s="101"/>
      <c r="X936" s="17" t="s">
        <v>290</v>
      </c>
      <c r="Y936" s="17" t="s">
        <v>289</v>
      </c>
      <c r="Z936" s="78"/>
      <c r="AC936" s="78"/>
      <c r="AD936" s="19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</row>
    <row r="937" spans="1:53" s="17" customFormat="1" x14ac:dyDescent="0.3">
      <c r="A937" s="101"/>
      <c r="B937" s="101"/>
      <c r="C937" s="106" t="str">
        <f>+C936</f>
        <v>PR4</v>
      </c>
      <c r="H937" s="97" t="str">
        <f>+H936</f>
        <v>C</v>
      </c>
      <c r="I937" s="108" t="s">
        <v>368</v>
      </c>
      <c r="J937" s="107" t="s">
        <v>367</v>
      </c>
      <c r="K937" s="33"/>
      <c r="L937" s="103" t="s">
        <v>323</v>
      </c>
      <c r="M937" s="33"/>
      <c r="N937" s="17">
        <v>3</v>
      </c>
      <c r="P937" s="64" t="s">
        <v>366</v>
      </c>
      <c r="Q937" s="64"/>
      <c r="R937" s="102" t="s">
        <v>365</v>
      </c>
      <c r="S937" s="102" t="s">
        <v>364</v>
      </c>
      <c r="T937" s="33"/>
      <c r="U937" s="102" t="str">
        <f>+U936</f>
        <v>BMC1321FDR03</v>
      </c>
      <c r="V937" s="101"/>
      <c r="W937" s="101"/>
      <c r="X937" s="17" t="s">
        <v>290</v>
      </c>
      <c r="Y937" s="17" t="s">
        <v>289</v>
      </c>
      <c r="Z937" s="78"/>
      <c r="AC937" s="78"/>
      <c r="AD937" s="19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</row>
    <row r="938" spans="1:53" s="17" customFormat="1" x14ac:dyDescent="0.3">
      <c r="A938" s="101"/>
      <c r="B938" s="101"/>
      <c r="C938" s="106" t="str">
        <f>+C937</f>
        <v>PR4</v>
      </c>
      <c r="D938" s="18"/>
      <c r="E938" s="18"/>
      <c r="H938" s="97" t="str">
        <f>+H937</f>
        <v>C</v>
      </c>
      <c r="I938" s="108" t="s">
        <v>363</v>
      </c>
      <c r="J938" s="107" t="s">
        <v>362</v>
      </c>
      <c r="K938" s="33"/>
      <c r="L938" s="103" t="s">
        <v>323</v>
      </c>
      <c r="M938" s="33"/>
      <c r="N938" s="17">
        <v>3</v>
      </c>
      <c r="P938" s="64" t="s">
        <v>361</v>
      </c>
      <c r="Q938" s="64"/>
      <c r="R938" s="102" t="s">
        <v>360</v>
      </c>
      <c r="S938" s="102" t="s">
        <v>247</v>
      </c>
      <c r="T938" s="33"/>
      <c r="U938" s="102" t="str">
        <f>+U937</f>
        <v>BMC1321FDR03</v>
      </c>
      <c r="V938" s="101"/>
      <c r="W938" s="101"/>
      <c r="X938" s="17" t="s">
        <v>290</v>
      </c>
      <c r="Y938" s="17" t="s">
        <v>289</v>
      </c>
      <c r="Z938" s="78"/>
      <c r="AC938" s="78"/>
      <c r="AD938" s="19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</row>
    <row r="939" spans="1:53" s="17" customFormat="1" x14ac:dyDescent="0.3">
      <c r="A939" s="101"/>
      <c r="B939" s="101"/>
      <c r="C939" s="106" t="str">
        <f>+C938</f>
        <v>PR4</v>
      </c>
      <c r="H939" s="97" t="str">
        <f>+H938</f>
        <v>C</v>
      </c>
      <c r="I939" s="108" t="s">
        <v>359</v>
      </c>
      <c r="J939" s="107" t="s">
        <v>358</v>
      </c>
      <c r="K939" s="33"/>
      <c r="L939" s="103" t="s">
        <v>323</v>
      </c>
      <c r="M939" s="33"/>
      <c r="N939" s="17">
        <v>3</v>
      </c>
      <c r="P939" s="64" t="s">
        <v>357</v>
      </c>
      <c r="Q939" s="64"/>
      <c r="R939" s="102" t="s">
        <v>356</v>
      </c>
      <c r="S939" s="102" t="s">
        <v>247</v>
      </c>
      <c r="T939" s="33"/>
      <c r="U939" s="102" t="str">
        <f>+U938</f>
        <v>BMC1321FDR03</v>
      </c>
      <c r="V939" s="101"/>
      <c r="W939" s="101"/>
      <c r="X939" s="17" t="s">
        <v>290</v>
      </c>
      <c r="Y939" s="17" t="s">
        <v>289</v>
      </c>
      <c r="Z939" s="78"/>
      <c r="AC939" s="78"/>
      <c r="AD939" s="19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</row>
    <row r="940" spans="1:53" s="17" customFormat="1" x14ac:dyDescent="0.3">
      <c r="A940" s="101"/>
      <c r="B940" s="101"/>
      <c r="C940" s="106" t="str">
        <f>+C939</f>
        <v>PR4</v>
      </c>
      <c r="D940" s="18"/>
      <c r="E940" s="18"/>
      <c r="H940" s="97" t="str">
        <f>+H939</f>
        <v>C</v>
      </c>
      <c r="I940" s="108" t="s">
        <v>355</v>
      </c>
      <c r="J940" s="107" t="s">
        <v>354</v>
      </c>
      <c r="K940" s="33"/>
      <c r="L940" s="103" t="s">
        <v>323</v>
      </c>
      <c r="M940" s="33"/>
      <c r="N940" s="17">
        <v>3</v>
      </c>
      <c r="P940" s="64" t="s">
        <v>353</v>
      </c>
      <c r="Q940" s="64"/>
      <c r="R940" s="102" t="s">
        <v>352</v>
      </c>
      <c r="S940" s="102" t="s">
        <v>247</v>
      </c>
      <c r="T940" s="33"/>
      <c r="U940" s="102" t="str">
        <f>+U939</f>
        <v>BMC1321FDR03</v>
      </c>
      <c r="V940" s="101"/>
      <c r="W940" s="101"/>
      <c r="X940" s="17" t="s">
        <v>290</v>
      </c>
      <c r="Y940" s="17" t="s">
        <v>289</v>
      </c>
      <c r="Z940" s="78"/>
      <c r="AC940" s="78"/>
      <c r="AD940" s="19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</row>
    <row r="941" spans="1:53" s="17" customFormat="1" x14ac:dyDescent="0.3">
      <c r="A941" s="101"/>
      <c r="B941" s="101"/>
      <c r="C941" s="106" t="str">
        <f>+C940</f>
        <v>PR4</v>
      </c>
      <c r="H941" s="97" t="str">
        <f>+H940</f>
        <v>C</v>
      </c>
      <c r="I941" s="108" t="s">
        <v>351</v>
      </c>
      <c r="J941" s="107" t="s">
        <v>350</v>
      </c>
      <c r="K941" s="33"/>
      <c r="L941" s="103" t="s">
        <v>323</v>
      </c>
      <c r="M941" s="33"/>
      <c r="N941" s="17">
        <v>3</v>
      </c>
      <c r="R941" s="102" t="s">
        <v>291</v>
      </c>
      <c r="T941" s="33"/>
      <c r="U941" s="102" t="str">
        <f>+U940</f>
        <v>BMC1321FDR03</v>
      </c>
      <c r="V941" s="101"/>
      <c r="W941" s="101"/>
      <c r="X941" s="17" t="s">
        <v>290</v>
      </c>
      <c r="Y941" s="17" t="s">
        <v>289</v>
      </c>
      <c r="Z941" s="78"/>
      <c r="AC941" s="78"/>
      <c r="AD941" s="19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</row>
    <row r="942" spans="1:53" s="17" customFormat="1" x14ac:dyDescent="0.3">
      <c r="A942" s="101"/>
      <c r="B942" s="101"/>
      <c r="C942" s="106" t="str">
        <f>+C941</f>
        <v>PR4</v>
      </c>
      <c r="D942" s="33"/>
      <c r="E942" s="100"/>
      <c r="F942" s="33"/>
      <c r="G942" s="33"/>
      <c r="H942" s="97" t="str">
        <f>+H941</f>
        <v>C</v>
      </c>
      <c r="I942" s="108" t="s">
        <v>349</v>
      </c>
      <c r="J942" s="107" t="s">
        <v>348</v>
      </c>
      <c r="K942" s="33"/>
      <c r="L942" s="103" t="s">
        <v>323</v>
      </c>
      <c r="M942" s="33"/>
      <c r="N942" s="17">
        <v>3</v>
      </c>
      <c r="P942" s="102" t="s">
        <v>347</v>
      </c>
      <c r="Q942" s="102"/>
      <c r="R942" s="102" t="s">
        <v>346</v>
      </c>
      <c r="S942" s="102" t="s">
        <v>211</v>
      </c>
      <c r="T942" s="33"/>
      <c r="U942" s="102" t="str">
        <f>+U941</f>
        <v>BMC1321FDR03</v>
      </c>
      <c r="V942" s="101"/>
      <c r="W942" s="101"/>
      <c r="X942" s="17" t="s">
        <v>290</v>
      </c>
      <c r="Y942" s="17" t="s">
        <v>289</v>
      </c>
      <c r="Z942" s="78"/>
      <c r="AC942" s="78"/>
      <c r="AD942" s="19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</row>
    <row r="943" spans="1:53" s="17" customFormat="1" x14ac:dyDescent="0.3">
      <c r="A943" s="101"/>
      <c r="B943" s="101"/>
      <c r="C943" s="106" t="str">
        <f>+C942</f>
        <v>PR4</v>
      </c>
      <c r="D943" s="33"/>
      <c r="E943" s="33"/>
      <c r="F943" s="33"/>
      <c r="G943" s="33"/>
      <c r="H943" s="97" t="str">
        <f>+H942</f>
        <v>C</v>
      </c>
      <c r="I943" s="108" t="s">
        <v>345</v>
      </c>
      <c r="J943" s="107" t="s">
        <v>344</v>
      </c>
      <c r="K943" s="33"/>
      <c r="L943" s="103" t="s">
        <v>323</v>
      </c>
      <c r="M943" s="33"/>
      <c r="N943" s="83">
        <v>6</v>
      </c>
      <c r="O943" s="83"/>
      <c r="P943" s="92" t="s">
        <v>343</v>
      </c>
      <c r="Q943" s="83"/>
      <c r="R943" s="109" t="s">
        <v>342</v>
      </c>
      <c r="S943" s="109" t="s">
        <v>211</v>
      </c>
      <c r="T943" s="33"/>
      <c r="U943" s="102" t="str">
        <f>+U942</f>
        <v>BMC1321FDR03</v>
      </c>
      <c r="V943" s="101"/>
      <c r="W943" s="101"/>
      <c r="X943" s="17" t="s">
        <v>290</v>
      </c>
      <c r="Y943" s="17" t="s">
        <v>289</v>
      </c>
      <c r="Z943" s="78"/>
      <c r="AC943" s="78"/>
      <c r="AD943" s="19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</row>
    <row r="944" spans="1:53" s="17" customFormat="1" x14ac:dyDescent="0.3">
      <c r="A944" s="101"/>
      <c r="B944" s="101"/>
      <c r="C944" s="106" t="str">
        <f>+C943</f>
        <v>PR4</v>
      </c>
      <c r="D944" s="33"/>
      <c r="E944" s="33"/>
      <c r="F944" s="33"/>
      <c r="G944" s="33"/>
      <c r="H944" s="97" t="str">
        <f>+H943</f>
        <v>C</v>
      </c>
      <c r="I944" s="108" t="s">
        <v>341</v>
      </c>
      <c r="J944" s="107" t="s">
        <v>340</v>
      </c>
      <c r="K944" s="33"/>
      <c r="L944" s="103" t="s">
        <v>323</v>
      </c>
      <c r="M944" s="33"/>
      <c r="N944" s="17">
        <v>3</v>
      </c>
      <c r="P944" s="64" t="s">
        <v>339</v>
      </c>
      <c r="Q944" s="64"/>
      <c r="R944" s="102" t="s">
        <v>338</v>
      </c>
      <c r="S944" s="102" t="s">
        <v>299</v>
      </c>
      <c r="T944" s="33"/>
      <c r="U944" s="102" t="str">
        <f>+U943</f>
        <v>BMC1321FDR03</v>
      </c>
      <c r="V944" s="101"/>
      <c r="W944" s="101"/>
      <c r="X944" s="17" t="s">
        <v>290</v>
      </c>
      <c r="Y944" s="17" t="s">
        <v>289</v>
      </c>
      <c r="Z944" s="78"/>
      <c r="AC944" s="78"/>
      <c r="AD944" s="19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</row>
    <row r="945" spans="1:53" s="17" customFormat="1" x14ac:dyDescent="0.3">
      <c r="A945" s="101"/>
      <c r="B945" s="101"/>
      <c r="C945" s="106" t="str">
        <f>+C944</f>
        <v>PR4</v>
      </c>
      <c r="D945" s="33"/>
      <c r="E945" s="33"/>
      <c r="F945" s="33"/>
      <c r="G945" s="33"/>
      <c r="H945" s="97" t="str">
        <f>+H944</f>
        <v>C</v>
      </c>
      <c r="I945" s="108" t="s">
        <v>337</v>
      </c>
      <c r="J945" s="107" t="s">
        <v>336</v>
      </c>
      <c r="K945" s="33"/>
      <c r="L945" s="103" t="s">
        <v>323</v>
      </c>
      <c r="M945" s="33"/>
      <c r="N945" s="17">
        <v>3</v>
      </c>
      <c r="P945" s="64" t="s">
        <v>335</v>
      </c>
      <c r="Q945" s="64"/>
      <c r="R945" s="102" t="s">
        <v>334</v>
      </c>
      <c r="S945" s="102" t="s">
        <v>299</v>
      </c>
      <c r="T945" s="33"/>
      <c r="U945" s="102" t="str">
        <f>+U944</f>
        <v>BMC1321FDR03</v>
      </c>
      <c r="V945" s="101"/>
      <c r="W945" s="101"/>
      <c r="X945" s="17" t="s">
        <v>290</v>
      </c>
      <c r="Y945" s="17" t="s">
        <v>289</v>
      </c>
      <c r="Z945" s="78"/>
      <c r="AC945" s="78"/>
      <c r="AD945" s="19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</row>
    <row r="946" spans="1:53" s="17" customFormat="1" x14ac:dyDescent="0.3">
      <c r="A946" s="101"/>
      <c r="B946" s="101"/>
      <c r="C946" s="106" t="str">
        <f>+C945</f>
        <v>PR4</v>
      </c>
      <c r="D946" s="33"/>
      <c r="E946" s="33"/>
      <c r="F946" s="33"/>
      <c r="G946" s="33"/>
      <c r="H946" s="97" t="str">
        <f>+H945</f>
        <v>C</v>
      </c>
      <c r="I946" s="108" t="s">
        <v>333</v>
      </c>
      <c r="J946" s="107" t="s">
        <v>332</v>
      </c>
      <c r="K946" s="33"/>
      <c r="L946" s="103" t="s">
        <v>323</v>
      </c>
      <c r="M946" s="33"/>
      <c r="N946" s="83">
        <v>6</v>
      </c>
      <c r="O946" s="83"/>
      <c r="P946" s="92" t="s">
        <v>331</v>
      </c>
      <c r="Q946" s="64"/>
      <c r="R946" s="109" t="s">
        <v>330</v>
      </c>
      <c r="S946" s="102" t="s">
        <v>299</v>
      </c>
      <c r="T946" s="33"/>
      <c r="U946" s="102" t="str">
        <f>+U945</f>
        <v>BMC1321FDR03</v>
      </c>
      <c r="V946" s="101"/>
      <c r="W946" s="101"/>
      <c r="X946" s="17" t="s">
        <v>290</v>
      </c>
      <c r="Y946" s="17" t="s">
        <v>289</v>
      </c>
      <c r="Z946" s="78"/>
      <c r="AC946" s="78"/>
      <c r="AD946" s="19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</row>
    <row r="947" spans="1:53" s="17" customFormat="1" x14ac:dyDescent="0.3">
      <c r="A947" s="101"/>
      <c r="B947" s="101"/>
      <c r="C947" s="106" t="str">
        <f>+C946</f>
        <v>PR4</v>
      </c>
      <c r="D947" s="33"/>
      <c r="E947" s="33"/>
      <c r="F947" s="33"/>
      <c r="G947" s="33"/>
      <c r="H947" s="97" t="str">
        <f>+H946</f>
        <v>C</v>
      </c>
      <c r="I947" s="108" t="s">
        <v>329</v>
      </c>
      <c r="J947" s="107" t="s">
        <v>328</v>
      </c>
      <c r="K947" s="33"/>
      <c r="L947" s="103" t="s">
        <v>323</v>
      </c>
      <c r="M947" s="33"/>
      <c r="N947" s="83">
        <v>6</v>
      </c>
      <c r="P947" s="92" t="s">
        <v>327</v>
      </c>
      <c r="Q947" s="92"/>
      <c r="R947" s="109" t="s">
        <v>326</v>
      </c>
      <c r="S947" s="109" t="s">
        <v>299</v>
      </c>
      <c r="T947" s="33"/>
      <c r="U947" s="102" t="str">
        <f>+U946</f>
        <v>BMC1321FDR03</v>
      </c>
      <c r="V947" s="101"/>
      <c r="W947" s="101"/>
      <c r="X947" s="17" t="s">
        <v>290</v>
      </c>
      <c r="Y947" s="17" t="s">
        <v>289</v>
      </c>
      <c r="Z947" s="78"/>
      <c r="AC947" s="78"/>
      <c r="AD947" s="19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</row>
    <row r="948" spans="1:53" s="17" customFormat="1" ht="13.5" thickBot="1" x14ac:dyDescent="0.35">
      <c r="A948" s="101"/>
      <c r="B948" s="101"/>
      <c r="C948" s="106" t="str">
        <f>+C947</f>
        <v>PR4</v>
      </c>
      <c r="D948" s="33"/>
      <c r="E948" s="33"/>
      <c r="F948" s="33"/>
      <c r="G948" s="33"/>
      <c r="H948" s="97" t="str">
        <f>+H947</f>
        <v>C</v>
      </c>
      <c r="I948" s="105" t="s">
        <v>325</v>
      </c>
      <c r="J948" s="104" t="s">
        <v>324</v>
      </c>
      <c r="K948" s="33"/>
      <c r="L948" s="103" t="s">
        <v>323</v>
      </c>
      <c r="M948" s="33"/>
      <c r="N948" s="83">
        <v>6</v>
      </c>
      <c r="P948" s="92"/>
      <c r="Q948" s="92"/>
      <c r="R948" s="109"/>
      <c r="S948" s="109"/>
      <c r="T948" s="33"/>
      <c r="U948" s="102" t="str">
        <f>+U947</f>
        <v>BMC1321FDR03</v>
      </c>
      <c r="V948" s="101"/>
      <c r="W948" s="101"/>
      <c r="X948" s="17" t="s">
        <v>290</v>
      </c>
      <c r="Y948" s="17" t="s">
        <v>289</v>
      </c>
      <c r="Z948" s="78"/>
      <c r="AC948" s="78"/>
      <c r="AD948" s="19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</row>
    <row r="949" spans="1:53" s="17" customFormat="1" x14ac:dyDescent="0.3">
      <c r="A949" s="101"/>
      <c r="B949" s="101"/>
      <c r="C949" s="106" t="str">
        <f>+C948</f>
        <v>PR4</v>
      </c>
      <c r="D949" s="33"/>
      <c r="E949" s="33"/>
      <c r="F949" s="33"/>
      <c r="G949" s="33"/>
      <c r="H949" s="97" t="s">
        <v>322</v>
      </c>
      <c r="I949" s="112" t="s">
        <v>321</v>
      </c>
      <c r="J949" s="111" t="s">
        <v>320</v>
      </c>
      <c r="K949" s="33"/>
      <c r="L949" s="103" t="s">
        <v>292</v>
      </c>
      <c r="M949" s="33"/>
      <c r="N949" s="17">
        <v>3</v>
      </c>
      <c r="P949" s="64" t="s">
        <v>319</v>
      </c>
      <c r="Q949" s="64"/>
      <c r="R949" s="102" t="s">
        <v>318</v>
      </c>
      <c r="S949" s="102" t="s">
        <v>317</v>
      </c>
      <c r="T949" s="33"/>
      <c r="U949" s="102" t="str">
        <f>+U948</f>
        <v>BMC1321FDR03</v>
      </c>
      <c r="V949" s="101"/>
      <c r="W949" s="101"/>
      <c r="X949" s="17" t="s">
        <v>290</v>
      </c>
      <c r="Y949" s="17" t="s">
        <v>289</v>
      </c>
      <c r="Z949" s="78"/>
      <c r="AC949" s="78"/>
      <c r="AD949" s="19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</row>
    <row r="950" spans="1:53" s="17" customFormat="1" x14ac:dyDescent="0.3">
      <c r="A950" s="101"/>
      <c r="B950" s="101"/>
      <c r="C950" s="106" t="str">
        <f>+C949</f>
        <v>PR4</v>
      </c>
      <c r="D950" s="33"/>
      <c r="E950" s="33"/>
      <c r="F950" s="33"/>
      <c r="G950" s="33"/>
      <c r="H950" s="97" t="str">
        <f>+H949</f>
        <v>C</v>
      </c>
      <c r="I950" s="108" t="s">
        <v>316</v>
      </c>
      <c r="J950" s="107" t="s">
        <v>315</v>
      </c>
      <c r="K950" s="33"/>
      <c r="L950" s="103" t="s">
        <v>292</v>
      </c>
      <c r="M950" s="33"/>
      <c r="N950" s="17">
        <v>3</v>
      </c>
      <c r="P950" s="64" t="s">
        <v>314</v>
      </c>
      <c r="Q950" s="64"/>
      <c r="R950" s="102" t="s">
        <v>309</v>
      </c>
      <c r="S950" s="102" t="s">
        <v>313</v>
      </c>
      <c r="T950" s="33"/>
      <c r="U950" s="102" t="str">
        <f>+U949</f>
        <v>BMC1321FDR03</v>
      </c>
      <c r="V950" s="101"/>
      <c r="W950" s="101"/>
      <c r="X950" s="17" t="s">
        <v>290</v>
      </c>
      <c r="Y950" s="17" t="s">
        <v>289</v>
      </c>
      <c r="Z950" s="78"/>
      <c r="AC950" s="78"/>
      <c r="AD950" s="19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</row>
    <row r="951" spans="1:53" s="17" customFormat="1" x14ac:dyDescent="0.3">
      <c r="A951" s="101"/>
      <c r="B951" s="101"/>
      <c r="C951" s="106" t="str">
        <f>+C950</f>
        <v>PR4</v>
      </c>
      <c r="D951" s="33"/>
      <c r="E951" s="33"/>
      <c r="F951" s="33"/>
      <c r="G951" s="33"/>
      <c r="H951" s="97" t="str">
        <f>+H950</f>
        <v>C</v>
      </c>
      <c r="I951" s="108" t="s">
        <v>312</v>
      </c>
      <c r="J951" s="107" t="s">
        <v>311</v>
      </c>
      <c r="K951" s="33"/>
      <c r="L951" s="103" t="s">
        <v>292</v>
      </c>
      <c r="M951" s="33"/>
      <c r="N951" s="17">
        <v>3</v>
      </c>
      <c r="P951" s="64" t="s">
        <v>310</v>
      </c>
      <c r="Q951" s="64"/>
      <c r="R951" s="102" t="s">
        <v>309</v>
      </c>
      <c r="S951" s="102" t="s">
        <v>308</v>
      </c>
      <c r="T951" s="33"/>
      <c r="U951" s="102" t="str">
        <f>+U950</f>
        <v>BMC1321FDR03</v>
      </c>
      <c r="V951" s="101"/>
      <c r="W951" s="101"/>
      <c r="X951" s="17" t="s">
        <v>290</v>
      </c>
      <c r="Y951" s="17" t="s">
        <v>289</v>
      </c>
      <c r="Z951" s="78"/>
      <c r="AC951" s="78"/>
      <c r="AD951" s="19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</row>
    <row r="952" spans="1:53" s="17" customFormat="1" x14ac:dyDescent="0.3">
      <c r="A952" s="33"/>
      <c r="B952" s="33"/>
      <c r="C952" s="106" t="str">
        <f>+C951</f>
        <v>PR4</v>
      </c>
      <c r="D952" s="33"/>
      <c r="E952" s="33"/>
      <c r="F952" s="33"/>
      <c r="G952" s="33"/>
      <c r="H952" s="97" t="str">
        <f>+H951</f>
        <v>C</v>
      </c>
      <c r="I952" s="108" t="s">
        <v>307</v>
      </c>
      <c r="J952" s="107" t="s">
        <v>306</v>
      </c>
      <c r="K952" s="33"/>
      <c r="L952" s="103" t="s">
        <v>292</v>
      </c>
      <c r="M952" s="33"/>
      <c r="N952" s="83">
        <v>6</v>
      </c>
      <c r="O952" s="83"/>
      <c r="P952" s="92" t="s">
        <v>305</v>
      </c>
      <c r="Q952" s="110"/>
      <c r="R952" s="109" t="s">
        <v>304</v>
      </c>
      <c r="S952" s="109" t="s">
        <v>211</v>
      </c>
      <c r="T952" s="33"/>
      <c r="U952" s="102" t="str">
        <f>+U951</f>
        <v>BMC1321FDR03</v>
      </c>
      <c r="V952" s="101"/>
      <c r="W952" s="101"/>
      <c r="X952" s="17" t="s">
        <v>290</v>
      </c>
      <c r="Y952" s="17" t="s">
        <v>289</v>
      </c>
      <c r="Z952" s="78"/>
      <c r="AC952" s="19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</row>
    <row r="953" spans="1:53" s="17" customFormat="1" x14ac:dyDescent="0.3">
      <c r="A953" s="33"/>
      <c r="B953" s="33"/>
      <c r="C953" s="106" t="str">
        <f>+C952</f>
        <v>PR4</v>
      </c>
      <c r="D953" s="33"/>
      <c r="E953" s="33"/>
      <c r="F953" s="33"/>
      <c r="G953" s="33"/>
      <c r="H953" s="97" t="str">
        <f>+H952</f>
        <v>C</v>
      </c>
      <c r="I953" s="108" t="s">
        <v>303</v>
      </c>
      <c r="J953" s="107" t="s">
        <v>302</v>
      </c>
      <c r="K953" s="33"/>
      <c r="L953" s="103" t="s">
        <v>292</v>
      </c>
      <c r="M953" s="33"/>
      <c r="N953" s="83">
        <v>6</v>
      </c>
      <c r="P953" s="92" t="s">
        <v>301</v>
      </c>
      <c r="Q953" s="33"/>
      <c r="R953" s="109" t="s">
        <v>300</v>
      </c>
      <c r="S953" s="102" t="s">
        <v>299</v>
      </c>
      <c r="T953" s="33"/>
      <c r="U953" s="102" t="str">
        <f>+U952</f>
        <v>BMC1321FDR03</v>
      </c>
      <c r="V953" s="101"/>
      <c r="W953" s="101"/>
      <c r="X953" s="17" t="s">
        <v>290</v>
      </c>
      <c r="Y953" s="17" t="s">
        <v>289</v>
      </c>
      <c r="Z953" s="78"/>
      <c r="AC953" s="19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</row>
    <row r="954" spans="1:53" s="17" customFormat="1" x14ac:dyDescent="0.3">
      <c r="A954" s="33"/>
      <c r="B954" s="33"/>
      <c r="C954" s="106" t="str">
        <f>+C953</f>
        <v>PR4</v>
      </c>
      <c r="D954" s="33"/>
      <c r="E954" s="33"/>
      <c r="F954" s="33"/>
      <c r="G954" s="33"/>
      <c r="H954" s="97" t="str">
        <f>+H953</f>
        <v>C</v>
      </c>
      <c r="I954" s="108" t="s">
        <v>298</v>
      </c>
      <c r="J954" s="107" t="s">
        <v>297</v>
      </c>
      <c r="K954" s="33"/>
      <c r="L954" s="103" t="s">
        <v>292</v>
      </c>
      <c r="M954" s="33"/>
      <c r="N954" s="17">
        <v>3</v>
      </c>
      <c r="P954" s="33"/>
      <c r="Q954" s="33"/>
      <c r="R954" s="102" t="s">
        <v>291</v>
      </c>
      <c r="S954" s="102"/>
      <c r="T954" s="33"/>
      <c r="U954" s="102" t="str">
        <f>+U953</f>
        <v>BMC1321FDR03</v>
      </c>
      <c r="V954" s="101"/>
      <c r="W954" s="101"/>
      <c r="X954" s="17" t="s">
        <v>290</v>
      </c>
      <c r="Y954" s="17" t="s">
        <v>289</v>
      </c>
      <c r="Z954" s="78"/>
      <c r="AC954" s="19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</row>
    <row r="955" spans="1:53" s="17" customFormat="1" x14ac:dyDescent="0.3">
      <c r="A955" s="33"/>
      <c r="B955" s="33"/>
      <c r="C955" s="106" t="str">
        <f>+C954</f>
        <v>PR4</v>
      </c>
      <c r="D955" s="33"/>
      <c r="E955" s="33"/>
      <c r="F955" s="33"/>
      <c r="G955" s="33"/>
      <c r="H955" s="97" t="str">
        <f>+H954</f>
        <v>C</v>
      </c>
      <c r="I955" s="108" t="s">
        <v>296</v>
      </c>
      <c r="J955" s="107" t="s">
        <v>295</v>
      </c>
      <c r="K955" s="33"/>
      <c r="L955" s="103" t="s">
        <v>292</v>
      </c>
      <c r="M955" s="33"/>
      <c r="N955" s="17">
        <v>3</v>
      </c>
      <c r="P955" s="33"/>
      <c r="Q955" s="33"/>
      <c r="R955" s="102" t="s">
        <v>291</v>
      </c>
      <c r="S955" s="102"/>
      <c r="T955" s="33"/>
      <c r="U955" s="102" t="str">
        <f>+U954</f>
        <v>BMC1321FDR03</v>
      </c>
      <c r="V955" s="101"/>
      <c r="W955" s="101"/>
      <c r="X955" s="17" t="s">
        <v>290</v>
      </c>
      <c r="Y955" s="17" t="s">
        <v>289</v>
      </c>
      <c r="Z955" s="78"/>
      <c r="AC955" s="19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</row>
    <row r="956" spans="1:53" s="17" customFormat="1" ht="13.5" thickBot="1" x14ac:dyDescent="0.35">
      <c r="A956" s="33"/>
      <c r="B956" s="33"/>
      <c r="C956" s="106" t="str">
        <f>+C955</f>
        <v>PR4</v>
      </c>
      <c r="D956" s="33"/>
      <c r="E956" s="33"/>
      <c r="F956" s="33"/>
      <c r="G956" s="33"/>
      <c r="H956" s="97" t="str">
        <f>+H955</f>
        <v>C</v>
      </c>
      <c r="I956" s="105" t="s">
        <v>294</v>
      </c>
      <c r="J956" s="104" t="s">
        <v>293</v>
      </c>
      <c r="K956" s="33"/>
      <c r="L956" s="103" t="s">
        <v>292</v>
      </c>
      <c r="M956" s="33"/>
      <c r="N956" s="17">
        <v>3</v>
      </c>
      <c r="P956" s="33"/>
      <c r="Q956" s="33"/>
      <c r="R956" s="102" t="s">
        <v>291</v>
      </c>
      <c r="S956" s="102"/>
      <c r="T956" s="33"/>
      <c r="U956" s="102" t="str">
        <f>+U955</f>
        <v>BMC1321FDR03</v>
      </c>
      <c r="V956" s="101"/>
      <c r="W956" s="101"/>
      <c r="X956" s="17" t="s">
        <v>290</v>
      </c>
      <c r="Y956" s="17" t="s">
        <v>289</v>
      </c>
      <c r="Z956" s="78"/>
      <c r="AC956" s="19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</row>
    <row r="957" spans="1:53" s="17" customFormat="1" x14ac:dyDescent="0.3">
      <c r="A957" s="33"/>
      <c r="B957" s="33"/>
      <c r="C957" s="33"/>
      <c r="D957" s="33"/>
      <c r="E957" s="100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C957" s="19"/>
      <c r="AD957" s="18"/>
      <c r="AE957" s="18"/>
      <c r="AF957" s="18"/>
      <c r="AG957" s="18"/>
      <c r="AH957" s="18"/>
      <c r="AI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</row>
    <row r="958" spans="1:53" s="17" customFormat="1" x14ac:dyDescent="0.3">
      <c r="A958" s="33"/>
      <c r="B958" s="33"/>
      <c r="C958" s="33"/>
      <c r="D958" s="33"/>
      <c r="E958" s="100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C958" s="19"/>
      <c r="AD958" s="18"/>
      <c r="AE958" s="18"/>
      <c r="AF958" s="18"/>
      <c r="AG958" s="18"/>
      <c r="AH958" s="18"/>
      <c r="AI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</row>
    <row r="959" spans="1:53" s="17" customFormat="1" ht="15.5" x14ac:dyDescent="0.35">
      <c r="A959" s="96" t="s">
        <v>288</v>
      </c>
      <c r="B959" s="80"/>
      <c r="C959" s="63"/>
      <c r="D959" s="63"/>
      <c r="E959" s="63"/>
      <c r="F959" s="63"/>
      <c r="G959" s="63"/>
      <c r="H959" s="63"/>
      <c r="I959" s="63"/>
      <c r="J959" s="63"/>
      <c r="P959" s="68"/>
      <c r="Q959" s="68"/>
      <c r="R959" s="68"/>
      <c r="S959" s="68"/>
      <c r="T959" s="68"/>
      <c r="U959" s="68"/>
      <c r="V959" s="68"/>
      <c r="W959" s="68"/>
      <c r="X959" s="69"/>
      <c r="Y959" s="69"/>
      <c r="Z959" s="69"/>
      <c r="AC959" s="69"/>
      <c r="AD959" s="18"/>
      <c r="AE959" s="18"/>
      <c r="AF959" s="18"/>
      <c r="AG959" s="18"/>
      <c r="AH959" s="18"/>
      <c r="AI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</row>
    <row r="960" spans="1:53" s="17" customFormat="1" ht="13.5" thickBot="1" x14ac:dyDescent="0.35">
      <c r="A960" s="90"/>
      <c r="B960" s="90"/>
      <c r="C960" s="90"/>
      <c r="D960" s="94"/>
      <c r="E960" s="95"/>
      <c r="F960" s="94"/>
      <c r="G960" s="94"/>
      <c r="H960" s="90"/>
      <c r="I960" s="90"/>
      <c r="J960" s="90"/>
      <c r="K960" s="99" t="s">
        <v>287</v>
      </c>
      <c r="L960" s="93"/>
      <c r="M960" s="93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83"/>
      <c r="Z960" s="92"/>
      <c r="AC960" s="18"/>
      <c r="AD960" s="18"/>
      <c r="AE960" s="18"/>
      <c r="AF960" s="18"/>
      <c r="AG960" s="18"/>
      <c r="AH960" s="18"/>
      <c r="AI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</row>
    <row r="961" spans="1:53" s="17" customFormat="1" ht="13.5" thickBot="1" x14ac:dyDescent="0.35">
      <c r="A961" s="63"/>
      <c r="B961" s="63"/>
      <c r="C961" s="63"/>
      <c r="D961" s="63"/>
      <c r="E961" s="63">
        <v>1</v>
      </c>
      <c r="F961" s="63">
        <v>0</v>
      </c>
      <c r="G961" s="63">
        <v>0</v>
      </c>
      <c r="H961" s="89">
        <v>0</v>
      </c>
      <c r="I961" s="88" t="s">
        <v>277</v>
      </c>
      <c r="J961" s="87"/>
      <c r="K961" s="84">
        <v>1059305</v>
      </c>
      <c r="L961" s="91" t="s">
        <v>286</v>
      </c>
      <c r="P961" s="90" t="s">
        <v>275</v>
      </c>
      <c r="Q961" s="90"/>
      <c r="R961" s="68"/>
      <c r="S961" s="68"/>
      <c r="T961" s="68"/>
      <c r="U961" s="68"/>
      <c r="V961" s="68"/>
      <c r="W961" s="17" t="str">
        <f>+CONCATENATE(E961,".",F961,"\",G961,".",H961,":",I961)</f>
        <v>1.0\0.0:CPU SLC1</v>
      </c>
      <c r="X961" s="17" t="s">
        <v>145</v>
      </c>
      <c r="Y961" s="17">
        <v>0</v>
      </c>
      <c r="Z961" s="69"/>
      <c r="AC961" s="18"/>
      <c r="AD961" s="18"/>
      <c r="AE961" s="18"/>
      <c r="AF961" s="18"/>
      <c r="AG961" s="18"/>
      <c r="AH961" s="18"/>
      <c r="AI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</row>
    <row r="962" spans="1:53" s="17" customFormat="1" ht="13.5" thickBot="1" x14ac:dyDescent="0.35">
      <c r="A962" s="63"/>
      <c r="B962" s="63"/>
      <c r="C962" s="63"/>
      <c r="D962" s="63"/>
      <c r="E962" s="63">
        <f>+E961</f>
        <v>1</v>
      </c>
      <c r="F962" s="63">
        <f>+F961</f>
        <v>0</v>
      </c>
      <c r="G962" s="63">
        <v>0</v>
      </c>
      <c r="H962" s="89">
        <v>13</v>
      </c>
      <c r="I962" s="88" t="s">
        <v>274</v>
      </c>
      <c r="J962" s="87"/>
      <c r="K962" s="65">
        <v>1044073</v>
      </c>
      <c r="N962" s="18"/>
      <c r="O962" s="18"/>
      <c r="P962" s="68"/>
      <c r="Q962" s="68"/>
      <c r="R962" s="68"/>
      <c r="S962" s="68"/>
      <c r="T962" s="68"/>
      <c r="U962" s="68"/>
      <c r="V962" s="68"/>
      <c r="W962" s="17" t="str">
        <f>+CONCATENATE(E962,".",F962,"\",G962,".",H962,":",I962)</f>
        <v>1.0\0.13:COMMS</v>
      </c>
      <c r="X962" s="17" t="s">
        <v>145</v>
      </c>
      <c r="Y962" s="17">
        <v>0</v>
      </c>
      <c r="Z962" s="69"/>
      <c r="AC962" s="18"/>
      <c r="AD962" s="18"/>
      <c r="AE962" s="18"/>
      <c r="AF962" s="18"/>
      <c r="AG962" s="18"/>
      <c r="AH962" s="18"/>
      <c r="AI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</row>
    <row r="963" spans="1:53" s="17" customFormat="1" x14ac:dyDescent="0.3">
      <c r="A963" s="86" t="s">
        <v>273</v>
      </c>
      <c r="B963" s="63" t="s">
        <v>272</v>
      </c>
      <c r="C963" s="68" t="s">
        <v>271</v>
      </c>
      <c r="D963" s="63" t="s">
        <v>285</v>
      </c>
      <c r="E963" s="63">
        <f>+E962</f>
        <v>1</v>
      </c>
      <c r="F963" s="63">
        <f>+F962</f>
        <v>0</v>
      </c>
      <c r="G963" s="63">
        <f>+G962</f>
        <v>0</v>
      </c>
      <c r="H963" s="72">
        <v>1</v>
      </c>
      <c r="I963" s="77">
        <v>1</v>
      </c>
      <c r="J963" s="76" t="s">
        <v>269</v>
      </c>
      <c r="K963" s="85" t="s">
        <v>268</v>
      </c>
      <c r="L963" s="79" t="s">
        <v>244</v>
      </c>
      <c r="M963" s="79"/>
      <c r="N963" s="18">
        <v>3</v>
      </c>
      <c r="O963" s="18"/>
      <c r="P963" s="17" t="s">
        <v>267</v>
      </c>
      <c r="R963" s="17" t="s">
        <v>266</v>
      </c>
      <c r="S963" s="17" t="s">
        <v>262</v>
      </c>
      <c r="U963" s="68" t="s">
        <v>194</v>
      </c>
      <c r="V963" s="68"/>
      <c r="W963" s="17" t="str">
        <f>+CONCATENATE(E963,".",F963,"\",G963,".",H963,":",I963)</f>
        <v>1.0\0.1:1</v>
      </c>
      <c r="X963" s="17" t="s">
        <v>145</v>
      </c>
      <c r="Y963" s="17">
        <v>0</v>
      </c>
      <c r="Z963" s="69"/>
      <c r="AC963" s="18"/>
      <c r="AD963" s="18"/>
      <c r="AE963" s="18"/>
      <c r="AF963" s="18"/>
      <c r="AG963" s="18"/>
      <c r="AH963" s="18"/>
      <c r="AI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</row>
    <row r="964" spans="1:53" s="17" customFormat="1" x14ac:dyDescent="0.3">
      <c r="A964" s="21" t="str">
        <f>+A963</f>
        <v>BSR132</v>
      </c>
      <c r="B964" s="21" t="str">
        <f>+B963</f>
        <v>DX01</v>
      </c>
      <c r="C964" s="18"/>
      <c r="D964" s="63"/>
      <c r="E964" s="63">
        <f>+E963</f>
        <v>1</v>
      </c>
      <c r="F964" s="63">
        <f>+F963</f>
        <v>0</v>
      </c>
      <c r="G964" s="63">
        <f>+G963</f>
        <v>0</v>
      </c>
      <c r="H964" s="72">
        <f>+H963</f>
        <v>1</v>
      </c>
      <c r="I964" s="75">
        <v>2</v>
      </c>
      <c r="J964" s="74" t="s">
        <v>265</v>
      </c>
      <c r="K964" s="33"/>
      <c r="L964" s="79" t="s">
        <v>244</v>
      </c>
      <c r="M964" s="79"/>
      <c r="N964" s="18">
        <v>3</v>
      </c>
      <c r="O964" s="18"/>
      <c r="P964" s="17" t="s">
        <v>264</v>
      </c>
      <c r="R964" s="17" t="s">
        <v>263</v>
      </c>
      <c r="S964" s="17" t="s">
        <v>262</v>
      </c>
      <c r="U964" s="68" t="str">
        <f>+U963</f>
        <v>BCV131</v>
      </c>
      <c r="V964" s="68"/>
      <c r="W964" s="17" t="str">
        <f>+CONCATENATE(E964,".",F964,"\",G964,".",H964,":",I964)</f>
        <v>1.0\0.1:2</v>
      </c>
      <c r="X964" s="17" t="s">
        <v>145</v>
      </c>
      <c r="Y964" s="17">
        <v>0</v>
      </c>
      <c r="Z964" s="69"/>
      <c r="AC964" s="18"/>
      <c r="AD964" s="18"/>
      <c r="AE964" s="18"/>
      <c r="AF964" s="18"/>
      <c r="AG964" s="18"/>
      <c r="AH964" s="18"/>
      <c r="AI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</row>
    <row r="965" spans="1:53" s="17" customFormat="1" x14ac:dyDescent="0.3">
      <c r="A965" s="21" t="str">
        <f>+A964</f>
        <v>BSR132</v>
      </c>
      <c r="B965" s="21" t="str">
        <f>+B964</f>
        <v>DX01</v>
      </c>
      <c r="C965" s="18"/>
      <c r="D965" s="63"/>
      <c r="E965" s="63">
        <f>+E964</f>
        <v>1</v>
      </c>
      <c r="F965" s="63">
        <f>+F964</f>
        <v>0</v>
      </c>
      <c r="G965" s="63">
        <f>+G964</f>
        <v>0</v>
      </c>
      <c r="H965" s="72">
        <f>+H964</f>
        <v>1</v>
      </c>
      <c r="I965" s="75">
        <v>3</v>
      </c>
      <c r="J965" s="74" t="s">
        <v>261</v>
      </c>
      <c r="K965" s="65">
        <v>1044125</v>
      </c>
      <c r="L965" s="79" t="s">
        <v>244</v>
      </c>
      <c r="M965" s="79"/>
      <c r="N965" s="18">
        <v>3</v>
      </c>
      <c r="O965" s="18" t="s">
        <v>282</v>
      </c>
      <c r="P965" s="83" t="s">
        <v>284</v>
      </c>
      <c r="Q965" s="83"/>
      <c r="R965" s="83" t="s">
        <v>283</v>
      </c>
      <c r="S965" s="83" t="s">
        <v>211</v>
      </c>
      <c r="T965" s="83"/>
      <c r="U965" s="68" t="s">
        <v>185</v>
      </c>
      <c r="V965" s="68"/>
      <c r="W965" s="17" t="str">
        <f>+CONCATENATE(E965,".",F965,"\",G965,".",H965,":",I965)</f>
        <v>1.0\0.1:3</v>
      </c>
      <c r="X965" s="17" t="s">
        <v>145</v>
      </c>
      <c r="Y965" s="17">
        <v>0</v>
      </c>
      <c r="Z965" s="69"/>
      <c r="AC965" s="18"/>
      <c r="AD965" s="18"/>
      <c r="AE965" s="18"/>
      <c r="AF965" s="18"/>
      <c r="AG965" s="18"/>
      <c r="AH965" s="18"/>
      <c r="AI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</row>
    <row r="966" spans="1:53" s="17" customFormat="1" x14ac:dyDescent="0.3">
      <c r="A966" s="21" t="str">
        <f>+A965</f>
        <v>BSR132</v>
      </c>
      <c r="B966" s="21" t="str">
        <f>+B965</f>
        <v>DX01</v>
      </c>
      <c r="C966" s="18"/>
      <c r="D966" s="63"/>
      <c r="E966" s="63">
        <f>+E965</f>
        <v>1</v>
      </c>
      <c r="F966" s="63">
        <f>+F965</f>
        <v>0</v>
      </c>
      <c r="G966" s="63">
        <f>+G965</f>
        <v>0</v>
      </c>
      <c r="H966" s="72">
        <f>+H965</f>
        <v>1</v>
      </c>
      <c r="I966" s="75">
        <v>4</v>
      </c>
      <c r="J966" s="74" t="s">
        <v>257</v>
      </c>
      <c r="K966" s="84">
        <v>1047162</v>
      </c>
      <c r="L966" s="79" t="s">
        <v>244</v>
      </c>
      <c r="M966" s="79"/>
      <c r="N966" s="18">
        <v>3</v>
      </c>
      <c r="O966" s="18" t="s">
        <v>282</v>
      </c>
      <c r="P966" s="83" t="s">
        <v>281</v>
      </c>
      <c r="Q966" s="83"/>
      <c r="R966" s="83" t="s">
        <v>280</v>
      </c>
      <c r="S966" s="83" t="s">
        <v>211</v>
      </c>
      <c r="T966" s="83"/>
      <c r="U966" s="68" t="str">
        <f>+U965</f>
        <v>BCV131WN01</v>
      </c>
      <c r="V966" s="68"/>
      <c r="W966" s="17" t="str">
        <f>+CONCATENATE(E966,".",F966,"\",G966,".",H966,":",I966)</f>
        <v>1.0\0.1:4</v>
      </c>
      <c r="X966" s="17" t="s">
        <v>145</v>
      </c>
      <c r="Y966" s="17">
        <v>0</v>
      </c>
      <c r="Z966" s="69"/>
      <c r="AC966" s="18"/>
      <c r="AD966" s="18"/>
      <c r="AE966" s="18"/>
      <c r="AF966" s="18"/>
      <c r="AG966" s="18"/>
      <c r="AH966" s="18"/>
      <c r="AI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</row>
    <row r="967" spans="1:53" s="17" customFormat="1" x14ac:dyDescent="0.3">
      <c r="A967" s="21" t="str">
        <f>+A966</f>
        <v>BSR132</v>
      </c>
      <c r="B967" s="21" t="str">
        <f>+B966</f>
        <v>DX01</v>
      </c>
      <c r="C967" s="18"/>
      <c r="D967" s="63"/>
      <c r="E967" s="63">
        <f>+E966</f>
        <v>1</v>
      </c>
      <c r="F967" s="63">
        <f>+F966</f>
        <v>0</v>
      </c>
      <c r="G967" s="63">
        <f>+G966</f>
        <v>0</v>
      </c>
      <c r="H967" s="72">
        <f>+H966</f>
        <v>1</v>
      </c>
      <c r="I967" s="75">
        <v>5</v>
      </c>
      <c r="J967" s="74" t="s">
        <v>254</v>
      </c>
      <c r="K967" s="82" t="s">
        <v>253</v>
      </c>
      <c r="L967" s="79" t="s">
        <v>244</v>
      </c>
      <c r="M967" s="79"/>
      <c r="N967" s="18">
        <v>3</v>
      </c>
      <c r="O967" s="18"/>
      <c r="P967" s="17" t="s">
        <v>252</v>
      </c>
      <c r="R967" s="17" t="s">
        <v>251</v>
      </c>
      <c r="S967" s="17" t="s">
        <v>247</v>
      </c>
      <c r="U967" s="68" t="str">
        <f>+U964</f>
        <v>BCV131</v>
      </c>
      <c r="V967" s="68"/>
      <c r="W967" s="17" t="str">
        <f>+CONCATENATE(E967,".",F967,"\",G967,".",H967,":",I967)</f>
        <v>1.0\0.1:5</v>
      </c>
      <c r="X967" s="17" t="s">
        <v>145</v>
      </c>
      <c r="Y967" s="17">
        <v>0</v>
      </c>
      <c r="Z967" s="69"/>
      <c r="AC967" s="18"/>
      <c r="AD967" s="18"/>
      <c r="AE967" s="18"/>
      <c r="AF967" s="18"/>
      <c r="AG967" s="18"/>
      <c r="AH967" s="18"/>
      <c r="AI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</row>
    <row r="968" spans="1:53" s="17" customFormat="1" x14ac:dyDescent="0.3">
      <c r="A968" s="21" t="str">
        <f>+A967</f>
        <v>BSR132</v>
      </c>
      <c r="B968" s="21" t="str">
        <f>+B967</f>
        <v>DX01</v>
      </c>
      <c r="C968" s="18"/>
      <c r="D968" s="63"/>
      <c r="E968" s="63">
        <f>+E967</f>
        <v>1</v>
      </c>
      <c r="F968" s="63">
        <f>+F967</f>
        <v>0</v>
      </c>
      <c r="G968" s="63">
        <f>+G967</f>
        <v>0</v>
      </c>
      <c r="H968" s="72">
        <f>+H967</f>
        <v>1</v>
      </c>
      <c r="I968" s="75">
        <v>6</v>
      </c>
      <c r="J968" s="74" t="s">
        <v>250</v>
      </c>
      <c r="K968" s="98"/>
      <c r="L968" s="79" t="s">
        <v>244</v>
      </c>
      <c r="M968" s="79"/>
      <c r="N968" s="18">
        <v>3</v>
      </c>
      <c r="O968" s="18"/>
      <c r="P968" s="17" t="s">
        <v>249</v>
      </c>
      <c r="R968" s="17" t="s">
        <v>248</v>
      </c>
      <c r="S968" s="17" t="s">
        <v>247</v>
      </c>
      <c r="U968" s="68" t="str">
        <f>+U967</f>
        <v>BCV131</v>
      </c>
      <c r="V968" s="68"/>
      <c r="W968" s="17" t="str">
        <f>+CONCATENATE(E968,".",F968,"\",G968,".",H968,":",I968)</f>
        <v>1.0\0.1:6</v>
      </c>
      <c r="X968" s="17" t="s">
        <v>145</v>
      </c>
      <c r="Y968" s="17">
        <v>0</v>
      </c>
      <c r="Z968" s="69"/>
      <c r="AC968" s="18"/>
      <c r="AD968" s="18"/>
      <c r="AE968" s="18"/>
      <c r="AF968" s="18"/>
      <c r="AG968" s="18"/>
      <c r="AH968" s="18"/>
      <c r="AI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</row>
    <row r="969" spans="1:53" s="17" customFormat="1" x14ac:dyDescent="0.3">
      <c r="A969" s="21" t="str">
        <f>+A968</f>
        <v>BSR132</v>
      </c>
      <c r="B969" s="21" t="str">
        <f>+B968</f>
        <v>DX01</v>
      </c>
      <c r="C969" s="18"/>
      <c r="D969" s="63"/>
      <c r="E969" s="63">
        <f>+E968</f>
        <v>1</v>
      </c>
      <c r="F969" s="63">
        <f>+F968</f>
        <v>0</v>
      </c>
      <c r="G969" s="63">
        <f>+G968</f>
        <v>0</v>
      </c>
      <c r="H969" s="72">
        <f>+H968</f>
        <v>1</v>
      </c>
      <c r="I969" s="75">
        <v>7</v>
      </c>
      <c r="J969" s="74" t="s">
        <v>246</v>
      </c>
      <c r="K969" s="65"/>
      <c r="L969" s="79" t="s">
        <v>244</v>
      </c>
      <c r="M969" s="79"/>
      <c r="N969" s="18">
        <v>3</v>
      </c>
      <c r="O969" s="18"/>
      <c r="P969" s="78"/>
      <c r="Q969" s="78"/>
      <c r="R969" s="78"/>
      <c r="S969" s="78"/>
      <c r="U969" s="68" t="str">
        <f>+U968</f>
        <v>BCV131</v>
      </c>
      <c r="V969" s="68"/>
      <c r="W969" s="17" t="str">
        <f>+CONCATENATE(E969,".",F969,"\",G969,".",H969,":",I969)</f>
        <v>1.0\0.1:7</v>
      </c>
      <c r="X969" s="17" t="s">
        <v>145</v>
      </c>
      <c r="Y969" s="17">
        <v>0</v>
      </c>
      <c r="Z969" s="69"/>
      <c r="AC969" s="18"/>
      <c r="AD969" s="18"/>
      <c r="AE969" s="18"/>
      <c r="AF969" s="18"/>
      <c r="AG969" s="18"/>
      <c r="AH969" s="18"/>
      <c r="AI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</row>
    <row r="970" spans="1:53" s="17" customFormat="1" x14ac:dyDescent="0.3">
      <c r="A970" s="21" t="str">
        <f>+A969</f>
        <v>BSR132</v>
      </c>
      <c r="B970" s="21" t="str">
        <f>+B969</f>
        <v>DX01</v>
      </c>
      <c r="C970" s="18"/>
      <c r="D970" s="63"/>
      <c r="E970" s="63">
        <f>+E969</f>
        <v>1</v>
      </c>
      <c r="F970" s="63">
        <f>+F969</f>
        <v>0</v>
      </c>
      <c r="G970" s="63">
        <f>+G969</f>
        <v>0</v>
      </c>
      <c r="H970" s="72">
        <f>+H969</f>
        <v>1</v>
      </c>
      <c r="I970" s="75">
        <v>8</v>
      </c>
      <c r="J970" s="74" t="s">
        <v>245</v>
      </c>
      <c r="K970" s="65"/>
      <c r="L970" s="79" t="s">
        <v>244</v>
      </c>
      <c r="M970" s="79"/>
      <c r="N970" s="18">
        <v>3</v>
      </c>
      <c r="O970" s="18"/>
      <c r="P970" s="78"/>
      <c r="Q970" s="78"/>
      <c r="R970" s="78"/>
      <c r="S970" s="78"/>
      <c r="U970" s="68" t="str">
        <f>+U969</f>
        <v>BCV131</v>
      </c>
      <c r="V970" s="68"/>
      <c r="W970" s="17" t="str">
        <f>+CONCATENATE(E970,".",F970,"\",G970,".",H970,":",I970)</f>
        <v>1.0\0.1:8</v>
      </c>
      <c r="X970" s="17" t="s">
        <v>145</v>
      </c>
      <c r="Y970" s="17">
        <v>0</v>
      </c>
      <c r="Z970" s="69"/>
      <c r="AC970" s="18"/>
      <c r="AD970" s="18"/>
      <c r="AE970" s="18"/>
      <c r="AF970" s="18"/>
      <c r="AG970" s="18"/>
      <c r="AH970" s="18"/>
      <c r="AI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</row>
    <row r="971" spans="1:53" s="17" customFormat="1" x14ac:dyDescent="0.3">
      <c r="A971" s="21" t="str">
        <f>+A970</f>
        <v>BSR132</v>
      </c>
      <c r="B971" s="21" t="str">
        <f>+B970</f>
        <v>DX01</v>
      </c>
      <c r="C971" s="80"/>
      <c r="D971" s="63"/>
      <c r="E971" s="63">
        <f>+E970</f>
        <v>1</v>
      </c>
      <c r="F971" s="63">
        <f>+F970</f>
        <v>0</v>
      </c>
      <c r="G971" s="63">
        <f>+G970</f>
        <v>0</v>
      </c>
      <c r="H971" s="72">
        <f>+H970</f>
        <v>1</v>
      </c>
      <c r="I971" s="75">
        <v>1</v>
      </c>
      <c r="J971" s="81" t="s">
        <v>243</v>
      </c>
      <c r="K971" s="65"/>
      <c r="L971" s="79" t="s">
        <v>235</v>
      </c>
      <c r="M971" s="79"/>
      <c r="N971" s="18">
        <v>3</v>
      </c>
      <c r="O971" s="18"/>
      <c r="P971" s="17" t="s">
        <v>242</v>
      </c>
      <c r="R971" s="17" t="s">
        <v>241</v>
      </c>
      <c r="S971" s="17" t="s">
        <v>204</v>
      </c>
      <c r="U971" s="68" t="str">
        <f>+U970</f>
        <v>BCV131</v>
      </c>
      <c r="V971" s="68"/>
      <c r="W971" s="17" t="str">
        <f>+CONCATENATE(E971,".",F971,"\",G971,".",H971,":",I971)</f>
        <v>1.0\0.1:1</v>
      </c>
      <c r="X971" s="17" t="s">
        <v>145</v>
      </c>
      <c r="Y971" s="17">
        <v>0</v>
      </c>
      <c r="Z971" s="69"/>
      <c r="AA971" s="33"/>
      <c r="AB971" s="33"/>
      <c r="AC971" s="18"/>
      <c r="AD971" s="18"/>
      <c r="AE971" s="18"/>
      <c r="AF971" s="18"/>
      <c r="AG971" s="18"/>
      <c r="AH971" s="18"/>
      <c r="AI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</row>
    <row r="972" spans="1:53" s="17" customFormat="1" x14ac:dyDescent="0.3">
      <c r="A972" s="21" t="str">
        <f>+A971</f>
        <v>BSR132</v>
      </c>
      <c r="B972" s="21" t="str">
        <f>+B971</f>
        <v>DX01</v>
      </c>
      <c r="C972" s="80"/>
      <c r="D972" s="63"/>
      <c r="E972" s="63">
        <f>+E971</f>
        <v>1</v>
      </c>
      <c r="F972" s="63">
        <f>+F971</f>
        <v>0</v>
      </c>
      <c r="G972" s="63">
        <f>+G971</f>
        <v>0</v>
      </c>
      <c r="H972" s="72">
        <f>+H971</f>
        <v>1</v>
      </c>
      <c r="I972" s="75">
        <v>2</v>
      </c>
      <c r="J972" s="74" t="s">
        <v>240</v>
      </c>
      <c r="K972" s="65"/>
      <c r="L972" s="79" t="s">
        <v>235</v>
      </c>
      <c r="M972" s="79"/>
      <c r="N972" s="18">
        <v>3</v>
      </c>
      <c r="O972" s="18"/>
      <c r="P972" s="17" t="s">
        <v>239</v>
      </c>
      <c r="R972" s="17" t="s">
        <v>238</v>
      </c>
      <c r="S972" s="17" t="s">
        <v>204</v>
      </c>
      <c r="U972" s="68" t="str">
        <f>+U971</f>
        <v>BCV131</v>
      </c>
      <c r="V972" s="68"/>
      <c r="W972" s="17" t="str">
        <f>+CONCATENATE(E972,".",F972,"\",G972,".",H972,":",I972)</f>
        <v>1.0\0.1:2</v>
      </c>
      <c r="X972" s="17" t="s">
        <v>145</v>
      </c>
      <c r="Y972" s="17">
        <v>0</v>
      </c>
      <c r="Z972" s="69"/>
      <c r="AC972" s="18"/>
      <c r="AD972" s="18"/>
      <c r="AE972" s="18"/>
      <c r="AF972" s="18"/>
      <c r="AG972" s="18"/>
      <c r="AH972" s="18"/>
      <c r="AI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</row>
    <row r="973" spans="1:53" s="17" customFormat="1" x14ac:dyDescent="0.3">
      <c r="A973" s="21" t="str">
        <f>+A972</f>
        <v>BSR132</v>
      </c>
      <c r="B973" s="21" t="str">
        <f>+B972</f>
        <v>DX01</v>
      </c>
      <c r="C973" s="80"/>
      <c r="D973" s="63"/>
      <c r="E973" s="63">
        <f>+E972</f>
        <v>1</v>
      </c>
      <c r="F973" s="63">
        <f>+F972</f>
        <v>0</v>
      </c>
      <c r="G973" s="63">
        <f>+G972</f>
        <v>0</v>
      </c>
      <c r="H973" s="72">
        <f>+H972</f>
        <v>1</v>
      </c>
      <c r="I973" s="75">
        <v>3</v>
      </c>
      <c r="J973" s="74" t="s">
        <v>237</v>
      </c>
      <c r="K973" s="65"/>
      <c r="L973" s="79" t="s">
        <v>235</v>
      </c>
      <c r="M973" s="79"/>
      <c r="N973" s="18">
        <v>3</v>
      </c>
      <c r="O973" s="18"/>
      <c r="P973" s="78"/>
      <c r="Q973" s="78"/>
      <c r="R973" s="78"/>
      <c r="S973" s="78"/>
      <c r="T973" s="68"/>
      <c r="U973" s="68" t="str">
        <f>+U972</f>
        <v>BCV131</v>
      </c>
      <c r="V973" s="68"/>
      <c r="W973" s="17" t="str">
        <f>+CONCATENATE(E973,".",F973,"\",G973,".",H973,":",I973)</f>
        <v>1.0\0.1:3</v>
      </c>
      <c r="X973" s="17" t="s">
        <v>145</v>
      </c>
      <c r="Y973" s="17">
        <v>0</v>
      </c>
      <c r="Z973" s="69"/>
      <c r="AC973" s="18"/>
      <c r="AD973" s="18"/>
      <c r="AE973" s="18"/>
      <c r="AF973" s="18"/>
      <c r="AG973" s="18"/>
      <c r="AH973" s="18"/>
      <c r="AI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</row>
    <row r="974" spans="1:53" s="17" customFormat="1" ht="13.5" thickBot="1" x14ac:dyDescent="0.35">
      <c r="A974" s="21" t="str">
        <f>+A973</f>
        <v>BSR132</v>
      </c>
      <c r="B974" s="21" t="str">
        <f>+B973</f>
        <v>DX01</v>
      </c>
      <c r="C974" s="80"/>
      <c r="D974" s="63"/>
      <c r="E974" s="63">
        <f>+E973</f>
        <v>1</v>
      </c>
      <c r="F974" s="63">
        <f>+F973</f>
        <v>0</v>
      </c>
      <c r="G974" s="63">
        <f>+G973</f>
        <v>0</v>
      </c>
      <c r="H974" s="72">
        <f>+H973</f>
        <v>1</v>
      </c>
      <c r="I974" s="71">
        <v>4</v>
      </c>
      <c r="J974" s="74" t="s">
        <v>236</v>
      </c>
      <c r="K974" s="65"/>
      <c r="L974" s="79" t="s">
        <v>235</v>
      </c>
      <c r="M974" s="79"/>
      <c r="N974" s="18">
        <v>3</v>
      </c>
      <c r="O974" s="18"/>
      <c r="P974" s="78"/>
      <c r="Q974" s="78"/>
      <c r="R974" s="78"/>
      <c r="S974" s="78"/>
      <c r="T974" s="68"/>
      <c r="U974" s="68" t="str">
        <f>+U973</f>
        <v>BCV131</v>
      </c>
      <c r="V974" s="68"/>
      <c r="W974" s="17" t="str">
        <f>+CONCATENATE(E974,".",F974,"\",G974,".",H974,":",I974)</f>
        <v>1.0\0.1:4</v>
      </c>
      <c r="X974" s="17" t="s">
        <v>145</v>
      </c>
      <c r="Y974" s="17">
        <v>0</v>
      </c>
      <c r="Z974" s="69"/>
      <c r="AC974" s="18"/>
      <c r="AD974" s="18"/>
      <c r="AE974" s="18"/>
      <c r="AF974" s="18"/>
      <c r="AG974" s="18"/>
      <c r="AH974" s="18"/>
      <c r="AI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</row>
    <row r="975" spans="1:53" s="17" customFormat="1" x14ac:dyDescent="0.3">
      <c r="A975" s="21" t="str">
        <f>+A974</f>
        <v>BSR132</v>
      </c>
      <c r="B975" s="21" t="str">
        <f>+B974</f>
        <v>DX01</v>
      </c>
      <c r="C975" s="68"/>
      <c r="D975" s="63"/>
      <c r="E975" s="63">
        <f>+E974</f>
        <v>1</v>
      </c>
      <c r="F975" s="63">
        <f>+F974</f>
        <v>0</v>
      </c>
      <c r="G975" s="63">
        <f>+G974</f>
        <v>0</v>
      </c>
      <c r="H975" s="72">
        <v>2</v>
      </c>
      <c r="I975" s="77" t="s">
        <v>234</v>
      </c>
      <c r="J975" s="76" t="s">
        <v>233</v>
      </c>
      <c r="K975" s="65" t="s">
        <v>232</v>
      </c>
      <c r="L975" s="64" t="s">
        <v>213</v>
      </c>
      <c r="M975" s="64"/>
      <c r="N975" s="18">
        <v>3</v>
      </c>
      <c r="O975" s="18"/>
      <c r="P975" s="68" t="s">
        <v>231</v>
      </c>
      <c r="Q975" s="68"/>
      <c r="R975" s="73" t="s">
        <v>224</v>
      </c>
      <c r="S975" s="17" t="s">
        <v>211</v>
      </c>
      <c r="T975" s="68"/>
      <c r="U975" s="68" t="str">
        <f>+U974</f>
        <v>BCV131</v>
      </c>
      <c r="V975" s="68"/>
      <c r="W975" s="17" t="str">
        <f>+CONCATENATE(E975,".",F975,"\",G975,".",H975,":",I975)</f>
        <v>1.0\0.2:1A</v>
      </c>
      <c r="X975" s="17" t="s">
        <v>145</v>
      </c>
      <c r="Y975" s="17">
        <v>0</v>
      </c>
      <c r="Z975" s="69" t="s">
        <v>216</v>
      </c>
      <c r="AC975" s="18"/>
      <c r="AD975" s="18"/>
      <c r="AE975" s="18"/>
      <c r="AF975" s="18"/>
      <c r="AG975" s="18"/>
      <c r="AH975" s="18"/>
      <c r="AI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</row>
    <row r="976" spans="1:53" s="17" customFormat="1" x14ac:dyDescent="0.3">
      <c r="A976" s="21" t="str">
        <f>+A975</f>
        <v>BSR132</v>
      </c>
      <c r="B976" s="21" t="str">
        <f>+B975</f>
        <v>DX01</v>
      </c>
      <c r="C976" s="18"/>
      <c r="D976" s="63"/>
      <c r="E976" s="63">
        <f>+E975</f>
        <v>1</v>
      </c>
      <c r="F976" s="63">
        <f>+F975</f>
        <v>0</v>
      </c>
      <c r="G976" s="63">
        <f>+G975</f>
        <v>0</v>
      </c>
      <c r="H976" s="72">
        <f>+H975</f>
        <v>2</v>
      </c>
      <c r="I976" s="75" t="s">
        <v>230</v>
      </c>
      <c r="J976" s="74" t="s">
        <v>229</v>
      </c>
      <c r="K976" s="65">
        <v>6026143</v>
      </c>
      <c r="L976" s="64" t="s">
        <v>213</v>
      </c>
      <c r="M976" s="64"/>
      <c r="N976" s="18">
        <v>3</v>
      </c>
      <c r="O976" s="18"/>
      <c r="P976" s="68" t="s">
        <v>228</v>
      </c>
      <c r="Q976" s="68"/>
      <c r="R976" s="73" t="s">
        <v>224</v>
      </c>
      <c r="S976" s="17" t="s">
        <v>211</v>
      </c>
      <c r="T976" s="68"/>
      <c r="U976" s="68" t="str">
        <f>+U975</f>
        <v>BCV131</v>
      </c>
      <c r="V976" s="68"/>
      <c r="W976" s="17" t="str">
        <f>+CONCATENATE(E976,".",F976,"\",G976,".",H976,":",I976)</f>
        <v>1.0\0.2:1B</v>
      </c>
      <c r="X976" s="17" t="s">
        <v>145</v>
      </c>
      <c r="Y976" s="17">
        <v>0</v>
      </c>
      <c r="Z976" s="69" t="s">
        <v>210</v>
      </c>
      <c r="AC976" s="18"/>
      <c r="AD976" s="18"/>
      <c r="AE976" s="18"/>
      <c r="AF976" s="18"/>
      <c r="AG976" s="18"/>
      <c r="AH976" s="18"/>
      <c r="AI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</row>
    <row r="977" spans="1:53" s="17" customFormat="1" x14ac:dyDescent="0.3">
      <c r="A977" s="21" t="str">
        <f>+A976</f>
        <v>BSR132</v>
      </c>
      <c r="B977" s="21" t="str">
        <f>+B976</f>
        <v>DX01</v>
      </c>
      <c r="C977" s="18"/>
      <c r="D977" s="63"/>
      <c r="E977" s="63">
        <f>+E976</f>
        <v>1</v>
      </c>
      <c r="F977" s="63">
        <f>+F976</f>
        <v>0</v>
      </c>
      <c r="G977" s="63">
        <f>+G976</f>
        <v>0</v>
      </c>
      <c r="H977" s="72">
        <f>+H976</f>
        <v>2</v>
      </c>
      <c r="I977" s="75" t="s">
        <v>227</v>
      </c>
      <c r="J977" s="74" t="s">
        <v>226</v>
      </c>
      <c r="K977" s="65"/>
      <c r="L977" s="64" t="s">
        <v>207</v>
      </c>
      <c r="M977" s="64"/>
      <c r="N977" s="18">
        <v>3</v>
      </c>
      <c r="O977" s="18"/>
      <c r="P977" s="68" t="s">
        <v>225</v>
      </c>
      <c r="Q977" s="68"/>
      <c r="R977" s="73" t="s">
        <v>224</v>
      </c>
      <c r="S977" s="17" t="s">
        <v>204</v>
      </c>
      <c r="T977" s="68"/>
      <c r="U977" s="68" t="str">
        <f>+U976</f>
        <v>BCV131</v>
      </c>
      <c r="V977" s="68"/>
      <c r="W977" s="17" t="str">
        <f>+CONCATENATE(E977,".",F977,"\",G977,".",H977,":",I977)</f>
        <v>1.0\0.2:1C</v>
      </c>
      <c r="X977" s="17" t="s">
        <v>145</v>
      </c>
      <c r="Y977" s="17">
        <v>0</v>
      </c>
      <c r="Z977" s="69"/>
      <c r="AC977" s="18"/>
      <c r="AD977" s="18"/>
      <c r="AE977" s="18"/>
      <c r="AF977" s="18"/>
      <c r="AG977" s="18"/>
      <c r="AH977" s="18"/>
      <c r="AI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</row>
    <row r="978" spans="1:53" s="17" customFormat="1" x14ac:dyDescent="0.3">
      <c r="A978" s="21" t="str">
        <f>+A977</f>
        <v>BSR132</v>
      </c>
      <c r="B978" s="21" t="str">
        <f>+B977</f>
        <v>DX01</v>
      </c>
      <c r="C978" s="18"/>
      <c r="D978" s="63"/>
      <c r="E978" s="63">
        <f>+E977</f>
        <v>1</v>
      </c>
      <c r="F978" s="63">
        <f>+F977</f>
        <v>0</v>
      </c>
      <c r="G978" s="63">
        <f>+G977</f>
        <v>0</v>
      </c>
      <c r="H978" s="72">
        <f>+H977</f>
        <v>2</v>
      </c>
      <c r="I978" s="75" t="s">
        <v>223</v>
      </c>
      <c r="J978" s="74" t="s">
        <v>222</v>
      </c>
      <c r="K978" s="65"/>
      <c r="L978" s="64" t="s">
        <v>201</v>
      </c>
      <c r="M978" s="64"/>
      <c r="N978" s="18">
        <v>3</v>
      </c>
      <c r="O978" s="18"/>
      <c r="P978" s="68" t="s">
        <v>221</v>
      </c>
      <c r="Q978" s="68"/>
      <c r="R978" s="68" t="s">
        <v>220</v>
      </c>
      <c r="S978" s="17" t="s">
        <v>198</v>
      </c>
      <c r="T978" s="68"/>
      <c r="U978" s="68" t="str">
        <f>+U977</f>
        <v>BCV131</v>
      </c>
      <c r="V978" s="68"/>
      <c r="W978" s="17" t="str">
        <f>+CONCATENATE(E978,".",F978,"\",G978,".",H978,":",I978)</f>
        <v>1.0\0.2:1M</v>
      </c>
      <c r="X978" s="17" t="s">
        <v>145</v>
      </c>
      <c r="Y978" s="17">
        <v>0</v>
      </c>
      <c r="Z978" s="69"/>
      <c r="AC978" s="18"/>
      <c r="AD978" s="18"/>
      <c r="AE978" s="18"/>
      <c r="AF978" s="18"/>
      <c r="AG978" s="18"/>
      <c r="AH978" s="18"/>
      <c r="AI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</row>
    <row r="979" spans="1:53" s="17" customFormat="1" x14ac:dyDescent="0.3">
      <c r="A979" s="21" t="str">
        <f>+A978</f>
        <v>BSR132</v>
      </c>
      <c r="B979" s="21" t="str">
        <f>+B978</f>
        <v>DX01</v>
      </c>
      <c r="C979" s="18"/>
      <c r="D979" s="63"/>
      <c r="E979" s="63">
        <f>+E978</f>
        <v>1</v>
      </c>
      <c r="F979" s="63">
        <f>+F978</f>
        <v>0</v>
      </c>
      <c r="G979" s="63">
        <f>+G978</f>
        <v>0</v>
      </c>
      <c r="H979" s="72">
        <f>+H978</f>
        <v>2</v>
      </c>
      <c r="I979" s="75" t="s">
        <v>219</v>
      </c>
      <c r="J979" s="74" t="s">
        <v>218</v>
      </c>
      <c r="K979" s="65"/>
      <c r="L979" s="64" t="s">
        <v>213</v>
      </c>
      <c r="M979" s="64"/>
      <c r="N979" s="18">
        <v>3</v>
      </c>
      <c r="O979" s="18"/>
      <c r="P979" s="68" t="s">
        <v>217</v>
      </c>
      <c r="Q979" s="68"/>
      <c r="R979" s="73" t="s">
        <v>279</v>
      </c>
      <c r="S979" s="17" t="s">
        <v>211</v>
      </c>
      <c r="T979" s="68"/>
      <c r="U979" s="68" t="str">
        <f>+U978</f>
        <v>BCV131</v>
      </c>
      <c r="V979" s="68"/>
      <c r="W979" s="17" t="str">
        <f>+CONCATENATE(E979,".",F979,"\",G979,".",H979,":",I979)</f>
        <v>1.0\0.2:2A</v>
      </c>
      <c r="X979" s="17" t="s">
        <v>145</v>
      </c>
      <c r="Y979" s="17">
        <v>0</v>
      </c>
      <c r="Z979" s="69" t="s">
        <v>216</v>
      </c>
      <c r="AC979" s="18"/>
      <c r="AD979" s="18"/>
      <c r="AE979" s="18"/>
      <c r="AF979" s="18"/>
      <c r="AG979" s="18"/>
      <c r="AH979" s="18"/>
      <c r="AI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</row>
    <row r="980" spans="1:53" s="17" customFormat="1" x14ac:dyDescent="0.3">
      <c r="A980" s="21" t="str">
        <f>+A979</f>
        <v>BSR132</v>
      </c>
      <c r="B980" s="21" t="str">
        <f>+B979</f>
        <v>DX01</v>
      </c>
      <c r="C980" s="18"/>
      <c r="D980" s="63"/>
      <c r="E980" s="63">
        <f>+E979</f>
        <v>1</v>
      </c>
      <c r="F980" s="63">
        <f>+F979</f>
        <v>0</v>
      </c>
      <c r="G980" s="63">
        <f>+G979</f>
        <v>0</v>
      </c>
      <c r="H980" s="72">
        <f>+H979</f>
        <v>2</v>
      </c>
      <c r="I980" s="75" t="s">
        <v>215</v>
      </c>
      <c r="J980" s="74" t="s">
        <v>214</v>
      </c>
      <c r="K980" s="65"/>
      <c r="L980" s="64" t="s">
        <v>213</v>
      </c>
      <c r="M980" s="64"/>
      <c r="N980" s="18">
        <v>3</v>
      </c>
      <c r="O980" s="18"/>
      <c r="P980" s="68" t="s">
        <v>212</v>
      </c>
      <c r="Q980" s="68"/>
      <c r="R980" s="73" t="s">
        <v>205</v>
      </c>
      <c r="S980" s="17" t="s">
        <v>211</v>
      </c>
      <c r="T980" s="68"/>
      <c r="U980" s="68" t="str">
        <f>+U979</f>
        <v>BCV131</v>
      </c>
      <c r="V980" s="68"/>
      <c r="W980" s="17" t="str">
        <f>+CONCATENATE(E980,".",F980,"\",G980,".",H980,":",I980)</f>
        <v>1.0\0.2:2B</v>
      </c>
      <c r="X980" s="17" t="s">
        <v>145</v>
      </c>
      <c r="Y980" s="17">
        <v>0</v>
      </c>
      <c r="Z980" s="69" t="s">
        <v>210</v>
      </c>
      <c r="AC980" s="18"/>
      <c r="AD980" s="18"/>
      <c r="AE980" s="18"/>
      <c r="AF980" s="18"/>
      <c r="AG980" s="18"/>
      <c r="AH980" s="18"/>
      <c r="AI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</row>
    <row r="981" spans="1:53" s="17" customFormat="1" x14ac:dyDescent="0.3">
      <c r="A981" s="21" t="str">
        <f>+A980</f>
        <v>BSR132</v>
      </c>
      <c r="B981" s="21" t="str">
        <f>+B980</f>
        <v>DX01</v>
      </c>
      <c r="C981" s="18"/>
      <c r="D981" s="63"/>
      <c r="E981" s="63">
        <f>+E980</f>
        <v>1</v>
      </c>
      <c r="F981" s="63">
        <f>+F980</f>
        <v>0</v>
      </c>
      <c r="G981" s="63">
        <f>+G980</f>
        <v>0</v>
      </c>
      <c r="H981" s="72">
        <f>+H980</f>
        <v>2</v>
      </c>
      <c r="I981" s="75" t="s">
        <v>209</v>
      </c>
      <c r="J981" s="74" t="s">
        <v>208</v>
      </c>
      <c r="K981" s="69"/>
      <c r="L981" s="64" t="s">
        <v>207</v>
      </c>
      <c r="M981" s="64"/>
      <c r="N981" s="18">
        <v>3</v>
      </c>
      <c r="O981" s="18"/>
      <c r="P981" s="68" t="s">
        <v>206</v>
      </c>
      <c r="Q981" s="68"/>
      <c r="R981" s="73" t="s">
        <v>205</v>
      </c>
      <c r="S981" s="17" t="s">
        <v>204</v>
      </c>
      <c r="T981" s="68"/>
      <c r="U981" s="68" t="str">
        <f>+U980</f>
        <v>BCV131</v>
      </c>
      <c r="V981" s="68"/>
      <c r="W981" s="17" t="str">
        <f>+CONCATENATE(E981,".",F981,"\",G981,".",H981,":",I981)</f>
        <v>1.0\0.2:2C</v>
      </c>
      <c r="X981" s="17" t="s">
        <v>145</v>
      </c>
      <c r="Y981" s="17">
        <v>0</v>
      </c>
      <c r="Z981" s="69"/>
      <c r="AC981" s="18"/>
      <c r="AD981" s="18"/>
      <c r="AE981" s="18"/>
      <c r="AF981" s="18"/>
      <c r="AG981" s="18"/>
      <c r="AH981" s="18"/>
      <c r="AI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</row>
    <row r="982" spans="1:53" s="17" customFormat="1" ht="13.5" thickBot="1" x14ac:dyDescent="0.35">
      <c r="A982" s="21" t="str">
        <f>+A981</f>
        <v>BSR132</v>
      </c>
      <c r="B982" s="21" t="str">
        <f>+B981</f>
        <v>DX01</v>
      </c>
      <c r="C982" s="18"/>
      <c r="D982" s="63"/>
      <c r="E982" s="63">
        <f>+E981</f>
        <v>1</v>
      </c>
      <c r="F982" s="63">
        <f>+F981</f>
        <v>0</v>
      </c>
      <c r="G982" s="63">
        <f>+G981</f>
        <v>0</v>
      </c>
      <c r="H982" s="72">
        <f>+H981</f>
        <v>2</v>
      </c>
      <c r="I982" s="71" t="s">
        <v>203</v>
      </c>
      <c r="J982" s="70" t="s">
        <v>202</v>
      </c>
      <c r="K982" s="69"/>
      <c r="L982" s="64" t="s">
        <v>201</v>
      </c>
      <c r="M982" s="64"/>
      <c r="N982" s="18">
        <v>3</v>
      </c>
      <c r="O982" s="18"/>
      <c r="P982" s="68" t="s">
        <v>200</v>
      </c>
      <c r="Q982" s="68"/>
      <c r="R982" s="68" t="s">
        <v>199</v>
      </c>
      <c r="S982" s="17" t="s">
        <v>198</v>
      </c>
      <c r="T982" s="68"/>
      <c r="U982" s="68" t="str">
        <f>+U981</f>
        <v>BCV131</v>
      </c>
      <c r="V982" s="68"/>
      <c r="W982" s="17" t="str">
        <f>+CONCATENATE(E982,".",F982,"\",G982,".",H982,":",I982)</f>
        <v>1.0\0.2:2M</v>
      </c>
      <c r="X982" s="17" t="s">
        <v>145</v>
      </c>
      <c r="Y982" s="17">
        <v>0</v>
      </c>
      <c r="Z982" s="69"/>
      <c r="AC982" s="18"/>
      <c r="AD982" s="18"/>
      <c r="AE982" s="18"/>
      <c r="AF982" s="18"/>
      <c r="AG982" s="18"/>
      <c r="AH982" s="18"/>
      <c r="AI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</row>
    <row r="983" spans="1:53" s="17" customFormat="1" x14ac:dyDescent="0.3">
      <c r="A983" s="63"/>
      <c r="B983" s="67"/>
      <c r="C983" s="18"/>
      <c r="D983" s="65"/>
      <c r="E983" s="66"/>
      <c r="F983" s="65"/>
      <c r="G983" s="65"/>
      <c r="H983" s="65"/>
      <c r="I983" s="65"/>
      <c r="J983" s="65"/>
      <c r="K983" s="65"/>
      <c r="L983" s="64"/>
      <c r="M983" s="64"/>
      <c r="P983" s="18"/>
      <c r="Q983" s="18"/>
      <c r="S983" s="18"/>
      <c r="U983" s="63"/>
      <c r="X983" s="97"/>
      <c r="Y983" s="33"/>
      <c r="Z983" s="33"/>
      <c r="AC983" s="18"/>
      <c r="AD983" s="18"/>
      <c r="AE983" s="18"/>
      <c r="AF983" s="18"/>
      <c r="AG983" s="18"/>
      <c r="AH983" s="18"/>
      <c r="AI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</row>
    <row r="984" spans="1:53" s="17" customFormat="1" x14ac:dyDescent="0.3">
      <c r="A984" s="63"/>
      <c r="B984" s="67"/>
      <c r="C984" s="18"/>
      <c r="D984" s="65"/>
      <c r="E984" s="66"/>
      <c r="F984" s="65"/>
      <c r="G984" s="65"/>
      <c r="H984" s="65"/>
      <c r="I984" s="65"/>
      <c r="J984" s="65"/>
      <c r="K984" s="65"/>
      <c r="L984" s="64"/>
      <c r="M984" s="64"/>
      <c r="P984" s="18"/>
      <c r="Q984" s="18"/>
      <c r="S984" s="18"/>
      <c r="U984" s="63"/>
      <c r="X984" s="97"/>
      <c r="Y984" s="33"/>
      <c r="Z984" s="33"/>
      <c r="AC984" s="18"/>
      <c r="AD984" s="18"/>
      <c r="AE984" s="18"/>
      <c r="AF984" s="18"/>
      <c r="AG984" s="18"/>
      <c r="AH984" s="18"/>
      <c r="AI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</row>
    <row r="985" spans="1:53" s="17" customFormat="1" ht="15.5" x14ac:dyDescent="0.35">
      <c r="A985" s="96" t="s">
        <v>278</v>
      </c>
      <c r="B985" s="80"/>
      <c r="C985" s="63"/>
      <c r="D985" s="63"/>
      <c r="E985" s="63"/>
      <c r="F985" s="63"/>
      <c r="G985" s="63"/>
      <c r="H985" s="63"/>
      <c r="I985" s="63"/>
      <c r="J985" s="63"/>
      <c r="P985" s="68"/>
      <c r="Q985" s="68"/>
      <c r="R985" s="68"/>
      <c r="S985" s="68"/>
      <c r="T985" s="68"/>
      <c r="U985" s="68"/>
      <c r="V985" s="68"/>
      <c r="W985" s="68"/>
      <c r="X985" s="69"/>
      <c r="Y985" s="69"/>
      <c r="Z985" s="69"/>
      <c r="AA985" s="33"/>
      <c r="AB985" s="33"/>
      <c r="AC985" s="18"/>
      <c r="AD985" s="18"/>
      <c r="AE985" s="18"/>
      <c r="AF985" s="18"/>
      <c r="AG985" s="18"/>
      <c r="AH985" s="18"/>
      <c r="AI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</row>
    <row r="986" spans="1:53" s="17" customFormat="1" ht="13.5" thickBot="1" x14ac:dyDescent="0.35">
      <c r="A986" s="90"/>
      <c r="B986" s="90"/>
      <c r="C986" s="90"/>
      <c r="D986" s="94"/>
      <c r="E986" s="95"/>
      <c r="F986" s="94"/>
      <c r="G986" s="94"/>
      <c r="H986" s="90"/>
      <c r="I986" s="90"/>
      <c r="J986" s="90"/>
      <c r="K986" s="90"/>
      <c r="L986" s="93"/>
      <c r="M986" s="93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83"/>
      <c r="Z986" s="92"/>
      <c r="AC986" s="18"/>
      <c r="AD986" s="18"/>
      <c r="AE986" s="18"/>
      <c r="AF986" s="18"/>
      <c r="AG986" s="18"/>
      <c r="AH986" s="18"/>
      <c r="AI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</row>
    <row r="987" spans="1:53" s="17" customFormat="1" ht="13.5" thickBot="1" x14ac:dyDescent="0.35">
      <c r="A987" s="63"/>
      <c r="B987" s="63"/>
      <c r="C987" s="63"/>
      <c r="D987" s="63"/>
      <c r="E987" s="63">
        <v>2</v>
      </c>
      <c r="F987" s="63">
        <v>0</v>
      </c>
      <c r="G987" s="63">
        <v>0</v>
      </c>
      <c r="H987" s="89">
        <v>0</v>
      </c>
      <c r="I987" s="88" t="s">
        <v>277</v>
      </c>
      <c r="J987" s="87"/>
      <c r="K987" s="84">
        <v>1059305</v>
      </c>
      <c r="L987" s="91" t="s">
        <v>276</v>
      </c>
      <c r="P987" s="90" t="s">
        <v>275</v>
      </c>
      <c r="Q987" s="90"/>
      <c r="R987" s="68"/>
      <c r="S987" s="68"/>
      <c r="T987" s="68"/>
      <c r="U987" s="68"/>
      <c r="V987" s="68"/>
      <c r="W987" s="17" t="str">
        <f>+CONCATENATE(E987,".",F987,"\",G987,".",H987,":",I987)</f>
        <v>2.0\0.0:CPU SLC1</v>
      </c>
      <c r="X987" s="17" t="s">
        <v>138</v>
      </c>
      <c r="Y987" s="17">
        <v>0</v>
      </c>
      <c r="Z987" s="69"/>
      <c r="AC987" s="69"/>
      <c r="AD987" s="18"/>
      <c r="AE987" s="18"/>
      <c r="AF987" s="18"/>
      <c r="AG987" s="18"/>
      <c r="AH987" s="18"/>
      <c r="AI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</row>
    <row r="988" spans="1:53" s="17" customFormat="1" ht="13.5" thickBot="1" x14ac:dyDescent="0.35">
      <c r="A988" s="63"/>
      <c r="B988" s="63"/>
      <c r="C988" s="63"/>
      <c r="D988" s="63"/>
      <c r="E988" s="63">
        <v>2</v>
      </c>
      <c r="F988" s="63">
        <f>+F987</f>
        <v>0</v>
      </c>
      <c r="G988" s="63">
        <v>0</v>
      </c>
      <c r="H988" s="89"/>
      <c r="I988" s="88" t="s">
        <v>274</v>
      </c>
      <c r="J988" s="87"/>
      <c r="K988" s="65"/>
      <c r="P988" s="68"/>
      <c r="Q988" s="68"/>
      <c r="R988" s="68"/>
      <c r="S988" s="68"/>
      <c r="T988" s="68"/>
      <c r="U988" s="68"/>
      <c r="V988" s="68"/>
      <c r="W988" s="17" t="str">
        <f>+CONCATENATE(E988,".",F988,"\",G988,".",H988,":",I988)</f>
        <v>2.0\0.:COMMS</v>
      </c>
      <c r="X988" s="17" t="s">
        <v>138</v>
      </c>
      <c r="Y988" s="17">
        <v>0</v>
      </c>
      <c r="Z988" s="69"/>
      <c r="AC988" s="69"/>
      <c r="AD988" s="18"/>
      <c r="AE988" s="18"/>
      <c r="AF988" s="18"/>
      <c r="AG988" s="18"/>
      <c r="AH988" s="18"/>
      <c r="AI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</row>
    <row r="989" spans="1:53" s="17" customFormat="1" x14ac:dyDescent="0.3">
      <c r="A989" s="86" t="s">
        <v>273</v>
      </c>
      <c r="B989" s="63" t="s">
        <v>272</v>
      </c>
      <c r="C989" s="68" t="s">
        <v>271</v>
      </c>
      <c r="D989" s="63" t="s">
        <v>270</v>
      </c>
      <c r="E989" s="63">
        <f>+E988</f>
        <v>2</v>
      </c>
      <c r="F989" s="63">
        <f>+F988</f>
        <v>0</v>
      </c>
      <c r="G989" s="63">
        <f>+G988</f>
        <v>0</v>
      </c>
      <c r="H989" s="72">
        <v>1</v>
      </c>
      <c r="I989" s="77">
        <v>1</v>
      </c>
      <c r="J989" s="76" t="s">
        <v>269</v>
      </c>
      <c r="K989" s="85" t="s">
        <v>268</v>
      </c>
      <c r="L989" s="79" t="s">
        <v>244</v>
      </c>
      <c r="M989" s="79"/>
      <c r="N989" s="17">
        <v>3</v>
      </c>
      <c r="P989" s="17" t="s">
        <v>267</v>
      </c>
      <c r="R989" s="17" t="s">
        <v>266</v>
      </c>
      <c r="S989" s="17" t="s">
        <v>262</v>
      </c>
      <c r="U989" s="68" t="s">
        <v>194</v>
      </c>
      <c r="V989" s="68"/>
      <c r="W989" s="17" t="str">
        <f>+CONCATENATE(E989,".",F989,"\",G989,".",H989,":",I989)</f>
        <v>2.0\0.1:1</v>
      </c>
      <c r="X989" s="17" t="s">
        <v>138</v>
      </c>
      <c r="Y989" s="17">
        <v>0</v>
      </c>
      <c r="Z989" s="69"/>
      <c r="AC989" s="69"/>
      <c r="AD989" s="18"/>
      <c r="AE989" s="18"/>
      <c r="AF989" s="18"/>
      <c r="AG989" s="18"/>
      <c r="AH989" s="18"/>
      <c r="AI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</row>
    <row r="990" spans="1:53" s="17" customFormat="1" x14ac:dyDescent="0.3">
      <c r="A990" s="21" t="str">
        <f>+A989</f>
        <v>BSR132</v>
      </c>
      <c r="B990" s="21" t="str">
        <f>+B989</f>
        <v>DX01</v>
      </c>
      <c r="C990" s="18"/>
      <c r="D990" s="63"/>
      <c r="E990" s="63">
        <f>+E989</f>
        <v>2</v>
      </c>
      <c r="F990" s="63">
        <f>+F989</f>
        <v>0</v>
      </c>
      <c r="G990" s="63">
        <f>+G989</f>
        <v>0</v>
      </c>
      <c r="H990" s="72">
        <f>+H989</f>
        <v>1</v>
      </c>
      <c r="I990" s="75">
        <v>2</v>
      </c>
      <c r="J990" s="74" t="s">
        <v>265</v>
      </c>
      <c r="K990" s="33"/>
      <c r="L990" s="79" t="s">
        <v>244</v>
      </c>
      <c r="M990" s="79"/>
      <c r="N990" s="17">
        <v>3</v>
      </c>
      <c r="P990" s="17" t="s">
        <v>264</v>
      </c>
      <c r="R990" s="17" t="s">
        <v>263</v>
      </c>
      <c r="S990" s="17" t="s">
        <v>262</v>
      </c>
      <c r="U990" s="68" t="str">
        <f>+U989</f>
        <v>BCV131</v>
      </c>
      <c r="V990" s="68"/>
      <c r="W990" s="17" t="str">
        <f>+CONCATENATE(E990,".",F990,"\",G990,".",H990,":",I990)</f>
        <v>2.0\0.1:2</v>
      </c>
      <c r="X990" s="17" t="s">
        <v>138</v>
      </c>
      <c r="Y990" s="17">
        <v>0</v>
      </c>
      <c r="Z990" s="69"/>
      <c r="AC990" s="69"/>
      <c r="AD990" s="18"/>
      <c r="AE990" s="18"/>
      <c r="AF990" s="18"/>
      <c r="AG990" s="18"/>
      <c r="AH990" s="18"/>
      <c r="AI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</row>
    <row r="991" spans="1:53" s="17" customFormat="1" x14ac:dyDescent="0.3">
      <c r="A991" s="21" t="str">
        <f>+A990</f>
        <v>BSR132</v>
      </c>
      <c r="B991" s="21" t="str">
        <f>+B990</f>
        <v>DX01</v>
      </c>
      <c r="C991" s="18"/>
      <c r="D991" s="63"/>
      <c r="E991" s="63">
        <f>+E990</f>
        <v>2</v>
      </c>
      <c r="F991" s="63">
        <f>+F990</f>
        <v>0</v>
      </c>
      <c r="G991" s="63">
        <f>+G990</f>
        <v>0</v>
      </c>
      <c r="H991" s="72">
        <f>+H990</f>
        <v>1</v>
      </c>
      <c r="I991" s="75">
        <v>3</v>
      </c>
      <c r="J991" s="74" t="s">
        <v>261</v>
      </c>
      <c r="K991" s="65">
        <v>1044125</v>
      </c>
      <c r="L991" s="79" t="s">
        <v>244</v>
      </c>
      <c r="M991" s="79"/>
      <c r="N991" s="17">
        <v>3</v>
      </c>
      <c r="P991" s="17" t="s">
        <v>260</v>
      </c>
      <c r="R991" s="83" t="s">
        <v>259</v>
      </c>
      <c r="S991" s="83" t="s">
        <v>211</v>
      </c>
      <c r="U991" s="68" t="s">
        <v>258</v>
      </c>
      <c r="V991" s="68"/>
      <c r="W991" s="17" t="str">
        <f>+CONCATENATE(E991,".",F991,"\",G991,".",H991,":",I991)</f>
        <v>2.0\0.1:3</v>
      </c>
      <c r="X991" s="17" t="s">
        <v>138</v>
      </c>
      <c r="Y991" s="17">
        <v>0</v>
      </c>
      <c r="Z991" s="69"/>
      <c r="AC991" s="69"/>
      <c r="AD991" s="18"/>
      <c r="AE991" s="18"/>
      <c r="AF991" s="18"/>
      <c r="AG991" s="18"/>
      <c r="AH991" s="18"/>
      <c r="AI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</row>
    <row r="992" spans="1:53" s="17" customFormat="1" x14ac:dyDescent="0.3">
      <c r="A992" s="21" t="str">
        <f>+A991</f>
        <v>BSR132</v>
      </c>
      <c r="B992" s="21" t="str">
        <f>+B991</f>
        <v>DX01</v>
      </c>
      <c r="C992" s="18"/>
      <c r="D992" s="63"/>
      <c r="E992" s="63">
        <f>+E991</f>
        <v>2</v>
      </c>
      <c r="F992" s="63">
        <f>+F991</f>
        <v>0</v>
      </c>
      <c r="G992" s="63">
        <f>+G991</f>
        <v>0</v>
      </c>
      <c r="H992" s="72">
        <f>+H991</f>
        <v>1</v>
      </c>
      <c r="I992" s="75">
        <v>4</v>
      </c>
      <c r="J992" s="74" t="s">
        <v>257</v>
      </c>
      <c r="K992" s="84">
        <v>1047162</v>
      </c>
      <c r="L992" s="79" t="s">
        <v>244</v>
      </c>
      <c r="M992" s="79"/>
      <c r="N992" s="17">
        <v>3</v>
      </c>
      <c r="P992" s="17" t="s">
        <v>256</v>
      </c>
      <c r="R992" s="83" t="s">
        <v>255</v>
      </c>
      <c r="S992" s="83" t="s">
        <v>211</v>
      </c>
      <c r="U992" s="68" t="str">
        <f>+U991</f>
        <v>BCV131BBN131</v>
      </c>
      <c r="V992" s="68"/>
      <c r="W992" s="17" t="str">
        <f>+CONCATENATE(E992,".",F992,"\",G992,".",H992,":",I992)</f>
        <v>2.0\0.1:4</v>
      </c>
      <c r="X992" s="17" t="s">
        <v>138</v>
      </c>
      <c r="Y992" s="17">
        <v>0</v>
      </c>
      <c r="Z992" s="69"/>
      <c r="AC992" s="69"/>
      <c r="AD992" s="69"/>
      <c r="AE992" s="68"/>
      <c r="AF992" s="68"/>
      <c r="AG992" s="68"/>
      <c r="AH992" s="6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</row>
    <row r="993" spans="1:53" s="17" customFormat="1" x14ac:dyDescent="0.3">
      <c r="A993" s="21" t="str">
        <f>+A992</f>
        <v>BSR132</v>
      </c>
      <c r="B993" s="21" t="str">
        <f>+B992</f>
        <v>DX01</v>
      </c>
      <c r="C993" s="18"/>
      <c r="D993" s="63"/>
      <c r="E993" s="63">
        <f>+E992</f>
        <v>2</v>
      </c>
      <c r="F993" s="63">
        <f>+F992</f>
        <v>0</v>
      </c>
      <c r="G993" s="63">
        <f>+G992</f>
        <v>0</v>
      </c>
      <c r="H993" s="72">
        <f>+H992</f>
        <v>1</v>
      </c>
      <c r="I993" s="75">
        <v>5</v>
      </c>
      <c r="J993" s="74" t="s">
        <v>254</v>
      </c>
      <c r="K993" s="82" t="s">
        <v>253</v>
      </c>
      <c r="L993" s="79" t="s">
        <v>244</v>
      </c>
      <c r="M993" s="79"/>
      <c r="N993" s="17">
        <v>3</v>
      </c>
      <c r="P993" s="17" t="s">
        <v>252</v>
      </c>
      <c r="R993" s="17" t="s">
        <v>251</v>
      </c>
      <c r="S993" s="17" t="s">
        <v>247</v>
      </c>
      <c r="U993" s="68" t="str">
        <f>+U990</f>
        <v>BCV131</v>
      </c>
      <c r="V993" s="68"/>
      <c r="W993" s="17" t="str">
        <f>+CONCATENATE(E993,".",F993,"\",G993,".",H993,":",I993)</f>
        <v>2.0\0.1:5</v>
      </c>
      <c r="X993" s="17" t="s">
        <v>138</v>
      </c>
      <c r="Y993" s="17">
        <v>0</v>
      </c>
      <c r="Z993" s="69"/>
      <c r="AC993" s="69"/>
      <c r="AD993" s="69"/>
      <c r="AE993" s="68"/>
      <c r="AF993" s="68"/>
      <c r="AG993" s="68"/>
      <c r="AH993" s="6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</row>
    <row r="994" spans="1:53" s="17" customFormat="1" x14ac:dyDescent="0.3">
      <c r="A994" s="21" t="str">
        <f>+A993</f>
        <v>BSR132</v>
      </c>
      <c r="B994" s="21" t="str">
        <f>+B993</f>
        <v>DX01</v>
      </c>
      <c r="C994" s="18"/>
      <c r="D994" s="63"/>
      <c r="E994" s="63">
        <f>+E993</f>
        <v>2</v>
      </c>
      <c r="F994" s="63">
        <f>+F993</f>
        <v>0</v>
      </c>
      <c r="G994" s="63">
        <f>+G993</f>
        <v>0</v>
      </c>
      <c r="H994" s="72">
        <f>+H993</f>
        <v>1</v>
      </c>
      <c r="I994" s="75">
        <v>6</v>
      </c>
      <c r="J994" s="74" t="s">
        <v>250</v>
      </c>
      <c r="K994" s="33"/>
      <c r="L994" s="79" t="s">
        <v>244</v>
      </c>
      <c r="M994" s="79"/>
      <c r="N994" s="17">
        <v>3</v>
      </c>
      <c r="P994" s="17" t="s">
        <v>249</v>
      </c>
      <c r="R994" s="17" t="s">
        <v>248</v>
      </c>
      <c r="S994" s="17" t="s">
        <v>247</v>
      </c>
      <c r="U994" s="68" t="str">
        <f>+U993</f>
        <v>BCV131</v>
      </c>
      <c r="V994" s="68"/>
      <c r="W994" s="17" t="str">
        <f>+CONCATENATE(E994,".",F994,"\",G994,".",H994,":",I994)</f>
        <v>2.0\0.1:6</v>
      </c>
      <c r="X994" s="17" t="s">
        <v>138</v>
      </c>
      <c r="Y994" s="17">
        <v>0</v>
      </c>
      <c r="Z994" s="69"/>
      <c r="AC994" s="69"/>
      <c r="AD994" s="69"/>
      <c r="AE994" s="68"/>
      <c r="AF994" s="68"/>
      <c r="AG994" s="68"/>
      <c r="AH994" s="6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</row>
    <row r="995" spans="1:53" s="17" customFormat="1" x14ac:dyDescent="0.3">
      <c r="A995" s="21" t="str">
        <f>+A994</f>
        <v>BSR132</v>
      </c>
      <c r="B995" s="21" t="str">
        <f>+B994</f>
        <v>DX01</v>
      </c>
      <c r="C995" s="18"/>
      <c r="D995" s="63"/>
      <c r="E995" s="63">
        <f>+E994</f>
        <v>2</v>
      </c>
      <c r="F995" s="63">
        <f>+F994</f>
        <v>0</v>
      </c>
      <c r="G995" s="63">
        <f>+G994</f>
        <v>0</v>
      </c>
      <c r="H995" s="72">
        <f>+H994</f>
        <v>1</v>
      </c>
      <c r="I995" s="75">
        <v>7</v>
      </c>
      <c r="J995" s="74" t="s">
        <v>246</v>
      </c>
      <c r="K995" s="65"/>
      <c r="L995" s="79" t="s">
        <v>244</v>
      </c>
      <c r="M995" s="79"/>
      <c r="N995" s="17">
        <v>3</v>
      </c>
      <c r="P995" s="78"/>
      <c r="Q995" s="78"/>
      <c r="R995" s="78"/>
      <c r="S995" s="78"/>
      <c r="U995" s="68" t="str">
        <f>+U994</f>
        <v>BCV131</v>
      </c>
      <c r="V995" s="68"/>
      <c r="W995" s="17" t="str">
        <f>+CONCATENATE(E995,".",F995,"\",G995,".",H995,":",I995)</f>
        <v>2.0\0.1:7</v>
      </c>
      <c r="X995" s="17" t="s">
        <v>138</v>
      </c>
      <c r="Y995" s="17">
        <v>0</v>
      </c>
      <c r="Z995" s="69"/>
      <c r="AC995" s="69"/>
      <c r="AD995" s="69"/>
      <c r="AE995" s="68"/>
      <c r="AF995" s="68"/>
      <c r="AG995" s="68"/>
      <c r="AH995" s="6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</row>
    <row r="996" spans="1:53" s="17" customFormat="1" x14ac:dyDescent="0.3">
      <c r="A996" s="21" t="str">
        <f>+A995</f>
        <v>BSR132</v>
      </c>
      <c r="B996" s="21" t="str">
        <f>+B995</f>
        <v>DX01</v>
      </c>
      <c r="C996" s="18"/>
      <c r="D996" s="63"/>
      <c r="E996" s="63">
        <f>+E995</f>
        <v>2</v>
      </c>
      <c r="F996" s="63">
        <f>+F995</f>
        <v>0</v>
      </c>
      <c r="G996" s="63">
        <f>+G995</f>
        <v>0</v>
      </c>
      <c r="H996" s="72">
        <f>+H995</f>
        <v>1</v>
      </c>
      <c r="I996" s="75">
        <v>8</v>
      </c>
      <c r="J996" s="74" t="s">
        <v>245</v>
      </c>
      <c r="K996" s="65"/>
      <c r="L996" s="79" t="s">
        <v>244</v>
      </c>
      <c r="M996" s="79"/>
      <c r="N996" s="17">
        <v>3</v>
      </c>
      <c r="P996" s="78"/>
      <c r="Q996" s="78"/>
      <c r="R996" s="78"/>
      <c r="S996" s="78"/>
      <c r="U996" s="68" t="str">
        <f>+U995</f>
        <v>BCV131</v>
      </c>
      <c r="V996" s="68"/>
      <c r="W996" s="17" t="str">
        <f>+CONCATENATE(E996,".",F996,"\",G996,".",H996,":",I996)</f>
        <v>2.0\0.1:8</v>
      </c>
      <c r="X996" s="17" t="s">
        <v>138</v>
      </c>
      <c r="Y996" s="17">
        <v>0</v>
      </c>
      <c r="Z996" s="69"/>
      <c r="AC996" s="69"/>
      <c r="AD996" s="69"/>
      <c r="AE996" s="68"/>
      <c r="AF996" s="68"/>
      <c r="AG996" s="68"/>
      <c r="AH996" s="6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</row>
    <row r="997" spans="1:53" s="17" customFormat="1" x14ac:dyDescent="0.3">
      <c r="A997" s="21" t="str">
        <f>+A996</f>
        <v>BSR132</v>
      </c>
      <c r="B997" s="21" t="str">
        <f>+B996</f>
        <v>DX01</v>
      </c>
      <c r="C997" s="80"/>
      <c r="D997" s="63"/>
      <c r="E997" s="63">
        <f>+E996</f>
        <v>2</v>
      </c>
      <c r="F997" s="63">
        <f>+F996</f>
        <v>0</v>
      </c>
      <c r="G997" s="63">
        <f>+G996</f>
        <v>0</v>
      </c>
      <c r="H997" s="72">
        <f>+H996</f>
        <v>1</v>
      </c>
      <c r="I997" s="75">
        <v>1</v>
      </c>
      <c r="J997" s="81" t="s">
        <v>243</v>
      </c>
      <c r="K997" s="65"/>
      <c r="L997" s="79" t="s">
        <v>235</v>
      </c>
      <c r="M997" s="79"/>
      <c r="N997" s="17">
        <v>3</v>
      </c>
      <c r="P997" s="17" t="s">
        <v>242</v>
      </c>
      <c r="R997" s="17" t="s">
        <v>241</v>
      </c>
      <c r="S997" s="17" t="s">
        <v>204</v>
      </c>
      <c r="U997" s="68" t="str">
        <f>+U996</f>
        <v>BCV131</v>
      </c>
      <c r="V997" s="68"/>
      <c r="W997" s="17" t="str">
        <f>+CONCATENATE(E997,".",F997,"\",G997,".",H997,":",I997)</f>
        <v>2.0\0.1:1</v>
      </c>
      <c r="X997" s="17" t="s">
        <v>138</v>
      </c>
      <c r="Y997" s="17">
        <v>0</v>
      </c>
      <c r="Z997" s="69"/>
      <c r="AC997" s="69"/>
      <c r="AD997" s="69"/>
      <c r="AE997" s="68"/>
      <c r="AF997" s="68"/>
      <c r="AG997" s="68"/>
      <c r="AH997" s="6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</row>
    <row r="998" spans="1:53" s="17" customFormat="1" x14ac:dyDescent="0.3">
      <c r="A998" s="21" t="str">
        <f>+A997</f>
        <v>BSR132</v>
      </c>
      <c r="B998" s="21" t="str">
        <f>+B997</f>
        <v>DX01</v>
      </c>
      <c r="C998" s="80"/>
      <c r="D998" s="63"/>
      <c r="E998" s="63">
        <f>+E997</f>
        <v>2</v>
      </c>
      <c r="F998" s="63">
        <f>+F997</f>
        <v>0</v>
      </c>
      <c r="G998" s="63">
        <f>+G997</f>
        <v>0</v>
      </c>
      <c r="H998" s="72">
        <f>+H997</f>
        <v>1</v>
      </c>
      <c r="I998" s="75">
        <v>2</v>
      </c>
      <c r="J998" s="74" t="s">
        <v>240</v>
      </c>
      <c r="K998" s="65"/>
      <c r="L998" s="79" t="s">
        <v>235</v>
      </c>
      <c r="M998" s="79"/>
      <c r="N998" s="17">
        <v>3</v>
      </c>
      <c r="P998" s="17" t="s">
        <v>239</v>
      </c>
      <c r="R998" s="17" t="s">
        <v>238</v>
      </c>
      <c r="S998" s="17" t="s">
        <v>204</v>
      </c>
      <c r="U998" s="68" t="str">
        <f>+U997</f>
        <v>BCV131</v>
      </c>
      <c r="V998" s="68"/>
      <c r="W998" s="17" t="str">
        <f>+CONCATENATE(E998,".",F998,"\",G998,".",H998,":",I998)</f>
        <v>2.0\0.1:2</v>
      </c>
      <c r="X998" s="17" t="s">
        <v>138</v>
      </c>
      <c r="Y998" s="17">
        <v>0</v>
      </c>
      <c r="Z998" s="69"/>
      <c r="AA998" s="33"/>
      <c r="AB998" s="33"/>
      <c r="AC998" s="69"/>
      <c r="AD998" s="69"/>
      <c r="AE998" s="68"/>
      <c r="AF998" s="68"/>
      <c r="AG998" s="68"/>
      <c r="AH998" s="6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</row>
    <row r="999" spans="1:53" s="17" customFormat="1" x14ac:dyDescent="0.3">
      <c r="A999" s="21" t="str">
        <f>+A998</f>
        <v>BSR132</v>
      </c>
      <c r="B999" s="21" t="str">
        <f>+B998</f>
        <v>DX01</v>
      </c>
      <c r="C999" s="80"/>
      <c r="D999" s="63"/>
      <c r="E999" s="63">
        <f>+E998</f>
        <v>2</v>
      </c>
      <c r="F999" s="63">
        <f>+F998</f>
        <v>0</v>
      </c>
      <c r="G999" s="63">
        <f>+G998</f>
        <v>0</v>
      </c>
      <c r="H999" s="72">
        <f>+H998</f>
        <v>1</v>
      </c>
      <c r="I999" s="75">
        <v>3</v>
      </c>
      <c r="J999" s="74" t="s">
        <v>237</v>
      </c>
      <c r="K999" s="65"/>
      <c r="L999" s="79" t="s">
        <v>235</v>
      </c>
      <c r="M999" s="79"/>
      <c r="N999" s="17">
        <v>3</v>
      </c>
      <c r="P999" s="78"/>
      <c r="Q999" s="78"/>
      <c r="R999" s="78"/>
      <c r="S999" s="78"/>
      <c r="T999" s="68"/>
      <c r="U999" s="68" t="str">
        <f>+U998</f>
        <v>BCV131</v>
      </c>
      <c r="V999" s="68"/>
      <c r="W999" s="17" t="str">
        <f>+CONCATENATE(E999,".",F999,"\",G999,".",H999,":",I999)</f>
        <v>2.0\0.1:3</v>
      </c>
      <c r="X999" s="17" t="s">
        <v>138</v>
      </c>
      <c r="Y999" s="17">
        <v>0</v>
      </c>
      <c r="Z999" s="69"/>
      <c r="AC999" s="69"/>
      <c r="AD999" s="69"/>
      <c r="AE999" s="68"/>
      <c r="AF999" s="68"/>
      <c r="AG999" s="68"/>
      <c r="AH999" s="6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</row>
    <row r="1000" spans="1:53" s="17" customFormat="1" ht="13.5" thickBot="1" x14ac:dyDescent="0.35">
      <c r="A1000" s="21" t="str">
        <f>+A999</f>
        <v>BSR132</v>
      </c>
      <c r="B1000" s="21" t="str">
        <f>+B999</f>
        <v>DX01</v>
      </c>
      <c r="C1000" s="80"/>
      <c r="D1000" s="63"/>
      <c r="E1000" s="63">
        <f>+E999</f>
        <v>2</v>
      </c>
      <c r="F1000" s="63">
        <f>+F999</f>
        <v>0</v>
      </c>
      <c r="G1000" s="63">
        <f>+G999</f>
        <v>0</v>
      </c>
      <c r="H1000" s="72">
        <f>+H999</f>
        <v>1</v>
      </c>
      <c r="I1000" s="71">
        <v>4</v>
      </c>
      <c r="J1000" s="74" t="s">
        <v>236</v>
      </c>
      <c r="K1000" s="65"/>
      <c r="L1000" s="79" t="s">
        <v>235</v>
      </c>
      <c r="M1000" s="79"/>
      <c r="N1000" s="17">
        <v>3</v>
      </c>
      <c r="P1000" s="78"/>
      <c r="Q1000" s="78"/>
      <c r="R1000" s="78"/>
      <c r="S1000" s="78"/>
      <c r="T1000" s="68"/>
      <c r="U1000" s="68" t="str">
        <f>+U999</f>
        <v>BCV131</v>
      </c>
      <c r="V1000" s="68"/>
      <c r="W1000" s="17" t="str">
        <f>+CONCATENATE(E1000,".",F1000,"\",G1000,".",H1000,":",I1000)</f>
        <v>2.0\0.1:4</v>
      </c>
      <c r="X1000" s="17" t="s">
        <v>138</v>
      </c>
      <c r="Y1000" s="17">
        <v>0</v>
      </c>
      <c r="Z1000" s="69"/>
      <c r="AC1000" s="69"/>
      <c r="AD1000" s="69"/>
      <c r="AE1000" s="68"/>
      <c r="AF1000" s="68"/>
      <c r="AG1000" s="68"/>
      <c r="AH1000" s="6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</row>
    <row r="1001" spans="1:53" s="17" customFormat="1" x14ac:dyDescent="0.3">
      <c r="A1001" s="21" t="str">
        <f>+A1000</f>
        <v>BSR132</v>
      </c>
      <c r="B1001" s="21" t="str">
        <f>+B1000</f>
        <v>DX01</v>
      </c>
      <c r="C1001" s="68"/>
      <c r="D1001" s="63"/>
      <c r="E1001" s="63">
        <f>+E1000</f>
        <v>2</v>
      </c>
      <c r="F1001" s="63">
        <f>+F1000</f>
        <v>0</v>
      </c>
      <c r="G1001" s="63">
        <f>+G1000</f>
        <v>0</v>
      </c>
      <c r="H1001" s="72">
        <v>2</v>
      </c>
      <c r="I1001" s="77" t="s">
        <v>234</v>
      </c>
      <c r="J1001" s="76" t="s">
        <v>233</v>
      </c>
      <c r="K1001" s="65" t="s">
        <v>232</v>
      </c>
      <c r="L1001" s="64" t="s">
        <v>213</v>
      </c>
      <c r="M1001" s="64"/>
      <c r="N1001" s="17">
        <v>3</v>
      </c>
      <c r="P1001" s="68" t="s">
        <v>231</v>
      </c>
      <c r="Q1001" s="68"/>
      <c r="R1001" s="73" t="s">
        <v>224</v>
      </c>
      <c r="S1001" s="17" t="s">
        <v>211</v>
      </c>
      <c r="T1001" s="68"/>
      <c r="U1001" s="68" t="str">
        <f>+U1000</f>
        <v>BCV131</v>
      </c>
      <c r="V1001" s="68"/>
      <c r="W1001" s="17" t="str">
        <f>+CONCATENATE(E1001,".",F1001,"\",G1001,".",H1001,":",I1001)</f>
        <v>2.0\0.2:1A</v>
      </c>
      <c r="X1001" s="17" t="s">
        <v>138</v>
      </c>
      <c r="Y1001" s="17">
        <v>0</v>
      </c>
      <c r="Z1001" s="69" t="s">
        <v>216</v>
      </c>
      <c r="AC1001" s="69"/>
      <c r="AD1001" s="69"/>
      <c r="AE1001" s="68"/>
      <c r="AF1001" s="68"/>
      <c r="AG1001" s="68"/>
      <c r="AH1001" s="6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</row>
    <row r="1002" spans="1:53" s="17" customFormat="1" x14ac:dyDescent="0.3">
      <c r="A1002" s="21" t="str">
        <f>+A1001</f>
        <v>BSR132</v>
      </c>
      <c r="B1002" s="21" t="str">
        <f>+B1001</f>
        <v>DX01</v>
      </c>
      <c r="C1002" s="18"/>
      <c r="D1002" s="63"/>
      <c r="E1002" s="63">
        <f>+E1001</f>
        <v>2</v>
      </c>
      <c r="F1002" s="63">
        <f>+F1001</f>
        <v>0</v>
      </c>
      <c r="G1002" s="63">
        <f>+G1001</f>
        <v>0</v>
      </c>
      <c r="H1002" s="72">
        <f>+H1001</f>
        <v>2</v>
      </c>
      <c r="I1002" s="75" t="s">
        <v>230</v>
      </c>
      <c r="J1002" s="74" t="s">
        <v>229</v>
      </c>
      <c r="K1002" s="65">
        <v>6026143</v>
      </c>
      <c r="L1002" s="64" t="s">
        <v>213</v>
      </c>
      <c r="M1002" s="64"/>
      <c r="N1002" s="17">
        <v>3</v>
      </c>
      <c r="P1002" s="68" t="s">
        <v>228</v>
      </c>
      <c r="Q1002" s="68"/>
      <c r="R1002" s="73" t="s">
        <v>224</v>
      </c>
      <c r="S1002" s="17" t="s">
        <v>211</v>
      </c>
      <c r="T1002" s="68"/>
      <c r="U1002" s="68" t="str">
        <f>+U1001</f>
        <v>BCV131</v>
      </c>
      <c r="V1002" s="68"/>
      <c r="W1002" s="17" t="str">
        <f>+CONCATENATE(E1002,".",F1002,"\",G1002,".",H1002,":",I1002)</f>
        <v>2.0\0.2:1B</v>
      </c>
      <c r="X1002" s="17" t="s">
        <v>138</v>
      </c>
      <c r="Y1002" s="17">
        <v>0</v>
      </c>
      <c r="Z1002" s="69" t="s">
        <v>210</v>
      </c>
      <c r="AC1002" s="69"/>
      <c r="AD1002" s="69"/>
      <c r="AE1002" s="68"/>
      <c r="AF1002" s="68"/>
      <c r="AG1002" s="68"/>
      <c r="AH1002" s="6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</row>
    <row r="1003" spans="1:53" s="17" customFormat="1" x14ac:dyDescent="0.3">
      <c r="A1003" s="21" t="str">
        <f>+A1002</f>
        <v>BSR132</v>
      </c>
      <c r="B1003" s="21" t="str">
        <f>+B1002</f>
        <v>DX01</v>
      </c>
      <c r="C1003" s="18"/>
      <c r="D1003" s="63"/>
      <c r="E1003" s="63">
        <f>+E1002</f>
        <v>2</v>
      </c>
      <c r="F1003" s="63">
        <f>+F1002</f>
        <v>0</v>
      </c>
      <c r="G1003" s="63">
        <f>+G1002</f>
        <v>0</v>
      </c>
      <c r="H1003" s="72">
        <f>+H1002</f>
        <v>2</v>
      </c>
      <c r="I1003" s="75" t="s">
        <v>227</v>
      </c>
      <c r="J1003" s="74" t="s">
        <v>226</v>
      </c>
      <c r="K1003" s="65"/>
      <c r="L1003" s="64" t="s">
        <v>207</v>
      </c>
      <c r="M1003" s="64"/>
      <c r="N1003" s="17">
        <v>3</v>
      </c>
      <c r="P1003" s="68" t="s">
        <v>225</v>
      </c>
      <c r="Q1003" s="68"/>
      <c r="R1003" s="73" t="s">
        <v>224</v>
      </c>
      <c r="S1003" s="17" t="s">
        <v>204</v>
      </c>
      <c r="T1003" s="68"/>
      <c r="U1003" s="68" t="str">
        <f>+U1002</f>
        <v>BCV131</v>
      </c>
      <c r="V1003" s="68"/>
      <c r="W1003" s="17" t="str">
        <f>+CONCATENATE(E1003,".",F1003,"\",G1003,".",H1003,":",I1003)</f>
        <v>2.0\0.2:1C</v>
      </c>
      <c r="X1003" s="17" t="s">
        <v>138</v>
      </c>
      <c r="Y1003" s="17">
        <v>0</v>
      </c>
      <c r="Z1003" s="69"/>
      <c r="AC1003" s="69"/>
      <c r="AD1003" s="69"/>
      <c r="AE1003" s="68"/>
      <c r="AF1003" s="68"/>
      <c r="AG1003" s="68"/>
      <c r="AH1003" s="6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</row>
    <row r="1004" spans="1:53" s="17" customFormat="1" x14ac:dyDescent="0.3">
      <c r="A1004" s="21" t="str">
        <f>+A1003</f>
        <v>BSR132</v>
      </c>
      <c r="B1004" s="21" t="str">
        <f>+B1003</f>
        <v>DX01</v>
      </c>
      <c r="C1004" s="18"/>
      <c r="D1004" s="63"/>
      <c r="E1004" s="63">
        <f>+E1003</f>
        <v>2</v>
      </c>
      <c r="F1004" s="63">
        <f>+F1003</f>
        <v>0</v>
      </c>
      <c r="G1004" s="63">
        <f>+G1003</f>
        <v>0</v>
      </c>
      <c r="H1004" s="72">
        <f>+H1003</f>
        <v>2</v>
      </c>
      <c r="I1004" s="75" t="s">
        <v>223</v>
      </c>
      <c r="J1004" s="74" t="s">
        <v>222</v>
      </c>
      <c r="K1004" s="65"/>
      <c r="L1004" s="64" t="s">
        <v>201</v>
      </c>
      <c r="M1004" s="64"/>
      <c r="N1004" s="17">
        <v>3</v>
      </c>
      <c r="P1004" s="68" t="s">
        <v>221</v>
      </c>
      <c r="Q1004" s="68"/>
      <c r="R1004" s="68" t="s">
        <v>220</v>
      </c>
      <c r="S1004" s="17" t="s">
        <v>198</v>
      </c>
      <c r="T1004" s="68"/>
      <c r="U1004" s="68" t="str">
        <f>+U1003</f>
        <v>BCV131</v>
      </c>
      <c r="V1004" s="68"/>
      <c r="W1004" s="17" t="str">
        <f>+CONCATENATE(E1004,".",F1004,"\",G1004,".",H1004,":",I1004)</f>
        <v>2.0\0.2:1M</v>
      </c>
      <c r="X1004" s="17" t="s">
        <v>138</v>
      </c>
      <c r="Y1004" s="17">
        <v>0</v>
      </c>
      <c r="Z1004" s="69"/>
      <c r="AC1004" s="69"/>
      <c r="AD1004" s="69"/>
      <c r="AE1004" s="68"/>
      <c r="AF1004" s="68"/>
      <c r="AG1004" s="68"/>
      <c r="AH1004" s="6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</row>
    <row r="1005" spans="1:53" s="17" customFormat="1" x14ac:dyDescent="0.3">
      <c r="A1005" s="21" t="str">
        <f>+A1004</f>
        <v>BSR132</v>
      </c>
      <c r="B1005" s="21" t="str">
        <f>+B1004</f>
        <v>DX01</v>
      </c>
      <c r="C1005" s="18"/>
      <c r="D1005" s="63"/>
      <c r="E1005" s="63">
        <f>+E1004</f>
        <v>2</v>
      </c>
      <c r="F1005" s="63">
        <f>+F1004</f>
        <v>0</v>
      </c>
      <c r="G1005" s="63">
        <f>+G1004</f>
        <v>0</v>
      </c>
      <c r="H1005" s="72">
        <f>+H1004</f>
        <v>2</v>
      </c>
      <c r="I1005" s="75" t="s">
        <v>219</v>
      </c>
      <c r="J1005" s="74" t="s">
        <v>218</v>
      </c>
      <c r="K1005" s="65"/>
      <c r="L1005" s="64" t="s">
        <v>213</v>
      </c>
      <c r="M1005" s="64"/>
      <c r="N1005" s="17">
        <v>3</v>
      </c>
      <c r="P1005" s="68" t="s">
        <v>217</v>
      </c>
      <c r="Q1005" s="68"/>
      <c r="R1005" s="73" t="s">
        <v>205</v>
      </c>
      <c r="S1005" s="17" t="s">
        <v>211</v>
      </c>
      <c r="T1005" s="68"/>
      <c r="U1005" s="68" t="str">
        <f>+U1004</f>
        <v>BCV131</v>
      </c>
      <c r="V1005" s="68"/>
      <c r="W1005" s="17" t="str">
        <f>+CONCATENATE(E1005,".",F1005,"\",G1005,".",H1005,":",I1005)</f>
        <v>2.0\0.2:2A</v>
      </c>
      <c r="X1005" s="17" t="s">
        <v>138</v>
      </c>
      <c r="Y1005" s="17">
        <v>0</v>
      </c>
      <c r="Z1005" s="69" t="s">
        <v>216</v>
      </c>
      <c r="AC1005" s="69"/>
      <c r="AD1005" s="69"/>
      <c r="AE1005" s="68"/>
      <c r="AF1005" s="68"/>
      <c r="AG1005" s="68"/>
      <c r="AH1005" s="6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</row>
    <row r="1006" spans="1:53" s="17" customFormat="1" x14ac:dyDescent="0.3">
      <c r="A1006" s="21" t="str">
        <f>+A1005</f>
        <v>BSR132</v>
      </c>
      <c r="B1006" s="21" t="str">
        <f>+B1005</f>
        <v>DX01</v>
      </c>
      <c r="C1006" s="18"/>
      <c r="D1006" s="63"/>
      <c r="E1006" s="63">
        <f>+E1005</f>
        <v>2</v>
      </c>
      <c r="F1006" s="63">
        <f>+F1005</f>
        <v>0</v>
      </c>
      <c r="G1006" s="63">
        <f>+G1005</f>
        <v>0</v>
      </c>
      <c r="H1006" s="72">
        <f>+H1005</f>
        <v>2</v>
      </c>
      <c r="I1006" s="75" t="s">
        <v>215</v>
      </c>
      <c r="J1006" s="74" t="s">
        <v>214</v>
      </c>
      <c r="K1006" s="65"/>
      <c r="L1006" s="64" t="s">
        <v>213</v>
      </c>
      <c r="M1006" s="64"/>
      <c r="N1006" s="17">
        <v>3</v>
      </c>
      <c r="P1006" s="68" t="s">
        <v>212</v>
      </c>
      <c r="Q1006" s="68"/>
      <c r="R1006" s="73" t="s">
        <v>205</v>
      </c>
      <c r="S1006" s="17" t="s">
        <v>211</v>
      </c>
      <c r="T1006" s="68"/>
      <c r="U1006" s="68" t="str">
        <f>+U1005</f>
        <v>BCV131</v>
      </c>
      <c r="V1006" s="68"/>
      <c r="W1006" s="17" t="str">
        <f>+CONCATENATE(E1006,".",F1006,"\",G1006,".",H1006,":",I1006)</f>
        <v>2.0\0.2:2B</v>
      </c>
      <c r="X1006" s="17" t="s">
        <v>138</v>
      </c>
      <c r="Y1006" s="17">
        <v>0</v>
      </c>
      <c r="Z1006" s="69" t="s">
        <v>210</v>
      </c>
      <c r="AC1006" s="69"/>
      <c r="AD1006" s="69"/>
      <c r="AE1006" s="68"/>
      <c r="AF1006" s="68"/>
      <c r="AG1006" s="68"/>
      <c r="AH1006" s="6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</row>
    <row r="1007" spans="1:53" s="17" customFormat="1" x14ac:dyDescent="0.3">
      <c r="A1007" s="21" t="str">
        <f>+A1006</f>
        <v>BSR132</v>
      </c>
      <c r="B1007" s="21" t="str">
        <f>+B1006</f>
        <v>DX01</v>
      </c>
      <c r="C1007" s="18"/>
      <c r="D1007" s="63"/>
      <c r="E1007" s="63">
        <f>+E1006</f>
        <v>2</v>
      </c>
      <c r="F1007" s="63">
        <f>+F1006</f>
        <v>0</v>
      </c>
      <c r="G1007" s="63">
        <f>+G1006</f>
        <v>0</v>
      </c>
      <c r="H1007" s="72">
        <f>+H1006</f>
        <v>2</v>
      </c>
      <c r="I1007" s="75" t="s">
        <v>209</v>
      </c>
      <c r="J1007" s="74" t="s">
        <v>208</v>
      </c>
      <c r="K1007" s="69"/>
      <c r="L1007" s="64" t="s">
        <v>207</v>
      </c>
      <c r="M1007" s="64"/>
      <c r="N1007" s="17">
        <v>3</v>
      </c>
      <c r="P1007" s="68" t="s">
        <v>206</v>
      </c>
      <c r="Q1007" s="68"/>
      <c r="R1007" s="73" t="s">
        <v>205</v>
      </c>
      <c r="S1007" s="17" t="s">
        <v>204</v>
      </c>
      <c r="T1007" s="68"/>
      <c r="U1007" s="68" t="str">
        <f>+U1006</f>
        <v>BCV131</v>
      </c>
      <c r="V1007" s="68"/>
      <c r="W1007" s="17" t="str">
        <f>+CONCATENATE(E1007,".",F1007,"\",G1007,".",H1007,":",I1007)</f>
        <v>2.0\0.2:2C</v>
      </c>
      <c r="X1007" s="17" t="s">
        <v>138</v>
      </c>
      <c r="Y1007" s="17">
        <v>0</v>
      </c>
      <c r="AC1007" s="69"/>
      <c r="AD1007" s="69"/>
      <c r="AE1007" s="68"/>
      <c r="AF1007" s="68"/>
      <c r="AG1007" s="68"/>
      <c r="AH1007" s="6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</row>
    <row r="1008" spans="1:53" s="17" customFormat="1" ht="13.5" thickBot="1" x14ac:dyDescent="0.35">
      <c r="A1008" s="21" t="str">
        <f>+A1007</f>
        <v>BSR132</v>
      </c>
      <c r="B1008" s="21" t="str">
        <f>+B1007</f>
        <v>DX01</v>
      </c>
      <c r="C1008" s="18"/>
      <c r="D1008" s="63"/>
      <c r="E1008" s="63">
        <f>+E1007</f>
        <v>2</v>
      </c>
      <c r="F1008" s="63">
        <f>+F1007</f>
        <v>0</v>
      </c>
      <c r="G1008" s="63">
        <f>+G1007</f>
        <v>0</v>
      </c>
      <c r="H1008" s="72">
        <f>+H1007</f>
        <v>2</v>
      </c>
      <c r="I1008" s="71" t="s">
        <v>203</v>
      </c>
      <c r="J1008" s="70" t="s">
        <v>202</v>
      </c>
      <c r="K1008" s="69"/>
      <c r="L1008" s="64" t="s">
        <v>201</v>
      </c>
      <c r="M1008" s="64"/>
      <c r="N1008" s="17">
        <v>3</v>
      </c>
      <c r="P1008" s="68" t="s">
        <v>200</v>
      </c>
      <c r="Q1008" s="68"/>
      <c r="R1008" s="68" t="s">
        <v>199</v>
      </c>
      <c r="S1008" s="17" t="s">
        <v>198</v>
      </c>
      <c r="T1008" s="68"/>
      <c r="U1008" s="68" t="str">
        <f>+U1007</f>
        <v>BCV131</v>
      </c>
      <c r="V1008" s="68"/>
      <c r="W1008" s="17" t="str">
        <f>+CONCATENATE(E1008,".",F1008,"\",G1008,".",H1008,":",I1008)</f>
        <v>2.0\0.2:2M</v>
      </c>
      <c r="X1008" s="17" t="s">
        <v>138</v>
      </c>
      <c r="Y1008" s="17">
        <v>0</v>
      </c>
      <c r="Z1008" s="69"/>
      <c r="AC1008" s="69"/>
      <c r="AD1008" s="69"/>
      <c r="AE1008" s="68"/>
      <c r="AF1008" s="68"/>
      <c r="AG1008" s="68"/>
      <c r="AH1008" s="6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</row>
    <row r="1009" spans="1:53" s="17" customFormat="1" ht="15" thickBot="1" x14ac:dyDescent="0.4">
      <c r="A1009" s="63"/>
      <c r="B1009" s="67"/>
      <c r="C1009" s="18"/>
      <c r="D1009" s="65"/>
      <c r="E1009" s="66"/>
      <c r="F1009" s="65"/>
      <c r="G1009" s="65"/>
      <c r="H1009" s="65"/>
      <c r="I1009" s="65"/>
      <c r="J1009" s="65"/>
      <c r="K1009" s="65"/>
      <c r="L1009" s="64"/>
      <c r="M1009" s="64"/>
      <c r="P1009" s="18"/>
      <c r="Q1009" s="18"/>
      <c r="S1009" s="18"/>
      <c r="U1009" s="63"/>
      <c r="Y1009" s="33"/>
      <c r="Z1009" s="33"/>
      <c r="AC1009" s="33"/>
      <c r="AD1009" s="19"/>
      <c r="AM1009" s="61" t="s">
        <v>197</v>
      </c>
      <c r="AN1009" s="62" t="s">
        <v>196</v>
      </c>
      <c r="AO1009" s="61" t="s">
        <v>195</v>
      </c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</row>
    <row r="1010" spans="1:53" s="17" customFormat="1" ht="15" thickBot="1" x14ac:dyDescent="0.4">
      <c r="A1010" s="33"/>
      <c r="B1010" s="33"/>
      <c r="C1010" s="18"/>
      <c r="D1010" s="18"/>
      <c r="E1010" s="18"/>
      <c r="F1010" s="18"/>
      <c r="G1010" s="18"/>
      <c r="H1010" s="18"/>
      <c r="I1010" s="35"/>
      <c r="J1010" s="34"/>
      <c r="K1010" s="33"/>
      <c r="L1010" s="59" t="s">
        <v>27</v>
      </c>
      <c r="M1010" s="33"/>
      <c r="N1010" s="33"/>
      <c r="O1010" s="18" t="s">
        <v>155</v>
      </c>
      <c r="P1010" s="58" t="s">
        <v>194</v>
      </c>
      <c r="Q1010" s="18" t="s">
        <v>194</v>
      </c>
      <c r="R1010" s="57" t="s">
        <v>193</v>
      </c>
      <c r="S1010" s="33"/>
      <c r="T1010" s="17" t="s">
        <v>192</v>
      </c>
      <c r="U1010" s="27" t="s">
        <v>155</v>
      </c>
      <c r="V1010" s="33"/>
      <c r="W1010" s="33"/>
      <c r="X1010" s="17" t="s">
        <v>145</v>
      </c>
      <c r="Y1010" s="33"/>
      <c r="Z1010" s="33"/>
      <c r="AC1010" s="19"/>
      <c r="AH1010" s="30" t="s">
        <v>191</v>
      </c>
      <c r="AI1010" s="37" t="s">
        <v>190</v>
      </c>
      <c r="AJ1010" s="37" t="s">
        <v>189</v>
      </c>
      <c r="AK1010" s="37" t="s">
        <v>188</v>
      </c>
      <c r="AL1010" s="50">
        <v>4</v>
      </c>
      <c r="AM1010" s="60" t="s">
        <v>187</v>
      </c>
      <c r="AN1010" s="18"/>
      <c r="AO1010" s="36" t="s">
        <v>186</v>
      </c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</row>
    <row r="1011" spans="1:53" s="17" customFormat="1" ht="15" thickBot="1" x14ac:dyDescent="0.4">
      <c r="A1011" s="33"/>
      <c r="B1011" s="33"/>
      <c r="C1011" s="18"/>
      <c r="D1011" s="18"/>
      <c r="E1011" s="18"/>
      <c r="F1011" s="18"/>
      <c r="G1011" s="18"/>
      <c r="H1011" s="18"/>
      <c r="I1011" s="18"/>
      <c r="J1011" s="18"/>
      <c r="K1011" s="33"/>
      <c r="L1011" s="59"/>
      <c r="M1011" s="33"/>
      <c r="N1011" s="33"/>
      <c r="O1011" s="18" t="s">
        <v>155</v>
      </c>
      <c r="P1011" s="58" t="s">
        <v>185</v>
      </c>
      <c r="Q1011" s="18" t="s">
        <v>185</v>
      </c>
      <c r="R1011" s="57" t="s">
        <v>184</v>
      </c>
      <c r="S1011" s="33"/>
      <c r="U1011" s="27" t="s">
        <v>155</v>
      </c>
      <c r="V1011" s="33"/>
      <c r="W1011" s="33"/>
      <c r="X1011" s="17" t="s">
        <v>145</v>
      </c>
      <c r="Y1011" s="33"/>
      <c r="Z1011" s="33"/>
      <c r="AC1011" s="19"/>
      <c r="AH1011" s="30" t="str">
        <f>+AH1010</f>
        <v>F12</v>
      </c>
      <c r="AI1011" s="37" t="s">
        <v>183</v>
      </c>
      <c r="AJ1011" s="37" t="s">
        <v>182</v>
      </c>
      <c r="AK1011" s="37" t="s">
        <v>181</v>
      </c>
      <c r="AL1011" s="50">
        <v>8</v>
      </c>
      <c r="AM1011" s="60" t="s">
        <v>180</v>
      </c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</row>
    <row r="1012" spans="1:53" s="17" customFormat="1" ht="26.5" thickBot="1" x14ac:dyDescent="0.4">
      <c r="A1012" s="33"/>
      <c r="B1012" s="33"/>
      <c r="C1012" s="18"/>
      <c r="D1012" s="18"/>
      <c r="E1012" s="18"/>
      <c r="F1012" s="18"/>
      <c r="G1012" s="18"/>
      <c r="H1012" s="18"/>
      <c r="I1012" s="35"/>
      <c r="J1012" s="34"/>
      <c r="K1012" s="33"/>
      <c r="L1012" s="59" t="s">
        <v>6</v>
      </c>
      <c r="M1012" s="33"/>
      <c r="N1012" s="33"/>
      <c r="O1012" s="18" t="s">
        <v>155</v>
      </c>
      <c r="P1012" s="52" t="s">
        <v>179</v>
      </c>
      <c r="Q1012" s="32" t="s">
        <v>179</v>
      </c>
      <c r="R1012" s="57" t="s">
        <v>178</v>
      </c>
      <c r="S1012" s="33"/>
      <c r="T1012" s="17" t="s">
        <v>177</v>
      </c>
      <c r="U1012" s="27" t="s">
        <v>155</v>
      </c>
      <c r="V1012" s="33"/>
      <c r="W1012" s="33"/>
      <c r="X1012" s="17" t="s">
        <v>145</v>
      </c>
      <c r="Y1012" s="33"/>
      <c r="Z1012" s="33"/>
      <c r="AA1012" s="33"/>
      <c r="AB1012" s="33"/>
      <c r="AC1012" s="19"/>
      <c r="AH1012" s="30" t="str">
        <f>+AH1011</f>
        <v>F12</v>
      </c>
      <c r="AI1012" s="22" t="s">
        <v>176</v>
      </c>
      <c r="AJ1012" s="22" t="s">
        <v>175</v>
      </c>
      <c r="AK1012" s="22" t="s">
        <v>174</v>
      </c>
      <c r="AL1012" s="23">
        <v>12</v>
      </c>
      <c r="AM1012" s="45" t="s">
        <v>173</v>
      </c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</row>
    <row r="1013" spans="1:53" s="17" customFormat="1" ht="26.5" thickBot="1" x14ac:dyDescent="0.4">
      <c r="A1013" s="33"/>
      <c r="B1013" s="33"/>
      <c r="C1013" s="18"/>
      <c r="D1013" s="18"/>
      <c r="E1013" s="18"/>
      <c r="F1013" s="18"/>
      <c r="G1013" s="18"/>
      <c r="H1013" s="18"/>
      <c r="I1013" s="35"/>
      <c r="J1013" s="34"/>
      <c r="K1013" s="33"/>
      <c r="L1013" s="59" t="s">
        <v>165</v>
      </c>
      <c r="M1013" s="33"/>
      <c r="N1013" s="33"/>
      <c r="O1013" s="18" t="s">
        <v>155</v>
      </c>
      <c r="P1013" s="52" t="s">
        <v>172</v>
      </c>
      <c r="Q1013" s="32" t="s">
        <v>172</v>
      </c>
      <c r="R1013" s="57" t="s">
        <v>171</v>
      </c>
      <c r="S1013" s="33"/>
      <c r="T1013" s="17" t="s">
        <v>170</v>
      </c>
      <c r="U1013" s="27" t="s">
        <v>155</v>
      </c>
      <c r="V1013" s="33"/>
      <c r="W1013" s="33"/>
      <c r="X1013" s="17" t="s">
        <v>145</v>
      </c>
      <c r="Y1013" s="33"/>
      <c r="Z1013" s="33"/>
      <c r="AC1013" s="19"/>
      <c r="AH1013" s="30" t="str">
        <f>+AH1012</f>
        <v>F12</v>
      </c>
      <c r="AI1013" s="22" t="s">
        <v>169</v>
      </c>
      <c r="AJ1013" s="22" t="s">
        <v>168</v>
      </c>
      <c r="AK1013" s="22" t="s">
        <v>167</v>
      </c>
      <c r="AL1013" s="23">
        <v>16</v>
      </c>
      <c r="AM1013" s="45" t="s">
        <v>166</v>
      </c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</row>
    <row r="1014" spans="1:53" s="17" customFormat="1" ht="26.5" thickBot="1" x14ac:dyDescent="0.4">
      <c r="A1014" s="33"/>
      <c r="B1014" s="33"/>
      <c r="C1014" s="18"/>
      <c r="D1014" s="18"/>
      <c r="E1014" s="18"/>
      <c r="F1014" s="18"/>
      <c r="G1014" s="18"/>
      <c r="H1014" s="18"/>
      <c r="I1014" s="35"/>
      <c r="J1014" s="34"/>
      <c r="K1014" s="33"/>
      <c r="L1014" s="59" t="s">
        <v>165</v>
      </c>
      <c r="M1014" s="33"/>
      <c r="N1014" s="33"/>
      <c r="O1014" s="18" t="s">
        <v>155</v>
      </c>
      <c r="P1014" s="52" t="s">
        <v>164</v>
      </c>
      <c r="Q1014" s="32" t="s">
        <v>164</v>
      </c>
      <c r="R1014" s="57" t="s">
        <v>163</v>
      </c>
      <c r="S1014" s="33"/>
      <c r="T1014" s="17" t="s">
        <v>162</v>
      </c>
      <c r="U1014" s="27" t="s">
        <v>155</v>
      </c>
      <c r="V1014" s="33"/>
      <c r="W1014" s="33"/>
      <c r="X1014" s="17" t="s">
        <v>145</v>
      </c>
      <c r="Y1014" s="33"/>
      <c r="Z1014" s="33"/>
      <c r="AC1014" s="19"/>
      <c r="AH1014" s="30" t="str">
        <f>+AH1013</f>
        <v>F12</v>
      </c>
      <c r="AI1014" s="22" t="s">
        <v>161</v>
      </c>
      <c r="AJ1014" s="22" t="s">
        <v>160</v>
      </c>
      <c r="AK1014" s="22" t="s">
        <v>159</v>
      </c>
      <c r="AL1014" s="23">
        <v>20</v>
      </c>
      <c r="AM1014" s="45" t="s">
        <v>158</v>
      </c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</row>
    <row r="1015" spans="1:53" s="17" customFormat="1" ht="15" thickBot="1" x14ac:dyDescent="0.4">
      <c r="A1015" s="33"/>
      <c r="B1015" s="33"/>
      <c r="C1015" s="18"/>
      <c r="D1015" s="18"/>
      <c r="E1015" s="18"/>
      <c r="F1015" s="18"/>
      <c r="G1015" s="18"/>
      <c r="H1015" s="18"/>
      <c r="I1015" s="35"/>
      <c r="J1015" s="34"/>
      <c r="K1015" s="33"/>
      <c r="L1015" s="59" t="s">
        <v>27</v>
      </c>
      <c r="M1015" s="33"/>
      <c r="N1015" s="33"/>
      <c r="O1015" s="18" t="s">
        <v>155</v>
      </c>
      <c r="P1015" s="56" t="s">
        <v>140</v>
      </c>
      <c r="Q1015" s="55" t="s">
        <v>140</v>
      </c>
      <c r="R1015" s="54" t="s">
        <v>157</v>
      </c>
      <c r="S1015" s="33"/>
      <c r="T1015" s="17" t="s">
        <v>156</v>
      </c>
      <c r="U1015" s="27" t="s">
        <v>155</v>
      </c>
      <c r="V1015" s="33"/>
      <c r="W1015" s="33"/>
      <c r="X1015" s="17" t="s">
        <v>145</v>
      </c>
      <c r="Y1015" s="33"/>
      <c r="Z1015" s="33"/>
      <c r="AC1015" s="19"/>
      <c r="AH1015" s="30" t="str">
        <f>+AH1014</f>
        <v>F12</v>
      </c>
      <c r="AI1015" s="37" t="s">
        <v>154</v>
      </c>
      <c r="AJ1015" s="37" t="s">
        <v>153</v>
      </c>
      <c r="AK1015" s="37" t="s">
        <v>152</v>
      </c>
      <c r="AL1015" s="50">
        <v>24</v>
      </c>
      <c r="AM1015" s="18"/>
      <c r="AN1015" s="18"/>
      <c r="AO1015" s="36" t="s">
        <v>151</v>
      </c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</row>
    <row r="1016" spans="1:53" s="17" customFormat="1" x14ac:dyDescent="0.3">
      <c r="A1016" s="21"/>
      <c r="B1016" s="21"/>
      <c r="C1016" s="18"/>
      <c r="D1016" s="18"/>
      <c r="E1016" s="18"/>
      <c r="F1016" s="18"/>
      <c r="G1016" s="18"/>
      <c r="H1016" s="18"/>
      <c r="I1016" s="18"/>
      <c r="J1016" s="18"/>
      <c r="K1016" s="33"/>
      <c r="L1016" s="18"/>
      <c r="M1016" s="21"/>
      <c r="N1016" s="21"/>
      <c r="O1016" s="18"/>
      <c r="P1016" s="18" t="s">
        <v>127</v>
      </c>
      <c r="Q1016" s="18" t="s">
        <v>127</v>
      </c>
      <c r="R1016" s="41" t="s">
        <v>127</v>
      </c>
      <c r="S1016" s="21"/>
      <c r="U1016" s="18"/>
      <c r="V1016" s="21"/>
      <c r="W1016" s="21"/>
      <c r="Y1016" s="21"/>
      <c r="Z1016" s="21"/>
      <c r="AC1016" s="19"/>
      <c r="AH1016" s="23" t="str">
        <f>+AH1015</f>
        <v>F12</v>
      </c>
      <c r="AI1016" s="22" t="s">
        <v>150</v>
      </c>
      <c r="AJ1016" s="22" t="s">
        <v>149</v>
      </c>
      <c r="AK1016" s="22" t="s">
        <v>148</v>
      </c>
      <c r="AL1016" s="23">
        <v>28</v>
      </c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</row>
    <row r="1017" spans="1:53" s="17" customFormat="1" ht="15" customHeight="1" x14ac:dyDescent="0.3">
      <c r="A1017" s="21"/>
      <c r="B1017" s="21"/>
      <c r="C1017" s="18"/>
      <c r="D1017" s="18"/>
      <c r="E1017" s="18"/>
      <c r="F1017" s="18"/>
      <c r="G1017" s="18"/>
      <c r="H1017" s="18"/>
      <c r="I1017" s="18"/>
      <c r="J1017" s="18"/>
      <c r="K1017" s="33"/>
      <c r="L1017" s="18"/>
      <c r="M1017" s="21"/>
      <c r="N1017" s="21"/>
      <c r="O1017" s="18" t="s">
        <v>146</v>
      </c>
      <c r="P1017" s="58" t="s">
        <v>127</v>
      </c>
      <c r="Q1017" s="18" t="s">
        <v>127</v>
      </c>
      <c r="R1017" s="57" t="s">
        <v>147</v>
      </c>
      <c r="S1017" s="21"/>
      <c r="U1017" s="24" t="s">
        <v>146</v>
      </c>
      <c r="V1017" s="21"/>
      <c r="W1017" s="21"/>
      <c r="X1017" s="17" t="s">
        <v>145</v>
      </c>
      <c r="Y1017" s="21"/>
      <c r="Z1017" s="21"/>
      <c r="AC1017" s="19"/>
      <c r="AH1017" s="30" t="str">
        <f>+AH1016</f>
        <v>F12</v>
      </c>
      <c r="AI1017" s="29" t="s">
        <v>144</v>
      </c>
      <c r="AJ1017" s="29" t="s">
        <v>143</v>
      </c>
      <c r="AK1017" s="29" t="s">
        <v>142</v>
      </c>
      <c r="AL1017" s="49">
        <v>32</v>
      </c>
      <c r="AM1017" s="43" t="s">
        <v>141</v>
      </c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</row>
    <row r="1018" spans="1:53" s="17" customFormat="1" ht="14.5" x14ac:dyDescent="0.35">
      <c r="A1018" s="21"/>
      <c r="B1018" s="21"/>
      <c r="C1018" s="18"/>
      <c r="D1018" s="18"/>
      <c r="E1018" s="18"/>
      <c r="F1018" s="18"/>
      <c r="G1018" s="18"/>
      <c r="H1018" s="18"/>
      <c r="I1018" s="18"/>
      <c r="J1018" s="18"/>
      <c r="K1018" s="33"/>
      <c r="L1018" s="18"/>
      <c r="M1018" s="21"/>
      <c r="N1018" s="21"/>
      <c r="O1018" s="18"/>
      <c r="P1018" s="56" t="s">
        <v>140</v>
      </c>
      <c r="Q1018" s="55" t="s">
        <v>140</v>
      </c>
      <c r="R1018" s="54" t="s">
        <v>139</v>
      </c>
      <c r="S1018" s="21"/>
      <c r="U1018" s="18"/>
      <c r="V1018" s="21"/>
      <c r="W1018" s="21"/>
      <c r="X1018" s="17" t="s">
        <v>138</v>
      </c>
      <c r="Y1018" s="21"/>
      <c r="Z1018" s="21"/>
      <c r="AC1018" s="19"/>
      <c r="AH1018" s="30" t="str">
        <f>+AH1017</f>
        <v>F12</v>
      </c>
      <c r="AI1018" s="37" t="s">
        <v>137</v>
      </c>
      <c r="AJ1018" s="37" t="s">
        <v>136</v>
      </c>
      <c r="AK1018" s="37" t="s">
        <v>135</v>
      </c>
      <c r="AL1018" s="50">
        <v>36</v>
      </c>
      <c r="AM1018" s="43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</row>
    <row r="1019" spans="1:53" s="17" customFormat="1" ht="15" customHeight="1" x14ac:dyDescent="0.3">
      <c r="A1019" s="21"/>
      <c r="B1019" s="21"/>
      <c r="C1019" s="18"/>
      <c r="D1019" s="18"/>
      <c r="E1019" s="18"/>
      <c r="F1019" s="18"/>
      <c r="G1019" s="18"/>
      <c r="H1019" s="18"/>
      <c r="I1019" s="18"/>
      <c r="J1019" s="18"/>
      <c r="K1019" s="33"/>
      <c r="L1019" s="18"/>
      <c r="M1019" s="21"/>
      <c r="N1019" s="21"/>
      <c r="O1019" s="18"/>
      <c r="P1019" s="18" t="s">
        <v>127</v>
      </c>
      <c r="Q1019" s="18" t="s">
        <v>127</v>
      </c>
      <c r="R1019" s="41" t="s">
        <v>127</v>
      </c>
      <c r="S1019" s="21"/>
      <c r="U1019" s="18"/>
      <c r="V1019" s="21"/>
      <c r="W1019" s="21"/>
      <c r="Y1019" s="21"/>
      <c r="Z1019" s="21"/>
      <c r="AC1019" s="19"/>
      <c r="AH1019" s="30" t="str">
        <f>+AH1018</f>
        <v>F12</v>
      </c>
      <c r="AI1019" s="37" t="s">
        <v>134</v>
      </c>
      <c r="AJ1019" s="37" t="s">
        <v>133</v>
      </c>
      <c r="AK1019" s="37" t="s">
        <v>132</v>
      </c>
      <c r="AL1019" s="50">
        <v>40</v>
      </c>
      <c r="AM1019" s="43" t="s">
        <v>131</v>
      </c>
      <c r="AN1019" s="18"/>
      <c r="AO1019" s="36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</row>
    <row r="1020" spans="1:53" s="17" customFormat="1" x14ac:dyDescent="0.3">
      <c r="A1020" s="21"/>
      <c r="B1020" s="21"/>
      <c r="C1020" s="18"/>
      <c r="D1020" s="18"/>
      <c r="E1020" s="18"/>
      <c r="F1020" s="18"/>
      <c r="G1020" s="18"/>
      <c r="H1020" s="18"/>
      <c r="I1020" s="18"/>
      <c r="J1020" s="18"/>
      <c r="K1020" s="33"/>
      <c r="L1020" s="18"/>
      <c r="M1020" s="21"/>
      <c r="N1020" s="21"/>
      <c r="O1020" s="18"/>
      <c r="P1020" s="18" t="s">
        <v>127</v>
      </c>
      <c r="Q1020" s="18" t="s">
        <v>127</v>
      </c>
      <c r="R1020" s="41" t="s">
        <v>127</v>
      </c>
      <c r="S1020" s="21"/>
      <c r="U1020" s="18"/>
      <c r="V1020" s="21"/>
      <c r="W1020" s="21"/>
      <c r="Y1020" s="21"/>
      <c r="Z1020" s="21"/>
      <c r="AC1020" s="19"/>
      <c r="AH1020" s="30" t="str">
        <f>+AH1019</f>
        <v>F12</v>
      </c>
      <c r="AI1020" s="37" t="s">
        <v>130</v>
      </c>
      <c r="AJ1020" s="37" t="s">
        <v>129</v>
      </c>
      <c r="AK1020" s="37" t="s">
        <v>128</v>
      </c>
      <c r="AL1020" s="50">
        <v>44</v>
      </c>
      <c r="AM1020" s="43"/>
      <c r="AN1020" s="18"/>
      <c r="AO1020" s="39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</row>
    <row r="1021" spans="1:53" s="17" customFormat="1" ht="15" thickBot="1" x14ac:dyDescent="0.35">
      <c r="A1021" s="21"/>
      <c r="B1021" s="21"/>
      <c r="C1021" s="18"/>
      <c r="D1021" s="18"/>
      <c r="E1021" s="18"/>
      <c r="F1021" s="18"/>
      <c r="G1021" s="18"/>
      <c r="H1021" s="18"/>
      <c r="I1021" s="18"/>
      <c r="J1021" s="18"/>
      <c r="K1021" s="33"/>
      <c r="L1021" s="18"/>
      <c r="M1021" s="21"/>
      <c r="N1021" s="21"/>
      <c r="O1021" s="18" t="s">
        <v>99</v>
      </c>
      <c r="P1021" s="18" t="s">
        <v>127</v>
      </c>
      <c r="Q1021" s="18" t="s">
        <v>127</v>
      </c>
      <c r="R1021" s="38" t="s">
        <v>126</v>
      </c>
      <c r="S1021" s="21"/>
      <c r="U1021" s="27" t="s">
        <v>99</v>
      </c>
      <c r="V1021" s="21"/>
      <c r="W1021" s="21"/>
      <c r="X1021" s="17" t="s">
        <v>66</v>
      </c>
      <c r="Y1021" s="21"/>
      <c r="Z1021" s="21"/>
      <c r="AC1021" s="19"/>
      <c r="AH1021" s="30" t="str">
        <f>+AH1020</f>
        <v>F12</v>
      </c>
      <c r="AI1021" s="29" t="s">
        <v>125</v>
      </c>
      <c r="AJ1021" s="29" t="s">
        <v>124</v>
      </c>
      <c r="AK1021" s="29" t="s">
        <v>123</v>
      </c>
      <c r="AL1021" s="49">
        <v>48</v>
      </c>
      <c r="AM1021" s="43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</row>
    <row r="1022" spans="1:53" s="17" customFormat="1" ht="15" thickBot="1" x14ac:dyDescent="0.4">
      <c r="A1022" s="21"/>
      <c r="B1022" s="21"/>
      <c r="C1022" s="18"/>
      <c r="D1022" s="18"/>
      <c r="E1022" s="18"/>
      <c r="F1022" s="18"/>
      <c r="G1022" s="18"/>
      <c r="H1022" s="18"/>
      <c r="I1022" s="35"/>
      <c r="J1022" s="34"/>
      <c r="K1022" s="33"/>
      <c r="L1022" s="18" t="s">
        <v>27</v>
      </c>
      <c r="M1022" s="21"/>
      <c r="N1022" s="21"/>
      <c r="O1022" s="18" t="s">
        <v>99</v>
      </c>
      <c r="P1022" s="52" t="s">
        <v>111</v>
      </c>
      <c r="Q1022" s="32" t="s">
        <v>111</v>
      </c>
      <c r="R1022" s="53" t="s">
        <v>122</v>
      </c>
      <c r="S1022" s="21"/>
      <c r="T1022" s="17" t="s">
        <v>121</v>
      </c>
      <c r="U1022" s="27" t="s">
        <v>99</v>
      </c>
      <c r="V1022" s="21"/>
      <c r="W1022" s="21"/>
      <c r="Y1022" s="21"/>
      <c r="Z1022" s="21"/>
      <c r="AC1022" s="19"/>
      <c r="AH1022" s="30" t="str">
        <f>+AH1021</f>
        <v>F12</v>
      </c>
      <c r="AI1022" s="29" t="s">
        <v>120</v>
      </c>
      <c r="AJ1022" s="29" t="s">
        <v>119</v>
      </c>
      <c r="AK1022" s="29" t="s">
        <v>118</v>
      </c>
      <c r="AL1022" s="49">
        <v>52</v>
      </c>
      <c r="AM1022" s="43"/>
      <c r="AN1022" s="18"/>
      <c r="AO1022" s="36" t="s">
        <v>117</v>
      </c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</row>
    <row r="1023" spans="1:53" s="17" customFormat="1" ht="15" thickBot="1" x14ac:dyDescent="0.4">
      <c r="A1023" s="21"/>
      <c r="B1023" s="21"/>
      <c r="C1023" s="18"/>
      <c r="D1023" s="18"/>
      <c r="E1023" s="18"/>
      <c r="F1023" s="18"/>
      <c r="G1023" s="18"/>
      <c r="H1023" s="18"/>
      <c r="I1023" s="35"/>
      <c r="J1023" s="34"/>
      <c r="K1023" s="33"/>
      <c r="L1023" s="18" t="s">
        <v>6</v>
      </c>
      <c r="M1023" s="21"/>
      <c r="N1023" s="21"/>
      <c r="O1023" s="18" t="s">
        <v>99</v>
      </c>
      <c r="P1023" s="52" t="s">
        <v>111</v>
      </c>
      <c r="Q1023" s="32" t="s">
        <v>111</v>
      </c>
      <c r="R1023" s="53" t="s">
        <v>116</v>
      </c>
      <c r="S1023" s="21"/>
      <c r="T1023" s="17" t="s">
        <v>115</v>
      </c>
      <c r="U1023" s="27" t="s">
        <v>99</v>
      </c>
      <c r="V1023" s="21"/>
      <c r="W1023" s="21"/>
      <c r="Y1023" s="21"/>
      <c r="Z1023" s="21"/>
      <c r="AC1023" s="19"/>
      <c r="AH1023" s="30" t="str">
        <f>+AH1022</f>
        <v>F12</v>
      </c>
      <c r="AI1023" s="29" t="s">
        <v>114</v>
      </c>
      <c r="AJ1023" s="29" t="s">
        <v>113</v>
      </c>
      <c r="AK1023" s="29" t="s">
        <v>112</v>
      </c>
      <c r="AL1023" s="49">
        <v>56</v>
      </c>
      <c r="AM1023" s="43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</row>
    <row r="1024" spans="1:53" s="17" customFormat="1" ht="14.5" x14ac:dyDescent="0.35">
      <c r="A1024" s="21"/>
      <c r="B1024" s="21"/>
      <c r="C1024" s="18"/>
      <c r="D1024" s="18"/>
      <c r="E1024" s="18"/>
      <c r="F1024" s="18"/>
      <c r="G1024" s="18"/>
      <c r="H1024" s="18"/>
      <c r="I1024" s="18"/>
      <c r="J1024" s="18"/>
      <c r="K1024" s="33"/>
      <c r="L1024" s="18"/>
      <c r="M1024" s="21"/>
      <c r="N1024" s="21"/>
      <c r="O1024" s="18" t="s">
        <v>99</v>
      </c>
      <c r="P1024" s="52" t="s">
        <v>111</v>
      </c>
      <c r="Q1024" s="32" t="s">
        <v>111</v>
      </c>
      <c r="R1024" s="51" t="s">
        <v>110</v>
      </c>
      <c r="S1024" s="21"/>
      <c r="U1024" s="27" t="s">
        <v>99</v>
      </c>
      <c r="V1024" s="21"/>
      <c r="W1024" s="21"/>
      <c r="Y1024" s="21"/>
      <c r="Z1024" s="21"/>
      <c r="AC1024" s="19"/>
      <c r="AH1024" s="30" t="str">
        <f>+AH1023</f>
        <v>F12</v>
      </c>
      <c r="AI1024" s="37" t="s">
        <v>109</v>
      </c>
      <c r="AJ1024" s="37" t="s">
        <v>108</v>
      </c>
      <c r="AK1024" s="37" t="s">
        <v>107</v>
      </c>
      <c r="AL1024" s="50">
        <v>60</v>
      </c>
      <c r="AM1024" s="43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</row>
    <row r="1025" spans="1:53" s="17" customFormat="1" ht="14.5" x14ac:dyDescent="0.35">
      <c r="A1025" s="21"/>
      <c r="B1025" s="21"/>
      <c r="C1025" s="18"/>
      <c r="D1025" s="18"/>
      <c r="E1025" s="18"/>
      <c r="F1025" s="18"/>
      <c r="G1025" s="18"/>
      <c r="H1025" s="18"/>
      <c r="I1025" s="18"/>
      <c r="J1025" s="18"/>
      <c r="K1025" s="33"/>
      <c r="L1025" s="18"/>
      <c r="M1025" s="21"/>
      <c r="N1025" s="21"/>
      <c r="O1025" s="18" t="s">
        <v>99</v>
      </c>
      <c r="P1025" s="32" t="s">
        <v>106</v>
      </c>
      <c r="Q1025" s="32" t="s">
        <v>106</v>
      </c>
      <c r="R1025" s="41" t="s">
        <v>105</v>
      </c>
      <c r="S1025" s="21"/>
      <c r="U1025" s="27" t="s">
        <v>99</v>
      </c>
      <c r="V1025" s="21"/>
      <c r="W1025" s="21"/>
      <c r="Y1025" s="21"/>
      <c r="Z1025" s="21"/>
      <c r="AA1025" s="33"/>
      <c r="AB1025" s="33"/>
      <c r="AC1025" s="19"/>
      <c r="AH1025" s="30" t="str">
        <f>+AH1024</f>
        <v>F12</v>
      </c>
      <c r="AI1025" s="29" t="s">
        <v>104</v>
      </c>
      <c r="AJ1025" s="29" t="s">
        <v>103</v>
      </c>
      <c r="AK1025" s="29" t="s">
        <v>102</v>
      </c>
      <c r="AL1025" s="49">
        <v>64</v>
      </c>
      <c r="AM1025" s="43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</row>
    <row r="1026" spans="1:53" s="17" customFormat="1" ht="14.5" x14ac:dyDescent="0.35">
      <c r="A1026" s="21"/>
      <c r="B1026" s="21"/>
      <c r="C1026" s="18"/>
      <c r="D1026" s="18"/>
      <c r="E1026" s="18"/>
      <c r="F1026" s="18"/>
      <c r="G1026" s="18"/>
      <c r="H1026" s="18"/>
      <c r="I1026" s="18"/>
      <c r="J1026" s="18"/>
      <c r="K1026" s="33"/>
      <c r="L1026" s="18"/>
      <c r="M1026" s="21"/>
      <c r="N1026" s="21"/>
      <c r="O1026" s="18" t="s">
        <v>99</v>
      </c>
      <c r="P1026" s="32" t="s">
        <v>101</v>
      </c>
      <c r="Q1026" s="32" t="s">
        <v>101</v>
      </c>
      <c r="R1026" s="41" t="s">
        <v>100</v>
      </c>
      <c r="S1026" s="21"/>
      <c r="U1026" s="27" t="s">
        <v>99</v>
      </c>
      <c r="V1026" s="21"/>
      <c r="W1026" s="21"/>
      <c r="X1026" s="17" t="s">
        <v>98</v>
      </c>
      <c r="Y1026" s="21"/>
      <c r="Z1026" s="21"/>
      <c r="AC1026" s="19"/>
      <c r="AH1026" s="30" t="str">
        <f>+AH1025</f>
        <v>F12</v>
      </c>
      <c r="AI1026" s="29" t="s">
        <v>97</v>
      </c>
      <c r="AJ1026" s="29" t="s">
        <v>96</v>
      </c>
      <c r="AK1026" s="29" t="s">
        <v>95</v>
      </c>
      <c r="AL1026" s="29" t="s">
        <v>94</v>
      </c>
      <c r="AM1026" s="43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</row>
    <row r="1027" spans="1:53" s="17" customFormat="1" ht="38.25" customHeight="1" x14ac:dyDescent="0.35">
      <c r="A1027" s="21"/>
      <c r="B1027" s="21"/>
      <c r="C1027" s="18"/>
      <c r="D1027" s="48"/>
      <c r="E1027" s="18"/>
      <c r="F1027" s="18"/>
      <c r="G1027" s="18"/>
      <c r="H1027" s="18"/>
      <c r="I1027" s="18"/>
      <c r="J1027" s="18"/>
      <c r="K1027" s="33"/>
      <c r="L1027" s="18" t="s">
        <v>27</v>
      </c>
      <c r="M1027" s="21"/>
      <c r="N1027" s="21"/>
      <c r="O1027" s="48" t="s">
        <v>84</v>
      </c>
      <c r="P1027" s="32" t="s">
        <v>93</v>
      </c>
      <c r="Q1027" s="32" t="s">
        <v>93</v>
      </c>
      <c r="R1027" s="41" t="s">
        <v>92</v>
      </c>
      <c r="S1027" s="21"/>
      <c r="U1027" s="47" t="s">
        <v>84</v>
      </c>
      <c r="V1027" s="21"/>
      <c r="W1027" s="21"/>
      <c r="X1027" s="17" t="s">
        <v>91</v>
      </c>
      <c r="Y1027" s="21"/>
      <c r="Z1027" s="21"/>
      <c r="AA1027" s="33"/>
      <c r="AB1027" s="33"/>
      <c r="AC1027" s="19"/>
      <c r="AH1027" s="30" t="str">
        <f>+AH1026</f>
        <v>F12</v>
      </c>
      <c r="AI1027" s="29" t="s">
        <v>90</v>
      </c>
      <c r="AJ1027" s="29" t="s">
        <v>89</v>
      </c>
      <c r="AK1027" s="29">
        <v>71</v>
      </c>
      <c r="AL1027" s="29">
        <v>72</v>
      </c>
      <c r="AM1027" s="40" t="s">
        <v>88</v>
      </c>
      <c r="AN1027" s="45" t="s">
        <v>80</v>
      </c>
      <c r="AO1027" s="44" t="s">
        <v>87</v>
      </c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</row>
    <row r="1028" spans="1:53" s="17" customFormat="1" ht="26" x14ac:dyDescent="0.35">
      <c r="A1028" s="21"/>
      <c r="B1028" s="21"/>
      <c r="C1028" s="18"/>
      <c r="D1028" s="48"/>
      <c r="E1028" s="18"/>
      <c r="F1028" s="18"/>
      <c r="G1028" s="18"/>
      <c r="H1028" s="18"/>
      <c r="I1028" s="18"/>
      <c r="J1028" s="18"/>
      <c r="K1028" s="33"/>
      <c r="L1028" s="18" t="s">
        <v>27</v>
      </c>
      <c r="M1028" s="21"/>
      <c r="N1028" s="21"/>
      <c r="O1028" s="48" t="s">
        <v>84</v>
      </c>
      <c r="P1028" s="32" t="s">
        <v>86</v>
      </c>
      <c r="Q1028" s="32" t="s">
        <v>86</v>
      </c>
      <c r="R1028" s="41" t="s">
        <v>85</v>
      </c>
      <c r="S1028" s="21"/>
      <c r="U1028" s="47" t="s">
        <v>84</v>
      </c>
      <c r="V1028" s="21"/>
      <c r="W1028" s="21"/>
      <c r="X1028" s="17" t="s">
        <v>83</v>
      </c>
      <c r="Y1028" s="21"/>
      <c r="Z1028" s="21"/>
      <c r="AA1028" s="46"/>
      <c r="AB1028" s="46"/>
      <c r="AC1028" s="19"/>
      <c r="AH1028" s="30" t="str">
        <f>+AH1027</f>
        <v>F12</v>
      </c>
      <c r="AI1028" s="29" t="s">
        <v>82</v>
      </c>
      <c r="AJ1028" s="29" t="s">
        <v>81</v>
      </c>
      <c r="AK1028" s="29">
        <v>75</v>
      </c>
      <c r="AL1028" s="29">
        <v>76</v>
      </c>
      <c r="AM1028" s="40"/>
      <c r="AN1028" s="45" t="s">
        <v>80</v>
      </c>
      <c r="AO1028" s="44" t="s">
        <v>79</v>
      </c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</row>
    <row r="1029" spans="1:53" s="17" customFormat="1" ht="25.5" customHeight="1" x14ac:dyDescent="0.35">
      <c r="A1029" s="21"/>
      <c r="B1029" s="21"/>
      <c r="C1029" s="18"/>
      <c r="D1029" s="18"/>
      <c r="E1029" s="18"/>
      <c r="F1029" s="18"/>
      <c r="G1029" s="18"/>
      <c r="H1029" s="18"/>
      <c r="I1029" s="18"/>
      <c r="J1029" s="18"/>
      <c r="K1029" s="33"/>
      <c r="L1029" s="18"/>
      <c r="M1029" s="21"/>
      <c r="N1029" s="21"/>
      <c r="O1029" s="18" t="s">
        <v>9</v>
      </c>
      <c r="P1029" s="32" t="s">
        <v>78</v>
      </c>
      <c r="Q1029" s="32" t="s">
        <v>78</v>
      </c>
      <c r="R1029" s="41" t="s">
        <v>77</v>
      </c>
      <c r="S1029" s="21"/>
      <c r="U1029" s="27" t="s">
        <v>9</v>
      </c>
      <c r="V1029" s="21"/>
      <c r="W1029" s="21"/>
      <c r="Y1029" s="21"/>
      <c r="Z1029" s="21"/>
      <c r="AA1029" s="20"/>
      <c r="AB1029" s="20"/>
      <c r="AC1029" s="19"/>
      <c r="AH1029" s="30" t="str">
        <f>+AH1028</f>
        <v>F12</v>
      </c>
      <c r="AI1029" s="29" t="s">
        <v>76</v>
      </c>
      <c r="AJ1029" s="29" t="s">
        <v>75</v>
      </c>
      <c r="AK1029" s="29">
        <v>79</v>
      </c>
      <c r="AL1029" s="29">
        <v>80</v>
      </c>
      <c r="AM1029" s="43" t="s">
        <v>74</v>
      </c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</row>
    <row r="1030" spans="1:53" s="17" customFormat="1" ht="14.5" x14ac:dyDescent="0.35">
      <c r="A1030" s="21"/>
      <c r="B1030" s="21"/>
      <c r="C1030" s="18"/>
      <c r="D1030" s="18"/>
      <c r="E1030" s="18"/>
      <c r="F1030" s="18"/>
      <c r="G1030" s="18"/>
      <c r="H1030" s="18"/>
      <c r="I1030" s="18"/>
      <c r="J1030" s="18"/>
      <c r="K1030" s="33"/>
      <c r="L1030" s="18"/>
      <c r="M1030" s="21"/>
      <c r="N1030" s="21"/>
      <c r="O1030" s="18" t="s">
        <v>9</v>
      </c>
      <c r="P1030" s="32" t="s">
        <v>15</v>
      </c>
      <c r="Q1030" s="26" t="s">
        <v>15</v>
      </c>
      <c r="R1030" s="38" t="s">
        <v>73</v>
      </c>
      <c r="S1030" s="21"/>
      <c r="U1030" s="27" t="s">
        <v>9</v>
      </c>
      <c r="V1030" s="21"/>
      <c r="W1030" s="21"/>
      <c r="Y1030" s="21"/>
      <c r="Z1030" s="21"/>
      <c r="AA1030" s="20"/>
      <c r="AB1030" s="20"/>
      <c r="AC1030" s="19"/>
      <c r="AH1030" s="30" t="str">
        <f>+AH1029</f>
        <v>F12</v>
      </c>
      <c r="AI1030" s="29" t="s">
        <v>72</v>
      </c>
      <c r="AJ1030" s="29" t="s">
        <v>71</v>
      </c>
      <c r="AK1030" s="29">
        <v>83</v>
      </c>
      <c r="AL1030" s="29">
        <v>84</v>
      </c>
      <c r="AM1030" s="42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</row>
    <row r="1031" spans="1:53" s="17" customFormat="1" ht="15" thickBot="1" x14ac:dyDescent="0.4">
      <c r="A1031" s="21"/>
      <c r="B1031" s="21"/>
      <c r="C1031" s="18"/>
      <c r="D1031" s="18"/>
      <c r="E1031" s="18"/>
      <c r="F1031" s="18"/>
      <c r="G1031" s="18"/>
      <c r="H1031" s="18"/>
      <c r="I1031" s="18"/>
      <c r="J1031" s="18"/>
      <c r="K1031" s="33"/>
      <c r="L1031" s="18"/>
      <c r="M1031" s="21"/>
      <c r="N1031" s="21"/>
      <c r="O1031" s="18" t="s">
        <v>9</v>
      </c>
      <c r="P1031" s="32" t="s">
        <v>62</v>
      </c>
      <c r="Q1031" s="32" t="s">
        <v>62</v>
      </c>
      <c r="R1031" s="38" t="s">
        <v>70</v>
      </c>
      <c r="S1031" s="21"/>
      <c r="U1031" s="27" t="s">
        <v>9</v>
      </c>
      <c r="V1031" s="21"/>
      <c r="W1031" s="21"/>
      <c r="Y1031" s="21"/>
      <c r="Z1031" s="21"/>
      <c r="AA1031" s="20"/>
      <c r="AB1031" s="20"/>
      <c r="AC1031" s="19"/>
      <c r="AH1031" s="30" t="str">
        <f>+AH1030</f>
        <v>F12</v>
      </c>
      <c r="AI1031" s="37" t="s">
        <v>69</v>
      </c>
      <c r="AJ1031" s="37" t="s">
        <v>68</v>
      </c>
      <c r="AK1031" s="37">
        <v>87</v>
      </c>
      <c r="AL1031" s="37">
        <v>88</v>
      </c>
      <c r="AM1031" s="42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</row>
    <row r="1032" spans="1:53" s="17" customFormat="1" ht="15" thickBot="1" x14ac:dyDescent="0.4">
      <c r="A1032" s="21"/>
      <c r="B1032" s="21"/>
      <c r="C1032" s="18"/>
      <c r="D1032" s="18"/>
      <c r="E1032" s="18"/>
      <c r="F1032" s="18"/>
      <c r="G1032" s="18"/>
      <c r="H1032" s="18"/>
      <c r="I1032" s="35"/>
      <c r="J1032" s="34"/>
      <c r="K1032" s="33"/>
      <c r="L1032" s="18" t="s">
        <v>27</v>
      </c>
      <c r="M1032" s="21"/>
      <c r="N1032" s="21"/>
      <c r="O1032" s="18" t="s">
        <v>9</v>
      </c>
      <c r="P1032" s="32" t="s">
        <v>62</v>
      </c>
      <c r="Q1032" s="32" t="s">
        <v>62</v>
      </c>
      <c r="R1032" s="31" t="s">
        <v>67</v>
      </c>
      <c r="S1032" s="21"/>
      <c r="U1032" s="27" t="s">
        <v>9</v>
      </c>
      <c r="V1032" s="21"/>
      <c r="W1032" s="21"/>
      <c r="X1032" s="17" t="s">
        <v>66</v>
      </c>
      <c r="Y1032" s="21"/>
      <c r="Z1032" s="21"/>
      <c r="AA1032" s="20"/>
      <c r="AB1032" s="20"/>
      <c r="AC1032" s="19"/>
      <c r="AH1032" s="30" t="str">
        <f>+AH1031</f>
        <v>F12</v>
      </c>
      <c r="AI1032" s="29" t="s">
        <v>65</v>
      </c>
      <c r="AJ1032" s="29" t="s">
        <v>64</v>
      </c>
      <c r="AK1032" s="29">
        <v>91</v>
      </c>
      <c r="AL1032" s="29">
        <v>92</v>
      </c>
      <c r="AM1032" s="42"/>
      <c r="AN1032" s="18"/>
      <c r="AO1032" s="36" t="s">
        <v>63</v>
      </c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</row>
    <row r="1033" spans="1:53" s="17" customFormat="1" ht="15" thickBot="1" x14ac:dyDescent="0.4">
      <c r="A1033" s="21"/>
      <c r="B1033" s="21"/>
      <c r="C1033" s="18"/>
      <c r="D1033" s="18"/>
      <c r="E1033" s="18"/>
      <c r="F1033" s="18"/>
      <c r="G1033" s="18"/>
      <c r="H1033" s="18"/>
      <c r="I1033" s="35"/>
      <c r="J1033" s="34"/>
      <c r="K1033" s="33"/>
      <c r="L1033" s="18" t="s">
        <v>6</v>
      </c>
      <c r="M1033" s="21"/>
      <c r="N1033" s="21"/>
      <c r="O1033" s="18" t="s">
        <v>9</v>
      </c>
      <c r="P1033" s="32" t="s">
        <v>62</v>
      </c>
      <c r="Q1033" s="32" t="s">
        <v>62</v>
      </c>
      <c r="R1033" s="31" t="s">
        <v>61</v>
      </c>
      <c r="S1033" s="21"/>
      <c r="T1033" s="17" t="s">
        <v>60</v>
      </c>
      <c r="U1033" s="27" t="s">
        <v>9</v>
      </c>
      <c r="V1033" s="21"/>
      <c r="W1033" s="21"/>
      <c r="Y1033" s="21"/>
      <c r="Z1033" s="21"/>
      <c r="AA1033" s="20"/>
      <c r="AB1033" s="20"/>
      <c r="AC1033" s="19"/>
      <c r="AH1033" s="30" t="str">
        <f>+AH1032</f>
        <v>F12</v>
      </c>
      <c r="AI1033" s="29" t="s">
        <v>59</v>
      </c>
      <c r="AJ1033" s="29" t="s">
        <v>58</v>
      </c>
      <c r="AK1033" s="29">
        <v>95</v>
      </c>
      <c r="AL1033" s="29">
        <v>96</v>
      </c>
      <c r="AM1033" s="42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</row>
    <row r="1034" spans="1:53" s="17" customFormat="1" ht="14.5" x14ac:dyDescent="0.35">
      <c r="A1034" s="21"/>
      <c r="B1034" s="21"/>
      <c r="C1034" s="18"/>
      <c r="D1034" s="18"/>
      <c r="E1034" s="18"/>
      <c r="F1034" s="18"/>
      <c r="G1034" s="18"/>
      <c r="H1034" s="18"/>
      <c r="I1034" s="18"/>
      <c r="J1034" s="18"/>
      <c r="K1034" s="33"/>
      <c r="L1034" s="18"/>
      <c r="M1034" s="21"/>
      <c r="N1034" s="21"/>
      <c r="O1034" s="18" t="s">
        <v>9</v>
      </c>
      <c r="P1034" s="32" t="s">
        <v>11</v>
      </c>
      <c r="Q1034" s="26" t="s">
        <v>11</v>
      </c>
      <c r="R1034" s="38" t="s">
        <v>57</v>
      </c>
      <c r="S1034" s="21"/>
      <c r="T1034" s="17" t="s">
        <v>56</v>
      </c>
      <c r="U1034" s="27" t="s">
        <v>9</v>
      </c>
      <c r="V1034" s="21"/>
      <c r="W1034" s="21"/>
      <c r="Y1034" s="21"/>
      <c r="Z1034" s="21"/>
      <c r="AA1034" s="20"/>
      <c r="AB1034" s="20"/>
      <c r="AC1034" s="19"/>
      <c r="AH1034" s="30" t="str">
        <f>+AH1033</f>
        <v>F12</v>
      </c>
      <c r="AI1034" s="29" t="s">
        <v>55</v>
      </c>
      <c r="AJ1034" s="29" t="s">
        <v>54</v>
      </c>
      <c r="AK1034" s="29">
        <v>99</v>
      </c>
      <c r="AL1034" s="29">
        <v>100</v>
      </c>
      <c r="AM1034" s="42"/>
      <c r="AN1034" s="18"/>
      <c r="AO1034" s="39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</row>
    <row r="1035" spans="1:53" s="17" customFormat="1" ht="15" thickBot="1" x14ac:dyDescent="0.4">
      <c r="A1035" s="21"/>
      <c r="B1035" s="21"/>
      <c r="C1035" s="18"/>
      <c r="D1035" s="18"/>
      <c r="E1035" s="18"/>
      <c r="F1035" s="18"/>
      <c r="G1035" s="18"/>
      <c r="H1035" s="18"/>
      <c r="I1035" s="18"/>
      <c r="J1035" s="18"/>
      <c r="K1035" s="33"/>
      <c r="L1035" s="18"/>
      <c r="M1035" s="21"/>
      <c r="N1035" s="21"/>
      <c r="O1035" s="18" t="s">
        <v>9</v>
      </c>
      <c r="P1035" s="32" t="s">
        <v>46</v>
      </c>
      <c r="Q1035" s="32" t="s">
        <v>46</v>
      </c>
      <c r="R1035" s="38" t="s">
        <v>53</v>
      </c>
      <c r="S1035" s="21"/>
      <c r="U1035" s="27" t="s">
        <v>9</v>
      </c>
      <c r="V1035" s="21"/>
      <c r="W1035" s="21"/>
      <c r="Y1035" s="21"/>
      <c r="Z1035" s="21"/>
      <c r="AA1035" s="20"/>
      <c r="AB1035" s="20"/>
      <c r="AC1035" s="19"/>
      <c r="AH1035" s="30" t="str">
        <f>+AH1034</f>
        <v>F12</v>
      </c>
      <c r="AI1035" s="37" t="s">
        <v>52</v>
      </c>
      <c r="AJ1035" s="37" t="s">
        <v>51</v>
      </c>
      <c r="AK1035" s="37">
        <v>103</v>
      </c>
      <c r="AL1035" s="37">
        <v>104</v>
      </c>
      <c r="AM1035" s="42"/>
      <c r="AN1035" s="18"/>
      <c r="AO1035" s="39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</row>
    <row r="1036" spans="1:53" s="17" customFormat="1" ht="15" thickBot="1" x14ac:dyDescent="0.4">
      <c r="A1036" s="21"/>
      <c r="B1036" s="21"/>
      <c r="C1036" s="18"/>
      <c r="D1036" s="18"/>
      <c r="E1036" s="18"/>
      <c r="F1036" s="18"/>
      <c r="G1036" s="18"/>
      <c r="H1036" s="18"/>
      <c r="I1036" s="35"/>
      <c r="J1036" s="34"/>
      <c r="K1036" s="33"/>
      <c r="L1036" s="18" t="s">
        <v>27</v>
      </c>
      <c r="M1036" s="21"/>
      <c r="N1036" s="21"/>
      <c r="O1036" s="18" t="s">
        <v>9</v>
      </c>
      <c r="P1036" s="32" t="s">
        <v>46</v>
      </c>
      <c r="Q1036" s="32" t="s">
        <v>46</v>
      </c>
      <c r="R1036" s="31" t="s">
        <v>50</v>
      </c>
      <c r="S1036" s="21"/>
      <c r="U1036" s="27" t="s">
        <v>9</v>
      </c>
      <c r="V1036" s="21"/>
      <c r="W1036" s="21"/>
      <c r="X1036" s="17" t="s">
        <v>31</v>
      </c>
      <c r="Y1036" s="21"/>
      <c r="Z1036" s="21"/>
      <c r="AA1036" s="20"/>
      <c r="AB1036" s="20"/>
      <c r="AC1036" s="19"/>
      <c r="AH1036" s="30" t="str">
        <f>+AH1035</f>
        <v>F12</v>
      </c>
      <c r="AI1036" s="29" t="s">
        <v>49</v>
      </c>
      <c r="AJ1036" s="29" t="s">
        <v>48</v>
      </c>
      <c r="AK1036" s="29">
        <v>107</v>
      </c>
      <c r="AL1036" s="29">
        <v>108</v>
      </c>
      <c r="AM1036" s="42"/>
      <c r="AN1036" s="18"/>
      <c r="AO1036" s="36" t="s">
        <v>47</v>
      </c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</row>
    <row r="1037" spans="1:53" s="17" customFormat="1" ht="15" thickBot="1" x14ac:dyDescent="0.4">
      <c r="A1037" s="21"/>
      <c r="B1037" s="21"/>
      <c r="C1037" s="18"/>
      <c r="D1037" s="18"/>
      <c r="E1037" s="18"/>
      <c r="F1037" s="18"/>
      <c r="G1037" s="18"/>
      <c r="H1037" s="18"/>
      <c r="I1037" s="35"/>
      <c r="J1037" s="34"/>
      <c r="K1037" s="33"/>
      <c r="L1037" s="18" t="s">
        <v>6</v>
      </c>
      <c r="M1037" s="21"/>
      <c r="N1037" s="21"/>
      <c r="O1037" s="18" t="s">
        <v>9</v>
      </c>
      <c r="P1037" s="32" t="s">
        <v>46</v>
      </c>
      <c r="Q1037" s="32" t="s">
        <v>46</v>
      </c>
      <c r="R1037" s="31" t="s">
        <v>45</v>
      </c>
      <c r="S1037" s="21"/>
      <c r="T1037" s="17" t="s">
        <v>44</v>
      </c>
      <c r="U1037" s="27" t="s">
        <v>9</v>
      </c>
      <c r="V1037" s="21"/>
      <c r="W1037" s="21"/>
      <c r="Y1037" s="21"/>
      <c r="Z1037" s="21"/>
      <c r="AA1037" s="20"/>
      <c r="AB1037" s="20"/>
      <c r="AC1037" s="19"/>
      <c r="AH1037" s="30" t="str">
        <f>+AH1036</f>
        <v>F12</v>
      </c>
      <c r="AI1037" s="29" t="s">
        <v>43</v>
      </c>
      <c r="AJ1037" s="29" t="s">
        <v>42</v>
      </c>
      <c r="AK1037" s="29">
        <v>111</v>
      </c>
      <c r="AL1037" s="29">
        <v>112</v>
      </c>
      <c r="AM1037" s="42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</row>
    <row r="1038" spans="1:53" s="17" customFormat="1" ht="25.5" customHeight="1" x14ac:dyDescent="0.35">
      <c r="A1038" s="21"/>
      <c r="B1038" s="21"/>
      <c r="C1038" s="18"/>
      <c r="D1038" s="18"/>
      <c r="E1038" s="18"/>
      <c r="F1038" s="18"/>
      <c r="G1038" s="18"/>
      <c r="H1038" s="18"/>
      <c r="I1038" s="18"/>
      <c r="J1038" s="18"/>
      <c r="K1038" s="33"/>
      <c r="L1038" s="18"/>
      <c r="M1038" s="21"/>
      <c r="N1038" s="21"/>
      <c r="O1038" s="18" t="s">
        <v>2</v>
      </c>
      <c r="P1038" s="32" t="s">
        <v>41</v>
      </c>
      <c r="Q1038" s="32" t="s">
        <v>41</v>
      </c>
      <c r="R1038" s="41" t="s">
        <v>40</v>
      </c>
      <c r="S1038" s="21"/>
      <c r="T1038" s="17" t="s">
        <v>39</v>
      </c>
      <c r="U1038" s="24" t="s">
        <v>2</v>
      </c>
      <c r="V1038" s="21"/>
      <c r="W1038" s="21"/>
      <c r="Y1038" s="21"/>
      <c r="Z1038" s="21"/>
      <c r="AA1038" s="20"/>
      <c r="AB1038" s="20"/>
      <c r="AC1038" s="19"/>
      <c r="AH1038" s="30" t="str">
        <f>+AH1037</f>
        <v>F12</v>
      </c>
      <c r="AI1038" s="29" t="s">
        <v>38</v>
      </c>
      <c r="AJ1038" s="29" t="s">
        <v>37</v>
      </c>
      <c r="AK1038" s="29">
        <v>115</v>
      </c>
      <c r="AL1038" s="29">
        <v>116</v>
      </c>
      <c r="AM1038" s="40" t="s">
        <v>36</v>
      </c>
      <c r="AN1038" s="18"/>
      <c r="AO1038" s="39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</row>
    <row r="1039" spans="1:53" s="17" customFormat="1" ht="14.5" x14ac:dyDescent="0.35">
      <c r="A1039" s="21"/>
      <c r="B1039" s="21"/>
      <c r="C1039" s="18"/>
      <c r="D1039" s="18"/>
      <c r="E1039" s="18"/>
      <c r="F1039" s="18"/>
      <c r="G1039" s="18"/>
      <c r="H1039" s="18"/>
      <c r="I1039" s="18"/>
      <c r="J1039" s="18"/>
      <c r="K1039" s="33"/>
      <c r="L1039" s="18"/>
      <c r="M1039" s="21"/>
      <c r="N1039" s="21"/>
      <c r="O1039" s="18" t="s">
        <v>2</v>
      </c>
      <c r="P1039" s="32" t="s">
        <v>5</v>
      </c>
      <c r="Q1039" s="26" t="s">
        <v>4</v>
      </c>
      <c r="R1039" s="38" t="s">
        <v>35</v>
      </c>
      <c r="S1039" s="21"/>
      <c r="U1039" s="24" t="s">
        <v>2</v>
      </c>
      <c r="V1039" s="21"/>
      <c r="W1039" s="21"/>
      <c r="Y1039" s="21"/>
      <c r="Z1039" s="21"/>
      <c r="AA1039" s="20"/>
      <c r="AB1039" s="20"/>
      <c r="AC1039" s="19"/>
      <c r="AH1039" s="30" t="str">
        <f>+AH1038</f>
        <v>F12</v>
      </c>
      <c r="AI1039" s="29" t="s">
        <v>34</v>
      </c>
      <c r="AJ1039" s="29" t="s">
        <v>33</v>
      </c>
      <c r="AK1039" s="29">
        <v>119</v>
      </c>
      <c r="AL1039" s="29">
        <v>120</v>
      </c>
      <c r="AM1039" s="28"/>
      <c r="AN1039" s="18"/>
      <c r="AO1039" s="39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</row>
    <row r="1040" spans="1:53" s="17" customFormat="1" ht="15" thickBot="1" x14ac:dyDescent="0.4">
      <c r="A1040" s="21"/>
      <c r="B1040" s="21"/>
      <c r="C1040" s="18"/>
      <c r="D1040" s="18"/>
      <c r="E1040" s="18"/>
      <c r="F1040" s="18"/>
      <c r="G1040" s="18"/>
      <c r="H1040" s="18"/>
      <c r="I1040" s="18"/>
      <c r="J1040" s="18"/>
      <c r="K1040" s="33"/>
      <c r="L1040" s="18"/>
      <c r="M1040" s="21"/>
      <c r="N1040" s="21"/>
      <c r="O1040" s="18" t="s">
        <v>2</v>
      </c>
      <c r="P1040" s="32" t="s">
        <v>22</v>
      </c>
      <c r="Q1040" s="32" t="s">
        <v>22</v>
      </c>
      <c r="R1040" s="38" t="s">
        <v>32</v>
      </c>
      <c r="S1040" s="21"/>
      <c r="U1040" s="24" t="s">
        <v>2</v>
      </c>
      <c r="V1040" s="21"/>
      <c r="W1040" s="21"/>
      <c r="X1040" s="17" t="s">
        <v>31</v>
      </c>
      <c r="Y1040" s="21"/>
      <c r="Z1040" s="21"/>
      <c r="AA1040" s="20"/>
      <c r="AB1040" s="20"/>
      <c r="AC1040" s="19"/>
      <c r="AH1040" s="30" t="str">
        <f>+AH1039</f>
        <v>F12</v>
      </c>
      <c r="AI1040" s="37" t="s">
        <v>30</v>
      </c>
      <c r="AJ1040" s="37" t="s">
        <v>29</v>
      </c>
      <c r="AK1040" s="37">
        <v>123</v>
      </c>
      <c r="AL1040" s="37">
        <v>124</v>
      </c>
      <c r="AM1040" s="28"/>
      <c r="AN1040" s="18"/>
      <c r="AO1040" s="36" t="s">
        <v>28</v>
      </c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</row>
    <row r="1041" spans="1:53" s="17" customFormat="1" ht="15" thickBot="1" x14ac:dyDescent="0.4">
      <c r="A1041" s="21"/>
      <c r="B1041" s="21"/>
      <c r="C1041" s="18"/>
      <c r="D1041" s="18"/>
      <c r="E1041" s="18"/>
      <c r="F1041" s="18"/>
      <c r="G1041" s="18"/>
      <c r="H1041" s="18"/>
      <c r="I1041" s="35"/>
      <c r="J1041" s="34"/>
      <c r="K1041" s="33"/>
      <c r="L1041" s="18" t="s">
        <v>27</v>
      </c>
      <c r="M1041" s="21"/>
      <c r="N1041" s="21"/>
      <c r="O1041" s="18" t="s">
        <v>2</v>
      </c>
      <c r="P1041" s="32" t="s">
        <v>22</v>
      </c>
      <c r="Q1041" s="32" t="s">
        <v>22</v>
      </c>
      <c r="R1041" s="31" t="s">
        <v>26</v>
      </c>
      <c r="S1041" s="21"/>
      <c r="T1041" s="17" t="s">
        <v>25</v>
      </c>
      <c r="U1041" s="24" t="s">
        <v>2</v>
      </c>
      <c r="V1041" s="21"/>
      <c r="W1041" s="21"/>
      <c r="Y1041" s="21"/>
      <c r="Z1041" s="21"/>
      <c r="AA1041" s="20"/>
      <c r="AB1041" s="20"/>
      <c r="AC1041" s="19"/>
      <c r="AH1041" s="30" t="str">
        <f>+AH1040</f>
        <v>F12</v>
      </c>
      <c r="AI1041" s="29" t="s">
        <v>24</v>
      </c>
      <c r="AJ1041" s="29" t="s">
        <v>23</v>
      </c>
      <c r="AK1041" s="29">
        <v>127</v>
      </c>
      <c r="AL1041" s="29">
        <v>128</v>
      </c>
      <c r="AM1041" s="2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</row>
    <row r="1042" spans="1:53" s="17" customFormat="1" ht="15" thickBot="1" x14ac:dyDescent="0.4">
      <c r="A1042" s="21"/>
      <c r="B1042" s="21"/>
      <c r="C1042" s="18"/>
      <c r="D1042" s="18"/>
      <c r="E1042" s="18"/>
      <c r="F1042" s="18"/>
      <c r="G1042" s="18"/>
      <c r="H1042" s="18"/>
      <c r="I1042" s="35"/>
      <c r="J1042" s="34"/>
      <c r="K1042" s="33"/>
      <c r="L1042" s="18" t="s">
        <v>6</v>
      </c>
      <c r="M1042" s="21"/>
      <c r="N1042" s="21"/>
      <c r="O1042" s="18" t="s">
        <v>2</v>
      </c>
      <c r="P1042" s="32" t="s">
        <v>22</v>
      </c>
      <c r="Q1042" s="32" t="s">
        <v>22</v>
      </c>
      <c r="R1042" s="31" t="s">
        <v>21</v>
      </c>
      <c r="S1042" s="21"/>
      <c r="T1042" s="17" t="s">
        <v>20</v>
      </c>
      <c r="U1042" s="24" t="s">
        <v>2</v>
      </c>
      <c r="V1042" s="21"/>
      <c r="W1042" s="21"/>
      <c r="Y1042" s="21"/>
      <c r="Z1042" s="21"/>
      <c r="AA1042" s="20"/>
      <c r="AB1042" s="20"/>
      <c r="AC1042" s="19"/>
      <c r="AH1042" s="30" t="str">
        <f>+AH1041</f>
        <v>F12</v>
      </c>
      <c r="AI1042" s="29" t="s">
        <v>19</v>
      </c>
      <c r="AJ1042" s="29" t="s">
        <v>18</v>
      </c>
      <c r="AK1042" s="29">
        <v>131</v>
      </c>
      <c r="AL1042" s="29">
        <v>132</v>
      </c>
      <c r="AM1042" s="2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</row>
    <row r="1043" spans="1:53" s="17" customFormat="1" ht="12.5" x14ac:dyDescent="0.25">
      <c r="A1043" s="21"/>
      <c r="B1043" s="21"/>
      <c r="C1043" s="18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18"/>
      <c r="P1043" s="21"/>
      <c r="Q1043" s="18"/>
      <c r="R1043" s="21"/>
      <c r="S1043" s="21"/>
      <c r="T1043" s="21"/>
      <c r="U1043" s="21"/>
      <c r="V1043" s="21"/>
      <c r="W1043" s="21"/>
      <c r="X1043" s="18"/>
      <c r="Y1043" s="21"/>
      <c r="Z1043" s="21"/>
      <c r="AA1043" s="20"/>
      <c r="AB1043" s="20"/>
      <c r="AC1043" s="19"/>
      <c r="AH1043" s="23" t="str">
        <f>+AH1042</f>
        <v>F12</v>
      </c>
      <c r="AI1043" s="22" t="s">
        <v>17</v>
      </c>
      <c r="AJ1043" s="22" t="s">
        <v>16</v>
      </c>
      <c r="AK1043" s="22">
        <v>135</v>
      </c>
      <c r="AL1043" s="22">
        <v>136</v>
      </c>
      <c r="AM1043" s="22"/>
      <c r="AN1043" s="22"/>
      <c r="AO1043" s="22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</row>
    <row r="1044" spans="1:53" s="17" customFormat="1" ht="14.5" x14ac:dyDescent="0.35">
      <c r="A1044" s="21"/>
      <c r="B1044" s="21"/>
      <c r="C1044" s="18"/>
      <c r="D1044" s="21"/>
      <c r="E1044" s="21"/>
      <c r="F1044" s="21"/>
      <c r="G1044" s="21"/>
      <c r="H1044" s="21"/>
      <c r="I1044" s="21"/>
      <c r="J1044" s="21"/>
      <c r="K1044" s="21"/>
      <c r="L1044" s="18" t="s">
        <v>6</v>
      </c>
      <c r="M1044" s="21"/>
      <c r="N1044" s="21"/>
      <c r="O1044" s="18" t="s">
        <v>9</v>
      </c>
      <c r="P1044" s="21" t="s">
        <v>15</v>
      </c>
      <c r="Q1044" s="26" t="s">
        <v>15</v>
      </c>
      <c r="R1044" s="25" t="s">
        <v>14</v>
      </c>
      <c r="S1044" s="21"/>
      <c r="T1044" s="21"/>
      <c r="U1044" s="27" t="s">
        <v>9</v>
      </c>
      <c r="V1044" s="21"/>
      <c r="W1044" s="21"/>
      <c r="X1044" s="18"/>
      <c r="Y1044" s="21"/>
      <c r="Z1044" s="21"/>
      <c r="AA1044" s="20"/>
      <c r="AB1044" s="20"/>
      <c r="AC1044" s="19"/>
      <c r="AH1044" s="23" t="str">
        <f>+AH1043</f>
        <v>F12</v>
      </c>
      <c r="AI1044" s="22" t="s">
        <v>13</v>
      </c>
      <c r="AJ1044" s="22" t="s">
        <v>12</v>
      </c>
      <c r="AK1044" s="22">
        <v>139</v>
      </c>
      <c r="AL1044" s="22">
        <v>140</v>
      </c>
      <c r="AM1044" s="22"/>
      <c r="AN1044" s="22"/>
      <c r="AO1044" s="22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</row>
    <row r="1045" spans="1:53" s="17" customFormat="1" ht="14.5" x14ac:dyDescent="0.3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18" t="s">
        <v>6</v>
      </c>
      <c r="M1045" s="21"/>
      <c r="N1045" s="21"/>
      <c r="O1045" s="18" t="s">
        <v>9</v>
      </c>
      <c r="P1045" s="21" t="s">
        <v>11</v>
      </c>
      <c r="Q1045" s="26" t="s">
        <v>11</v>
      </c>
      <c r="R1045" s="25" t="s">
        <v>10</v>
      </c>
      <c r="S1045" s="21"/>
      <c r="T1045" s="21"/>
      <c r="U1045" s="27" t="s">
        <v>9</v>
      </c>
      <c r="V1045" s="21"/>
      <c r="W1045" s="21"/>
      <c r="X1045" s="18"/>
      <c r="Y1045" s="21"/>
      <c r="Z1045" s="21"/>
      <c r="AA1045" s="20"/>
      <c r="AB1045" s="20"/>
      <c r="AC1045" s="19"/>
      <c r="AH1045" s="23" t="str">
        <f>+AH1044</f>
        <v>F12</v>
      </c>
      <c r="AI1045" s="22" t="s">
        <v>8</v>
      </c>
      <c r="AJ1045" s="22" t="s">
        <v>7</v>
      </c>
      <c r="AK1045" s="22">
        <v>143</v>
      </c>
      <c r="AL1045" s="22">
        <v>144</v>
      </c>
      <c r="AM1045" s="22"/>
      <c r="AN1045" s="22"/>
      <c r="AO1045" s="22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</row>
    <row r="1046" spans="1:53" s="17" customFormat="1" ht="14.5" x14ac:dyDescent="0.3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18" t="s">
        <v>6</v>
      </c>
      <c r="M1046" s="21"/>
      <c r="N1046" s="21"/>
      <c r="O1046" s="18" t="s">
        <v>2</v>
      </c>
      <c r="P1046" s="21" t="s">
        <v>5</v>
      </c>
      <c r="Q1046" s="26" t="s">
        <v>4</v>
      </c>
      <c r="R1046" s="25" t="s">
        <v>3</v>
      </c>
      <c r="S1046" s="21"/>
      <c r="T1046" s="21"/>
      <c r="U1046" s="24" t="s">
        <v>2</v>
      </c>
      <c r="V1046" s="21"/>
      <c r="W1046" s="21"/>
      <c r="X1046" s="18"/>
      <c r="Y1046" s="21"/>
      <c r="Z1046" s="21"/>
      <c r="AA1046" s="20"/>
      <c r="AB1046" s="20"/>
      <c r="AC1046" s="19"/>
      <c r="AH1046" s="23" t="str">
        <f>+AH1045</f>
        <v>F12</v>
      </c>
      <c r="AI1046" s="22" t="s">
        <v>1</v>
      </c>
      <c r="AJ1046" s="22" t="s">
        <v>0</v>
      </c>
      <c r="AK1046" s="22">
        <v>147</v>
      </c>
      <c r="AL1046" s="22">
        <v>148</v>
      </c>
      <c r="AM1046" s="22"/>
      <c r="AN1046" s="22"/>
      <c r="AO1046" s="22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</row>
    <row r="1047" spans="1:53" s="17" customFormat="1" ht="12.5" x14ac:dyDescent="0.2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0"/>
      <c r="AB1047" s="20"/>
      <c r="AC1047" s="19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</row>
    <row r="1048" spans="1:53" s="17" customFormat="1" ht="12.5" x14ac:dyDescent="0.2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0"/>
      <c r="AB1048" s="20"/>
      <c r="AC1048" s="19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</row>
    <row r="1049" spans="1:53" s="17" customFormat="1" ht="12.5" x14ac:dyDescent="0.2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0"/>
      <c r="AB1049" s="20"/>
      <c r="AC1049" s="19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</row>
    <row r="1050" spans="1:53" s="17" customFormat="1" ht="12.5" x14ac:dyDescent="0.2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0"/>
      <c r="AB1050" s="20"/>
      <c r="AC1050" s="19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</row>
    <row r="1051" spans="1:53" x14ac:dyDescent="0.3">
      <c r="A1051" s="5"/>
      <c r="B1051" s="5"/>
      <c r="C1051" s="5"/>
      <c r="D1051" s="5"/>
      <c r="E1051" s="12"/>
      <c r="F1051" s="5"/>
      <c r="G1051" s="5"/>
      <c r="H1051" s="5"/>
      <c r="I1051" s="5"/>
      <c r="J1051" s="5"/>
      <c r="L1051" s="5"/>
      <c r="M1051" s="5"/>
      <c r="P1051" s="5"/>
      <c r="Q1051" s="5"/>
      <c r="R1051" s="5"/>
      <c r="S1051" s="5"/>
      <c r="T1051" s="5"/>
      <c r="U1051" s="5"/>
      <c r="V1051" s="5"/>
      <c r="W1051" s="5"/>
      <c r="AA1051" s="5"/>
      <c r="AB1051" s="5"/>
    </row>
    <row r="1052" spans="1:53" x14ac:dyDescent="0.3">
      <c r="A1052" s="5"/>
      <c r="B1052" s="5"/>
      <c r="C1052" s="5"/>
      <c r="D1052" s="5"/>
      <c r="E1052" s="12"/>
      <c r="F1052" s="5"/>
      <c r="G1052" s="5"/>
      <c r="H1052" s="5"/>
      <c r="I1052" s="5"/>
      <c r="J1052" s="5"/>
      <c r="L1052" s="5"/>
      <c r="M1052" s="5"/>
      <c r="P1052" s="5"/>
      <c r="Q1052" s="5"/>
      <c r="R1052" s="5"/>
      <c r="S1052" s="5"/>
      <c r="T1052" s="5"/>
      <c r="U1052" s="5"/>
      <c r="V1052" s="5"/>
      <c r="W1052" s="5"/>
    </row>
    <row r="1053" spans="1:53" x14ac:dyDescent="0.3">
      <c r="A1053" s="5"/>
      <c r="B1053" s="5"/>
      <c r="C1053" s="5"/>
      <c r="D1053" s="5"/>
      <c r="E1053" s="12"/>
      <c r="F1053" s="5"/>
      <c r="G1053" s="5"/>
      <c r="H1053" s="5"/>
      <c r="I1053" s="5"/>
      <c r="J1053" s="5"/>
      <c r="L1053" s="5"/>
      <c r="M1053" s="5"/>
      <c r="P1053" s="5"/>
      <c r="Q1053" s="5"/>
      <c r="R1053" s="5"/>
      <c r="S1053" s="5"/>
      <c r="T1053" s="5"/>
      <c r="U1053" s="5"/>
      <c r="V1053" s="5"/>
      <c r="W1053" s="5"/>
    </row>
    <row r="1054" spans="1:53" x14ac:dyDescent="0.3">
      <c r="A1054" s="5"/>
      <c r="B1054" s="5"/>
      <c r="C1054" s="5"/>
      <c r="D1054" s="5"/>
      <c r="E1054" s="12"/>
      <c r="F1054" s="5"/>
      <c r="G1054" s="5"/>
      <c r="H1054" s="5"/>
      <c r="I1054" s="5"/>
      <c r="J1054" s="5"/>
      <c r="L1054" s="5"/>
      <c r="M1054" s="5"/>
      <c r="P1054" s="5"/>
      <c r="Q1054" s="5"/>
      <c r="R1054" s="5"/>
      <c r="S1054" s="5"/>
      <c r="T1054" s="5"/>
      <c r="U1054" s="5"/>
      <c r="V1054" s="5"/>
      <c r="W1054" s="5"/>
    </row>
    <row r="1055" spans="1:53" x14ac:dyDescent="0.3">
      <c r="A1055" s="5"/>
      <c r="B1055" s="5"/>
      <c r="C1055" s="5"/>
      <c r="D1055" s="5"/>
      <c r="E1055" s="12"/>
      <c r="F1055" s="5"/>
      <c r="G1055" s="5"/>
      <c r="H1055" s="5"/>
      <c r="I1055" s="5"/>
      <c r="J1055" s="5"/>
      <c r="L1055" s="5"/>
      <c r="M1055" s="5"/>
      <c r="P1055" s="5"/>
      <c r="Q1055" s="5"/>
      <c r="R1055" s="5"/>
      <c r="S1055" s="5"/>
      <c r="T1055" s="5"/>
      <c r="U1055" s="5"/>
      <c r="V1055" s="5"/>
      <c r="W1055" s="5"/>
    </row>
    <row r="1056" spans="1:53" x14ac:dyDescent="0.3">
      <c r="A1056" s="5"/>
      <c r="B1056" s="5"/>
      <c r="C1056" s="5"/>
      <c r="D1056" s="5"/>
      <c r="E1056" s="12"/>
      <c r="F1056" s="5"/>
      <c r="G1056" s="5"/>
      <c r="H1056" s="5"/>
      <c r="I1056" s="5"/>
      <c r="J1056" s="5"/>
      <c r="L1056" s="5"/>
      <c r="M1056" s="5"/>
      <c r="P1056" s="5"/>
      <c r="Q1056" s="5"/>
      <c r="R1056" s="5"/>
      <c r="S1056" s="5"/>
      <c r="T1056" s="5"/>
      <c r="U1056" s="5"/>
      <c r="V1056" s="5"/>
      <c r="W1056" s="5"/>
    </row>
    <row r="1057" spans="1:23" x14ac:dyDescent="0.3">
      <c r="A1057" s="5"/>
      <c r="B1057" s="5"/>
      <c r="C1057" s="5"/>
      <c r="D1057" s="5"/>
      <c r="E1057" s="12"/>
      <c r="F1057" s="5"/>
      <c r="G1057" s="5"/>
      <c r="H1057" s="5"/>
      <c r="I1057" s="5"/>
      <c r="J1057" s="5"/>
      <c r="L1057" s="5"/>
      <c r="M1057" s="5"/>
      <c r="P1057" s="5"/>
      <c r="Q1057" s="5"/>
      <c r="R1057" s="5"/>
      <c r="S1057" s="5"/>
      <c r="T1057" s="5"/>
      <c r="U1057" s="5"/>
      <c r="V1057" s="5"/>
      <c r="W1057" s="5"/>
    </row>
    <row r="1058" spans="1:23" x14ac:dyDescent="0.3">
      <c r="A1058" s="5"/>
      <c r="B1058" s="5"/>
      <c r="C1058" s="5"/>
      <c r="D1058" s="5"/>
      <c r="E1058" s="12"/>
      <c r="F1058" s="5"/>
      <c r="G1058" s="5"/>
      <c r="H1058" s="5"/>
      <c r="I1058" s="5"/>
      <c r="J1058" s="5"/>
      <c r="L1058" s="5"/>
      <c r="M1058" s="5"/>
      <c r="P1058" s="5"/>
      <c r="Q1058" s="5"/>
      <c r="R1058" s="5"/>
      <c r="S1058" s="5"/>
      <c r="T1058" s="5"/>
      <c r="U1058" s="5"/>
      <c r="V1058" s="5"/>
      <c r="W1058" s="5"/>
    </row>
    <row r="1059" spans="1:23" x14ac:dyDescent="0.3">
      <c r="A1059" s="5"/>
      <c r="B1059" s="5"/>
      <c r="C1059" s="5"/>
      <c r="D1059" s="5"/>
      <c r="E1059" s="12"/>
      <c r="F1059" s="5"/>
      <c r="G1059" s="5"/>
      <c r="H1059" s="5"/>
      <c r="I1059" s="5"/>
      <c r="J1059" s="5"/>
      <c r="L1059" s="5"/>
      <c r="M1059" s="5"/>
      <c r="P1059" s="5"/>
      <c r="Q1059" s="5"/>
      <c r="R1059" s="5"/>
      <c r="S1059" s="5"/>
      <c r="T1059" s="5"/>
      <c r="U1059" s="5"/>
      <c r="V1059" s="5"/>
      <c r="W1059" s="5"/>
    </row>
    <row r="1060" spans="1:23" x14ac:dyDescent="0.3">
      <c r="A1060" s="5"/>
      <c r="B1060" s="5"/>
      <c r="C1060" s="5"/>
      <c r="D1060" s="5"/>
      <c r="E1060" s="12"/>
      <c r="F1060" s="5"/>
      <c r="G1060" s="5"/>
      <c r="H1060" s="5"/>
      <c r="I1060" s="5"/>
      <c r="J1060" s="5"/>
      <c r="L1060" s="5"/>
      <c r="M1060" s="5"/>
      <c r="P1060" s="5"/>
      <c r="Q1060" s="5"/>
      <c r="R1060" s="5"/>
      <c r="S1060" s="5"/>
      <c r="T1060" s="5"/>
      <c r="U1060" s="5"/>
      <c r="V1060" s="5"/>
      <c r="W1060" s="5"/>
    </row>
    <row r="1061" spans="1:23" x14ac:dyDescent="0.3">
      <c r="A1061" s="5"/>
      <c r="B1061" s="5"/>
      <c r="C1061" s="5"/>
      <c r="D1061" s="5"/>
      <c r="E1061" s="12"/>
      <c r="F1061" s="5"/>
      <c r="G1061" s="5"/>
      <c r="H1061" s="5"/>
      <c r="I1061" s="5"/>
      <c r="J1061" s="5"/>
      <c r="L1061" s="5"/>
      <c r="M1061" s="5"/>
      <c r="P1061" s="5"/>
      <c r="Q1061" s="5"/>
      <c r="R1061" s="5"/>
      <c r="S1061" s="5"/>
      <c r="T1061" s="5"/>
      <c r="U1061" s="5"/>
      <c r="V1061" s="5"/>
      <c r="W1061" s="5"/>
    </row>
    <row r="1062" spans="1:23" x14ac:dyDescent="0.3">
      <c r="A1062" s="5"/>
      <c r="B1062" s="5"/>
      <c r="C1062" s="5"/>
      <c r="D1062" s="5"/>
      <c r="E1062" s="12"/>
      <c r="F1062" s="5"/>
      <c r="G1062" s="5"/>
      <c r="H1062" s="5"/>
      <c r="I1062" s="5"/>
      <c r="J1062" s="5"/>
      <c r="L1062" s="5"/>
      <c r="M1062" s="5"/>
      <c r="P1062" s="5"/>
      <c r="Q1062" s="5"/>
      <c r="R1062" s="5"/>
      <c r="S1062" s="5"/>
      <c r="T1062" s="5"/>
      <c r="U1062" s="5"/>
      <c r="V1062" s="5"/>
      <c r="W1062" s="5"/>
    </row>
    <row r="1063" spans="1:23" x14ac:dyDescent="0.3">
      <c r="A1063" s="5"/>
      <c r="B1063" s="5"/>
      <c r="C1063" s="5"/>
      <c r="D1063" s="5"/>
      <c r="E1063" s="12"/>
      <c r="F1063" s="5"/>
      <c r="G1063" s="5"/>
      <c r="H1063" s="5"/>
      <c r="I1063" s="5"/>
      <c r="J1063" s="5"/>
      <c r="L1063" s="5"/>
      <c r="M1063" s="5"/>
      <c r="P1063" s="5"/>
      <c r="Q1063" s="5"/>
      <c r="R1063" s="5"/>
      <c r="S1063" s="5"/>
      <c r="T1063" s="5"/>
      <c r="U1063" s="5"/>
      <c r="V1063" s="5"/>
      <c r="W1063" s="5"/>
    </row>
    <row r="1064" spans="1:23" x14ac:dyDescent="0.3">
      <c r="A1064" s="5"/>
      <c r="B1064" s="5"/>
      <c r="C1064" s="5"/>
      <c r="D1064" s="5"/>
      <c r="E1064" s="12"/>
      <c r="F1064" s="5"/>
      <c r="G1064" s="5"/>
      <c r="H1064" s="5"/>
      <c r="I1064" s="5"/>
      <c r="J1064" s="5"/>
      <c r="L1064" s="5"/>
      <c r="M1064" s="5"/>
      <c r="P1064" s="5"/>
      <c r="Q1064" s="5"/>
      <c r="R1064" s="5"/>
      <c r="S1064" s="5"/>
      <c r="T1064" s="5"/>
      <c r="U1064" s="5"/>
      <c r="V1064" s="5"/>
      <c r="W1064" s="5"/>
    </row>
    <row r="1065" spans="1:23" x14ac:dyDescent="0.3">
      <c r="A1065" s="5"/>
      <c r="B1065" s="5"/>
      <c r="C1065" s="5"/>
      <c r="D1065" s="5"/>
      <c r="E1065" s="12"/>
      <c r="F1065" s="5"/>
      <c r="G1065" s="5"/>
      <c r="H1065" s="5"/>
      <c r="I1065" s="5"/>
      <c r="J1065" s="5"/>
      <c r="L1065" s="5"/>
      <c r="M1065" s="5"/>
      <c r="P1065" s="5"/>
      <c r="Q1065" s="5"/>
      <c r="R1065" s="5"/>
      <c r="S1065" s="5"/>
      <c r="T1065" s="5"/>
      <c r="U1065" s="5"/>
      <c r="V1065" s="5"/>
      <c r="W1065" s="5"/>
    </row>
    <row r="1066" spans="1:23" x14ac:dyDescent="0.3">
      <c r="A1066" s="5"/>
      <c r="B1066" s="5"/>
      <c r="C1066" s="5"/>
      <c r="D1066" s="5"/>
      <c r="E1066" s="12"/>
      <c r="F1066" s="5"/>
      <c r="G1066" s="5"/>
      <c r="H1066" s="5"/>
      <c r="I1066" s="5"/>
      <c r="J1066" s="5"/>
      <c r="L1066" s="5"/>
      <c r="M1066" s="5"/>
      <c r="P1066" s="5"/>
      <c r="Q1066" s="5"/>
      <c r="R1066" s="5"/>
      <c r="S1066" s="5"/>
      <c r="T1066" s="5"/>
      <c r="U1066" s="5"/>
      <c r="V1066" s="5"/>
      <c r="W1066" s="5"/>
    </row>
    <row r="1067" spans="1:23" x14ac:dyDescent="0.3">
      <c r="A1067" s="5"/>
      <c r="B1067" s="5"/>
      <c r="C1067" s="5"/>
      <c r="D1067" s="5"/>
      <c r="E1067" s="12"/>
      <c r="F1067" s="5"/>
      <c r="G1067" s="5"/>
      <c r="H1067" s="5"/>
      <c r="I1067" s="5"/>
      <c r="J1067" s="5"/>
      <c r="L1067" s="5"/>
      <c r="M1067" s="5"/>
      <c r="P1067" s="5"/>
      <c r="Q1067" s="5"/>
      <c r="R1067" s="5"/>
      <c r="S1067" s="5"/>
      <c r="T1067" s="5"/>
      <c r="U1067" s="5"/>
      <c r="V1067" s="5"/>
      <c r="W1067" s="5"/>
    </row>
    <row r="1068" spans="1:23" x14ac:dyDescent="0.3">
      <c r="A1068" s="5"/>
      <c r="B1068" s="5"/>
      <c r="C1068" s="5"/>
      <c r="D1068" s="5"/>
      <c r="E1068" s="12"/>
      <c r="F1068" s="5"/>
      <c r="G1068" s="5"/>
      <c r="H1068" s="5"/>
      <c r="I1068" s="5"/>
      <c r="J1068" s="5"/>
      <c r="L1068" s="5"/>
      <c r="M1068" s="5"/>
      <c r="P1068" s="5"/>
      <c r="Q1068" s="5"/>
      <c r="R1068" s="5"/>
      <c r="S1068" s="5"/>
      <c r="T1068" s="5"/>
      <c r="U1068" s="5"/>
      <c r="V1068" s="5"/>
      <c r="W1068" s="5"/>
    </row>
    <row r="1069" spans="1:23" x14ac:dyDescent="0.3">
      <c r="A1069" s="5"/>
      <c r="B1069" s="5"/>
      <c r="C1069" s="5"/>
      <c r="D1069" s="5"/>
      <c r="E1069" s="12"/>
      <c r="F1069" s="5"/>
      <c r="G1069" s="5"/>
      <c r="H1069" s="5"/>
      <c r="I1069" s="5"/>
      <c r="J1069" s="5"/>
      <c r="L1069" s="5"/>
      <c r="M1069" s="5"/>
      <c r="P1069" s="5"/>
      <c r="Q1069" s="5"/>
      <c r="R1069" s="5"/>
      <c r="S1069" s="5"/>
      <c r="T1069" s="5"/>
      <c r="U1069" s="5"/>
      <c r="V1069" s="5"/>
      <c r="W1069" s="5"/>
    </row>
    <row r="1070" spans="1:23" x14ac:dyDescent="0.3">
      <c r="A1070" s="5"/>
      <c r="B1070" s="5"/>
      <c r="C1070" s="5"/>
      <c r="D1070" s="5"/>
      <c r="E1070" s="12"/>
      <c r="F1070" s="5"/>
      <c r="G1070" s="5"/>
      <c r="H1070" s="5"/>
      <c r="I1070" s="5"/>
      <c r="J1070" s="5"/>
      <c r="L1070" s="5"/>
      <c r="M1070" s="5"/>
      <c r="P1070" s="5"/>
      <c r="Q1070" s="5"/>
      <c r="R1070" s="5"/>
      <c r="S1070" s="5"/>
      <c r="T1070" s="5"/>
      <c r="U1070" s="5"/>
      <c r="V1070" s="5"/>
      <c r="W1070" s="5"/>
    </row>
    <row r="1071" spans="1:23" x14ac:dyDescent="0.3">
      <c r="A1071" s="5"/>
      <c r="B1071" s="5"/>
      <c r="C1071" s="5"/>
      <c r="D1071" s="5"/>
      <c r="E1071" s="12"/>
      <c r="F1071" s="5"/>
      <c r="G1071" s="5"/>
      <c r="H1071" s="5"/>
      <c r="I1071" s="5"/>
      <c r="J1071" s="5"/>
      <c r="L1071" s="5"/>
      <c r="M1071" s="5"/>
      <c r="P1071" s="5"/>
      <c r="Q1071" s="5"/>
      <c r="R1071" s="5"/>
      <c r="S1071" s="5"/>
      <c r="T1071" s="5"/>
      <c r="U1071" s="5"/>
      <c r="V1071" s="5"/>
      <c r="W1071" s="5"/>
    </row>
    <row r="1072" spans="1:23" x14ac:dyDescent="0.3">
      <c r="A1072" s="5"/>
      <c r="B1072" s="5"/>
      <c r="C1072" s="5"/>
      <c r="D1072" s="5"/>
      <c r="E1072" s="12"/>
      <c r="F1072" s="5"/>
      <c r="G1072" s="5"/>
      <c r="H1072" s="5"/>
      <c r="I1072" s="5"/>
      <c r="J1072" s="5"/>
      <c r="L1072" s="5"/>
      <c r="M1072" s="5"/>
      <c r="P1072" s="5"/>
      <c r="Q1072" s="5"/>
      <c r="R1072" s="5"/>
      <c r="S1072" s="5"/>
      <c r="T1072" s="5"/>
      <c r="U1072" s="5"/>
      <c r="V1072" s="5"/>
      <c r="W1072" s="5"/>
    </row>
    <row r="1073" spans="1:28" x14ac:dyDescent="0.3">
      <c r="A1073" s="5"/>
      <c r="B1073" s="5"/>
      <c r="C1073" s="5"/>
      <c r="D1073" s="5"/>
      <c r="E1073" s="12"/>
      <c r="F1073" s="5"/>
      <c r="G1073" s="5"/>
      <c r="H1073" s="5"/>
      <c r="I1073" s="5"/>
      <c r="J1073" s="5"/>
      <c r="L1073" s="5"/>
      <c r="M1073" s="5"/>
      <c r="P1073" s="5"/>
      <c r="Q1073" s="5"/>
      <c r="R1073" s="5"/>
      <c r="S1073" s="5"/>
      <c r="T1073" s="5"/>
      <c r="U1073" s="5"/>
      <c r="V1073" s="5"/>
      <c r="W1073" s="5"/>
    </row>
    <row r="1074" spans="1:28" x14ac:dyDescent="0.3">
      <c r="A1074" s="5"/>
      <c r="B1074" s="5"/>
      <c r="C1074" s="5"/>
      <c r="D1074" s="5"/>
      <c r="E1074" s="12"/>
      <c r="F1074" s="5"/>
      <c r="G1074" s="5"/>
      <c r="H1074" s="5"/>
      <c r="I1074" s="5"/>
      <c r="J1074" s="5"/>
      <c r="L1074" s="5"/>
      <c r="M1074" s="5"/>
      <c r="P1074" s="5"/>
      <c r="Q1074" s="5"/>
      <c r="R1074" s="5"/>
      <c r="S1074" s="5"/>
      <c r="T1074" s="5"/>
      <c r="U1074" s="5"/>
      <c r="V1074" s="5"/>
      <c r="W1074" s="5"/>
    </row>
    <row r="1075" spans="1:28" x14ac:dyDescent="0.3">
      <c r="A1075" s="5"/>
      <c r="B1075" s="5"/>
      <c r="C1075" s="5"/>
      <c r="D1075" s="5"/>
      <c r="E1075" s="12"/>
      <c r="F1075" s="5"/>
      <c r="G1075" s="5"/>
      <c r="H1075" s="5"/>
      <c r="I1075" s="5"/>
      <c r="J1075" s="5"/>
      <c r="L1075" s="5"/>
      <c r="M1075" s="5"/>
      <c r="P1075" s="5"/>
      <c r="Q1075" s="5"/>
      <c r="R1075" s="5"/>
      <c r="S1075" s="5"/>
      <c r="T1075" s="5"/>
      <c r="U1075" s="5"/>
      <c r="V1075" s="5"/>
      <c r="W1075" s="5"/>
    </row>
    <row r="1076" spans="1:28" x14ac:dyDescent="0.3">
      <c r="A1076" s="5"/>
      <c r="B1076" s="5"/>
      <c r="C1076" s="5"/>
      <c r="D1076" s="5"/>
      <c r="E1076" s="12"/>
      <c r="F1076" s="5"/>
      <c r="G1076" s="5"/>
      <c r="H1076" s="5"/>
      <c r="I1076" s="5"/>
      <c r="J1076" s="5"/>
      <c r="L1076" s="5"/>
      <c r="M1076" s="5"/>
      <c r="P1076" s="5"/>
      <c r="Q1076" s="5"/>
      <c r="R1076" s="5"/>
      <c r="S1076" s="5"/>
      <c r="T1076" s="5"/>
      <c r="U1076" s="5"/>
      <c r="V1076" s="5"/>
      <c r="W1076" s="5"/>
      <c r="AA1076" s="5"/>
      <c r="AB1076" s="5"/>
    </row>
    <row r="1077" spans="1:28" x14ac:dyDescent="0.3">
      <c r="A1077" s="5"/>
      <c r="B1077" s="5"/>
      <c r="C1077" s="5"/>
      <c r="D1077" s="5"/>
      <c r="E1077" s="12"/>
      <c r="F1077" s="5"/>
      <c r="G1077" s="5"/>
      <c r="H1077" s="5"/>
      <c r="I1077" s="5"/>
      <c r="J1077" s="5"/>
      <c r="L1077" s="5"/>
      <c r="M1077" s="5"/>
      <c r="P1077" s="5"/>
      <c r="Q1077" s="5"/>
      <c r="R1077" s="5"/>
      <c r="S1077" s="5"/>
      <c r="T1077" s="5"/>
      <c r="U1077" s="5"/>
      <c r="V1077" s="5"/>
      <c r="W1077" s="5"/>
      <c r="AA1077" s="13"/>
      <c r="AB1077" s="13"/>
    </row>
    <row r="1078" spans="1:28" x14ac:dyDescent="0.3">
      <c r="A1078" s="5"/>
      <c r="B1078" s="5"/>
      <c r="C1078" s="5"/>
      <c r="D1078" s="5"/>
      <c r="E1078" s="12"/>
      <c r="F1078" s="5"/>
      <c r="G1078" s="5"/>
      <c r="H1078" s="5"/>
      <c r="I1078" s="5"/>
      <c r="J1078" s="5"/>
      <c r="L1078" s="5"/>
      <c r="M1078" s="5"/>
      <c r="P1078" s="5"/>
      <c r="Q1078" s="5"/>
      <c r="R1078" s="5"/>
      <c r="S1078" s="5"/>
      <c r="T1078" s="5"/>
      <c r="U1078" s="5"/>
      <c r="V1078" s="5"/>
      <c r="W1078" s="5"/>
      <c r="AA1078" s="5"/>
      <c r="AB1078" s="5"/>
    </row>
    <row r="1079" spans="1:28" x14ac:dyDescent="0.3">
      <c r="A1079" s="5"/>
      <c r="B1079" s="5"/>
      <c r="C1079" s="5"/>
      <c r="D1079" s="5"/>
      <c r="E1079" s="12"/>
      <c r="F1079" s="5"/>
      <c r="G1079" s="5"/>
      <c r="H1079" s="5"/>
      <c r="I1079" s="5"/>
      <c r="J1079" s="5"/>
      <c r="L1079" s="5"/>
      <c r="M1079" s="5"/>
      <c r="P1079" s="5"/>
      <c r="Q1079" s="5"/>
      <c r="R1079" s="5"/>
      <c r="S1079" s="5"/>
      <c r="T1079" s="5"/>
      <c r="U1079" s="5"/>
      <c r="V1079" s="5"/>
      <c r="W1079" s="5"/>
      <c r="AA1079" s="5"/>
      <c r="AB1079" s="5"/>
    </row>
    <row r="1080" spans="1:28" x14ac:dyDescent="0.3">
      <c r="A1080" s="5"/>
      <c r="B1080" s="5"/>
      <c r="C1080" s="5"/>
      <c r="D1080" s="5"/>
      <c r="E1080" s="12"/>
      <c r="F1080" s="5"/>
      <c r="G1080" s="5"/>
      <c r="H1080" s="5"/>
      <c r="I1080" s="5"/>
      <c r="J1080" s="5"/>
      <c r="L1080" s="5"/>
      <c r="M1080" s="5"/>
      <c r="P1080" s="5"/>
      <c r="Q1080" s="5"/>
      <c r="R1080" s="5"/>
      <c r="S1080" s="5"/>
      <c r="T1080" s="5"/>
      <c r="U1080" s="5"/>
      <c r="V1080" s="5"/>
      <c r="W1080" s="5"/>
    </row>
    <row r="1081" spans="1:28" x14ac:dyDescent="0.3">
      <c r="A1081" s="5"/>
      <c r="B1081" s="5"/>
      <c r="C1081" s="5"/>
      <c r="D1081" s="5"/>
      <c r="E1081" s="12"/>
      <c r="F1081" s="5"/>
      <c r="G1081" s="5"/>
      <c r="H1081" s="5"/>
      <c r="I1081" s="5"/>
      <c r="J1081" s="5"/>
      <c r="L1081" s="5"/>
      <c r="M1081" s="5"/>
      <c r="P1081" s="5"/>
      <c r="Q1081" s="5"/>
      <c r="R1081" s="5"/>
      <c r="S1081" s="5"/>
      <c r="T1081" s="5"/>
      <c r="U1081" s="5"/>
      <c r="V1081" s="5"/>
      <c r="W1081" s="5"/>
    </row>
    <row r="1082" spans="1:28" x14ac:dyDescent="0.3">
      <c r="A1082" s="5"/>
      <c r="B1082" s="5"/>
      <c r="C1082" s="5"/>
      <c r="D1082" s="5"/>
      <c r="E1082" s="12"/>
      <c r="F1082" s="5"/>
      <c r="G1082" s="5"/>
      <c r="H1082" s="5"/>
      <c r="I1082" s="5"/>
      <c r="J1082" s="5"/>
      <c r="L1082" s="5"/>
      <c r="M1082" s="5"/>
      <c r="P1082" s="5"/>
      <c r="Q1082" s="5"/>
      <c r="R1082" s="5"/>
      <c r="S1082" s="5"/>
      <c r="T1082" s="5"/>
      <c r="U1082" s="5"/>
      <c r="V1082" s="5"/>
      <c r="W1082" s="5"/>
    </row>
    <row r="1083" spans="1:28" x14ac:dyDescent="0.3">
      <c r="A1083" s="5"/>
      <c r="B1083" s="5"/>
      <c r="C1083" s="5"/>
      <c r="D1083" s="5"/>
      <c r="E1083" s="12"/>
      <c r="F1083" s="5"/>
      <c r="G1083" s="5"/>
      <c r="H1083" s="5"/>
      <c r="I1083" s="5"/>
      <c r="J1083" s="5"/>
      <c r="L1083" s="5"/>
      <c r="M1083" s="5"/>
      <c r="P1083" s="5"/>
      <c r="Q1083" s="5"/>
      <c r="R1083" s="5"/>
      <c r="S1083" s="5"/>
      <c r="T1083" s="5"/>
      <c r="U1083" s="5"/>
      <c r="V1083" s="5"/>
      <c r="W1083" s="5"/>
    </row>
    <row r="1084" spans="1:28" x14ac:dyDescent="0.3">
      <c r="A1084" s="5"/>
      <c r="B1084" s="5"/>
      <c r="C1084" s="5"/>
      <c r="D1084" s="5"/>
      <c r="E1084" s="12"/>
      <c r="F1084" s="5"/>
      <c r="G1084" s="5"/>
      <c r="H1084" s="5"/>
      <c r="I1084" s="5"/>
      <c r="J1084" s="5"/>
      <c r="L1084" s="5"/>
      <c r="M1084" s="5"/>
      <c r="P1084" s="5"/>
      <c r="Q1084" s="5"/>
      <c r="R1084" s="5"/>
      <c r="S1084" s="5"/>
      <c r="T1084" s="5"/>
      <c r="U1084" s="5"/>
      <c r="V1084" s="5"/>
      <c r="W1084" s="5"/>
    </row>
    <row r="1085" spans="1:28" x14ac:dyDescent="0.3">
      <c r="A1085" s="5"/>
      <c r="B1085" s="5"/>
      <c r="C1085" s="5"/>
      <c r="D1085" s="5"/>
      <c r="E1085" s="12"/>
      <c r="F1085" s="5"/>
      <c r="G1085" s="5"/>
      <c r="H1085" s="5"/>
      <c r="I1085" s="5"/>
      <c r="J1085" s="5"/>
      <c r="L1085" s="5"/>
      <c r="M1085" s="5"/>
      <c r="P1085" s="5"/>
      <c r="Q1085" s="5"/>
      <c r="R1085" s="5"/>
      <c r="S1085" s="5"/>
      <c r="T1085" s="5"/>
      <c r="U1085" s="5"/>
      <c r="V1085" s="5"/>
      <c r="W1085" s="5"/>
    </row>
    <row r="1086" spans="1:28" x14ac:dyDescent="0.3">
      <c r="A1086" s="5"/>
      <c r="B1086" s="5"/>
      <c r="C1086" s="5"/>
      <c r="D1086" s="5"/>
      <c r="E1086" s="12"/>
      <c r="F1086" s="5"/>
      <c r="G1086" s="5"/>
      <c r="H1086" s="5"/>
      <c r="I1086" s="5"/>
      <c r="J1086" s="5"/>
      <c r="L1086" s="5"/>
      <c r="M1086" s="5"/>
      <c r="P1086" s="5"/>
      <c r="Q1086" s="5"/>
      <c r="R1086" s="5"/>
      <c r="S1086" s="5"/>
      <c r="T1086" s="5"/>
      <c r="U1086" s="5"/>
      <c r="V1086" s="5"/>
      <c r="W1086" s="5"/>
    </row>
    <row r="1087" spans="1:28" x14ac:dyDescent="0.3">
      <c r="A1087" s="5"/>
      <c r="B1087" s="5"/>
      <c r="C1087" s="5"/>
      <c r="D1087" s="5"/>
      <c r="E1087" s="12"/>
      <c r="F1087" s="5"/>
      <c r="G1087" s="5"/>
      <c r="H1087" s="5"/>
      <c r="I1087" s="5"/>
      <c r="J1087" s="5"/>
      <c r="L1087" s="5"/>
      <c r="M1087" s="5"/>
      <c r="P1087" s="5"/>
      <c r="Q1087" s="5"/>
      <c r="R1087" s="5"/>
      <c r="S1087" s="5"/>
      <c r="T1087" s="5"/>
      <c r="U1087" s="5"/>
      <c r="V1087" s="5"/>
      <c r="W1087" s="5"/>
    </row>
    <row r="1088" spans="1:28" x14ac:dyDescent="0.3">
      <c r="A1088" s="5"/>
      <c r="B1088" s="5"/>
      <c r="C1088" s="5"/>
      <c r="D1088" s="5"/>
      <c r="E1088" s="12"/>
      <c r="F1088" s="5"/>
      <c r="G1088" s="5"/>
      <c r="H1088" s="5"/>
      <c r="I1088" s="5"/>
      <c r="J1088" s="5"/>
      <c r="L1088" s="5"/>
      <c r="M1088" s="5"/>
      <c r="P1088" s="5"/>
      <c r="Q1088" s="5"/>
      <c r="R1088" s="5"/>
      <c r="S1088" s="5"/>
      <c r="T1088" s="5"/>
      <c r="U1088" s="5"/>
      <c r="V1088" s="5"/>
      <c r="W1088" s="5"/>
    </row>
    <row r="1089" spans="1:28" x14ac:dyDescent="0.3">
      <c r="A1089" s="5"/>
      <c r="B1089" s="5"/>
      <c r="C1089" s="5"/>
      <c r="D1089" s="5"/>
      <c r="E1089" s="12"/>
      <c r="F1089" s="5"/>
      <c r="G1089" s="5"/>
      <c r="H1089" s="5"/>
      <c r="I1089" s="5"/>
      <c r="J1089" s="5"/>
      <c r="L1089" s="5"/>
      <c r="M1089" s="5"/>
      <c r="P1089" s="5"/>
      <c r="Q1089" s="5"/>
      <c r="R1089" s="5"/>
      <c r="S1089" s="5"/>
      <c r="T1089" s="5"/>
      <c r="U1089" s="5"/>
      <c r="V1089" s="5"/>
      <c r="W1089" s="5"/>
    </row>
    <row r="1090" spans="1:28" x14ac:dyDescent="0.3">
      <c r="A1090" s="5"/>
      <c r="B1090" s="5"/>
      <c r="C1090" s="5"/>
      <c r="D1090" s="5"/>
      <c r="E1090" s="12"/>
      <c r="F1090" s="5"/>
      <c r="G1090" s="5"/>
      <c r="H1090" s="5"/>
      <c r="I1090" s="5"/>
      <c r="J1090" s="5"/>
      <c r="L1090" s="5"/>
      <c r="M1090" s="5"/>
      <c r="P1090" s="5"/>
      <c r="Q1090" s="5"/>
      <c r="R1090" s="5"/>
      <c r="S1090" s="5"/>
      <c r="T1090" s="5"/>
      <c r="U1090" s="5"/>
      <c r="V1090" s="5"/>
      <c r="W1090" s="5"/>
    </row>
    <row r="1091" spans="1:28" x14ac:dyDescent="0.3">
      <c r="A1091" s="5"/>
      <c r="B1091" s="5"/>
      <c r="C1091" s="5"/>
      <c r="D1091" s="5"/>
      <c r="E1091" s="12"/>
      <c r="F1091" s="5"/>
      <c r="G1091" s="5"/>
      <c r="H1091" s="5"/>
      <c r="I1091" s="5"/>
      <c r="J1091" s="5"/>
      <c r="L1091" s="5"/>
      <c r="M1091" s="5"/>
      <c r="P1091" s="5"/>
      <c r="Q1091" s="5"/>
      <c r="R1091" s="5"/>
      <c r="S1091" s="5"/>
      <c r="T1091" s="5"/>
      <c r="U1091" s="5"/>
      <c r="V1091" s="5"/>
      <c r="W1091" s="5"/>
    </row>
    <row r="1092" spans="1:28" x14ac:dyDescent="0.3">
      <c r="A1092" s="5"/>
      <c r="B1092" s="5"/>
      <c r="C1092" s="5"/>
      <c r="D1092" s="5"/>
      <c r="E1092" s="12"/>
      <c r="F1092" s="5"/>
      <c r="G1092" s="5"/>
      <c r="H1092" s="5"/>
      <c r="I1092" s="5"/>
      <c r="J1092" s="5"/>
      <c r="L1092" s="5"/>
      <c r="M1092" s="5"/>
      <c r="P1092" s="5"/>
      <c r="Q1092" s="5"/>
      <c r="R1092" s="5"/>
      <c r="S1092" s="5"/>
      <c r="T1092" s="5"/>
      <c r="U1092" s="5"/>
      <c r="V1092" s="5"/>
      <c r="W1092" s="5"/>
    </row>
    <row r="1093" spans="1:28" x14ac:dyDescent="0.3">
      <c r="A1093" s="5"/>
      <c r="B1093" s="5"/>
      <c r="C1093" s="5"/>
      <c r="D1093" s="5"/>
      <c r="E1093" s="12"/>
      <c r="F1093" s="5"/>
      <c r="G1093" s="5"/>
      <c r="H1093" s="5"/>
      <c r="I1093" s="5"/>
      <c r="J1093" s="5"/>
      <c r="L1093" s="5"/>
      <c r="M1093" s="5"/>
      <c r="P1093" s="5"/>
      <c r="Q1093" s="5"/>
      <c r="R1093" s="5"/>
      <c r="S1093" s="5"/>
      <c r="T1093" s="5"/>
      <c r="U1093" s="5"/>
      <c r="V1093" s="5"/>
      <c r="W1093" s="5"/>
    </row>
    <row r="1094" spans="1:28" x14ac:dyDescent="0.3">
      <c r="A1094" s="5"/>
      <c r="B1094" s="5"/>
      <c r="C1094" s="5"/>
      <c r="D1094" s="5"/>
      <c r="E1094" s="12"/>
      <c r="F1094" s="5"/>
      <c r="G1094" s="5"/>
      <c r="H1094" s="5"/>
      <c r="I1094" s="5"/>
      <c r="J1094" s="5"/>
      <c r="L1094" s="5"/>
      <c r="M1094" s="5"/>
      <c r="P1094" s="5"/>
      <c r="Q1094" s="5"/>
      <c r="R1094" s="5"/>
      <c r="S1094" s="5"/>
      <c r="T1094" s="5"/>
      <c r="U1094" s="5"/>
      <c r="V1094" s="5"/>
      <c r="W1094" s="5"/>
    </row>
    <row r="1095" spans="1:28" x14ac:dyDescent="0.3">
      <c r="A1095" s="5"/>
      <c r="B1095" s="5"/>
      <c r="C1095" s="5"/>
      <c r="D1095" s="5"/>
      <c r="E1095" s="12"/>
      <c r="F1095" s="5"/>
      <c r="G1095" s="5"/>
      <c r="H1095" s="5"/>
      <c r="I1095" s="5"/>
      <c r="J1095" s="5"/>
      <c r="L1095" s="5"/>
      <c r="M1095" s="5"/>
      <c r="P1095" s="5"/>
      <c r="Q1095" s="5"/>
      <c r="R1095" s="5"/>
      <c r="S1095" s="5"/>
      <c r="T1095" s="5"/>
      <c r="U1095" s="5"/>
      <c r="V1095" s="5"/>
      <c r="W1095" s="5"/>
    </row>
    <row r="1096" spans="1:28" x14ac:dyDescent="0.3">
      <c r="A1096" s="5"/>
      <c r="B1096" s="5"/>
      <c r="C1096" s="5"/>
      <c r="D1096" s="5"/>
      <c r="E1096" s="12"/>
      <c r="F1096" s="5"/>
      <c r="G1096" s="5"/>
      <c r="H1096" s="5"/>
      <c r="I1096" s="5"/>
      <c r="J1096" s="5"/>
      <c r="L1096" s="5"/>
      <c r="M1096" s="5"/>
      <c r="P1096" s="5"/>
      <c r="Q1096" s="5"/>
      <c r="R1096" s="5"/>
      <c r="S1096" s="5"/>
      <c r="T1096" s="5"/>
      <c r="U1096" s="5"/>
      <c r="V1096" s="5"/>
      <c r="W1096" s="5"/>
    </row>
    <row r="1097" spans="1:28" x14ac:dyDescent="0.3">
      <c r="A1097" s="5"/>
      <c r="B1097" s="5"/>
      <c r="C1097" s="5"/>
      <c r="D1097" s="5"/>
      <c r="E1097" s="12"/>
      <c r="F1097" s="5"/>
      <c r="G1097" s="5"/>
      <c r="H1097" s="5"/>
      <c r="I1097" s="5"/>
      <c r="J1097" s="5"/>
      <c r="L1097" s="5"/>
      <c r="M1097" s="5"/>
      <c r="P1097" s="5"/>
      <c r="Q1097" s="5"/>
      <c r="R1097" s="5"/>
      <c r="S1097" s="5"/>
      <c r="T1097" s="5"/>
      <c r="U1097" s="5"/>
      <c r="V1097" s="5"/>
      <c r="W1097" s="5"/>
    </row>
    <row r="1098" spans="1:28" x14ac:dyDescent="0.3">
      <c r="A1098" s="5"/>
      <c r="B1098" s="5"/>
      <c r="C1098" s="5"/>
      <c r="D1098" s="5"/>
      <c r="E1098" s="12"/>
      <c r="F1098" s="5"/>
      <c r="G1098" s="5"/>
      <c r="H1098" s="5"/>
      <c r="I1098" s="5"/>
      <c r="J1098" s="5"/>
      <c r="L1098" s="5"/>
      <c r="M1098" s="5"/>
      <c r="P1098" s="5"/>
      <c r="Q1098" s="5"/>
      <c r="R1098" s="5"/>
      <c r="S1098" s="5"/>
      <c r="T1098" s="5"/>
      <c r="U1098" s="5"/>
      <c r="V1098" s="5"/>
      <c r="W1098" s="5"/>
    </row>
    <row r="1099" spans="1:28" x14ac:dyDescent="0.3">
      <c r="A1099" s="5"/>
      <c r="B1099" s="5"/>
      <c r="C1099" s="5"/>
      <c r="D1099" s="5"/>
      <c r="E1099" s="12"/>
      <c r="F1099" s="5"/>
      <c r="G1099" s="5"/>
      <c r="H1099" s="5"/>
      <c r="I1099" s="5"/>
      <c r="J1099" s="5"/>
      <c r="L1099" s="5"/>
      <c r="M1099" s="5"/>
      <c r="P1099" s="5"/>
      <c r="Q1099" s="5"/>
      <c r="R1099" s="5"/>
      <c r="S1099" s="5"/>
      <c r="T1099" s="5"/>
      <c r="U1099" s="5"/>
      <c r="V1099" s="5"/>
      <c r="W1099" s="5"/>
    </row>
    <row r="1100" spans="1:28" x14ac:dyDescent="0.3">
      <c r="A1100" s="5"/>
      <c r="B1100" s="5"/>
      <c r="C1100" s="5"/>
      <c r="D1100" s="5"/>
      <c r="E1100" s="12"/>
      <c r="F1100" s="5"/>
      <c r="G1100" s="5"/>
      <c r="H1100" s="5"/>
      <c r="I1100" s="5"/>
      <c r="J1100" s="5"/>
      <c r="L1100" s="5"/>
      <c r="M1100" s="5"/>
      <c r="P1100" s="5"/>
      <c r="Q1100" s="5"/>
      <c r="R1100" s="5"/>
      <c r="S1100" s="5"/>
      <c r="T1100" s="5"/>
      <c r="U1100" s="5"/>
      <c r="V1100" s="5"/>
      <c r="W1100" s="5"/>
    </row>
    <row r="1101" spans="1:28" x14ac:dyDescent="0.3">
      <c r="A1101" s="5"/>
      <c r="B1101" s="5"/>
      <c r="C1101" s="5"/>
      <c r="D1101" s="5"/>
      <c r="E1101" s="12"/>
      <c r="F1101" s="5"/>
      <c r="G1101" s="5"/>
      <c r="H1101" s="5"/>
      <c r="I1101" s="5"/>
      <c r="J1101" s="5"/>
      <c r="L1101" s="5"/>
      <c r="M1101" s="5"/>
      <c r="P1101" s="5"/>
      <c r="Q1101" s="5"/>
      <c r="R1101" s="5"/>
      <c r="S1101" s="5"/>
      <c r="T1101" s="5"/>
      <c r="U1101" s="5"/>
      <c r="V1101" s="5"/>
      <c r="W1101" s="5"/>
    </row>
    <row r="1102" spans="1:28" x14ac:dyDescent="0.3">
      <c r="A1102" s="5"/>
      <c r="B1102" s="5"/>
      <c r="C1102" s="5"/>
      <c r="D1102" s="5"/>
      <c r="E1102" s="12"/>
      <c r="F1102" s="5"/>
      <c r="G1102" s="5"/>
      <c r="H1102" s="5"/>
      <c r="I1102" s="5"/>
      <c r="J1102" s="5"/>
      <c r="L1102" s="5"/>
      <c r="M1102" s="5"/>
      <c r="P1102" s="5"/>
      <c r="Q1102" s="5"/>
      <c r="R1102" s="5"/>
      <c r="S1102" s="5"/>
      <c r="T1102" s="5"/>
      <c r="U1102" s="5"/>
      <c r="V1102" s="5"/>
      <c r="W1102" s="5"/>
    </row>
    <row r="1103" spans="1:28" x14ac:dyDescent="0.3">
      <c r="A1103" s="5"/>
      <c r="B1103" s="5"/>
      <c r="C1103" s="5"/>
      <c r="D1103" s="5"/>
      <c r="E1103" s="12"/>
      <c r="F1103" s="5"/>
      <c r="G1103" s="5"/>
      <c r="H1103" s="5"/>
      <c r="I1103" s="5"/>
      <c r="J1103" s="5"/>
      <c r="L1103" s="5"/>
      <c r="M1103" s="5"/>
      <c r="P1103" s="5"/>
      <c r="Q1103" s="5"/>
      <c r="R1103" s="5"/>
      <c r="S1103" s="5"/>
      <c r="T1103" s="5"/>
      <c r="U1103" s="5"/>
      <c r="V1103" s="5"/>
      <c r="W1103" s="5"/>
    </row>
    <row r="1104" spans="1:28" x14ac:dyDescent="0.3">
      <c r="A1104" s="5"/>
      <c r="B1104" s="5"/>
      <c r="C1104" s="5"/>
      <c r="D1104" s="5"/>
      <c r="E1104" s="12"/>
      <c r="F1104" s="5"/>
      <c r="G1104" s="5"/>
      <c r="H1104" s="5"/>
      <c r="I1104" s="5"/>
      <c r="J1104" s="5"/>
      <c r="L1104" s="5"/>
      <c r="M1104" s="5"/>
      <c r="P1104" s="5"/>
      <c r="Q1104" s="5"/>
      <c r="R1104" s="5"/>
      <c r="S1104" s="5"/>
      <c r="T1104" s="5"/>
      <c r="U1104" s="5"/>
      <c r="V1104" s="5"/>
      <c r="W1104" s="5"/>
      <c r="AA1104" s="5"/>
      <c r="AB1104" s="5"/>
    </row>
    <row r="1105" spans="1:28" x14ac:dyDescent="0.3">
      <c r="A1105" s="5"/>
      <c r="B1105" s="5"/>
      <c r="C1105" s="5"/>
      <c r="D1105" s="5"/>
      <c r="E1105" s="12"/>
      <c r="F1105" s="5"/>
      <c r="G1105" s="5"/>
      <c r="H1105" s="5"/>
      <c r="I1105" s="5"/>
      <c r="J1105" s="5"/>
      <c r="L1105" s="5"/>
      <c r="M1105" s="5"/>
      <c r="P1105" s="5"/>
      <c r="Q1105" s="5"/>
      <c r="R1105" s="5"/>
      <c r="S1105" s="5"/>
      <c r="T1105" s="5"/>
      <c r="U1105" s="5"/>
      <c r="V1105" s="5"/>
      <c r="W1105" s="5"/>
      <c r="AA1105" s="13"/>
      <c r="AB1105" s="13"/>
    </row>
    <row r="1106" spans="1:28" x14ac:dyDescent="0.3">
      <c r="A1106" s="5"/>
      <c r="B1106" s="5"/>
      <c r="C1106" s="5"/>
      <c r="D1106" s="5"/>
      <c r="E1106" s="12"/>
      <c r="F1106" s="5"/>
      <c r="G1106" s="5"/>
      <c r="H1106" s="5"/>
      <c r="I1106" s="5"/>
      <c r="J1106" s="5"/>
      <c r="L1106" s="5"/>
      <c r="M1106" s="5"/>
      <c r="P1106" s="5"/>
      <c r="Q1106" s="5"/>
      <c r="R1106" s="5"/>
      <c r="S1106" s="5"/>
      <c r="T1106" s="5"/>
      <c r="U1106" s="5"/>
      <c r="V1106" s="5"/>
      <c r="W1106" s="5"/>
      <c r="AA1106" s="5"/>
      <c r="AB1106" s="5"/>
    </row>
    <row r="1107" spans="1:28" x14ac:dyDescent="0.3">
      <c r="A1107" s="5"/>
      <c r="B1107" s="5"/>
      <c r="C1107" s="5"/>
      <c r="D1107" s="5"/>
      <c r="E1107" s="12"/>
      <c r="F1107" s="5"/>
      <c r="G1107" s="5"/>
      <c r="H1107" s="5"/>
      <c r="I1107" s="5"/>
      <c r="J1107" s="5"/>
      <c r="L1107" s="5"/>
      <c r="M1107" s="5"/>
      <c r="P1107" s="5"/>
      <c r="Q1107" s="5"/>
      <c r="R1107" s="5"/>
      <c r="S1107" s="5"/>
      <c r="T1107" s="5"/>
      <c r="U1107" s="5"/>
      <c r="V1107" s="5"/>
      <c r="W1107" s="5"/>
      <c r="AA1107" s="5"/>
      <c r="AB1107" s="5"/>
    </row>
    <row r="1108" spans="1:28" x14ac:dyDescent="0.3">
      <c r="A1108" s="5"/>
      <c r="B1108" s="5"/>
      <c r="C1108" s="5"/>
      <c r="D1108" s="5"/>
      <c r="E1108" s="12"/>
      <c r="F1108" s="5"/>
      <c r="G1108" s="5"/>
      <c r="H1108" s="5"/>
      <c r="I1108" s="5"/>
      <c r="J1108" s="5"/>
      <c r="L1108" s="5"/>
      <c r="M1108" s="5"/>
      <c r="P1108" s="5"/>
      <c r="Q1108" s="5"/>
      <c r="R1108" s="5"/>
      <c r="S1108" s="5"/>
      <c r="T1108" s="5"/>
      <c r="U1108" s="5"/>
      <c r="V1108" s="5"/>
      <c r="W1108" s="5"/>
    </row>
    <row r="1109" spans="1:28" x14ac:dyDescent="0.3">
      <c r="A1109" s="5"/>
      <c r="B1109" s="5"/>
      <c r="C1109" s="5"/>
      <c r="D1109" s="5"/>
      <c r="E1109" s="12"/>
      <c r="F1109" s="5"/>
      <c r="G1109" s="5"/>
      <c r="H1109" s="5"/>
      <c r="I1109" s="5"/>
      <c r="J1109" s="5"/>
      <c r="L1109" s="5"/>
      <c r="M1109" s="5"/>
      <c r="P1109" s="5"/>
      <c r="Q1109" s="5"/>
      <c r="R1109" s="5"/>
      <c r="S1109" s="5"/>
      <c r="T1109" s="5"/>
      <c r="U1109" s="5"/>
      <c r="V1109" s="5"/>
      <c r="W1109" s="5"/>
    </row>
    <row r="1110" spans="1:28" x14ac:dyDescent="0.3">
      <c r="A1110" s="5"/>
      <c r="B1110" s="5"/>
      <c r="C1110" s="5"/>
      <c r="D1110" s="5"/>
      <c r="E1110" s="12"/>
      <c r="F1110" s="5"/>
      <c r="G1110" s="5"/>
      <c r="H1110" s="5"/>
      <c r="I1110" s="5"/>
      <c r="J1110" s="5"/>
      <c r="L1110" s="5"/>
      <c r="M1110" s="5"/>
      <c r="P1110" s="5"/>
      <c r="Q1110" s="5"/>
      <c r="R1110" s="5"/>
      <c r="S1110" s="5"/>
      <c r="T1110" s="5"/>
      <c r="U1110" s="5"/>
      <c r="V1110" s="5"/>
      <c r="W1110" s="5"/>
      <c r="AA1110" s="16"/>
      <c r="AB1110" s="16"/>
    </row>
    <row r="1111" spans="1:28" x14ac:dyDescent="0.3">
      <c r="A1111" s="5"/>
      <c r="B1111" s="5"/>
      <c r="C1111" s="5"/>
      <c r="D1111" s="5"/>
      <c r="E1111" s="12"/>
      <c r="F1111" s="5"/>
      <c r="G1111" s="5"/>
      <c r="H1111" s="5"/>
      <c r="I1111" s="5"/>
      <c r="J1111" s="5"/>
      <c r="L1111" s="5"/>
      <c r="M1111" s="5"/>
      <c r="P1111" s="5"/>
      <c r="Q1111" s="5"/>
      <c r="R1111" s="5"/>
      <c r="S1111" s="5"/>
      <c r="T1111" s="5"/>
      <c r="U1111" s="5"/>
      <c r="V1111" s="5"/>
      <c r="W1111" s="5"/>
      <c r="AA1111" s="14"/>
      <c r="AB1111" s="14"/>
    </row>
    <row r="1112" spans="1:28" x14ac:dyDescent="0.3">
      <c r="A1112" s="5"/>
      <c r="B1112" s="5"/>
      <c r="C1112" s="5"/>
      <c r="D1112" s="5"/>
      <c r="E1112" s="12"/>
      <c r="F1112" s="5"/>
      <c r="G1112" s="5"/>
      <c r="H1112" s="5"/>
      <c r="I1112" s="5"/>
      <c r="J1112" s="5"/>
      <c r="L1112" s="5"/>
      <c r="M1112" s="5"/>
      <c r="P1112" s="5"/>
      <c r="Q1112" s="5"/>
      <c r="R1112" s="5"/>
      <c r="S1112" s="5"/>
      <c r="T1112" s="5"/>
      <c r="U1112" s="5"/>
      <c r="V1112" s="5"/>
      <c r="W1112" s="5"/>
      <c r="AA1112" s="14"/>
      <c r="AB1112" s="14"/>
    </row>
    <row r="1113" spans="1:28" x14ac:dyDescent="0.3">
      <c r="A1113" s="5"/>
      <c r="B1113" s="5"/>
      <c r="C1113" s="5"/>
      <c r="D1113" s="5"/>
      <c r="E1113" s="12"/>
      <c r="F1113" s="5"/>
      <c r="G1113" s="5"/>
      <c r="H1113" s="5"/>
      <c r="I1113" s="5"/>
      <c r="J1113" s="5"/>
      <c r="L1113" s="5"/>
      <c r="M1113" s="5"/>
      <c r="P1113" s="5"/>
      <c r="Q1113" s="5"/>
      <c r="R1113" s="5"/>
      <c r="S1113" s="5"/>
      <c r="T1113" s="5"/>
      <c r="U1113" s="5"/>
      <c r="V1113" s="5"/>
      <c r="W1113" s="5"/>
      <c r="AA1113" s="14"/>
      <c r="AB1113" s="14"/>
    </row>
    <row r="1114" spans="1:28" x14ac:dyDescent="0.3">
      <c r="A1114" s="5"/>
      <c r="B1114" s="5"/>
      <c r="C1114" s="5"/>
      <c r="D1114" s="5"/>
      <c r="E1114" s="12"/>
      <c r="F1114" s="5"/>
      <c r="G1114" s="5"/>
      <c r="H1114" s="5"/>
      <c r="I1114" s="5"/>
      <c r="J1114" s="5"/>
      <c r="L1114" s="5"/>
      <c r="M1114" s="5"/>
      <c r="P1114" s="5"/>
      <c r="Q1114" s="5"/>
      <c r="R1114" s="5"/>
      <c r="S1114" s="5"/>
      <c r="T1114" s="5"/>
      <c r="U1114" s="5"/>
      <c r="V1114" s="5"/>
      <c r="W1114" s="5"/>
      <c r="AA1114" s="14"/>
      <c r="AB1114" s="14"/>
    </row>
    <row r="1115" spans="1:28" x14ac:dyDescent="0.3">
      <c r="A1115" s="5"/>
      <c r="B1115" s="5"/>
      <c r="C1115" s="5"/>
      <c r="D1115" s="5"/>
      <c r="E1115" s="12"/>
      <c r="F1115" s="5"/>
      <c r="G1115" s="5"/>
      <c r="H1115" s="5"/>
      <c r="I1115" s="5"/>
      <c r="J1115" s="5"/>
      <c r="L1115" s="5"/>
      <c r="M1115" s="5"/>
      <c r="P1115" s="5"/>
      <c r="Q1115" s="5"/>
      <c r="R1115" s="5"/>
      <c r="S1115" s="5"/>
      <c r="T1115" s="5"/>
      <c r="U1115" s="5"/>
      <c r="V1115" s="5"/>
      <c r="W1115" s="5"/>
      <c r="AA1115" s="14"/>
      <c r="AB1115" s="14"/>
    </row>
    <row r="1116" spans="1:28" x14ac:dyDescent="0.3">
      <c r="A1116" s="5"/>
      <c r="B1116" s="5"/>
      <c r="C1116" s="5"/>
      <c r="D1116" s="5"/>
      <c r="E1116" s="12"/>
      <c r="F1116" s="5"/>
      <c r="G1116" s="5"/>
      <c r="H1116" s="5"/>
      <c r="I1116" s="5"/>
      <c r="J1116" s="5"/>
      <c r="L1116" s="5"/>
      <c r="M1116" s="5"/>
      <c r="P1116" s="5"/>
      <c r="Q1116" s="5"/>
      <c r="R1116" s="5"/>
      <c r="S1116" s="5"/>
      <c r="T1116" s="5"/>
      <c r="U1116" s="5"/>
      <c r="V1116" s="5"/>
      <c r="W1116" s="5"/>
      <c r="AA1116" s="14"/>
      <c r="AB1116" s="14"/>
    </row>
    <row r="1117" spans="1:28" x14ac:dyDescent="0.3">
      <c r="A1117" s="5"/>
      <c r="B1117" s="5"/>
      <c r="C1117" s="5"/>
      <c r="D1117" s="5"/>
      <c r="E1117" s="12"/>
      <c r="F1117" s="5"/>
      <c r="G1117" s="5"/>
      <c r="H1117" s="5"/>
      <c r="I1117" s="5"/>
      <c r="J1117" s="5"/>
      <c r="L1117" s="5"/>
      <c r="M1117" s="5"/>
      <c r="P1117" s="5"/>
      <c r="Q1117" s="5"/>
      <c r="R1117" s="5"/>
      <c r="S1117" s="5"/>
      <c r="T1117" s="5"/>
      <c r="U1117" s="5"/>
      <c r="V1117" s="5"/>
      <c r="W1117" s="5"/>
      <c r="AA1117" s="14"/>
      <c r="AB1117" s="14"/>
    </row>
    <row r="1118" spans="1:28" x14ac:dyDescent="0.3">
      <c r="A1118" s="5"/>
      <c r="B1118" s="5"/>
      <c r="C1118" s="5"/>
      <c r="D1118" s="5"/>
      <c r="E1118" s="12"/>
      <c r="F1118" s="5"/>
      <c r="G1118" s="5"/>
      <c r="H1118" s="5"/>
      <c r="I1118" s="5"/>
      <c r="J1118" s="5"/>
      <c r="L1118" s="5"/>
      <c r="M1118" s="5"/>
      <c r="P1118" s="5"/>
      <c r="Q1118" s="5"/>
      <c r="R1118" s="5"/>
      <c r="S1118" s="5"/>
      <c r="T1118" s="5"/>
      <c r="U1118" s="5"/>
      <c r="V1118" s="5"/>
      <c r="W1118" s="5"/>
      <c r="AA1118" s="14"/>
      <c r="AB1118" s="14"/>
    </row>
    <row r="1119" spans="1:28" x14ac:dyDescent="0.3">
      <c r="A1119" s="5"/>
      <c r="B1119" s="5"/>
      <c r="C1119" s="5"/>
      <c r="D1119" s="5"/>
      <c r="E1119" s="12"/>
      <c r="F1119" s="5"/>
      <c r="G1119" s="5"/>
      <c r="H1119" s="5"/>
      <c r="I1119" s="5"/>
      <c r="J1119" s="5"/>
      <c r="L1119" s="5"/>
      <c r="M1119" s="5"/>
      <c r="P1119" s="5"/>
      <c r="Q1119" s="5"/>
      <c r="R1119" s="5"/>
      <c r="S1119" s="5"/>
      <c r="T1119" s="5"/>
      <c r="U1119" s="5"/>
      <c r="V1119" s="5"/>
      <c r="W1119" s="5"/>
      <c r="AA1119" s="14"/>
      <c r="AB1119" s="14"/>
    </row>
    <row r="1120" spans="1:28" x14ac:dyDescent="0.3">
      <c r="A1120" s="5"/>
      <c r="B1120" s="5"/>
      <c r="C1120" s="5"/>
      <c r="D1120" s="5"/>
      <c r="E1120" s="12"/>
      <c r="F1120" s="5"/>
      <c r="G1120" s="5"/>
      <c r="H1120" s="5"/>
      <c r="I1120" s="5"/>
      <c r="J1120" s="5"/>
      <c r="L1120" s="5"/>
      <c r="M1120" s="5"/>
      <c r="P1120" s="5"/>
      <c r="Q1120" s="5"/>
      <c r="R1120" s="5"/>
      <c r="S1120" s="5"/>
      <c r="T1120" s="5"/>
      <c r="U1120" s="5"/>
      <c r="V1120" s="5"/>
      <c r="W1120" s="5"/>
      <c r="AA1120" s="14"/>
      <c r="AB1120" s="14"/>
    </row>
    <row r="1121" spans="1:28" x14ac:dyDescent="0.3">
      <c r="A1121" s="5"/>
      <c r="B1121" s="5"/>
      <c r="C1121" s="5"/>
      <c r="D1121" s="5"/>
      <c r="E1121" s="12"/>
      <c r="F1121" s="5"/>
      <c r="G1121" s="5"/>
      <c r="H1121" s="5"/>
      <c r="I1121" s="5"/>
      <c r="J1121" s="5"/>
      <c r="L1121" s="5"/>
      <c r="M1121" s="5"/>
      <c r="P1121" s="5"/>
      <c r="Q1121" s="5"/>
      <c r="R1121" s="5"/>
      <c r="S1121" s="5"/>
      <c r="T1121" s="5"/>
      <c r="U1121" s="5"/>
      <c r="V1121" s="5"/>
      <c r="W1121" s="5"/>
      <c r="AA1121" s="14"/>
      <c r="AB1121" s="14"/>
    </row>
    <row r="1122" spans="1:28" x14ac:dyDescent="0.3">
      <c r="A1122" s="5"/>
      <c r="B1122" s="5"/>
      <c r="C1122" s="5"/>
      <c r="D1122" s="5"/>
      <c r="E1122" s="12"/>
      <c r="F1122" s="5"/>
      <c r="G1122" s="5"/>
      <c r="H1122" s="5"/>
      <c r="I1122" s="5"/>
      <c r="J1122" s="5"/>
      <c r="L1122" s="5"/>
      <c r="M1122" s="5"/>
      <c r="P1122" s="5"/>
      <c r="Q1122" s="5"/>
      <c r="R1122" s="5"/>
      <c r="S1122" s="5"/>
      <c r="T1122" s="5"/>
      <c r="U1122" s="5"/>
      <c r="V1122" s="5"/>
      <c r="W1122" s="5"/>
      <c r="AA1122" s="14"/>
      <c r="AB1122" s="14"/>
    </row>
    <row r="1123" spans="1:28" x14ac:dyDescent="0.3">
      <c r="A1123" s="5"/>
      <c r="B1123" s="5"/>
      <c r="C1123" s="5"/>
      <c r="D1123" s="5"/>
      <c r="E1123" s="12"/>
      <c r="F1123" s="5"/>
      <c r="G1123" s="5"/>
      <c r="H1123" s="5"/>
      <c r="I1123" s="5"/>
      <c r="J1123" s="5"/>
      <c r="L1123" s="5"/>
      <c r="M1123" s="5"/>
      <c r="P1123" s="5"/>
      <c r="Q1123" s="5"/>
      <c r="R1123" s="5"/>
      <c r="S1123" s="5"/>
      <c r="T1123" s="5"/>
      <c r="U1123" s="5"/>
      <c r="V1123" s="5"/>
      <c r="W1123" s="5"/>
      <c r="AA1123" s="14"/>
      <c r="AB1123" s="14"/>
    </row>
    <row r="1124" spans="1:28" x14ac:dyDescent="0.3">
      <c r="A1124" s="5"/>
      <c r="B1124" s="5"/>
      <c r="C1124" s="5"/>
      <c r="D1124" s="5"/>
      <c r="E1124" s="12"/>
      <c r="F1124" s="5"/>
      <c r="G1124" s="5"/>
      <c r="H1124" s="5"/>
      <c r="I1124" s="5"/>
      <c r="J1124" s="5"/>
      <c r="L1124" s="5"/>
      <c r="M1124" s="5"/>
      <c r="P1124" s="5"/>
      <c r="Q1124" s="5"/>
      <c r="R1124" s="5"/>
      <c r="S1124" s="5"/>
      <c r="T1124" s="5"/>
      <c r="U1124" s="5"/>
      <c r="V1124" s="5"/>
      <c r="W1124" s="5"/>
      <c r="AA1124" s="14"/>
      <c r="AB1124" s="14"/>
    </row>
    <row r="1125" spans="1:28" x14ac:dyDescent="0.3">
      <c r="A1125" s="5"/>
      <c r="B1125" s="5"/>
      <c r="C1125" s="5"/>
      <c r="D1125" s="5"/>
      <c r="E1125" s="12"/>
      <c r="F1125" s="5"/>
      <c r="G1125" s="5"/>
      <c r="H1125" s="5"/>
      <c r="I1125" s="5"/>
      <c r="J1125" s="5"/>
      <c r="L1125" s="5"/>
      <c r="M1125" s="5"/>
      <c r="P1125" s="5"/>
      <c r="Q1125" s="5"/>
      <c r="R1125" s="5"/>
      <c r="S1125" s="5"/>
      <c r="T1125" s="5"/>
      <c r="U1125" s="5"/>
      <c r="V1125" s="5"/>
      <c r="W1125" s="5"/>
      <c r="AA1125" s="14"/>
      <c r="AB1125" s="14"/>
    </row>
    <row r="1126" spans="1:28" x14ac:dyDescent="0.3">
      <c r="A1126" s="5"/>
      <c r="B1126" s="5"/>
      <c r="C1126" s="5"/>
      <c r="D1126" s="5"/>
      <c r="E1126" s="12"/>
      <c r="F1126" s="5"/>
      <c r="G1126" s="5"/>
      <c r="H1126" s="5"/>
      <c r="I1126" s="5"/>
      <c r="J1126" s="5"/>
      <c r="L1126" s="5"/>
      <c r="M1126" s="5"/>
      <c r="P1126" s="5"/>
      <c r="Q1126" s="5"/>
      <c r="R1126" s="5"/>
      <c r="S1126" s="5"/>
      <c r="T1126" s="5"/>
      <c r="U1126" s="5"/>
      <c r="V1126" s="5"/>
      <c r="W1126" s="5"/>
      <c r="AA1126" s="14"/>
      <c r="AB1126" s="14"/>
    </row>
    <row r="1127" spans="1:28" x14ac:dyDescent="0.3">
      <c r="A1127" s="5"/>
      <c r="B1127" s="5"/>
      <c r="C1127" s="5"/>
      <c r="D1127" s="5"/>
      <c r="E1127" s="12"/>
      <c r="F1127" s="5"/>
      <c r="G1127" s="5"/>
      <c r="H1127" s="5"/>
      <c r="I1127" s="5"/>
      <c r="J1127" s="5"/>
      <c r="L1127" s="5"/>
      <c r="M1127" s="5"/>
      <c r="P1127" s="5"/>
      <c r="Q1127" s="5"/>
      <c r="R1127" s="5"/>
      <c r="S1127" s="5"/>
      <c r="T1127" s="5"/>
      <c r="U1127" s="5"/>
      <c r="V1127" s="5"/>
      <c r="W1127" s="5"/>
      <c r="AA1127" s="14"/>
      <c r="AB1127" s="14"/>
    </row>
    <row r="1128" spans="1:28" x14ac:dyDescent="0.3">
      <c r="A1128" s="5"/>
      <c r="B1128" s="5"/>
      <c r="C1128" s="5"/>
      <c r="D1128" s="5"/>
      <c r="E1128" s="12"/>
      <c r="F1128" s="5"/>
      <c r="G1128" s="5"/>
      <c r="H1128" s="5"/>
      <c r="I1128" s="5"/>
      <c r="J1128" s="5"/>
      <c r="L1128" s="5"/>
      <c r="M1128" s="5"/>
      <c r="P1128" s="5"/>
      <c r="Q1128" s="5"/>
      <c r="R1128" s="5"/>
      <c r="S1128" s="5"/>
      <c r="T1128" s="5"/>
      <c r="U1128" s="5"/>
      <c r="V1128" s="5"/>
      <c r="W1128" s="5"/>
      <c r="AA1128" s="14"/>
      <c r="AB1128" s="14"/>
    </row>
    <row r="1129" spans="1:28" x14ac:dyDescent="0.3">
      <c r="A1129" s="5"/>
      <c r="B1129" s="5"/>
      <c r="C1129" s="5"/>
      <c r="D1129" s="5"/>
      <c r="E1129" s="12"/>
      <c r="F1129" s="5"/>
      <c r="G1129" s="5"/>
      <c r="H1129" s="5"/>
      <c r="I1129" s="5"/>
      <c r="J1129" s="5"/>
      <c r="L1129" s="5"/>
      <c r="M1129" s="5"/>
      <c r="P1129" s="5"/>
      <c r="Q1129" s="5"/>
      <c r="R1129" s="5"/>
      <c r="S1129" s="5"/>
      <c r="T1129" s="5"/>
      <c r="U1129" s="5"/>
      <c r="V1129" s="5"/>
      <c r="W1129" s="5"/>
      <c r="AA1129" s="14"/>
      <c r="AB1129" s="14"/>
    </row>
    <row r="1130" spans="1:28" x14ac:dyDescent="0.3">
      <c r="A1130" s="5"/>
      <c r="B1130" s="5"/>
      <c r="C1130" s="5"/>
      <c r="D1130" s="5"/>
      <c r="E1130" s="12"/>
      <c r="F1130" s="5"/>
      <c r="G1130" s="5"/>
      <c r="H1130" s="5"/>
      <c r="I1130" s="5"/>
      <c r="J1130" s="5"/>
      <c r="L1130" s="5"/>
      <c r="M1130" s="5"/>
      <c r="P1130" s="5"/>
      <c r="Q1130" s="5"/>
      <c r="R1130" s="5"/>
      <c r="S1130" s="5"/>
      <c r="T1130" s="5"/>
      <c r="U1130" s="5"/>
      <c r="V1130" s="5"/>
      <c r="W1130" s="5"/>
      <c r="AA1130" s="14"/>
      <c r="AB1130" s="14"/>
    </row>
    <row r="1131" spans="1:28" x14ac:dyDescent="0.3">
      <c r="A1131" s="5"/>
      <c r="B1131" s="5"/>
      <c r="C1131" s="5"/>
      <c r="D1131" s="5"/>
      <c r="E1131" s="12"/>
      <c r="F1131" s="5"/>
      <c r="G1131" s="5"/>
      <c r="H1131" s="5"/>
      <c r="I1131" s="5"/>
      <c r="J1131" s="5"/>
      <c r="L1131" s="5"/>
      <c r="M1131" s="5"/>
      <c r="P1131" s="5"/>
      <c r="Q1131" s="5"/>
      <c r="R1131" s="5"/>
      <c r="S1131" s="5"/>
      <c r="T1131" s="5"/>
      <c r="U1131" s="5"/>
      <c r="V1131" s="5"/>
      <c r="W1131" s="5"/>
      <c r="AA1131" s="14"/>
      <c r="AB1131" s="14"/>
    </row>
    <row r="1132" spans="1:28" x14ac:dyDescent="0.3">
      <c r="A1132" s="5"/>
      <c r="B1132" s="5"/>
      <c r="C1132" s="5"/>
      <c r="D1132" s="5"/>
      <c r="E1132" s="12"/>
      <c r="F1132" s="5"/>
      <c r="G1132" s="5"/>
      <c r="H1132" s="5"/>
      <c r="I1132" s="5"/>
      <c r="J1132" s="5"/>
      <c r="L1132" s="5"/>
      <c r="M1132" s="5"/>
      <c r="P1132" s="5"/>
      <c r="Q1132" s="5"/>
      <c r="R1132" s="5"/>
      <c r="S1132" s="5"/>
      <c r="T1132" s="5"/>
      <c r="U1132" s="5"/>
      <c r="V1132" s="5"/>
      <c r="W1132" s="5"/>
      <c r="AA1132" s="14"/>
      <c r="AB1132" s="14"/>
    </row>
    <row r="1133" spans="1:28" x14ac:dyDescent="0.3">
      <c r="A1133" s="5"/>
      <c r="B1133" s="5"/>
      <c r="C1133" s="5"/>
      <c r="D1133" s="5"/>
      <c r="E1133" s="12"/>
      <c r="F1133" s="5"/>
      <c r="G1133" s="5"/>
      <c r="H1133" s="5"/>
      <c r="I1133" s="5"/>
      <c r="J1133" s="5"/>
      <c r="L1133" s="5"/>
      <c r="M1133" s="5"/>
      <c r="P1133" s="5"/>
      <c r="Q1133" s="5"/>
      <c r="R1133" s="5"/>
      <c r="S1133" s="5"/>
      <c r="T1133" s="5"/>
      <c r="U1133" s="5"/>
      <c r="V1133" s="5"/>
      <c r="W1133" s="5"/>
      <c r="AA1133" s="14"/>
      <c r="AB1133" s="14"/>
    </row>
    <row r="1134" spans="1:28" x14ac:dyDescent="0.3">
      <c r="A1134" s="5"/>
      <c r="B1134" s="5"/>
      <c r="C1134" s="5"/>
      <c r="D1134" s="5"/>
      <c r="E1134" s="12"/>
      <c r="F1134" s="5"/>
      <c r="G1134" s="5"/>
      <c r="H1134" s="5"/>
      <c r="I1134" s="5"/>
      <c r="J1134" s="5"/>
      <c r="L1134" s="5"/>
      <c r="M1134" s="5"/>
      <c r="P1134" s="5"/>
      <c r="Q1134" s="5"/>
      <c r="R1134" s="5"/>
      <c r="S1134" s="5"/>
      <c r="T1134" s="5"/>
      <c r="U1134" s="5"/>
      <c r="V1134" s="5"/>
      <c r="W1134" s="5"/>
      <c r="AA1134" s="14"/>
      <c r="AB1134" s="14"/>
    </row>
    <row r="1135" spans="1:28" x14ac:dyDescent="0.3">
      <c r="A1135" s="5"/>
      <c r="B1135" s="5"/>
      <c r="C1135" s="5"/>
      <c r="D1135" s="5"/>
      <c r="E1135" s="12"/>
      <c r="F1135" s="5"/>
      <c r="G1135" s="5"/>
      <c r="H1135" s="5"/>
      <c r="I1135" s="5"/>
      <c r="J1135" s="5"/>
      <c r="L1135" s="5"/>
      <c r="M1135" s="5"/>
      <c r="P1135" s="5"/>
      <c r="Q1135" s="5"/>
      <c r="R1135" s="5"/>
      <c r="S1135" s="5"/>
      <c r="T1135" s="5"/>
      <c r="U1135" s="5"/>
      <c r="V1135" s="5"/>
      <c r="W1135" s="5"/>
      <c r="AA1135" s="14"/>
      <c r="AB1135" s="14"/>
    </row>
    <row r="1136" spans="1:28" x14ac:dyDescent="0.3">
      <c r="A1136" s="5"/>
      <c r="B1136" s="5"/>
      <c r="C1136" s="5"/>
      <c r="D1136" s="5"/>
      <c r="E1136" s="12"/>
      <c r="F1136" s="5"/>
      <c r="G1136" s="5"/>
      <c r="H1136" s="5"/>
      <c r="I1136" s="5"/>
      <c r="J1136" s="5"/>
      <c r="L1136" s="5"/>
      <c r="M1136" s="5"/>
      <c r="P1136" s="5"/>
      <c r="Q1136" s="5"/>
      <c r="R1136" s="5"/>
      <c r="S1136" s="5"/>
      <c r="T1136" s="5"/>
      <c r="U1136" s="5"/>
      <c r="V1136" s="5"/>
      <c r="W1136" s="5"/>
      <c r="AA1136" s="14"/>
      <c r="AB1136" s="14"/>
    </row>
    <row r="1137" spans="1:28" x14ac:dyDescent="0.3">
      <c r="A1137" s="5"/>
      <c r="B1137" s="5"/>
      <c r="C1137" s="5"/>
      <c r="D1137" s="5"/>
      <c r="E1137" s="12"/>
      <c r="F1137" s="5"/>
      <c r="G1137" s="5"/>
      <c r="H1137" s="5"/>
      <c r="I1137" s="5"/>
      <c r="J1137" s="5"/>
      <c r="L1137" s="5"/>
      <c r="M1137" s="5"/>
      <c r="P1137" s="5"/>
      <c r="Q1137" s="5"/>
      <c r="R1137" s="5"/>
      <c r="S1137" s="5"/>
      <c r="T1137" s="5"/>
      <c r="U1137" s="5"/>
      <c r="V1137" s="5"/>
      <c r="W1137" s="5"/>
      <c r="AA1137" s="14"/>
      <c r="AB1137" s="14"/>
    </row>
    <row r="1138" spans="1:28" x14ac:dyDescent="0.3">
      <c r="A1138" s="5"/>
      <c r="B1138" s="5"/>
      <c r="C1138" s="5"/>
      <c r="D1138" s="5"/>
      <c r="E1138" s="12"/>
      <c r="F1138" s="5"/>
      <c r="G1138" s="5"/>
      <c r="H1138" s="5"/>
      <c r="I1138" s="5"/>
      <c r="J1138" s="5"/>
      <c r="L1138" s="5"/>
      <c r="M1138" s="5"/>
      <c r="P1138" s="5"/>
      <c r="Q1138" s="5"/>
      <c r="R1138" s="5"/>
      <c r="S1138" s="5"/>
      <c r="T1138" s="5"/>
      <c r="U1138" s="5"/>
      <c r="V1138" s="5"/>
      <c r="W1138" s="5"/>
      <c r="AA1138" s="14"/>
      <c r="AB1138" s="14"/>
    </row>
    <row r="1139" spans="1:28" x14ac:dyDescent="0.3">
      <c r="A1139" s="5"/>
      <c r="B1139" s="5"/>
      <c r="C1139" s="5"/>
      <c r="D1139" s="5"/>
      <c r="E1139" s="12"/>
      <c r="F1139" s="5"/>
      <c r="G1139" s="5"/>
      <c r="H1139" s="5"/>
      <c r="I1139" s="5"/>
      <c r="J1139" s="5"/>
      <c r="L1139" s="5"/>
      <c r="M1139" s="5"/>
      <c r="P1139" s="5"/>
      <c r="Q1139" s="5"/>
      <c r="R1139" s="5"/>
      <c r="S1139" s="5"/>
      <c r="T1139" s="5"/>
      <c r="U1139" s="5"/>
      <c r="V1139" s="5"/>
      <c r="W1139" s="5"/>
    </row>
    <row r="1140" spans="1:28" x14ac:dyDescent="0.3">
      <c r="A1140" s="5"/>
      <c r="B1140" s="5"/>
      <c r="C1140" s="5"/>
      <c r="D1140" s="5"/>
      <c r="E1140" s="12"/>
      <c r="F1140" s="5"/>
      <c r="G1140" s="5"/>
      <c r="H1140" s="5"/>
      <c r="I1140" s="5"/>
      <c r="J1140" s="5"/>
      <c r="L1140" s="5"/>
      <c r="M1140" s="5"/>
      <c r="P1140" s="5"/>
      <c r="Q1140" s="5"/>
      <c r="R1140" s="5"/>
      <c r="S1140" s="5"/>
      <c r="T1140" s="5"/>
      <c r="U1140" s="5"/>
      <c r="V1140" s="5"/>
      <c r="W1140" s="5"/>
    </row>
    <row r="1141" spans="1:28" x14ac:dyDescent="0.3">
      <c r="A1141" s="5"/>
      <c r="B1141" s="5"/>
      <c r="C1141" s="5"/>
      <c r="D1141" s="5"/>
      <c r="E1141" s="12"/>
      <c r="F1141" s="5"/>
      <c r="G1141" s="5"/>
      <c r="H1141" s="5"/>
      <c r="I1141" s="5"/>
      <c r="J1141" s="5"/>
      <c r="L1141" s="5"/>
      <c r="M1141" s="5"/>
      <c r="P1141" s="5"/>
      <c r="Q1141" s="5"/>
      <c r="R1141" s="5"/>
      <c r="S1141" s="5"/>
      <c r="T1141" s="5"/>
      <c r="U1141" s="5"/>
      <c r="V1141" s="5"/>
      <c r="W1141" s="5"/>
    </row>
    <row r="1142" spans="1:28" x14ac:dyDescent="0.3">
      <c r="A1142" s="5"/>
      <c r="B1142" s="5"/>
      <c r="C1142" s="5"/>
      <c r="D1142" s="5"/>
      <c r="E1142" s="12"/>
      <c r="F1142" s="5"/>
      <c r="G1142" s="5"/>
      <c r="H1142" s="5"/>
      <c r="I1142" s="5"/>
      <c r="J1142" s="5"/>
      <c r="L1142" s="5"/>
      <c r="M1142" s="5"/>
      <c r="P1142" s="5"/>
      <c r="Q1142" s="5"/>
      <c r="R1142" s="5"/>
      <c r="S1142" s="5"/>
      <c r="T1142" s="5"/>
      <c r="U1142" s="5"/>
      <c r="V1142" s="5"/>
      <c r="W1142" s="5"/>
    </row>
    <row r="1143" spans="1:28" x14ac:dyDescent="0.3">
      <c r="A1143" s="5"/>
      <c r="B1143" s="5"/>
      <c r="C1143" s="5"/>
      <c r="D1143" s="5"/>
      <c r="E1143" s="12"/>
      <c r="F1143" s="5"/>
      <c r="G1143" s="5"/>
      <c r="H1143" s="5"/>
      <c r="I1143" s="5"/>
      <c r="J1143" s="5"/>
      <c r="L1143" s="5"/>
      <c r="M1143" s="5"/>
      <c r="P1143" s="5"/>
      <c r="Q1143" s="5"/>
      <c r="R1143" s="5"/>
      <c r="S1143" s="5"/>
      <c r="T1143" s="5"/>
      <c r="U1143" s="5"/>
      <c r="V1143" s="5"/>
      <c r="W1143" s="5"/>
    </row>
    <row r="1144" spans="1:28" x14ac:dyDescent="0.3">
      <c r="A1144" s="5"/>
      <c r="B1144" s="5"/>
      <c r="C1144" s="5"/>
      <c r="D1144" s="5"/>
      <c r="E1144" s="12"/>
      <c r="F1144" s="5"/>
      <c r="G1144" s="5"/>
      <c r="H1144" s="5"/>
      <c r="I1144" s="5"/>
      <c r="J1144" s="5"/>
      <c r="L1144" s="5"/>
      <c r="M1144" s="5"/>
      <c r="P1144" s="5"/>
      <c r="Q1144" s="5"/>
      <c r="R1144" s="5"/>
      <c r="S1144" s="5"/>
      <c r="T1144" s="5"/>
      <c r="U1144" s="5"/>
      <c r="V1144" s="5"/>
      <c r="W1144" s="5"/>
    </row>
    <row r="1145" spans="1:28" x14ac:dyDescent="0.3">
      <c r="A1145" s="5"/>
      <c r="B1145" s="5"/>
      <c r="C1145" s="5"/>
      <c r="D1145" s="5"/>
      <c r="E1145" s="12"/>
      <c r="F1145" s="5"/>
      <c r="G1145" s="5"/>
      <c r="H1145" s="5"/>
      <c r="I1145" s="5"/>
      <c r="J1145" s="5"/>
      <c r="L1145" s="5"/>
      <c r="M1145" s="5"/>
      <c r="P1145" s="5"/>
      <c r="Q1145" s="5"/>
      <c r="R1145" s="5"/>
      <c r="S1145" s="5"/>
      <c r="T1145" s="5"/>
      <c r="U1145" s="5"/>
      <c r="V1145" s="5"/>
      <c r="W1145" s="5"/>
    </row>
    <row r="1146" spans="1:28" x14ac:dyDescent="0.3">
      <c r="A1146" s="5"/>
      <c r="B1146" s="5"/>
      <c r="C1146" s="5"/>
      <c r="D1146" s="5"/>
      <c r="E1146" s="12"/>
      <c r="F1146" s="5"/>
      <c r="G1146" s="5"/>
      <c r="H1146" s="5"/>
      <c r="I1146" s="5"/>
      <c r="J1146" s="5"/>
      <c r="L1146" s="5"/>
      <c r="M1146" s="5"/>
      <c r="P1146" s="5"/>
      <c r="Q1146" s="5"/>
      <c r="R1146" s="5"/>
      <c r="S1146" s="5"/>
      <c r="T1146" s="5"/>
      <c r="U1146" s="5"/>
      <c r="V1146" s="5"/>
      <c r="W1146" s="5"/>
    </row>
    <row r="1147" spans="1:28" x14ac:dyDescent="0.3">
      <c r="A1147" s="5"/>
      <c r="B1147" s="5"/>
      <c r="C1147" s="5"/>
      <c r="D1147" s="5"/>
      <c r="E1147" s="12"/>
      <c r="F1147" s="5"/>
      <c r="G1147" s="5"/>
      <c r="H1147" s="5"/>
      <c r="I1147" s="5"/>
      <c r="J1147" s="5"/>
      <c r="L1147" s="5"/>
      <c r="M1147" s="5"/>
      <c r="P1147" s="5"/>
      <c r="Q1147" s="5"/>
      <c r="R1147" s="5"/>
      <c r="S1147" s="5"/>
      <c r="T1147" s="5"/>
      <c r="U1147" s="5"/>
      <c r="V1147" s="5"/>
      <c r="W1147" s="5"/>
    </row>
    <row r="1148" spans="1:28" x14ac:dyDescent="0.3">
      <c r="A1148" s="5"/>
      <c r="B1148" s="5"/>
      <c r="C1148" s="5"/>
      <c r="D1148" s="5"/>
      <c r="E1148" s="12"/>
      <c r="F1148" s="5"/>
      <c r="G1148" s="5"/>
      <c r="H1148" s="5"/>
      <c r="I1148" s="5"/>
      <c r="J1148" s="5"/>
      <c r="L1148" s="5"/>
      <c r="M1148" s="5"/>
      <c r="P1148" s="5"/>
      <c r="Q1148" s="5"/>
      <c r="R1148" s="5"/>
      <c r="S1148" s="5"/>
      <c r="T1148" s="5"/>
      <c r="U1148" s="5"/>
      <c r="V1148" s="5"/>
      <c r="W1148" s="5"/>
    </row>
    <row r="1149" spans="1:28" x14ac:dyDescent="0.3">
      <c r="A1149" s="5"/>
      <c r="B1149" s="5"/>
      <c r="C1149" s="5"/>
      <c r="D1149" s="5"/>
      <c r="E1149" s="12"/>
      <c r="F1149" s="5"/>
      <c r="G1149" s="5"/>
      <c r="H1149" s="5"/>
      <c r="I1149" s="5"/>
      <c r="J1149" s="5"/>
      <c r="L1149" s="5"/>
      <c r="M1149" s="5"/>
      <c r="P1149" s="5"/>
      <c r="Q1149" s="5"/>
      <c r="R1149" s="5"/>
      <c r="S1149" s="5"/>
      <c r="T1149" s="5"/>
      <c r="U1149" s="5"/>
      <c r="V1149" s="5"/>
      <c r="W1149" s="5"/>
    </row>
    <row r="1150" spans="1:28" x14ac:dyDescent="0.3">
      <c r="A1150" s="5"/>
      <c r="B1150" s="5"/>
      <c r="C1150" s="5"/>
      <c r="D1150" s="5"/>
      <c r="E1150" s="12"/>
      <c r="F1150" s="5"/>
      <c r="G1150" s="5"/>
      <c r="H1150" s="5"/>
      <c r="I1150" s="5"/>
      <c r="J1150" s="5"/>
      <c r="L1150" s="5"/>
      <c r="M1150" s="5"/>
      <c r="P1150" s="5"/>
      <c r="Q1150" s="5"/>
      <c r="R1150" s="5"/>
      <c r="S1150" s="5"/>
      <c r="T1150" s="5"/>
      <c r="U1150" s="5"/>
      <c r="V1150" s="5"/>
      <c r="W1150" s="5"/>
    </row>
    <row r="1151" spans="1:28" x14ac:dyDescent="0.3">
      <c r="A1151" s="5"/>
      <c r="B1151" s="5"/>
      <c r="C1151" s="5"/>
      <c r="D1151" s="5"/>
      <c r="E1151" s="12"/>
      <c r="F1151" s="5"/>
      <c r="G1151" s="5"/>
      <c r="H1151" s="5"/>
      <c r="I1151" s="5"/>
      <c r="J1151" s="5"/>
      <c r="L1151" s="5"/>
      <c r="M1151" s="5"/>
      <c r="P1151" s="5"/>
      <c r="Q1151" s="5"/>
      <c r="R1151" s="5"/>
      <c r="S1151" s="5"/>
      <c r="T1151" s="5"/>
      <c r="U1151" s="5"/>
      <c r="V1151" s="5"/>
      <c r="W1151" s="5"/>
    </row>
    <row r="1152" spans="1:28" x14ac:dyDescent="0.3">
      <c r="A1152" s="5"/>
      <c r="B1152" s="5"/>
      <c r="C1152" s="5"/>
      <c r="D1152" s="5"/>
      <c r="E1152" s="12"/>
      <c r="F1152" s="5"/>
      <c r="G1152" s="5"/>
      <c r="H1152" s="5"/>
      <c r="I1152" s="5"/>
      <c r="J1152" s="5"/>
      <c r="L1152" s="5"/>
      <c r="M1152" s="5"/>
      <c r="P1152" s="5"/>
      <c r="Q1152" s="5"/>
      <c r="R1152" s="5"/>
      <c r="S1152" s="5"/>
      <c r="T1152" s="5"/>
      <c r="U1152" s="5"/>
      <c r="V1152" s="5"/>
      <c r="W1152" s="5"/>
    </row>
    <row r="1153" spans="1:23" x14ac:dyDescent="0.3">
      <c r="A1153" s="5"/>
      <c r="B1153" s="5"/>
      <c r="C1153" s="5"/>
      <c r="D1153" s="5"/>
      <c r="E1153" s="12"/>
      <c r="F1153" s="5"/>
      <c r="G1153" s="5"/>
      <c r="H1153" s="5"/>
      <c r="I1153" s="5"/>
      <c r="J1153" s="5"/>
      <c r="L1153" s="5"/>
      <c r="M1153" s="5"/>
      <c r="P1153" s="5"/>
      <c r="Q1153" s="5"/>
      <c r="R1153" s="5"/>
      <c r="S1153" s="5"/>
      <c r="T1153" s="5"/>
      <c r="U1153" s="5"/>
      <c r="V1153" s="5"/>
      <c r="W1153" s="5"/>
    </row>
    <row r="1154" spans="1:23" x14ac:dyDescent="0.3">
      <c r="A1154" s="5"/>
      <c r="B1154" s="5"/>
      <c r="C1154" s="5"/>
      <c r="D1154" s="5"/>
      <c r="E1154" s="12"/>
      <c r="F1154" s="5"/>
      <c r="G1154" s="5"/>
      <c r="H1154" s="5"/>
      <c r="I1154" s="5"/>
      <c r="J1154" s="5"/>
      <c r="L1154" s="5"/>
      <c r="M1154" s="5"/>
      <c r="P1154" s="5"/>
      <c r="Q1154" s="5"/>
      <c r="R1154" s="5"/>
      <c r="S1154" s="5"/>
      <c r="T1154" s="5"/>
      <c r="U1154" s="5"/>
      <c r="V1154" s="5"/>
      <c r="W1154" s="5"/>
    </row>
    <row r="1155" spans="1:23" x14ac:dyDescent="0.3">
      <c r="A1155" s="5"/>
      <c r="B1155" s="5"/>
      <c r="C1155" s="5"/>
      <c r="D1155" s="5"/>
      <c r="E1155" s="12"/>
      <c r="F1155" s="5"/>
      <c r="G1155" s="5"/>
      <c r="H1155" s="5"/>
      <c r="I1155" s="5"/>
      <c r="J1155" s="5"/>
      <c r="L1155" s="5"/>
      <c r="M1155" s="5"/>
      <c r="P1155" s="5"/>
      <c r="Q1155" s="5"/>
      <c r="R1155" s="5"/>
      <c r="S1155" s="5"/>
      <c r="T1155" s="5"/>
      <c r="U1155" s="5"/>
      <c r="V1155" s="5"/>
      <c r="W1155" s="5"/>
    </row>
    <row r="1156" spans="1:23" x14ac:dyDescent="0.3">
      <c r="A1156" s="5"/>
      <c r="B1156" s="5"/>
      <c r="C1156" s="5"/>
      <c r="D1156" s="5"/>
      <c r="E1156" s="12"/>
      <c r="F1156" s="5"/>
      <c r="G1156" s="5"/>
      <c r="H1156" s="5"/>
      <c r="I1156" s="5"/>
      <c r="J1156" s="5"/>
      <c r="L1156" s="5"/>
      <c r="M1156" s="5"/>
      <c r="P1156" s="5"/>
      <c r="Q1156" s="5"/>
      <c r="R1156" s="5"/>
      <c r="S1156" s="5"/>
      <c r="T1156" s="5"/>
      <c r="U1156" s="5"/>
      <c r="V1156" s="5"/>
      <c r="W1156" s="5"/>
    </row>
    <row r="1157" spans="1:23" x14ac:dyDescent="0.3">
      <c r="A1157" s="5"/>
      <c r="B1157" s="5"/>
      <c r="C1157" s="5"/>
      <c r="D1157" s="5"/>
      <c r="E1157" s="12"/>
      <c r="F1157" s="5"/>
      <c r="G1157" s="5"/>
      <c r="H1157" s="5"/>
      <c r="I1157" s="5"/>
      <c r="J1157" s="5"/>
      <c r="L1157" s="5"/>
      <c r="M1157" s="5"/>
      <c r="P1157" s="5"/>
      <c r="Q1157" s="5"/>
      <c r="R1157" s="5"/>
      <c r="S1157" s="5"/>
      <c r="T1157" s="5"/>
      <c r="U1157" s="5"/>
      <c r="V1157" s="5"/>
      <c r="W1157" s="5"/>
    </row>
    <row r="1158" spans="1:23" x14ac:dyDescent="0.3">
      <c r="A1158" s="5"/>
      <c r="B1158" s="5"/>
      <c r="C1158" s="5"/>
      <c r="D1158" s="5"/>
      <c r="E1158" s="12"/>
      <c r="F1158" s="5"/>
      <c r="G1158" s="5"/>
      <c r="H1158" s="5"/>
      <c r="I1158" s="5"/>
      <c r="J1158" s="5"/>
      <c r="L1158" s="5"/>
      <c r="M1158" s="5"/>
      <c r="P1158" s="5"/>
      <c r="Q1158" s="5"/>
      <c r="R1158" s="5"/>
      <c r="S1158" s="5"/>
      <c r="T1158" s="5"/>
      <c r="U1158" s="5"/>
      <c r="V1158" s="5"/>
      <c r="W1158" s="5"/>
    </row>
    <row r="1159" spans="1:23" x14ac:dyDescent="0.3">
      <c r="A1159" s="5"/>
      <c r="B1159" s="5"/>
      <c r="C1159" s="5"/>
      <c r="D1159" s="5"/>
      <c r="E1159" s="12"/>
      <c r="F1159" s="5"/>
      <c r="G1159" s="5"/>
      <c r="H1159" s="5"/>
      <c r="I1159" s="5"/>
      <c r="J1159" s="5"/>
      <c r="L1159" s="5"/>
      <c r="M1159" s="5"/>
      <c r="P1159" s="5"/>
      <c r="Q1159" s="5"/>
      <c r="R1159" s="5"/>
      <c r="S1159" s="5"/>
      <c r="T1159" s="5"/>
      <c r="U1159" s="5"/>
      <c r="V1159" s="5"/>
      <c r="W1159" s="5"/>
    </row>
    <row r="1160" spans="1:23" x14ac:dyDescent="0.3">
      <c r="A1160" s="5"/>
      <c r="B1160" s="5"/>
      <c r="C1160" s="5"/>
      <c r="D1160" s="5"/>
      <c r="E1160" s="12"/>
      <c r="F1160" s="5"/>
      <c r="G1160" s="5"/>
      <c r="H1160" s="5"/>
      <c r="I1160" s="5"/>
      <c r="J1160" s="5"/>
      <c r="L1160" s="5"/>
      <c r="M1160" s="5"/>
      <c r="P1160" s="5"/>
      <c r="Q1160" s="5"/>
      <c r="R1160" s="5"/>
      <c r="S1160" s="5"/>
      <c r="T1160" s="5"/>
      <c r="U1160" s="5"/>
      <c r="V1160" s="5"/>
      <c r="W1160" s="5"/>
    </row>
    <row r="1161" spans="1:23" x14ac:dyDescent="0.3">
      <c r="A1161" s="5"/>
      <c r="B1161" s="5"/>
      <c r="C1161" s="5"/>
      <c r="D1161" s="5"/>
      <c r="E1161" s="12"/>
      <c r="F1161" s="5"/>
      <c r="G1161" s="5"/>
      <c r="H1161" s="5"/>
      <c r="I1161" s="5"/>
      <c r="J1161" s="5"/>
      <c r="L1161" s="5"/>
      <c r="M1161" s="5"/>
      <c r="P1161" s="5"/>
      <c r="Q1161" s="5"/>
      <c r="R1161" s="5"/>
      <c r="S1161" s="5"/>
      <c r="T1161" s="5"/>
      <c r="U1161" s="5"/>
      <c r="V1161" s="5"/>
      <c r="W1161" s="5"/>
    </row>
    <row r="1162" spans="1:23" x14ac:dyDescent="0.3">
      <c r="A1162" s="5"/>
      <c r="B1162" s="5"/>
      <c r="C1162" s="5"/>
      <c r="D1162" s="5"/>
      <c r="E1162" s="12"/>
      <c r="F1162" s="5"/>
      <c r="G1162" s="5"/>
      <c r="H1162" s="5"/>
      <c r="I1162" s="5"/>
      <c r="J1162" s="5"/>
      <c r="L1162" s="5"/>
      <c r="M1162" s="5"/>
      <c r="P1162" s="5"/>
      <c r="Q1162" s="5"/>
      <c r="R1162" s="5"/>
      <c r="S1162" s="5"/>
      <c r="T1162" s="5"/>
      <c r="U1162" s="5"/>
      <c r="V1162" s="5"/>
      <c r="W1162" s="5"/>
    </row>
    <row r="1163" spans="1:23" x14ac:dyDescent="0.3">
      <c r="A1163" s="5"/>
      <c r="B1163" s="5"/>
      <c r="C1163" s="5"/>
      <c r="D1163" s="5"/>
      <c r="E1163" s="12"/>
      <c r="F1163" s="5"/>
      <c r="G1163" s="5"/>
      <c r="H1163" s="5"/>
      <c r="I1163" s="5"/>
      <c r="J1163" s="5"/>
      <c r="L1163" s="5"/>
      <c r="M1163" s="5"/>
      <c r="P1163" s="5"/>
      <c r="Q1163" s="5"/>
      <c r="R1163" s="5"/>
      <c r="S1163" s="5"/>
      <c r="T1163" s="5"/>
      <c r="U1163" s="5"/>
      <c r="V1163" s="5"/>
      <c r="W1163" s="5"/>
    </row>
    <row r="1164" spans="1:23" x14ac:dyDescent="0.3">
      <c r="A1164" s="5"/>
      <c r="B1164" s="5"/>
      <c r="C1164" s="5"/>
      <c r="D1164" s="5"/>
      <c r="E1164" s="12"/>
      <c r="F1164" s="5"/>
      <c r="G1164" s="5"/>
      <c r="H1164" s="5"/>
      <c r="I1164" s="5"/>
      <c r="J1164" s="5"/>
      <c r="L1164" s="5"/>
      <c r="M1164" s="5"/>
      <c r="P1164" s="5"/>
      <c r="Q1164" s="5"/>
      <c r="R1164" s="5"/>
      <c r="S1164" s="5"/>
      <c r="T1164" s="5"/>
      <c r="U1164" s="5"/>
      <c r="V1164" s="5"/>
      <c r="W1164" s="5"/>
    </row>
    <row r="1165" spans="1:23" x14ac:dyDescent="0.3">
      <c r="A1165" s="5"/>
      <c r="B1165" s="5"/>
      <c r="C1165" s="5"/>
      <c r="D1165" s="5"/>
      <c r="E1165" s="12"/>
      <c r="F1165" s="5"/>
      <c r="G1165" s="5"/>
      <c r="H1165" s="5"/>
      <c r="I1165" s="5"/>
      <c r="J1165" s="5"/>
      <c r="L1165" s="5"/>
      <c r="M1165" s="5"/>
      <c r="P1165" s="5"/>
      <c r="Q1165" s="5"/>
      <c r="R1165" s="5"/>
      <c r="S1165" s="5"/>
      <c r="T1165" s="5"/>
      <c r="U1165" s="5"/>
      <c r="V1165" s="5"/>
      <c r="W1165" s="5"/>
    </row>
    <row r="1166" spans="1:23" x14ac:dyDescent="0.3">
      <c r="A1166" s="5"/>
      <c r="B1166" s="5"/>
      <c r="C1166" s="5"/>
      <c r="D1166" s="5"/>
      <c r="E1166" s="12"/>
      <c r="F1166" s="5"/>
      <c r="G1166" s="5"/>
      <c r="H1166" s="5"/>
      <c r="I1166" s="5"/>
      <c r="J1166" s="5"/>
      <c r="L1166" s="5"/>
      <c r="M1166" s="5"/>
      <c r="P1166" s="5"/>
      <c r="Q1166" s="5"/>
      <c r="R1166" s="5"/>
      <c r="S1166" s="5"/>
      <c r="T1166" s="5"/>
      <c r="U1166" s="5"/>
      <c r="V1166" s="5"/>
      <c r="W1166" s="5"/>
    </row>
    <row r="1167" spans="1:23" x14ac:dyDescent="0.3">
      <c r="A1167" s="5"/>
      <c r="B1167" s="5"/>
      <c r="C1167" s="5"/>
      <c r="D1167" s="5"/>
      <c r="E1167" s="12"/>
      <c r="F1167" s="5"/>
      <c r="G1167" s="5"/>
      <c r="H1167" s="5"/>
      <c r="I1167" s="5"/>
      <c r="J1167" s="5"/>
      <c r="L1167" s="5"/>
      <c r="M1167" s="5"/>
      <c r="P1167" s="5"/>
      <c r="Q1167" s="5"/>
      <c r="R1167" s="5"/>
      <c r="S1167" s="5"/>
      <c r="T1167" s="5"/>
      <c r="U1167" s="5"/>
      <c r="V1167" s="5"/>
      <c r="W1167" s="5"/>
    </row>
    <row r="1168" spans="1:23" x14ac:dyDescent="0.3">
      <c r="A1168" s="5"/>
      <c r="B1168" s="5"/>
      <c r="C1168" s="5"/>
      <c r="D1168" s="5"/>
      <c r="E1168" s="12"/>
      <c r="F1168" s="5"/>
      <c r="G1168" s="5"/>
      <c r="H1168" s="5"/>
      <c r="I1168" s="5"/>
      <c r="J1168" s="5"/>
      <c r="L1168" s="5"/>
      <c r="M1168" s="5"/>
      <c r="P1168" s="5"/>
      <c r="Q1168" s="5"/>
      <c r="R1168" s="5"/>
      <c r="S1168" s="5"/>
      <c r="T1168" s="5"/>
      <c r="U1168" s="5"/>
      <c r="V1168" s="5"/>
      <c r="W1168" s="5"/>
    </row>
    <row r="1169" spans="1:23" x14ac:dyDescent="0.3">
      <c r="A1169" s="5"/>
      <c r="B1169" s="5"/>
      <c r="C1169" s="5"/>
      <c r="D1169" s="5"/>
      <c r="E1169" s="12"/>
      <c r="F1169" s="5"/>
      <c r="G1169" s="5"/>
      <c r="H1169" s="5"/>
      <c r="I1169" s="5"/>
      <c r="J1169" s="5"/>
      <c r="L1169" s="5"/>
      <c r="M1169" s="5"/>
      <c r="P1169" s="5"/>
      <c r="Q1169" s="5"/>
      <c r="R1169" s="5"/>
      <c r="S1169" s="5"/>
      <c r="T1169" s="5"/>
      <c r="U1169" s="5"/>
      <c r="V1169" s="5"/>
      <c r="W1169" s="5"/>
    </row>
    <row r="1170" spans="1:23" x14ac:dyDescent="0.3">
      <c r="A1170" s="5"/>
      <c r="B1170" s="5"/>
      <c r="C1170" s="5"/>
      <c r="D1170" s="5"/>
      <c r="E1170" s="12"/>
      <c r="F1170" s="5"/>
      <c r="G1170" s="5"/>
      <c r="H1170" s="5"/>
      <c r="I1170" s="5"/>
      <c r="J1170" s="5"/>
      <c r="L1170" s="5"/>
      <c r="M1170" s="5"/>
      <c r="P1170" s="5"/>
      <c r="Q1170" s="5"/>
      <c r="R1170" s="5"/>
      <c r="S1170" s="5"/>
      <c r="T1170" s="5"/>
      <c r="U1170" s="5"/>
      <c r="V1170" s="5"/>
      <c r="W1170" s="5"/>
    </row>
    <row r="1171" spans="1:23" x14ac:dyDescent="0.3">
      <c r="A1171" s="5"/>
      <c r="B1171" s="5"/>
      <c r="C1171" s="5"/>
      <c r="D1171" s="5"/>
      <c r="E1171" s="12"/>
      <c r="F1171" s="5"/>
      <c r="G1171" s="5"/>
      <c r="H1171" s="5"/>
      <c r="I1171" s="5"/>
      <c r="J1171" s="5"/>
      <c r="L1171" s="5"/>
      <c r="M1171" s="5"/>
      <c r="P1171" s="5"/>
      <c r="Q1171" s="5"/>
      <c r="R1171" s="5"/>
      <c r="S1171" s="5"/>
      <c r="T1171" s="5"/>
      <c r="U1171" s="5"/>
      <c r="V1171" s="5"/>
      <c r="W1171" s="5"/>
    </row>
    <row r="1172" spans="1:23" x14ac:dyDescent="0.3">
      <c r="A1172" s="5"/>
      <c r="B1172" s="5"/>
      <c r="C1172" s="5"/>
      <c r="D1172" s="5"/>
      <c r="E1172" s="12"/>
      <c r="F1172" s="5"/>
      <c r="G1172" s="5"/>
      <c r="H1172" s="5"/>
      <c r="I1172" s="5"/>
      <c r="J1172" s="5"/>
      <c r="L1172" s="5"/>
      <c r="M1172" s="5"/>
      <c r="P1172" s="5"/>
      <c r="Q1172" s="5"/>
      <c r="R1172" s="5"/>
      <c r="S1172" s="5"/>
      <c r="T1172" s="5"/>
      <c r="U1172" s="5"/>
      <c r="V1172" s="5"/>
      <c r="W1172" s="5"/>
    </row>
    <row r="1173" spans="1:23" x14ac:dyDescent="0.3">
      <c r="A1173" s="5"/>
      <c r="B1173" s="5"/>
      <c r="C1173" s="5"/>
      <c r="D1173" s="5"/>
      <c r="E1173" s="12"/>
      <c r="F1173" s="5"/>
      <c r="G1173" s="5"/>
      <c r="H1173" s="5"/>
      <c r="I1173" s="5"/>
      <c r="J1173" s="5"/>
      <c r="L1173" s="5"/>
      <c r="M1173" s="5"/>
      <c r="P1173" s="5"/>
      <c r="Q1173" s="5"/>
      <c r="R1173" s="5"/>
      <c r="S1173" s="5"/>
      <c r="T1173" s="5"/>
      <c r="U1173" s="5"/>
      <c r="V1173" s="5"/>
      <c r="W1173" s="5"/>
    </row>
    <row r="1174" spans="1:23" x14ac:dyDescent="0.3">
      <c r="A1174" s="5"/>
      <c r="B1174" s="5"/>
      <c r="C1174" s="5"/>
      <c r="D1174" s="5"/>
      <c r="E1174" s="12"/>
      <c r="F1174" s="5"/>
      <c r="G1174" s="5"/>
      <c r="H1174" s="5"/>
      <c r="I1174" s="5"/>
      <c r="J1174" s="5"/>
      <c r="L1174" s="5"/>
      <c r="M1174" s="5"/>
      <c r="P1174" s="5"/>
      <c r="Q1174" s="5"/>
      <c r="R1174" s="5"/>
      <c r="S1174" s="5"/>
      <c r="T1174" s="5"/>
      <c r="U1174" s="5"/>
      <c r="V1174" s="5"/>
      <c r="W1174" s="5"/>
    </row>
    <row r="1175" spans="1:23" x14ac:dyDescent="0.3">
      <c r="A1175" s="5"/>
      <c r="B1175" s="5"/>
      <c r="C1175" s="5"/>
      <c r="D1175" s="5"/>
      <c r="E1175" s="12"/>
      <c r="F1175" s="5"/>
      <c r="G1175" s="5"/>
      <c r="H1175" s="5"/>
      <c r="I1175" s="5"/>
      <c r="J1175" s="5"/>
      <c r="L1175" s="5"/>
      <c r="M1175" s="5"/>
      <c r="P1175" s="5"/>
      <c r="Q1175" s="5"/>
      <c r="R1175" s="5"/>
      <c r="S1175" s="5"/>
      <c r="T1175" s="5"/>
      <c r="U1175" s="5"/>
      <c r="V1175" s="5"/>
      <c r="W1175" s="5"/>
    </row>
    <row r="1176" spans="1:23" x14ac:dyDescent="0.3">
      <c r="A1176" s="5"/>
      <c r="B1176" s="5"/>
      <c r="C1176" s="5"/>
      <c r="D1176" s="5"/>
      <c r="E1176" s="12"/>
      <c r="F1176" s="5"/>
      <c r="G1176" s="5"/>
      <c r="H1176" s="5"/>
      <c r="I1176" s="5"/>
      <c r="J1176" s="5"/>
      <c r="L1176" s="5"/>
      <c r="M1176" s="5"/>
      <c r="P1176" s="5"/>
      <c r="Q1176" s="5"/>
      <c r="R1176" s="5"/>
      <c r="S1176" s="5"/>
      <c r="T1176" s="5"/>
      <c r="U1176" s="5"/>
      <c r="V1176" s="5"/>
      <c r="W1176" s="5"/>
    </row>
    <row r="1177" spans="1:23" x14ac:dyDescent="0.3">
      <c r="A1177" s="5"/>
      <c r="B1177" s="5"/>
      <c r="C1177" s="5"/>
      <c r="D1177" s="5"/>
      <c r="E1177" s="12"/>
      <c r="F1177" s="5"/>
      <c r="G1177" s="5"/>
      <c r="H1177" s="5"/>
      <c r="I1177" s="5"/>
      <c r="J1177" s="5"/>
      <c r="L1177" s="5"/>
      <c r="M1177" s="5"/>
      <c r="P1177" s="5"/>
      <c r="Q1177" s="5"/>
      <c r="R1177" s="5"/>
      <c r="S1177" s="5"/>
      <c r="T1177" s="5"/>
      <c r="U1177" s="5"/>
      <c r="V1177" s="5"/>
      <c r="W1177" s="5"/>
    </row>
    <row r="1178" spans="1:23" x14ac:dyDescent="0.3">
      <c r="A1178" s="5"/>
      <c r="B1178" s="5"/>
      <c r="C1178" s="5"/>
      <c r="D1178" s="5"/>
      <c r="E1178" s="12"/>
      <c r="F1178" s="5"/>
      <c r="G1178" s="5"/>
      <c r="H1178" s="5"/>
      <c r="I1178" s="5"/>
      <c r="J1178" s="5"/>
      <c r="L1178" s="5"/>
      <c r="M1178" s="5"/>
      <c r="P1178" s="5"/>
      <c r="Q1178" s="5"/>
      <c r="R1178" s="5"/>
      <c r="S1178" s="5"/>
      <c r="T1178" s="5"/>
      <c r="U1178" s="5"/>
      <c r="V1178" s="5"/>
      <c r="W1178" s="5"/>
    </row>
    <row r="1179" spans="1:23" x14ac:dyDescent="0.3">
      <c r="A1179" s="5"/>
      <c r="B1179" s="5"/>
      <c r="C1179" s="5"/>
      <c r="D1179" s="5"/>
      <c r="E1179" s="12"/>
      <c r="F1179" s="5"/>
      <c r="G1179" s="5"/>
      <c r="H1179" s="5"/>
      <c r="I1179" s="5"/>
      <c r="J1179" s="5"/>
      <c r="L1179" s="5"/>
      <c r="M1179" s="5"/>
      <c r="P1179" s="5"/>
      <c r="Q1179" s="5"/>
      <c r="R1179" s="5"/>
      <c r="S1179" s="5"/>
      <c r="T1179" s="5"/>
      <c r="U1179" s="5"/>
      <c r="V1179" s="5"/>
      <c r="W1179" s="5"/>
    </row>
    <row r="1180" spans="1:23" x14ac:dyDescent="0.3">
      <c r="A1180" s="5"/>
      <c r="B1180" s="5"/>
      <c r="C1180" s="5"/>
      <c r="D1180" s="5"/>
      <c r="E1180" s="12"/>
      <c r="F1180" s="5"/>
      <c r="G1180" s="5"/>
      <c r="H1180" s="5"/>
      <c r="I1180" s="5"/>
      <c r="J1180" s="5"/>
      <c r="L1180" s="5"/>
      <c r="M1180" s="5"/>
      <c r="P1180" s="5"/>
      <c r="Q1180" s="5"/>
      <c r="R1180" s="5"/>
      <c r="S1180" s="5"/>
      <c r="T1180" s="5"/>
      <c r="U1180" s="5"/>
      <c r="V1180" s="5"/>
      <c r="W1180" s="5"/>
    </row>
    <row r="1181" spans="1:23" x14ac:dyDescent="0.3">
      <c r="A1181" s="5"/>
      <c r="B1181" s="5"/>
      <c r="C1181" s="5"/>
      <c r="D1181" s="5"/>
      <c r="E1181" s="12"/>
      <c r="F1181" s="5"/>
      <c r="G1181" s="5"/>
      <c r="H1181" s="5"/>
      <c r="I1181" s="5"/>
      <c r="J1181" s="5"/>
      <c r="L1181" s="5"/>
      <c r="M1181" s="5"/>
      <c r="P1181" s="5"/>
      <c r="Q1181" s="5"/>
      <c r="R1181" s="5"/>
      <c r="S1181" s="5"/>
      <c r="T1181" s="5"/>
      <c r="U1181" s="5"/>
      <c r="V1181" s="5"/>
      <c r="W1181" s="5"/>
    </row>
    <row r="1182" spans="1:23" x14ac:dyDescent="0.3">
      <c r="A1182" s="5"/>
      <c r="B1182" s="5"/>
      <c r="C1182" s="5"/>
      <c r="D1182" s="5"/>
      <c r="E1182" s="12"/>
      <c r="F1182" s="5"/>
      <c r="G1182" s="5"/>
      <c r="H1182" s="5"/>
      <c r="I1182" s="5"/>
      <c r="J1182" s="5"/>
      <c r="L1182" s="5"/>
      <c r="M1182" s="5"/>
      <c r="P1182" s="5"/>
      <c r="Q1182" s="5"/>
      <c r="R1182" s="5"/>
      <c r="S1182" s="5"/>
      <c r="T1182" s="5"/>
      <c r="U1182" s="5"/>
      <c r="V1182" s="5"/>
      <c r="W1182" s="5"/>
    </row>
    <row r="1183" spans="1:23" x14ac:dyDescent="0.3">
      <c r="A1183" s="5"/>
      <c r="B1183" s="5"/>
      <c r="C1183" s="5"/>
      <c r="D1183" s="5"/>
      <c r="E1183" s="12"/>
      <c r="F1183" s="5"/>
      <c r="G1183" s="5"/>
      <c r="H1183" s="5"/>
      <c r="I1183" s="5"/>
      <c r="J1183" s="5"/>
      <c r="L1183" s="5"/>
      <c r="M1183" s="5"/>
      <c r="P1183" s="5"/>
      <c r="Q1183" s="5"/>
      <c r="R1183" s="5"/>
      <c r="S1183" s="5"/>
      <c r="T1183" s="5"/>
      <c r="U1183" s="5"/>
      <c r="V1183" s="5"/>
      <c r="W1183" s="5"/>
    </row>
    <row r="1184" spans="1:23" x14ac:dyDescent="0.3">
      <c r="A1184" s="5"/>
      <c r="B1184" s="5"/>
      <c r="C1184" s="5"/>
      <c r="D1184" s="5"/>
      <c r="E1184" s="12"/>
      <c r="F1184" s="5"/>
      <c r="G1184" s="5"/>
      <c r="H1184" s="5"/>
      <c r="I1184" s="5"/>
      <c r="J1184" s="5"/>
      <c r="L1184" s="5"/>
      <c r="M1184" s="5"/>
      <c r="P1184" s="5"/>
      <c r="Q1184" s="5"/>
      <c r="R1184" s="5"/>
      <c r="S1184" s="5"/>
      <c r="T1184" s="5"/>
      <c r="U1184" s="5"/>
      <c r="V1184" s="5"/>
      <c r="W1184" s="5"/>
    </row>
    <row r="1185" spans="1:23" x14ac:dyDescent="0.3">
      <c r="A1185" s="5"/>
      <c r="B1185" s="5"/>
      <c r="C1185" s="5"/>
      <c r="D1185" s="5"/>
      <c r="E1185" s="12"/>
      <c r="F1185" s="5"/>
      <c r="G1185" s="5"/>
      <c r="H1185" s="5"/>
      <c r="I1185" s="5"/>
      <c r="J1185" s="5"/>
      <c r="L1185" s="5"/>
      <c r="M1185" s="5"/>
      <c r="P1185" s="5"/>
      <c r="Q1185" s="5"/>
      <c r="R1185" s="5"/>
      <c r="S1185" s="5"/>
      <c r="T1185" s="5"/>
      <c r="U1185" s="5"/>
      <c r="V1185" s="5"/>
      <c r="W1185" s="5"/>
    </row>
    <row r="1186" spans="1:23" x14ac:dyDescent="0.3">
      <c r="A1186" s="5"/>
      <c r="B1186" s="5"/>
      <c r="C1186" s="5"/>
      <c r="D1186" s="5"/>
      <c r="E1186" s="12"/>
      <c r="F1186" s="5"/>
      <c r="G1186" s="5"/>
      <c r="H1186" s="5"/>
      <c r="I1186" s="5"/>
      <c r="J1186" s="5"/>
      <c r="L1186" s="5"/>
      <c r="M1186" s="5"/>
      <c r="P1186" s="5"/>
      <c r="Q1186" s="5"/>
      <c r="R1186" s="5"/>
      <c r="S1186" s="5"/>
      <c r="T1186" s="5"/>
      <c r="U1186" s="5"/>
      <c r="V1186" s="5"/>
      <c r="W1186" s="5"/>
    </row>
    <row r="1187" spans="1:23" x14ac:dyDescent="0.3">
      <c r="A1187" s="5"/>
      <c r="B1187" s="5"/>
      <c r="C1187" s="5"/>
      <c r="D1187" s="5"/>
      <c r="E1187" s="12"/>
      <c r="F1187" s="5"/>
      <c r="G1187" s="5"/>
      <c r="H1187" s="5"/>
      <c r="I1187" s="5"/>
      <c r="J1187" s="5"/>
      <c r="L1187" s="5"/>
      <c r="M1187" s="5"/>
      <c r="P1187" s="5"/>
      <c r="Q1187" s="5"/>
      <c r="R1187" s="5"/>
      <c r="S1187" s="5"/>
      <c r="T1187" s="5"/>
      <c r="U1187" s="5"/>
      <c r="V1187" s="5"/>
      <c r="W1187" s="5"/>
    </row>
    <row r="1188" spans="1:23" x14ac:dyDescent="0.3">
      <c r="A1188" s="5"/>
      <c r="B1188" s="5"/>
      <c r="C1188" s="5"/>
      <c r="D1188" s="5"/>
      <c r="E1188" s="12"/>
      <c r="F1188" s="5"/>
      <c r="G1188" s="5"/>
      <c r="H1188" s="5"/>
      <c r="I1188" s="5"/>
      <c r="J1188" s="5"/>
      <c r="L1188" s="5"/>
      <c r="M1188" s="5"/>
      <c r="P1188" s="5"/>
      <c r="Q1188" s="5"/>
      <c r="R1188" s="5"/>
      <c r="S1188" s="5"/>
      <c r="T1188" s="5"/>
      <c r="U1188" s="5"/>
      <c r="V1188" s="5"/>
      <c r="W1188" s="5"/>
    </row>
    <row r="1189" spans="1:23" x14ac:dyDescent="0.3">
      <c r="A1189" s="5"/>
      <c r="B1189" s="5"/>
      <c r="C1189" s="5"/>
      <c r="D1189" s="5"/>
      <c r="E1189" s="12"/>
      <c r="F1189" s="5"/>
      <c r="G1189" s="5"/>
      <c r="H1189" s="5"/>
      <c r="I1189" s="5"/>
      <c r="J1189" s="5"/>
      <c r="L1189" s="5"/>
      <c r="M1189" s="5"/>
      <c r="P1189" s="5"/>
      <c r="Q1189" s="5"/>
      <c r="R1189" s="5"/>
      <c r="S1189" s="5"/>
      <c r="T1189" s="5"/>
      <c r="U1189" s="5"/>
      <c r="V1189" s="5"/>
      <c r="W1189" s="5"/>
    </row>
    <row r="1190" spans="1:23" x14ac:dyDescent="0.3">
      <c r="A1190" s="5"/>
      <c r="B1190" s="5"/>
      <c r="C1190" s="5"/>
      <c r="D1190" s="5"/>
      <c r="E1190" s="12"/>
      <c r="F1190" s="5"/>
      <c r="G1190" s="5"/>
      <c r="H1190" s="5"/>
      <c r="I1190" s="5"/>
      <c r="J1190" s="5"/>
      <c r="L1190" s="5"/>
      <c r="M1190" s="5"/>
      <c r="P1190" s="5"/>
      <c r="Q1190" s="5"/>
      <c r="R1190" s="5"/>
      <c r="S1190" s="5"/>
      <c r="T1190" s="5"/>
      <c r="U1190" s="5"/>
      <c r="V1190" s="5"/>
      <c r="W1190" s="5"/>
    </row>
    <row r="1191" spans="1:23" x14ac:dyDescent="0.3">
      <c r="A1191" s="5"/>
      <c r="B1191" s="5"/>
      <c r="C1191" s="5"/>
      <c r="D1191" s="5"/>
      <c r="E1191" s="12"/>
      <c r="F1191" s="5"/>
      <c r="G1191" s="5"/>
      <c r="H1191" s="5"/>
      <c r="I1191" s="5"/>
      <c r="J1191" s="5"/>
      <c r="L1191" s="5"/>
      <c r="M1191" s="5"/>
      <c r="P1191" s="5"/>
      <c r="Q1191" s="5"/>
      <c r="R1191" s="5"/>
      <c r="S1191" s="5"/>
      <c r="T1191" s="5"/>
      <c r="U1191" s="5"/>
      <c r="V1191" s="5"/>
      <c r="W1191" s="5"/>
    </row>
    <row r="1192" spans="1:23" x14ac:dyDescent="0.3">
      <c r="A1192" s="5"/>
      <c r="B1192" s="5"/>
      <c r="C1192" s="5"/>
      <c r="D1192" s="5"/>
      <c r="E1192" s="12"/>
      <c r="F1192" s="5"/>
      <c r="G1192" s="5"/>
      <c r="H1192" s="5"/>
      <c r="I1192" s="5"/>
      <c r="J1192" s="5"/>
      <c r="L1192" s="5"/>
      <c r="M1192" s="5"/>
      <c r="P1192" s="5"/>
      <c r="Q1192" s="5"/>
      <c r="R1192" s="5"/>
      <c r="S1192" s="5"/>
      <c r="T1192" s="5"/>
      <c r="U1192" s="5"/>
      <c r="V1192" s="5"/>
      <c r="W1192" s="5"/>
    </row>
    <row r="1193" spans="1:23" x14ac:dyDescent="0.3">
      <c r="A1193" s="5"/>
      <c r="B1193" s="5"/>
      <c r="C1193" s="5"/>
      <c r="D1193" s="5"/>
      <c r="E1193" s="12"/>
      <c r="F1193" s="5"/>
      <c r="G1193" s="5"/>
      <c r="H1193" s="5"/>
      <c r="I1193" s="5"/>
      <c r="J1193" s="5"/>
      <c r="L1193" s="5"/>
      <c r="M1193" s="5"/>
      <c r="P1193" s="5"/>
      <c r="Q1193" s="5"/>
      <c r="R1193" s="5"/>
      <c r="S1193" s="5"/>
      <c r="T1193" s="5"/>
      <c r="U1193" s="5"/>
      <c r="V1193" s="5"/>
      <c r="W1193" s="5"/>
    </row>
    <row r="1194" spans="1:23" x14ac:dyDescent="0.3">
      <c r="A1194" s="5"/>
      <c r="B1194" s="5"/>
      <c r="C1194" s="5"/>
      <c r="D1194" s="5"/>
      <c r="E1194" s="12"/>
      <c r="F1194" s="5"/>
      <c r="G1194" s="5"/>
      <c r="H1194" s="5"/>
      <c r="I1194" s="5"/>
      <c r="J1194" s="5"/>
      <c r="L1194" s="5"/>
      <c r="M1194" s="5"/>
      <c r="P1194" s="5"/>
      <c r="Q1194" s="5"/>
      <c r="R1194" s="5"/>
      <c r="S1194" s="5"/>
      <c r="T1194" s="5"/>
      <c r="U1194" s="5"/>
      <c r="V1194" s="5"/>
      <c r="W1194" s="5"/>
    </row>
    <row r="1195" spans="1:23" x14ac:dyDescent="0.3">
      <c r="A1195" s="5"/>
      <c r="B1195" s="5"/>
      <c r="C1195" s="5"/>
      <c r="D1195" s="5"/>
      <c r="E1195" s="12"/>
      <c r="F1195" s="5"/>
      <c r="G1195" s="5"/>
      <c r="H1195" s="5"/>
      <c r="I1195" s="5"/>
      <c r="J1195" s="5"/>
      <c r="L1195" s="5"/>
      <c r="M1195" s="5"/>
      <c r="P1195" s="5"/>
      <c r="Q1195" s="5"/>
      <c r="R1195" s="5"/>
      <c r="S1195" s="5"/>
      <c r="T1195" s="5"/>
      <c r="U1195" s="5"/>
      <c r="V1195" s="5"/>
      <c r="W1195" s="5"/>
    </row>
    <row r="1196" spans="1:23" x14ac:dyDescent="0.3">
      <c r="A1196" s="5"/>
      <c r="B1196" s="5"/>
      <c r="C1196" s="5"/>
      <c r="D1196" s="5"/>
      <c r="E1196" s="12"/>
      <c r="F1196" s="5"/>
      <c r="G1196" s="5"/>
      <c r="H1196" s="5"/>
      <c r="I1196" s="5"/>
      <c r="J1196" s="5"/>
      <c r="L1196" s="5"/>
      <c r="M1196" s="5"/>
      <c r="P1196" s="5"/>
      <c r="Q1196" s="5"/>
      <c r="R1196" s="5"/>
      <c r="S1196" s="5"/>
      <c r="T1196" s="5"/>
      <c r="U1196" s="5"/>
      <c r="V1196" s="5"/>
      <c r="W1196" s="5"/>
    </row>
    <row r="1197" spans="1:23" x14ac:dyDescent="0.3">
      <c r="A1197" s="5"/>
      <c r="B1197" s="5"/>
      <c r="C1197" s="5"/>
      <c r="D1197" s="5"/>
      <c r="E1197" s="12"/>
      <c r="F1197" s="5"/>
      <c r="G1197" s="5"/>
      <c r="H1197" s="5"/>
      <c r="I1197" s="5"/>
      <c r="J1197" s="5"/>
      <c r="L1197" s="5"/>
      <c r="M1197" s="5"/>
      <c r="P1197" s="5"/>
      <c r="Q1197" s="5"/>
      <c r="R1197" s="5"/>
      <c r="S1197" s="5"/>
      <c r="T1197" s="5"/>
      <c r="U1197" s="5"/>
      <c r="V1197" s="5"/>
      <c r="W1197" s="5"/>
    </row>
    <row r="1198" spans="1:23" x14ac:dyDescent="0.3">
      <c r="A1198" s="5"/>
      <c r="B1198" s="5"/>
      <c r="C1198" s="5"/>
      <c r="D1198" s="5"/>
      <c r="E1198" s="12"/>
      <c r="F1198" s="5"/>
      <c r="G1198" s="5"/>
      <c r="H1198" s="5"/>
      <c r="I1198" s="5"/>
      <c r="J1198" s="5"/>
      <c r="L1198" s="5"/>
      <c r="M1198" s="5"/>
      <c r="P1198" s="5"/>
      <c r="Q1198" s="5"/>
      <c r="R1198" s="5"/>
      <c r="S1198" s="5"/>
      <c r="T1198" s="5"/>
      <c r="U1198" s="5"/>
      <c r="V1198" s="5"/>
      <c r="W1198" s="5"/>
    </row>
    <row r="1199" spans="1:23" x14ac:dyDescent="0.3">
      <c r="A1199" s="5"/>
      <c r="B1199" s="5"/>
      <c r="C1199" s="5"/>
      <c r="D1199" s="5"/>
      <c r="E1199" s="12"/>
      <c r="F1199" s="5"/>
      <c r="G1199" s="5"/>
      <c r="H1199" s="5"/>
      <c r="I1199" s="5"/>
      <c r="J1199" s="5"/>
      <c r="L1199" s="5"/>
      <c r="M1199" s="5"/>
      <c r="P1199" s="5"/>
      <c r="Q1199" s="5"/>
      <c r="R1199" s="5"/>
      <c r="S1199" s="5"/>
      <c r="T1199" s="5"/>
      <c r="U1199" s="5"/>
      <c r="V1199" s="5"/>
      <c r="W1199" s="5"/>
    </row>
    <row r="1200" spans="1:23" x14ac:dyDescent="0.3">
      <c r="A1200" s="5"/>
      <c r="B1200" s="5"/>
      <c r="C1200" s="5"/>
      <c r="D1200" s="5"/>
      <c r="E1200" s="12"/>
      <c r="F1200" s="5"/>
      <c r="G1200" s="5"/>
      <c r="H1200" s="5"/>
      <c r="I1200" s="5"/>
      <c r="J1200" s="5"/>
      <c r="L1200" s="5"/>
      <c r="M1200" s="5"/>
      <c r="P1200" s="5"/>
      <c r="Q1200" s="5"/>
      <c r="R1200" s="5"/>
      <c r="S1200" s="5"/>
      <c r="T1200" s="5"/>
      <c r="U1200" s="5"/>
      <c r="V1200" s="5"/>
      <c r="W1200" s="5"/>
    </row>
    <row r="1201" spans="1:28" x14ac:dyDescent="0.3">
      <c r="A1201" s="5"/>
      <c r="B1201" s="5"/>
      <c r="C1201" s="5"/>
      <c r="D1201" s="5"/>
      <c r="E1201" s="12"/>
      <c r="F1201" s="5"/>
      <c r="G1201" s="5"/>
      <c r="H1201" s="5"/>
      <c r="I1201" s="5"/>
      <c r="J1201" s="5"/>
      <c r="L1201" s="5"/>
      <c r="M1201" s="5"/>
      <c r="P1201" s="5"/>
      <c r="Q1201" s="5"/>
      <c r="R1201" s="5"/>
      <c r="S1201" s="5"/>
      <c r="T1201" s="5"/>
      <c r="U1201" s="5"/>
      <c r="V1201" s="5"/>
      <c r="W1201" s="5"/>
    </row>
    <row r="1202" spans="1:28" x14ac:dyDescent="0.3">
      <c r="A1202" s="5"/>
      <c r="B1202" s="5"/>
      <c r="C1202" s="5"/>
      <c r="D1202" s="5"/>
      <c r="E1202" s="12"/>
      <c r="F1202" s="5"/>
      <c r="G1202" s="5"/>
      <c r="H1202" s="5"/>
      <c r="I1202" s="5"/>
      <c r="J1202" s="5"/>
      <c r="L1202" s="5"/>
      <c r="M1202" s="5"/>
      <c r="P1202" s="5"/>
      <c r="Q1202" s="5"/>
      <c r="R1202" s="5"/>
      <c r="S1202" s="5"/>
      <c r="T1202" s="5"/>
      <c r="U1202" s="5"/>
      <c r="V1202" s="5"/>
      <c r="W1202" s="5"/>
    </row>
    <row r="1203" spans="1:28" x14ac:dyDescent="0.3">
      <c r="A1203" s="5"/>
      <c r="B1203" s="5"/>
      <c r="C1203" s="5"/>
      <c r="D1203" s="5"/>
      <c r="E1203" s="12"/>
      <c r="F1203" s="5"/>
      <c r="G1203" s="5"/>
      <c r="H1203" s="5"/>
      <c r="I1203" s="5"/>
      <c r="J1203" s="5"/>
      <c r="L1203" s="5"/>
      <c r="M1203" s="5"/>
      <c r="P1203" s="5"/>
      <c r="Q1203" s="5"/>
      <c r="R1203" s="5"/>
      <c r="S1203" s="5"/>
      <c r="T1203" s="5"/>
      <c r="U1203" s="5"/>
      <c r="V1203" s="5"/>
      <c r="W1203" s="5"/>
    </row>
    <row r="1204" spans="1:28" x14ac:dyDescent="0.3">
      <c r="A1204" s="5"/>
      <c r="B1204" s="5"/>
      <c r="C1204" s="5"/>
      <c r="D1204" s="5"/>
      <c r="E1204" s="12"/>
      <c r="F1204" s="5"/>
      <c r="G1204" s="5"/>
      <c r="H1204" s="5"/>
      <c r="I1204" s="5"/>
      <c r="J1204" s="5"/>
      <c r="L1204" s="5"/>
      <c r="M1204" s="5"/>
      <c r="P1204" s="5"/>
      <c r="Q1204" s="5"/>
      <c r="R1204" s="5"/>
      <c r="S1204" s="5"/>
      <c r="T1204" s="5"/>
      <c r="U1204" s="5"/>
      <c r="V1204" s="5"/>
      <c r="W1204" s="5"/>
    </row>
    <row r="1205" spans="1:28" x14ac:dyDescent="0.3">
      <c r="A1205" s="5"/>
      <c r="B1205" s="5"/>
      <c r="C1205" s="5"/>
      <c r="D1205" s="5"/>
      <c r="E1205" s="12"/>
      <c r="F1205" s="5"/>
      <c r="G1205" s="5"/>
      <c r="H1205" s="5"/>
      <c r="I1205" s="5"/>
      <c r="J1205" s="5"/>
      <c r="L1205" s="5"/>
      <c r="M1205" s="5"/>
      <c r="P1205" s="5"/>
      <c r="Q1205" s="5"/>
      <c r="R1205" s="5"/>
      <c r="S1205" s="5"/>
      <c r="T1205" s="5"/>
      <c r="U1205" s="5"/>
      <c r="V1205" s="5"/>
      <c r="W1205" s="5"/>
    </row>
    <row r="1206" spans="1:28" x14ac:dyDescent="0.3">
      <c r="A1206" s="5"/>
      <c r="B1206" s="5"/>
      <c r="C1206" s="5"/>
      <c r="D1206" s="5"/>
      <c r="E1206" s="12"/>
      <c r="F1206" s="5"/>
      <c r="G1206" s="5"/>
      <c r="H1206" s="5"/>
      <c r="I1206" s="5"/>
      <c r="J1206" s="5"/>
      <c r="L1206" s="5"/>
      <c r="M1206" s="5"/>
      <c r="P1206" s="5"/>
      <c r="Q1206" s="5"/>
      <c r="R1206" s="5"/>
      <c r="S1206" s="5"/>
      <c r="T1206" s="5"/>
      <c r="U1206" s="5"/>
      <c r="V1206" s="5"/>
      <c r="W1206" s="5"/>
    </row>
    <row r="1207" spans="1:28" x14ac:dyDescent="0.3">
      <c r="A1207" s="5"/>
      <c r="B1207" s="5"/>
      <c r="C1207" s="5"/>
      <c r="D1207" s="5"/>
      <c r="E1207" s="12"/>
      <c r="F1207" s="5"/>
      <c r="G1207" s="5"/>
      <c r="H1207" s="5"/>
      <c r="I1207" s="5"/>
      <c r="J1207" s="5"/>
      <c r="L1207" s="5"/>
      <c r="M1207" s="5"/>
      <c r="P1207" s="5"/>
      <c r="Q1207" s="5"/>
      <c r="R1207" s="5"/>
      <c r="S1207" s="5"/>
      <c r="T1207" s="5"/>
      <c r="U1207" s="5"/>
      <c r="V1207" s="5"/>
      <c r="W1207" s="5"/>
      <c r="AA1207" s="5"/>
      <c r="AB1207" s="5"/>
    </row>
    <row r="1208" spans="1:28" x14ac:dyDescent="0.3">
      <c r="A1208" s="5"/>
      <c r="B1208" s="5"/>
      <c r="C1208" s="5"/>
      <c r="D1208" s="5"/>
      <c r="E1208" s="12"/>
      <c r="F1208" s="5"/>
      <c r="G1208" s="5"/>
      <c r="H1208" s="5"/>
      <c r="I1208" s="5"/>
      <c r="J1208" s="5"/>
      <c r="L1208" s="5"/>
      <c r="M1208" s="5"/>
      <c r="P1208" s="5"/>
      <c r="Q1208" s="5"/>
      <c r="R1208" s="5"/>
      <c r="S1208" s="5"/>
      <c r="T1208" s="5"/>
      <c r="U1208" s="5"/>
      <c r="V1208" s="5"/>
      <c r="W1208" s="5"/>
      <c r="AA1208" s="13"/>
      <c r="AB1208" s="13"/>
    </row>
    <row r="1209" spans="1:28" x14ac:dyDescent="0.3">
      <c r="A1209" s="5"/>
      <c r="B1209" s="5"/>
      <c r="C1209" s="5"/>
      <c r="D1209" s="5"/>
      <c r="E1209" s="12"/>
      <c r="F1209" s="5"/>
      <c r="G1209" s="5"/>
      <c r="H1209" s="5"/>
      <c r="I1209" s="5"/>
      <c r="J1209" s="5"/>
      <c r="L1209" s="5"/>
      <c r="M1209" s="5"/>
      <c r="P1209" s="5"/>
      <c r="Q1209" s="5"/>
      <c r="R1209" s="5"/>
      <c r="S1209" s="5"/>
      <c r="T1209" s="5"/>
      <c r="U1209" s="5"/>
      <c r="V1209" s="5"/>
      <c r="W1209" s="5"/>
      <c r="AA1209" s="5"/>
      <c r="AB1209" s="5"/>
    </row>
    <row r="1210" spans="1:28" x14ac:dyDescent="0.3">
      <c r="A1210" s="5"/>
      <c r="B1210" s="5"/>
      <c r="C1210" s="5"/>
      <c r="D1210" s="5"/>
      <c r="E1210" s="12"/>
      <c r="F1210" s="5"/>
      <c r="G1210" s="5"/>
      <c r="H1210" s="5"/>
      <c r="I1210" s="5"/>
      <c r="J1210" s="5"/>
      <c r="L1210" s="5"/>
      <c r="M1210" s="5"/>
      <c r="P1210" s="5"/>
      <c r="Q1210" s="5"/>
      <c r="R1210" s="5"/>
      <c r="S1210" s="5"/>
      <c r="T1210" s="5"/>
      <c r="U1210" s="5"/>
      <c r="V1210" s="5"/>
      <c r="W1210" s="5"/>
      <c r="AA1210" s="5"/>
      <c r="AB1210" s="5"/>
    </row>
    <row r="1211" spans="1:28" x14ac:dyDescent="0.3">
      <c r="A1211" s="5"/>
      <c r="B1211" s="5"/>
      <c r="C1211" s="5"/>
      <c r="D1211" s="5"/>
      <c r="E1211" s="12"/>
      <c r="F1211" s="5"/>
      <c r="G1211" s="5"/>
      <c r="H1211" s="5"/>
      <c r="I1211" s="5"/>
      <c r="J1211" s="5"/>
      <c r="L1211" s="5"/>
      <c r="M1211" s="5"/>
      <c r="P1211" s="5"/>
      <c r="Q1211" s="5"/>
      <c r="R1211" s="5"/>
      <c r="S1211" s="5"/>
      <c r="T1211" s="5"/>
      <c r="U1211" s="5"/>
      <c r="V1211" s="5"/>
      <c r="W1211" s="5"/>
    </row>
    <row r="1212" spans="1:28" x14ac:dyDescent="0.3">
      <c r="A1212" s="5"/>
      <c r="B1212" s="5"/>
      <c r="C1212" s="5"/>
      <c r="D1212" s="5"/>
      <c r="E1212" s="12"/>
      <c r="F1212" s="5"/>
      <c r="G1212" s="5"/>
      <c r="H1212" s="5"/>
      <c r="I1212" s="5"/>
      <c r="J1212" s="5"/>
      <c r="L1212" s="5"/>
      <c r="M1212" s="5"/>
      <c r="P1212" s="5"/>
      <c r="Q1212" s="5"/>
      <c r="R1212" s="5"/>
      <c r="S1212" s="5"/>
      <c r="T1212" s="5"/>
      <c r="U1212" s="5"/>
      <c r="V1212" s="5"/>
      <c r="W1212" s="5"/>
    </row>
    <row r="1213" spans="1:28" x14ac:dyDescent="0.3">
      <c r="A1213" s="5"/>
      <c r="B1213" s="5"/>
      <c r="C1213" s="5"/>
      <c r="D1213" s="5"/>
      <c r="E1213" s="12"/>
      <c r="F1213" s="5"/>
      <c r="G1213" s="5"/>
      <c r="H1213" s="5"/>
      <c r="I1213" s="5"/>
      <c r="J1213" s="5"/>
      <c r="L1213" s="5"/>
      <c r="M1213" s="5"/>
      <c r="P1213" s="5"/>
      <c r="Q1213" s="5"/>
      <c r="R1213" s="5"/>
      <c r="S1213" s="5"/>
      <c r="T1213" s="5"/>
      <c r="U1213" s="5"/>
      <c r="V1213" s="5"/>
      <c r="W1213" s="5"/>
      <c r="AA1213" s="16"/>
      <c r="AB1213" s="16"/>
    </row>
    <row r="1214" spans="1:28" x14ac:dyDescent="0.3">
      <c r="A1214" s="5"/>
      <c r="B1214" s="5"/>
      <c r="C1214" s="5"/>
      <c r="D1214" s="5"/>
      <c r="E1214" s="12"/>
      <c r="F1214" s="5"/>
      <c r="G1214" s="5"/>
      <c r="H1214" s="5"/>
      <c r="I1214" s="5"/>
      <c r="J1214" s="5"/>
      <c r="L1214" s="5"/>
      <c r="M1214" s="5"/>
      <c r="P1214" s="5"/>
      <c r="Q1214" s="5"/>
      <c r="R1214" s="5"/>
      <c r="S1214" s="5"/>
      <c r="T1214" s="5"/>
      <c r="U1214" s="5"/>
      <c r="V1214" s="5"/>
      <c r="W1214" s="5"/>
      <c r="AA1214" s="14"/>
      <c r="AB1214" s="14"/>
    </row>
    <row r="1215" spans="1:28" x14ac:dyDescent="0.3">
      <c r="A1215" s="5"/>
      <c r="B1215" s="5"/>
      <c r="C1215" s="5"/>
      <c r="D1215" s="5"/>
      <c r="E1215" s="12"/>
      <c r="F1215" s="5"/>
      <c r="G1215" s="5"/>
      <c r="H1215" s="5"/>
      <c r="I1215" s="5"/>
      <c r="J1215" s="5"/>
      <c r="L1215" s="5"/>
      <c r="M1215" s="5"/>
      <c r="P1215" s="5"/>
      <c r="Q1215" s="5"/>
      <c r="R1215" s="5"/>
      <c r="S1215" s="5"/>
      <c r="T1215" s="5"/>
      <c r="U1215" s="5"/>
      <c r="V1215" s="5"/>
      <c r="W1215" s="5"/>
      <c r="AA1215" s="14"/>
      <c r="AB1215" s="14"/>
    </row>
    <row r="1216" spans="1:28" x14ac:dyDescent="0.3">
      <c r="A1216" s="5"/>
      <c r="B1216" s="5"/>
      <c r="C1216" s="5"/>
      <c r="D1216" s="5"/>
      <c r="E1216" s="12"/>
      <c r="F1216" s="5"/>
      <c r="G1216" s="5"/>
      <c r="H1216" s="5"/>
      <c r="I1216" s="5"/>
      <c r="J1216" s="5"/>
      <c r="L1216" s="5"/>
      <c r="M1216" s="5"/>
      <c r="P1216" s="5"/>
      <c r="Q1216" s="5"/>
      <c r="R1216" s="5"/>
      <c r="S1216" s="5"/>
      <c r="T1216" s="5"/>
      <c r="U1216" s="5"/>
      <c r="V1216" s="5"/>
      <c r="W1216" s="5"/>
      <c r="AA1216" s="14"/>
      <c r="AB1216" s="14"/>
    </row>
    <row r="1217" spans="1:28" x14ac:dyDescent="0.3">
      <c r="A1217" s="5"/>
      <c r="B1217" s="5"/>
      <c r="C1217" s="5"/>
      <c r="D1217" s="5"/>
      <c r="E1217" s="12"/>
      <c r="F1217" s="5"/>
      <c r="G1217" s="5"/>
      <c r="H1217" s="5"/>
      <c r="I1217" s="5"/>
      <c r="J1217" s="5"/>
      <c r="L1217" s="5"/>
      <c r="M1217" s="5"/>
      <c r="P1217" s="5"/>
      <c r="Q1217" s="5"/>
      <c r="R1217" s="5"/>
      <c r="S1217" s="5"/>
      <c r="T1217" s="5"/>
      <c r="U1217" s="5"/>
      <c r="V1217" s="5"/>
      <c r="W1217" s="5"/>
      <c r="AA1217" s="14"/>
      <c r="AB1217" s="14"/>
    </row>
    <row r="1218" spans="1:28" x14ac:dyDescent="0.3">
      <c r="A1218" s="5"/>
      <c r="B1218" s="5"/>
      <c r="C1218" s="5"/>
      <c r="D1218" s="5"/>
      <c r="E1218" s="12"/>
      <c r="F1218" s="5"/>
      <c r="G1218" s="5"/>
      <c r="H1218" s="5"/>
      <c r="I1218" s="5"/>
      <c r="J1218" s="5"/>
      <c r="L1218" s="5"/>
      <c r="M1218" s="5"/>
      <c r="P1218" s="5"/>
      <c r="Q1218" s="5"/>
      <c r="R1218" s="5"/>
      <c r="S1218" s="5"/>
      <c r="T1218" s="5"/>
      <c r="U1218" s="5"/>
      <c r="V1218" s="5"/>
      <c r="W1218" s="5"/>
      <c r="AA1218" s="14"/>
      <c r="AB1218" s="14"/>
    </row>
    <row r="1219" spans="1:28" x14ac:dyDescent="0.3">
      <c r="A1219" s="5"/>
      <c r="B1219" s="5"/>
      <c r="C1219" s="5"/>
      <c r="D1219" s="5"/>
      <c r="E1219" s="12"/>
      <c r="F1219" s="5"/>
      <c r="G1219" s="5"/>
      <c r="H1219" s="5"/>
      <c r="I1219" s="5"/>
      <c r="J1219" s="5"/>
      <c r="L1219" s="5"/>
      <c r="M1219" s="5"/>
      <c r="P1219" s="5"/>
      <c r="Q1219" s="5"/>
      <c r="R1219" s="5"/>
      <c r="S1219" s="5"/>
      <c r="T1219" s="5"/>
      <c r="U1219" s="5"/>
      <c r="V1219" s="5"/>
      <c r="W1219" s="5"/>
      <c r="AA1219" s="14"/>
      <c r="AB1219" s="14"/>
    </row>
    <row r="1220" spans="1:28" x14ac:dyDescent="0.3">
      <c r="A1220" s="5"/>
      <c r="B1220" s="5"/>
      <c r="C1220" s="5"/>
      <c r="D1220" s="5"/>
      <c r="E1220" s="12"/>
      <c r="F1220" s="5"/>
      <c r="G1220" s="5"/>
      <c r="H1220" s="5"/>
      <c r="I1220" s="5"/>
      <c r="J1220" s="5"/>
      <c r="L1220" s="5"/>
      <c r="M1220" s="5"/>
      <c r="P1220" s="5"/>
      <c r="Q1220" s="5"/>
      <c r="R1220" s="5"/>
      <c r="S1220" s="5"/>
      <c r="T1220" s="5"/>
      <c r="U1220" s="5"/>
      <c r="V1220" s="5"/>
      <c r="W1220" s="5"/>
      <c r="AA1220" s="14"/>
      <c r="AB1220" s="14"/>
    </row>
    <row r="1221" spans="1:28" x14ac:dyDescent="0.3">
      <c r="A1221" s="5"/>
      <c r="B1221" s="5"/>
      <c r="C1221" s="5"/>
      <c r="D1221" s="5"/>
      <c r="E1221" s="12"/>
      <c r="F1221" s="5"/>
      <c r="G1221" s="5"/>
      <c r="H1221" s="5"/>
      <c r="I1221" s="5"/>
      <c r="J1221" s="5"/>
      <c r="L1221" s="5"/>
      <c r="M1221" s="5"/>
      <c r="P1221" s="5"/>
      <c r="Q1221" s="5"/>
      <c r="R1221" s="5"/>
      <c r="S1221" s="5"/>
      <c r="T1221" s="5"/>
      <c r="U1221" s="5"/>
      <c r="V1221" s="5"/>
      <c r="W1221" s="5"/>
      <c r="AA1221" s="14"/>
      <c r="AB1221" s="14"/>
    </row>
    <row r="1222" spans="1:28" x14ac:dyDescent="0.3">
      <c r="A1222" s="5"/>
      <c r="B1222" s="5"/>
      <c r="C1222" s="5"/>
      <c r="D1222" s="5"/>
      <c r="E1222" s="12"/>
      <c r="F1222" s="5"/>
      <c r="G1222" s="5"/>
      <c r="H1222" s="5"/>
      <c r="I1222" s="5"/>
      <c r="J1222" s="5"/>
      <c r="L1222" s="5"/>
      <c r="M1222" s="5"/>
      <c r="P1222" s="5"/>
      <c r="Q1222" s="5"/>
      <c r="R1222" s="5"/>
      <c r="S1222" s="5"/>
      <c r="T1222" s="5"/>
      <c r="U1222" s="5"/>
      <c r="V1222" s="5"/>
      <c r="W1222" s="5"/>
      <c r="AA1222" s="14"/>
      <c r="AB1222" s="14"/>
    </row>
    <row r="1223" spans="1:28" x14ac:dyDescent="0.3">
      <c r="A1223" s="5"/>
      <c r="B1223" s="5"/>
      <c r="C1223" s="5"/>
      <c r="D1223" s="5"/>
      <c r="E1223" s="12"/>
      <c r="F1223" s="5"/>
      <c r="G1223" s="5"/>
      <c r="H1223" s="5"/>
      <c r="I1223" s="5"/>
      <c r="J1223" s="5"/>
      <c r="L1223" s="5"/>
      <c r="M1223" s="5"/>
      <c r="P1223" s="5"/>
      <c r="Q1223" s="5"/>
      <c r="R1223" s="5"/>
      <c r="S1223" s="5"/>
      <c r="T1223" s="5"/>
      <c r="U1223" s="5"/>
      <c r="V1223" s="5"/>
      <c r="W1223" s="5"/>
      <c r="AA1223" s="14"/>
      <c r="AB1223" s="14"/>
    </row>
    <row r="1224" spans="1:28" x14ac:dyDescent="0.3">
      <c r="A1224" s="5"/>
      <c r="B1224" s="5"/>
      <c r="C1224" s="5"/>
      <c r="D1224" s="5"/>
      <c r="E1224" s="12"/>
      <c r="F1224" s="5"/>
      <c r="G1224" s="5"/>
      <c r="H1224" s="5"/>
      <c r="I1224" s="5"/>
      <c r="J1224" s="5"/>
      <c r="L1224" s="5"/>
      <c r="M1224" s="5"/>
      <c r="P1224" s="5"/>
      <c r="Q1224" s="5"/>
      <c r="R1224" s="5"/>
      <c r="S1224" s="5"/>
      <c r="T1224" s="5"/>
      <c r="U1224" s="5"/>
      <c r="V1224" s="5"/>
      <c r="W1224" s="5"/>
      <c r="AA1224" s="14"/>
      <c r="AB1224" s="14"/>
    </row>
    <row r="1225" spans="1:28" x14ac:dyDescent="0.3">
      <c r="A1225" s="5"/>
      <c r="B1225" s="5"/>
      <c r="C1225" s="5"/>
      <c r="D1225" s="5"/>
      <c r="E1225" s="12"/>
      <c r="F1225" s="5"/>
      <c r="G1225" s="5"/>
      <c r="H1225" s="5"/>
      <c r="I1225" s="5"/>
      <c r="J1225" s="5"/>
      <c r="L1225" s="5"/>
      <c r="M1225" s="5"/>
      <c r="P1225" s="5"/>
      <c r="Q1225" s="5"/>
      <c r="R1225" s="5"/>
      <c r="S1225" s="5"/>
      <c r="T1225" s="5"/>
      <c r="U1225" s="5"/>
      <c r="V1225" s="5"/>
      <c r="W1225" s="5"/>
      <c r="AA1225" s="14"/>
      <c r="AB1225" s="14"/>
    </row>
    <row r="1226" spans="1:28" x14ac:dyDescent="0.3">
      <c r="A1226" s="5"/>
      <c r="B1226" s="5"/>
      <c r="C1226" s="5"/>
      <c r="D1226" s="5"/>
      <c r="E1226" s="12"/>
      <c r="F1226" s="5"/>
      <c r="G1226" s="5"/>
      <c r="H1226" s="5"/>
      <c r="I1226" s="5"/>
      <c r="J1226" s="5"/>
      <c r="L1226" s="5"/>
      <c r="M1226" s="5"/>
      <c r="P1226" s="5"/>
      <c r="Q1226" s="5"/>
      <c r="R1226" s="5"/>
      <c r="S1226" s="5"/>
      <c r="T1226" s="5"/>
      <c r="U1226" s="5"/>
      <c r="V1226" s="5"/>
      <c r="W1226" s="5"/>
      <c r="AA1226" s="14"/>
      <c r="AB1226" s="14"/>
    </row>
    <row r="1227" spans="1:28" x14ac:dyDescent="0.3">
      <c r="A1227" s="5"/>
      <c r="B1227" s="5"/>
      <c r="C1227" s="5"/>
      <c r="D1227" s="5"/>
      <c r="E1227" s="12"/>
      <c r="F1227" s="5"/>
      <c r="G1227" s="5"/>
      <c r="H1227" s="5"/>
      <c r="I1227" s="5"/>
      <c r="J1227" s="5"/>
      <c r="L1227" s="5"/>
      <c r="M1227" s="5"/>
      <c r="P1227" s="5"/>
      <c r="Q1227" s="5"/>
      <c r="R1227" s="5"/>
      <c r="S1227" s="5"/>
      <c r="T1227" s="5"/>
      <c r="U1227" s="5"/>
      <c r="V1227" s="5"/>
      <c r="W1227" s="5"/>
      <c r="AA1227" s="14"/>
      <c r="AB1227" s="14"/>
    </row>
    <row r="1228" spans="1:28" x14ac:dyDescent="0.3">
      <c r="A1228" s="5"/>
      <c r="B1228" s="5"/>
      <c r="C1228" s="5"/>
      <c r="D1228" s="5"/>
      <c r="E1228" s="12"/>
      <c r="F1228" s="5"/>
      <c r="G1228" s="5"/>
      <c r="H1228" s="5"/>
      <c r="I1228" s="5"/>
      <c r="J1228" s="5"/>
      <c r="L1228" s="5"/>
      <c r="M1228" s="5"/>
      <c r="P1228" s="5"/>
      <c r="Q1228" s="5"/>
      <c r="R1228" s="5"/>
      <c r="S1228" s="5"/>
      <c r="T1228" s="5"/>
      <c r="U1228" s="5"/>
      <c r="V1228" s="5"/>
      <c r="W1228" s="5"/>
      <c r="AA1228" s="14"/>
      <c r="AB1228" s="14"/>
    </row>
    <row r="1229" spans="1:28" x14ac:dyDescent="0.3">
      <c r="A1229" s="5"/>
      <c r="B1229" s="5"/>
      <c r="C1229" s="5"/>
      <c r="D1229" s="5"/>
      <c r="E1229" s="12"/>
      <c r="F1229" s="5"/>
      <c r="G1229" s="5"/>
      <c r="H1229" s="5"/>
      <c r="I1229" s="5"/>
      <c r="J1229" s="5"/>
      <c r="L1229" s="5"/>
      <c r="M1229" s="5"/>
      <c r="P1229" s="5"/>
      <c r="Q1229" s="5"/>
      <c r="R1229" s="5"/>
      <c r="S1229" s="5"/>
      <c r="T1229" s="5"/>
      <c r="U1229" s="5"/>
      <c r="V1229" s="5"/>
      <c r="W1229" s="5"/>
      <c r="AA1229" s="14"/>
      <c r="AB1229" s="14"/>
    </row>
    <row r="1230" spans="1:28" x14ac:dyDescent="0.3">
      <c r="A1230" s="5"/>
      <c r="B1230" s="5"/>
      <c r="C1230" s="5"/>
      <c r="D1230" s="5"/>
      <c r="E1230" s="12"/>
      <c r="F1230" s="5"/>
      <c r="G1230" s="5"/>
      <c r="H1230" s="5"/>
      <c r="I1230" s="5"/>
      <c r="J1230" s="5"/>
      <c r="L1230" s="5"/>
      <c r="M1230" s="5"/>
      <c r="P1230" s="5"/>
      <c r="Q1230" s="5"/>
      <c r="R1230" s="5"/>
      <c r="S1230" s="5"/>
      <c r="T1230" s="5"/>
      <c r="U1230" s="5"/>
      <c r="V1230" s="5"/>
      <c r="W1230" s="5"/>
      <c r="AA1230" s="14"/>
      <c r="AB1230" s="14"/>
    </row>
    <row r="1231" spans="1:28" x14ac:dyDescent="0.3">
      <c r="A1231" s="5"/>
      <c r="B1231" s="5"/>
      <c r="C1231" s="5"/>
      <c r="D1231" s="5"/>
      <c r="E1231" s="12"/>
      <c r="F1231" s="5"/>
      <c r="G1231" s="5"/>
      <c r="H1231" s="5"/>
      <c r="I1231" s="5"/>
      <c r="J1231" s="5"/>
      <c r="L1231" s="5"/>
      <c r="M1231" s="5"/>
      <c r="P1231" s="5"/>
      <c r="Q1231" s="5"/>
      <c r="R1231" s="5"/>
      <c r="S1231" s="5"/>
      <c r="T1231" s="5"/>
      <c r="U1231" s="5"/>
      <c r="V1231" s="5"/>
      <c r="W1231" s="5"/>
      <c r="AA1231" s="14"/>
      <c r="AB1231" s="14"/>
    </row>
    <row r="1232" spans="1:28" x14ac:dyDescent="0.3">
      <c r="A1232" s="5"/>
      <c r="B1232" s="5"/>
      <c r="C1232" s="5"/>
      <c r="D1232" s="5"/>
      <c r="E1232" s="12"/>
      <c r="F1232" s="5"/>
      <c r="G1232" s="5"/>
      <c r="H1232" s="5"/>
      <c r="I1232" s="5"/>
      <c r="J1232" s="5"/>
      <c r="L1232" s="5"/>
      <c r="M1232" s="5"/>
      <c r="P1232" s="5"/>
      <c r="Q1232" s="5"/>
      <c r="R1232" s="5"/>
      <c r="S1232" s="5"/>
      <c r="T1232" s="5"/>
      <c r="U1232" s="5"/>
      <c r="V1232" s="5"/>
      <c r="W1232" s="5"/>
      <c r="AA1232" s="14"/>
      <c r="AB1232" s="14"/>
    </row>
    <row r="1233" spans="1:28" x14ac:dyDescent="0.3">
      <c r="A1233" s="5"/>
      <c r="B1233" s="5"/>
      <c r="C1233" s="5"/>
      <c r="D1233" s="5"/>
      <c r="E1233" s="12"/>
      <c r="F1233" s="5"/>
      <c r="G1233" s="5"/>
      <c r="H1233" s="5"/>
      <c r="I1233" s="5"/>
      <c r="J1233" s="5"/>
      <c r="L1233" s="5"/>
      <c r="M1233" s="5"/>
      <c r="P1233" s="5"/>
      <c r="Q1233" s="5"/>
      <c r="R1233" s="5"/>
      <c r="S1233" s="5"/>
      <c r="T1233" s="5"/>
      <c r="U1233" s="5"/>
      <c r="V1233" s="5"/>
      <c r="W1233" s="5"/>
      <c r="AA1233" s="14"/>
      <c r="AB1233" s="14"/>
    </row>
    <row r="1234" spans="1:28" x14ac:dyDescent="0.3">
      <c r="A1234" s="5"/>
      <c r="B1234" s="5"/>
      <c r="C1234" s="5"/>
      <c r="D1234" s="5"/>
      <c r="E1234" s="12"/>
      <c r="F1234" s="5"/>
      <c r="G1234" s="5"/>
      <c r="H1234" s="5"/>
      <c r="I1234" s="5"/>
      <c r="J1234" s="5"/>
      <c r="L1234" s="5"/>
      <c r="M1234" s="5"/>
      <c r="P1234" s="5"/>
      <c r="Q1234" s="5"/>
      <c r="R1234" s="5"/>
      <c r="S1234" s="5"/>
      <c r="T1234" s="5"/>
      <c r="U1234" s="5"/>
      <c r="V1234" s="5"/>
      <c r="W1234" s="5"/>
      <c r="AA1234" s="14"/>
      <c r="AB1234" s="14"/>
    </row>
    <row r="1235" spans="1:28" x14ac:dyDescent="0.3">
      <c r="A1235" s="5"/>
      <c r="B1235" s="5"/>
      <c r="C1235" s="5"/>
      <c r="D1235" s="5"/>
      <c r="E1235" s="12"/>
      <c r="F1235" s="5"/>
      <c r="G1235" s="5"/>
      <c r="H1235" s="5"/>
      <c r="I1235" s="5"/>
      <c r="J1235" s="5"/>
      <c r="L1235" s="5"/>
      <c r="M1235" s="5"/>
      <c r="P1235" s="5"/>
      <c r="Q1235" s="5"/>
      <c r="R1235" s="5"/>
      <c r="S1235" s="5"/>
      <c r="T1235" s="5"/>
      <c r="U1235" s="5"/>
      <c r="V1235" s="5"/>
      <c r="W1235" s="5"/>
      <c r="AA1235" s="14"/>
      <c r="AB1235" s="14"/>
    </row>
    <row r="1236" spans="1:28" x14ac:dyDescent="0.3">
      <c r="A1236" s="5"/>
      <c r="B1236" s="5"/>
      <c r="C1236" s="5"/>
      <c r="D1236" s="5"/>
      <c r="E1236" s="12"/>
      <c r="F1236" s="5"/>
      <c r="G1236" s="5"/>
      <c r="H1236" s="5"/>
      <c r="I1236" s="5"/>
      <c r="J1236" s="5"/>
      <c r="L1236" s="5"/>
      <c r="M1236" s="5"/>
      <c r="P1236" s="5"/>
      <c r="Q1236" s="5"/>
      <c r="R1236" s="5"/>
      <c r="S1236" s="5"/>
      <c r="T1236" s="5"/>
      <c r="U1236" s="5"/>
      <c r="V1236" s="5"/>
      <c r="W1236" s="5"/>
      <c r="AA1236" s="14"/>
      <c r="AB1236" s="14"/>
    </row>
    <row r="1237" spans="1:28" x14ac:dyDescent="0.3">
      <c r="A1237" s="5"/>
      <c r="B1237" s="5"/>
      <c r="C1237" s="5"/>
      <c r="D1237" s="5"/>
      <c r="E1237" s="12"/>
      <c r="F1237" s="5"/>
      <c r="G1237" s="5"/>
      <c r="H1237" s="5"/>
      <c r="I1237" s="5"/>
      <c r="J1237" s="5"/>
      <c r="L1237" s="5"/>
      <c r="M1237" s="5"/>
      <c r="P1237" s="5"/>
      <c r="Q1237" s="5"/>
      <c r="R1237" s="5"/>
      <c r="S1237" s="5"/>
      <c r="T1237" s="5"/>
      <c r="U1237" s="5"/>
      <c r="V1237" s="5"/>
      <c r="W1237" s="5"/>
      <c r="AA1237" s="14"/>
      <c r="AB1237" s="14"/>
    </row>
    <row r="1238" spans="1:28" x14ac:dyDescent="0.3">
      <c r="A1238" s="5"/>
      <c r="B1238" s="5"/>
      <c r="C1238" s="5"/>
      <c r="D1238" s="5"/>
      <c r="E1238" s="12"/>
      <c r="F1238" s="5"/>
      <c r="G1238" s="5"/>
      <c r="H1238" s="5"/>
      <c r="I1238" s="5"/>
      <c r="J1238" s="5"/>
      <c r="L1238" s="5"/>
      <c r="M1238" s="5"/>
      <c r="P1238" s="5"/>
      <c r="Q1238" s="5"/>
      <c r="R1238" s="5"/>
      <c r="S1238" s="5"/>
      <c r="T1238" s="5"/>
      <c r="U1238" s="5"/>
      <c r="V1238" s="5"/>
      <c r="W1238" s="5"/>
      <c r="AA1238" s="14"/>
      <c r="AB1238" s="14"/>
    </row>
    <row r="1239" spans="1:28" x14ac:dyDescent="0.3">
      <c r="A1239" s="5"/>
      <c r="B1239" s="5"/>
      <c r="C1239" s="5"/>
      <c r="D1239" s="5"/>
      <c r="E1239" s="12"/>
      <c r="F1239" s="5"/>
      <c r="G1239" s="5"/>
      <c r="H1239" s="5"/>
      <c r="I1239" s="5"/>
      <c r="J1239" s="5"/>
      <c r="L1239" s="5"/>
      <c r="M1239" s="5"/>
      <c r="P1239" s="5"/>
      <c r="Q1239" s="5"/>
      <c r="R1239" s="5"/>
      <c r="S1239" s="5"/>
      <c r="T1239" s="5"/>
      <c r="U1239" s="5"/>
      <c r="V1239" s="5"/>
      <c r="W1239" s="5"/>
      <c r="AA1239" s="14"/>
      <c r="AB1239" s="14"/>
    </row>
    <row r="1240" spans="1:28" x14ac:dyDescent="0.3">
      <c r="A1240" s="5"/>
      <c r="B1240" s="5"/>
      <c r="C1240" s="5"/>
      <c r="D1240" s="5"/>
      <c r="E1240" s="12"/>
      <c r="F1240" s="5"/>
      <c r="G1240" s="5"/>
      <c r="H1240" s="5"/>
      <c r="I1240" s="5"/>
      <c r="J1240" s="5"/>
      <c r="L1240" s="5"/>
      <c r="M1240" s="5"/>
      <c r="P1240" s="5"/>
      <c r="Q1240" s="5"/>
      <c r="R1240" s="5"/>
      <c r="S1240" s="5"/>
      <c r="T1240" s="5"/>
      <c r="U1240" s="5"/>
      <c r="V1240" s="5"/>
      <c r="W1240" s="5"/>
      <c r="AA1240" s="14"/>
      <c r="AB1240" s="14"/>
    </row>
    <row r="1241" spans="1:28" x14ac:dyDescent="0.3">
      <c r="A1241" s="5"/>
      <c r="B1241" s="5"/>
      <c r="C1241" s="5"/>
      <c r="D1241" s="5"/>
      <c r="E1241" s="12"/>
      <c r="F1241" s="5"/>
      <c r="G1241" s="5"/>
      <c r="H1241" s="5"/>
      <c r="I1241" s="5"/>
      <c r="J1241" s="5"/>
      <c r="L1241" s="5"/>
      <c r="M1241" s="5"/>
      <c r="P1241" s="5"/>
      <c r="Q1241" s="5"/>
      <c r="R1241" s="5"/>
      <c r="S1241" s="5"/>
      <c r="T1241" s="5"/>
      <c r="U1241" s="5"/>
      <c r="V1241" s="5"/>
      <c r="W1241" s="5"/>
      <c r="AA1241" s="14"/>
      <c r="AB1241" s="14"/>
    </row>
    <row r="1242" spans="1:28" x14ac:dyDescent="0.3">
      <c r="A1242" s="5"/>
      <c r="B1242" s="5"/>
      <c r="C1242" s="5"/>
      <c r="D1242" s="5"/>
      <c r="E1242" s="12"/>
      <c r="F1242" s="5"/>
      <c r="G1242" s="5"/>
      <c r="H1242" s="5"/>
      <c r="I1242" s="5"/>
      <c r="J1242" s="5"/>
      <c r="L1242" s="5"/>
      <c r="M1242" s="5"/>
      <c r="P1242" s="5"/>
      <c r="Q1242" s="5"/>
      <c r="R1242" s="5"/>
      <c r="S1242" s="5"/>
      <c r="T1242" s="5"/>
      <c r="U1242" s="5"/>
      <c r="V1242" s="5"/>
      <c r="W1242" s="5"/>
    </row>
    <row r="1243" spans="1:28" x14ac:dyDescent="0.3">
      <c r="A1243" s="5"/>
      <c r="B1243" s="5"/>
      <c r="C1243" s="5"/>
      <c r="D1243" s="5"/>
      <c r="E1243" s="12"/>
      <c r="F1243" s="5"/>
      <c r="G1243" s="5"/>
      <c r="H1243" s="5"/>
      <c r="I1243" s="5"/>
      <c r="J1243" s="5"/>
      <c r="L1243" s="5"/>
      <c r="M1243" s="5"/>
      <c r="P1243" s="5"/>
      <c r="Q1243" s="5"/>
      <c r="R1243" s="5"/>
      <c r="S1243" s="5"/>
      <c r="T1243" s="5"/>
      <c r="U1243" s="5"/>
      <c r="V1243" s="5"/>
      <c r="W1243" s="5"/>
    </row>
    <row r="1244" spans="1:28" x14ac:dyDescent="0.3">
      <c r="A1244" s="5"/>
      <c r="B1244" s="5"/>
      <c r="C1244" s="5"/>
      <c r="D1244" s="5"/>
      <c r="E1244" s="12"/>
      <c r="F1244" s="5"/>
      <c r="G1244" s="5"/>
      <c r="H1244" s="5"/>
      <c r="I1244" s="5"/>
      <c r="J1244" s="5"/>
      <c r="L1244" s="5"/>
      <c r="M1244" s="5"/>
      <c r="P1244" s="5"/>
      <c r="Q1244" s="5"/>
      <c r="R1244" s="5"/>
      <c r="S1244" s="5"/>
      <c r="T1244" s="5"/>
      <c r="U1244" s="5"/>
      <c r="V1244" s="5"/>
      <c r="W1244" s="5"/>
    </row>
    <row r="1245" spans="1:28" x14ac:dyDescent="0.3">
      <c r="A1245" s="5"/>
      <c r="B1245" s="5"/>
      <c r="C1245" s="5"/>
      <c r="D1245" s="5"/>
      <c r="E1245" s="12"/>
      <c r="F1245" s="5"/>
      <c r="G1245" s="5"/>
      <c r="H1245" s="5"/>
      <c r="I1245" s="5"/>
      <c r="J1245" s="5"/>
      <c r="L1245" s="5"/>
      <c r="M1245" s="5"/>
      <c r="P1245" s="5"/>
      <c r="Q1245" s="5"/>
      <c r="R1245" s="5"/>
      <c r="S1245" s="5"/>
      <c r="T1245" s="5"/>
      <c r="U1245" s="5"/>
      <c r="V1245" s="5"/>
      <c r="W1245" s="5"/>
    </row>
    <row r="1246" spans="1:28" x14ac:dyDescent="0.3">
      <c r="A1246" s="5"/>
      <c r="B1246" s="5"/>
      <c r="C1246" s="5"/>
      <c r="D1246" s="5"/>
      <c r="E1246" s="12"/>
      <c r="F1246" s="5"/>
      <c r="G1246" s="5"/>
      <c r="H1246" s="5"/>
      <c r="I1246" s="5"/>
      <c r="J1246" s="5"/>
      <c r="L1246" s="5"/>
      <c r="M1246" s="5"/>
      <c r="P1246" s="5"/>
      <c r="Q1246" s="5"/>
      <c r="R1246" s="5"/>
      <c r="S1246" s="5"/>
      <c r="T1246" s="5"/>
      <c r="U1246" s="5"/>
      <c r="V1246" s="5"/>
      <c r="W1246" s="5"/>
    </row>
    <row r="1247" spans="1:28" x14ac:dyDescent="0.3">
      <c r="A1247" s="5"/>
      <c r="B1247" s="5"/>
      <c r="C1247" s="5"/>
      <c r="D1247" s="5"/>
      <c r="E1247" s="12"/>
      <c r="F1247" s="5"/>
      <c r="G1247" s="5"/>
      <c r="H1247" s="5"/>
      <c r="I1247" s="5"/>
      <c r="J1247" s="5"/>
      <c r="L1247" s="5"/>
      <c r="M1247" s="5"/>
      <c r="P1247" s="5"/>
      <c r="Q1247" s="5"/>
      <c r="R1247" s="5"/>
      <c r="S1247" s="5"/>
      <c r="T1247" s="5"/>
      <c r="U1247" s="5"/>
      <c r="V1247" s="5"/>
      <c r="W1247" s="5"/>
    </row>
    <row r="1248" spans="1:28" x14ac:dyDescent="0.3">
      <c r="A1248" s="5"/>
      <c r="B1248" s="5"/>
      <c r="C1248" s="5"/>
      <c r="D1248" s="5"/>
      <c r="E1248" s="12"/>
      <c r="F1248" s="5"/>
      <c r="G1248" s="5"/>
      <c r="H1248" s="5"/>
      <c r="I1248" s="5"/>
      <c r="J1248" s="5"/>
      <c r="L1248" s="5"/>
      <c r="M1248" s="5"/>
      <c r="P1248" s="5"/>
      <c r="Q1248" s="5"/>
      <c r="R1248" s="5"/>
      <c r="S1248" s="5"/>
      <c r="T1248" s="5"/>
      <c r="U1248" s="5"/>
      <c r="V1248" s="5"/>
      <c r="W1248" s="5"/>
    </row>
    <row r="1249" spans="1:23" x14ac:dyDescent="0.3">
      <c r="A1249" s="5"/>
      <c r="B1249" s="5"/>
      <c r="C1249" s="5"/>
      <c r="D1249" s="5"/>
      <c r="E1249" s="12"/>
      <c r="F1249" s="5"/>
      <c r="G1249" s="5"/>
      <c r="H1249" s="5"/>
      <c r="I1249" s="5"/>
      <c r="J1249" s="5"/>
      <c r="L1249" s="5"/>
      <c r="M1249" s="5"/>
      <c r="P1249" s="5"/>
      <c r="Q1249" s="5"/>
      <c r="R1249" s="5"/>
      <c r="S1249" s="5"/>
      <c r="T1249" s="5"/>
      <c r="U1249" s="5"/>
      <c r="V1249" s="5"/>
      <c r="W1249" s="5"/>
    </row>
    <row r="1250" spans="1:23" x14ac:dyDescent="0.3">
      <c r="A1250" s="5"/>
      <c r="B1250" s="5"/>
      <c r="C1250" s="5"/>
      <c r="D1250" s="5"/>
      <c r="E1250" s="12"/>
      <c r="F1250" s="5"/>
      <c r="G1250" s="5"/>
      <c r="H1250" s="5"/>
      <c r="I1250" s="5"/>
      <c r="J1250" s="5"/>
      <c r="L1250" s="5"/>
      <c r="M1250" s="5"/>
      <c r="P1250" s="5"/>
      <c r="Q1250" s="5"/>
      <c r="R1250" s="5"/>
      <c r="S1250" s="5"/>
      <c r="T1250" s="5"/>
      <c r="U1250" s="5"/>
      <c r="V1250" s="5"/>
      <c r="W1250" s="5"/>
    </row>
    <row r="1251" spans="1:23" x14ac:dyDescent="0.3">
      <c r="A1251" s="5"/>
      <c r="B1251" s="5"/>
      <c r="C1251" s="5"/>
      <c r="D1251" s="5"/>
      <c r="E1251" s="12"/>
      <c r="F1251" s="5"/>
      <c r="G1251" s="5"/>
      <c r="H1251" s="5"/>
      <c r="I1251" s="5"/>
      <c r="J1251" s="5"/>
      <c r="L1251" s="5"/>
      <c r="M1251" s="5"/>
      <c r="P1251" s="5"/>
      <c r="Q1251" s="5"/>
      <c r="R1251" s="5"/>
      <c r="S1251" s="5"/>
      <c r="T1251" s="5"/>
      <c r="U1251" s="5"/>
      <c r="V1251" s="5"/>
      <c r="W1251" s="5"/>
    </row>
    <row r="1252" spans="1:23" x14ac:dyDescent="0.3">
      <c r="A1252" s="5"/>
      <c r="B1252" s="5"/>
      <c r="C1252" s="5"/>
      <c r="D1252" s="5"/>
      <c r="E1252" s="12"/>
      <c r="F1252" s="5"/>
      <c r="G1252" s="5"/>
      <c r="H1252" s="5"/>
      <c r="I1252" s="5"/>
      <c r="J1252" s="5"/>
      <c r="L1252" s="5"/>
      <c r="M1252" s="5"/>
      <c r="P1252" s="5"/>
      <c r="Q1252" s="5"/>
      <c r="R1252" s="5"/>
      <c r="S1252" s="5"/>
      <c r="T1252" s="5"/>
      <c r="U1252" s="5"/>
      <c r="V1252" s="5"/>
      <c r="W1252" s="5"/>
    </row>
    <row r="1253" spans="1:23" x14ac:dyDescent="0.3">
      <c r="A1253" s="5"/>
      <c r="B1253" s="5"/>
      <c r="C1253" s="5"/>
      <c r="D1253" s="5"/>
      <c r="E1253" s="12"/>
      <c r="F1253" s="5"/>
      <c r="G1253" s="5"/>
      <c r="H1253" s="5"/>
      <c r="I1253" s="5"/>
      <c r="J1253" s="5"/>
      <c r="L1253" s="5"/>
      <c r="M1253" s="5"/>
      <c r="P1253" s="5"/>
      <c r="Q1253" s="5"/>
      <c r="R1253" s="5"/>
      <c r="S1253" s="5"/>
      <c r="T1253" s="5"/>
      <c r="U1253" s="5"/>
      <c r="V1253" s="5"/>
      <c r="W1253" s="5"/>
    </row>
    <row r="1254" spans="1:23" x14ac:dyDescent="0.3">
      <c r="A1254" s="5"/>
      <c r="B1254" s="5"/>
      <c r="C1254" s="5"/>
      <c r="D1254" s="5"/>
      <c r="E1254" s="12"/>
      <c r="F1254" s="5"/>
      <c r="G1254" s="5"/>
      <c r="H1254" s="5"/>
      <c r="I1254" s="5"/>
      <c r="J1254" s="5"/>
      <c r="L1254" s="5"/>
      <c r="M1254" s="5"/>
      <c r="P1254" s="5"/>
      <c r="Q1254" s="5"/>
      <c r="R1254" s="5"/>
      <c r="S1254" s="5"/>
      <c r="T1254" s="5"/>
      <c r="U1254" s="5"/>
      <c r="V1254" s="5"/>
      <c r="W1254" s="5"/>
    </row>
    <row r="1255" spans="1:23" x14ac:dyDescent="0.3">
      <c r="A1255" s="5"/>
      <c r="B1255" s="5"/>
      <c r="C1255" s="5"/>
      <c r="D1255" s="5"/>
      <c r="E1255" s="12"/>
      <c r="F1255" s="5"/>
      <c r="G1255" s="5"/>
      <c r="H1255" s="5"/>
      <c r="I1255" s="5"/>
      <c r="J1255" s="5"/>
      <c r="L1255" s="5"/>
      <c r="M1255" s="5"/>
      <c r="P1255" s="5"/>
      <c r="Q1255" s="5"/>
      <c r="R1255" s="5"/>
      <c r="S1255" s="5"/>
      <c r="T1255" s="5"/>
      <c r="U1255" s="5"/>
      <c r="V1255" s="5"/>
      <c r="W1255" s="5"/>
    </row>
    <row r="1256" spans="1:23" x14ac:dyDescent="0.3">
      <c r="A1256" s="5"/>
      <c r="B1256" s="5"/>
      <c r="C1256" s="5"/>
      <c r="D1256" s="5"/>
      <c r="E1256" s="12"/>
      <c r="F1256" s="5"/>
      <c r="G1256" s="5"/>
      <c r="H1256" s="5"/>
      <c r="I1256" s="5"/>
      <c r="J1256" s="5"/>
      <c r="L1256" s="5"/>
      <c r="M1256" s="5"/>
      <c r="P1256" s="5"/>
      <c r="Q1256" s="5"/>
      <c r="R1256" s="5"/>
      <c r="S1256" s="5"/>
      <c r="T1256" s="5"/>
      <c r="U1256" s="5"/>
      <c r="V1256" s="5"/>
      <c r="W1256" s="5"/>
    </row>
    <row r="1257" spans="1:23" x14ac:dyDescent="0.3">
      <c r="A1257" s="5"/>
      <c r="B1257" s="5"/>
      <c r="C1257" s="5"/>
      <c r="D1257" s="5"/>
      <c r="E1257" s="12"/>
      <c r="F1257" s="5"/>
      <c r="G1257" s="5"/>
      <c r="H1257" s="5"/>
      <c r="I1257" s="5"/>
      <c r="J1257" s="5"/>
      <c r="L1257" s="5"/>
      <c r="M1257" s="5"/>
      <c r="P1257" s="5"/>
      <c r="Q1257" s="5"/>
      <c r="R1257" s="5"/>
      <c r="S1257" s="5"/>
      <c r="T1257" s="5"/>
      <c r="U1257" s="5"/>
      <c r="V1257" s="5"/>
      <c r="W1257" s="5"/>
    </row>
    <row r="1258" spans="1:23" x14ac:dyDescent="0.3">
      <c r="A1258" s="5"/>
      <c r="B1258" s="5"/>
      <c r="C1258" s="5"/>
      <c r="D1258" s="5"/>
      <c r="E1258" s="12"/>
      <c r="F1258" s="5"/>
      <c r="G1258" s="5"/>
      <c r="H1258" s="5"/>
      <c r="I1258" s="5"/>
      <c r="J1258" s="5"/>
      <c r="L1258" s="5"/>
      <c r="M1258" s="5"/>
      <c r="P1258" s="5"/>
      <c r="Q1258" s="5"/>
      <c r="R1258" s="5"/>
      <c r="S1258" s="5"/>
      <c r="T1258" s="5"/>
      <c r="U1258" s="5"/>
      <c r="V1258" s="5"/>
      <c r="W1258" s="5"/>
    </row>
    <row r="1259" spans="1:23" x14ac:dyDescent="0.3">
      <c r="A1259" s="5"/>
      <c r="B1259" s="5"/>
      <c r="C1259" s="5"/>
      <c r="D1259" s="5"/>
      <c r="E1259" s="12"/>
      <c r="F1259" s="5"/>
      <c r="G1259" s="5"/>
      <c r="H1259" s="5"/>
      <c r="I1259" s="5"/>
      <c r="J1259" s="5"/>
      <c r="L1259" s="5"/>
      <c r="M1259" s="5"/>
      <c r="P1259" s="5"/>
      <c r="Q1259" s="5"/>
      <c r="R1259" s="5"/>
      <c r="S1259" s="5"/>
      <c r="T1259" s="5"/>
      <c r="U1259" s="5"/>
      <c r="V1259" s="5"/>
      <c r="W1259" s="5"/>
    </row>
    <row r="1260" spans="1:23" x14ac:dyDescent="0.3">
      <c r="A1260" s="5"/>
      <c r="B1260" s="5"/>
      <c r="C1260" s="5"/>
      <c r="D1260" s="5"/>
      <c r="E1260" s="12"/>
      <c r="F1260" s="5"/>
      <c r="G1260" s="5"/>
      <c r="H1260" s="5"/>
      <c r="I1260" s="5"/>
      <c r="J1260" s="5"/>
      <c r="L1260" s="5"/>
      <c r="M1260" s="5"/>
      <c r="P1260" s="5"/>
      <c r="Q1260" s="5"/>
      <c r="R1260" s="5"/>
      <c r="S1260" s="5"/>
      <c r="T1260" s="5"/>
      <c r="U1260" s="5"/>
      <c r="V1260" s="5"/>
      <c r="W1260" s="5"/>
    </row>
    <row r="1261" spans="1:23" x14ac:dyDescent="0.3">
      <c r="A1261" s="5"/>
      <c r="B1261" s="5"/>
      <c r="C1261" s="5"/>
      <c r="D1261" s="5"/>
      <c r="E1261" s="12"/>
      <c r="F1261" s="5"/>
      <c r="G1261" s="5"/>
      <c r="H1261" s="5"/>
      <c r="I1261" s="5"/>
      <c r="J1261" s="5"/>
      <c r="L1261" s="5"/>
      <c r="M1261" s="5"/>
      <c r="P1261" s="5"/>
      <c r="Q1261" s="5"/>
      <c r="R1261" s="5"/>
      <c r="S1261" s="5"/>
      <c r="T1261" s="5"/>
      <c r="U1261" s="5"/>
      <c r="V1261" s="5"/>
      <c r="W1261" s="5"/>
    </row>
    <row r="1262" spans="1:23" x14ac:dyDescent="0.3">
      <c r="A1262" s="5"/>
      <c r="B1262" s="5"/>
      <c r="C1262" s="5"/>
      <c r="D1262" s="5"/>
      <c r="E1262" s="12"/>
      <c r="F1262" s="5"/>
      <c r="G1262" s="5"/>
      <c r="H1262" s="5"/>
      <c r="I1262" s="5"/>
      <c r="J1262" s="5"/>
      <c r="L1262" s="5"/>
      <c r="M1262" s="5"/>
      <c r="P1262" s="5"/>
      <c r="Q1262" s="5"/>
      <c r="R1262" s="5"/>
      <c r="S1262" s="5"/>
      <c r="T1262" s="5"/>
      <c r="U1262" s="5"/>
      <c r="V1262" s="5"/>
      <c r="W1262" s="5"/>
    </row>
    <row r="1263" spans="1:23" x14ac:dyDescent="0.3">
      <c r="A1263" s="5"/>
      <c r="B1263" s="5"/>
      <c r="C1263" s="5"/>
      <c r="D1263" s="5"/>
      <c r="E1263" s="12"/>
      <c r="F1263" s="5"/>
      <c r="G1263" s="5"/>
      <c r="H1263" s="5"/>
      <c r="I1263" s="5"/>
      <c r="J1263" s="5"/>
      <c r="L1263" s="5"/>
      <c r="M1263" s="5"/>
      <c r="P1263" s="5"/>
      <c r="Q1263" s="5"/>
      <c r="R1263" s="5"/>
      <c r="S1263" s="5"/>
      <c r="T1263" s="5"/>
      <c r="U1263" s="5"/>
      <c r="V1263" s="5"/>
      <c r="W1263" s="5"/>
    </row>
    <row r="1264" spans="1:23" x14ac:dyDescent="0.3">
      <c r="A1264" s="5"/>
      <c r="B1264" s="5"/>
      <c r="C1264" s="5"/>
      <c r="D1264" s="5"/>
      <c r="E1264" s="12"/>
      <c r="F1264" s="5"/>
      <c r="G1264" s="5"/>
      <c r="H1264" s="5"/>
      <c r="I1264" s="5"/>
      <c r="J1264" s="5"/>
      <c r="L1264" s="5"/>
      <c r="M1264" s="5"/>
      <c r="P1264" s="5"/>
      <c r="Q1264" s="5"/>
      <c r="R1264" s="5"/>
      <c r="S1264" s="5"/>
      <c r="T1264" s="5"/>
      <c r="U1264" s="5"/>
      <c r="V1264" s="5"/>
      <c r="W1264" s="5"/>
    </row>
    <row r="1265" spans="1:28" x14ac:dyDescent="0.3">
      <c r="A1265" s="5"/>
      <c r="B1265" s="5"/>
      <c r="C1265" s="5"/>
      <c r="D1265" s="5"/>
      <c r="E1265" s="12"/>
      <c r="F1265" s="5"/>
      <c r="G1265" s="5"/>
      <c r="H1265" s="5"/>
      <c r="I1265" s="5"/>
      <c r="J1265" s="5"/>
      <c r="L1265" s="5"/>
      <c r="M1265" s="5"/>
      <c r="P1265" s="5"/>
      <c r="Q1265" s="5"/>
      <c r="R1265" s="5"/>
      <c r="S1265" s="5"/>
      <c r="T1265" s="5"/>
      <c r="U1265" s="5"/>
      <c r="V1265" s="5"/>
      <c r="W1265" s="5"/>
    </row>
    <row r="1266" spans="1:28" x14ac:dyDescent="0.3">
      <c r="A1266" s="5"/>
      <c r="B1266" s="5"/>
      <c r="C1266" s="5"/>
      <c r="D1266" s="5"/>
      <c r="E1266" s="12"/>
      <c r="F1266" s="5"/>
      <c r="G1266" s="5"/>
      <c r="H1266" s="5"/>
      <c r="I1266" s="5"/>
      <c r="J1266" s="5"/>
      <c r="L1266" s="5"/>
      <c r="M1266" s="5"/>
      <c r="P1266" s="5"/>
      <c r="Q1266" s="5"/>
      <c r="R1266" s="5"/>
      <c r="S1266" s="5"/>
      <c r="T1266" s="5"/>
      <c r="U1266" s="5"/>
      <c r="V1266" s="5"/>
      <c r="W1266" s="5"/>
    </row>
    <row r="1267" spans="1:28" x14ac:dyDescent="0.3">
      <c r="A1267" s="5"/>
      <c r="B1267" s="5"/>
      <c r="C1267" s="5"/>
      <c r="D1267" s="5"/>
      <c r="E1267" s="12"/>
      <c r="F1267" s="5"/>
      <c r="G1267" s="5"/>
      <c r="H1267" s="5"/>
      <c r="I1267" s="5"/>
      <c r="J1267" s="5"/>
      <c r="L1267" s="5"/>
      <c r="M1267" s="5"/>
      <c r="P1267" s="5"/>
      <c r="Q1267" s="5"/>
      <c r="R1267" s="5"/>
      <c r="S1267" s="5"/>
      <c r="T1267" s="5"/>
      <c r="U1267" s="5"/>
      <c r="V1267" s="5"/>
      <c r="W1267" s="5"/>
    </row>
    <row r="1268" spans="1:28" x14ac:dyDescent="0.3">
      <c r="A1268" s="5"/>
      <c r="B1268" s="5"/>
      <c r="C1268" s="5"/>
      <c r="D1268" s="5"/>
      <c r="E1268" s="12"/>
      <c r="F1268" s="5"/>
      <c r="G1268" s="5"/>
      <c r="H1268" s="5"/>
      <c r="I1268" s="5"/>
      <c r="J1268" s="5"/>
      <c r="L1268" s="5"/>
      <c r="M1268" s="5"/>
      <c r="P1268" s="5"/>
      <c r="Q1268" s="5"/>
      <c r="R1268" s="5"/>
      <c r="S1268" s="5"/>
      <c r="T1268" s="5"/>
      <c r="U1268" s="5"/>
      <c r="V1268" s="5"/>
      <c r="W1268" s="5"/>
    </row>
    <row r="1269" spans="1:28" x14ac:dyDescent="0.3">
      <c r="A1269" s="5"/>
      <c r="B1269" s="5"/>
      <c r="C1269" s="5"/>
      <c r="D1269" s="5"/>
      <c r="E1269" s="12"/>
      <c r="F1269" s="5"/>
      <c r="G1269" s="5"/>
      <c r="H1269" s="5"/>
      <c r="I1269" s="5"/>
      <c r="J1269" s="5"/>
      <c r="L1269" s="5"/>
      <c r="M1269" s="5"/>
      <c r="P1269" s="5"/>
      <c r="Q1269" s="5"/>
      <c r="R1269" s="5"/>
      <c r="S1269" s="5"/>
      <c r="T1269" s="5"/>
      <c r="U1269" s="5"/>
      <c r="V1269" s="5"/>
      <c r="W1269" s="5"/>
    </row>
    <row r="1270" spans="1:28" x14ac:dyDescent="0.3">
      <c r="A1270" s="5"/>
      <c r="B1270" s="5"/>
      <c r="C1270" s="5"/>
      <c r="D1270" s="5"/>
      <c r="E1270" s="12"/>
      <c r="F1270" s="5"/>
      <c r="G1270" s="5"/>
      <c r="H1270" s="5"/>
      <c r="I1270" s="5"/>
      <c r="J1270" s="5"/>
      <c r="L1270" s="5"/>
      <c r="M1270" s="5"/>
      <c r="P1270" s="5"/>
      <c r="Q1270" s="5"/>
      <c r="R1270" s="5"/>
      <c r="S1270" s="5"/>
      <c r="T1270" s="5"/>
      <c r="U1270" s="5"/>
      <c r="V1270" s="5"/>
      <c r="W1270" s="5"/>
    </row>
    <row r="1271" spans="1:28" x14ac:dyDescent="0.3">
      <c r="A1271" s="5"/>
      <c r="B1271" s="5"/>
      <c r="C1271" s="5"/>
      <c r="D1271" s="5"/>
      <c r="E1271" s="12"/>
      <c r="F1271" s="5"/>
      <c r="G1271" s="5"/>
      <c r="H1271" s="5"/>
      <c r="I1271" s="5"/>
      <c r="J1271" s="5"/>
      <c r="L1271" s="5"/>
      <c r="M1271" s="5"/>
      <c r="P1271" s="5"/>
      <c r="Q1271" s="5"/>
      <c r="R1271" s="5"/>
      <c r="S1271" s="5"/>
      <c r="T1271" s="5"/>
      <c r="U1271" s="5"/>
      <c r="V1271" s="5"/>
      <c r="W1271" s="5"/>
    </row>
    <row r="1272" spans="1:28" x14ac:dyDescent="0.3">
      <c r="A1272" s="5"/>
      <c r="B1272" s="5"/>
      <c r="C1272" s="5"/>
      <c r="D1272" s="5"/>
      <c r="E1272" s="12"/>
      <c r="F1272" s="5"/>
      <c r="G1272" s="5"/>
      <c r="H1272" s="5"/>
      <c r="I1272" s="5"/>
      <c r="J1272" s="5"/>
      <c r="L1272" s="5"/>
      <c r="M1272" s="5"/>
      <c r="P1272" s="5"/>
      <c r="Q1272" s="5"/>
      <c r="R1272" s="5"/>
      <c r="S1272" s="5"/>
      <c r="T1272" s="5"/>
      <c r="U1272" s="5"/>
      <c r="V1272" s="5"/>
      <c r="W1272" s="5"/>
    </row>
    <row r="1273" spans="1:28" x14ac:dyDescent="0.3">
      <c r="A1273" s="5"/>
      <c r="B1273" s="5"/>
      <c r="C1273" s="5"/>
      <c r="D1273" s="5"/>
      <c r="E1273" s="12"/>
      <c r="F1273" s="5"/>
      <c r="G1273" s="5"/>
      <c r="H1273" s="5"/>
      <c r="I1273" s="5"/>
      <c r="J1273" s="5"/>
      <c r="L1273" s="5"/>
      <c r="M1273" s="5"/>
      <c r="P1273" s="5"/>
      <c r="Q1273" s="5"/>
      <c r="R1273" s="5"/>
      <c r="S1273" s="5"/>
      <c r="T1273" s="5"/>
      <c r="U1273" s="5"/>
      <c r="V1273" s="5"/>
      <c r="W1273" s="5"/>
    </row>
    <row r="1274" spans="1:28" x14ac:dyDescent="0.3">
      <c r="A1274" s="5"/>
      <c r="B1274" s="5"/>
      <c r="C1274" s="5"/>
      <c r="D1274" s="5"/>
      <c r="E1274" s="12"/>
      <c r="F1274" s="5"/>
      <c r="G1274" s="5"/>
      <c r="H1274" s="5"/>
      <c r="I1274" s="5"/>
      <c r="J1274" s="5"/>
      <c r="L1274" s="5"/>
      <c r="M1274" s="5"/>
      <c r="P1274" s="5"/>
      <c r="Q1274" s="5"/>
      <c r="R1274" s="5"/>
      <c r="S1274" s="5"/>
      <c r="T1274" s="5"/>
      <c r="U1274" s="5"/>
      <c r="V1274" s="5"/>
      <c r="W1274" s="5"/>
    </row>
    <row r="1275" spans="1:28" x14ac:dyDescent="0.3">
      <c r="A1275" s="5"/>
      <c r="B1275" s="5"/>
      <c r="C1275" s="5"/>
      <c r="D1275" s="5"/>
      <c r="E1275" s="12"/>
      <c r="F1275" s="5"/>
      <c r="G1275" s="5"/>
      <c r="H1275" s="5"/>
      <c r="I1275" s="5"/>
      <c r="J1275" s="5"/>
      <c r="L1275" s="5"/>
      <c r="M1275" s="5"/>
      <c r="P1275" s="5"/>
      <c r="Q1275" s="5"/>
      <c r="R1275" s="5"/>
      <c r="S1275" s="5"/>
      <c r="T1275" s="5"/>
      <c r="U1275" s="5"/>
      <c r="V1275" s="5"/>
      <c r="W1275" s="5"/>
    </row>
    <row r="1276" spans="1:28" x14ac:dyDescent="0.3">
      <c r="A1276" s="5"/>
      <c r="B1276" s="5"/>
      <c r="C1276" s="5"/>
      <c r="D1276" s="5"/>
      <c r="E1276" s="12"/>
      <c r="F1276" s="5"/>
      <c r="G1276" s="5"/>
      <c r="H1276" s="5"/>
      <c r="I1276" s="5"/>
      <c r="J1276" s="5"/>
      <c r="L1276" s="5"/>
      <c r="M1276" s="5"/>
      <c r="P1276" s="5"/>
      <c r="Q1276" s="5"/>
      <c r="R1276" s="5"/>
      <c r="S1276" s="5"/>
      <c r="T1276" s="5"/>
      <c r="U1276" s="5"/>
      <c r="V1276" s="5"/>
      <c r="W1276" s="5"/>
    </row>
    <row r="1277" spans="1:28" x14ac:dyDescent="0.3">
      <c r="A1277" s="5"/>
      <c r="B1277" s="5"/>
      <c r="C1277" s="5"/>
      <c r="D1277" s="5"/>
      <c r="E1277" s="12"/>
      <c r="F1277" s="5"/>
      <c r="G1277" s="5"/>
      <c r="H1277" s="5"/>
      <c r="I1277" s="5"/>
      <c r="J1277" s="5"/>
      <c r="L1277" s="5"/>
      <c r="M1277" s="5"/>
      <c r="P1277" s="5"/>
      <c r="Q1277" s="5"/>
      <c r="R1277" s="5"/>
      <c r="S1277" s="5"/>
      <c r="T1277" s="5"/>
      <c r="U1277" s="5"/>
      <c r="V1277" s="5"/>
      <c r="W1277" s="5"/>
    </row>
    <row r="1278" spans="1:28" x14ac:dyDescent="0.3">
      <c r="A1278" s="5"/>
      <c r="B1278" s="5"/>
      <c r="C1278" s="5"/>
      <c r="D1278" s="5"/>
      <c r="E1278" s="12"/>
      <c r="F1278" s="5"/>
      <c r="G1278" s="5"/>
      <c r="H1278" s="5"/>
      <c r="I1278" s="5"/>
      <c r="J1278" s="5"/>
      <c r="L1278" s="5"/>
      <c r="M1278" s="5"/>
      <c r="P1278" s="5"/>
      <c r="Q1278" s="5"/>
      <c r="R1278" s="5"/>
      <c r="S1278" s="5"/>
      <c r="T1278" s="5"/>
      <c r="U1278" s="5"/>
      <c r="V1278" s="5"/>
      <c r="W1278" s="5"/>
    </row>
    <row r="1279" spans="1:28" x14ac:dyDescent="0.3">
      <c r="A1279" s="5"/>
      <c r="B1279" s="5"/>
      <c r="C1279" s="5"/>
      <c r="D1279" s="5"/>
      <c r="E1279" s="12"/>
      <c r="F1279" s="5"/>
      <c r="G1279" s="5"/>
      <c r="H1279" s="5"/>
      <c r="I1279" s="5"/>
      <c r="J1279" s="5"/>
      <c r="L1279" s="5"/>
      <c r="M1279" s="5"/>
      <c r="P1279" s="5"/>
      <c r="Q1279" s="5"/>
      <c r="R1279" s="5"/>
      <c r="S1279" s="5"/>
      <c r="T1279" s="5"/>
      <c r="U1279" s="5"/>
      <c r="V1279" s="5"/>
      <c r="W1279" s="5"/>
    </row>
    <row r="1280" spans="1:28" x14ac:dyDescent="0.3">
      <c r="A1280" s="5"/>
      <c r="B1280" s="5"/>
      <c r="C1280" s="5"/>
      <c r="D1280" s="5"/>
      <c r="E1280" s="12"/>
      <c r="F1280" s="5"/>
      <c r="G1280" s="5"/>
      <c r="H1280" s="5"/>
      <c r="I1280" s="5"/>
      <c r="J1280" s="5"/>
      <c r="L1280" s="5"/>
      <c r="M1280" s="5"/>
      <c r="P1280" s="5"/>
      <c r="Q1280" s="5"/>
      <c r="R1280" s="5"/>
      <c r="S1280" s="5"/>
      <c r="T1280" s="5"/>
      <c r="U1280" s="5"/>
      <c r="V1280" s="5"/>
      <c r="W1280" s="5"/>
      <c r="AA1280" s="5"/>
      <c r="AB1280" s="5"/>
    </row>
    <row r="1281" spans="1:28" x14ac:dyDescent="0.3">
      <c r="A1281" s="5"/>
      <c r="B1281" s="5"/>
      <c r="C1281" s="5"/>
      <c r="D1281" s="5"/>
      <c r="E1281" s="12"/>
      <c r="F1281" s="5"/>
      <c r="G1281" s="5"/>
      <c r="H1281" s="5"/>
      <c r="I1281" s="5"/>
      <c r="J1281" s="5"/>
      <c r="L1281" s="5"/>
      <c r="M1281" s="5"/>
      <c r="P1281" s="5"/>
      <c r="Q1281" s="5"/>
      <c r="R1281" s="5"/>
      <c r="S1281" s="5"/>
      <c r="T1281" s="5"/>
      <c r="U1281" s="5"/>
      <c r="V1281" s="5"/>
      <c r="W1281" s="5"/>
      <c r="AA1281" s="13"/>
      <c r="AB1281" s="13"/>
    </row>
    <row r="1282" spans="1:28" x14ac:dyDescent="0.3">
      <c r="A1282" s="5"/>
      <c r="B1282" s="5"/>
      <c r="C1282" s="5"/>
      <c r="D1282" s="5"/>
      <c r="E1282" s="12"/>
      <c r="F1282" s="5"/>
      <c r="G1282" s="5"/>
      <c r="H1282" s="5"/>
      <c r="I1282" s="5"/>
      <c r="J1282" s="5"/>
      <c r="L1282" s="5"/>
      <c r="M1282" s="5"/>
      <c r="P1282" s="5"/>
      <c r="Q1282" s="5"/>
      <c r="R1282" s="5"/>
      <c r="S1282" s="5"/>
      <c r="T1282" s="5"/>
      <c r="U1282" s="5"/>
      <c r="V1282" s="5"/>
      <c r="W1282" s="5"/>
      <c r="AA1282" s="5"/>
      <c r="AB1282" s="5"/>
    </row>
    <row r="1283" spans="1:28" x14ac:dyDescent="0.3">
      <c r="A1283" s="5"/>
      <c r="B1283" s="5"/>
      <c r="C1283" s="5"/>
      <c r="D1283" s="5"/>
      <c r="E1283" s="12"/>
      <c r="F1283" s="5"/>
      <c r="G1283" s="5"/>
      <c r="H1283" s="5"/>
      <c r="I1283" s="5"/>
      <c r="J1283" s="5"/>
      <c r="L1283" s="5"/>
      <c r="M1283" s="5"/>
      <c r="P1283" s="5"/>
      <c r="Q1283" s="5"/>
      <c r="R1283" s="5"/>
      <c r="S1283" s="5"/>
      <c r="T1283" s="5"/>
      <c r="U1283" s="5"/>
      <c r="V1283" s="5"/>
      <c r="W1283" s="5"/>
      <c r="AA1283" s="5"/>
      <c r="AB1283" s="5"/>
    </row>
    <row r="1284" spans="1:28" x14ac:dyDescent="0.3">
      <c r="A1284" s="5"/>
      <c r="B1284" s="5"/>
      <c r="C1284" s="5"/>
      <c r="D1284" s="5"/>
      <c r="E1284" s="12"/>
      <c r="F1284" s="5"/>
      <c r="G1284" s="5"/>
      <c r="H1284" s="5"/>
      <c r="I1284" s="5"/>
      <c r="J1284" s="5"/>
      <c r="L1284" s="5"/>
      <c r="M1284" s="5"/>
      <c r="P1284" s="5"/>
      <c r="Q1284" s="5"/>
      <c r="R1284" s="5"/>
      <c r="S1284" s="5"/>
      <c r="T1284" s="5"/>
      <c r="U1284" s="5"/>
      <c r="V1284" s="5"/>
      <c r="W1284" s="5"/>
    </row>
    <row r="1285" spans="1:28" x14ac:dyDescent="0.3">
      <c r="A1285" s="5"/>
      <c r="B1285" s="5"/>
      <c r="C1285" s="5"/>
      <c r="D1285" s="5"/>
      <c r="E1285" s="12"/>
      <c r="F1285" s="5"/>
      <c r="G1285" s="5"/>
      <c r="H1285" s="5"/>
      <c r="I1285" s="5"/>
      <c r="J1285" s="5"/>
      <c r="L1285" s="5"/>
      <c r="M1285" s="5"/>
      <c r="P1285" s="5"/>
      <c r="Q1285" s="5"/>
      <c r="R1285" s="5"/>
      <c r="S1285" s="5"/>
      <c r="T1285" s="5"/>
      <c r="U1285" s="5"/>
      <c r="V1285" s="5"/>
      <c r="W1285" s="5"/>
    </row>
    <row r="1286" spans="1:28" x14ac:dyDescent="0.3">
      <c r="A1286" s="5"/>
      <c r="B1286" s="5"/>
      <c r="C1286" s="5"/>
      <c r="D1286" s="5"/>
      <c r="E1286" s="12"/>
      <c r="F1286" s="5"/>
      <c r="G1286" s="5"/>
      <c r="H1286" s="5"/>
      <c r="I1286" s="5"/>
      <c r="J1286" s="5"/>
      <c r="L1286" s="5"/>
      <c r="M1286" s="5"/>
      <c r="P1286" s="5"/>
      <c r="Q1286" s="5"/>
      <c r="R1286" s="5"/>
      <c r="S1286" s="5"/>
      <c r="T1286" s="5"/>
      <c r="U1286" s="5"/>
      <c r="V1286" s="5"/>
      <c r="W1286" s="5"/>
      <c r="AA1286" s="16"/>
      <c r="AB1286" s="16"/>
    </row>
    <row r="1287" spans="1:28" x14ac:dyDescent="0.3">
      <c r="A1287" s="5"/>
      <c r="B1287" s="5"/>
      <c r="C1287" s="5"/>
      <c r="D1287" s="5"/>
      <c r="E1287" s="12"/>
      <c r="F1287" s="5"/>
      <c r="G1287" s="5"/>
      <c r="H1287" s="5"/>
      <c r="I1287" s="5"/>
      <c r="J1287" s="5"/>
      <c r="L1287" s="5"/>
      <c r="M1287" s="5"/>
      <c r="P1287" s="5"/>
      <c r="Q1287" s="5"/>
      <c r="R1287" s="5"/>
      <c r="S1287" s="5"/>
      <c r="T1287" s="5"/>
      <c r="U1287" s="5"/>
      <c r="V1287" s="5"/>
      <c r="W1287" s="5"/>
      <c r="AA1287" s="14"/>
      <c r="AB1287" s="14"/>
    </row>
    <row r="1288" spans="1:28" x14ac:dyDescent="0.3">
      <c r="A1288" s="5"/>
      <c r="B1288" s="5"/>
      <c r="C1288" s="5"/>
      <c r="D1288" s="5"/>
      <c r="E1288" s="12"/>
      <c r="F1288" s="5"/>
      <c r="G1288" s="5"/>
      <c r="H1288" s="5"/>
      <c r="I1288" s="5"/>
      <c r="J1288" s="5"/>
      <c r="L1288" s="5"/>
      <c r="M1288" s="5"/>
      <c r="P1288" s="5"/>
      <c r="Q1288" s="5"/>
      <c r="R1288" s="5"/>
      <c r="S1288" s="5"/>
      <c r="T1288" s="5"/>
      <c r="U1288" s="5"/>
      <c r="V1288" s="5"/>
      <c r="W1288" s="5"/>
      <c r="AA1288" s="14"/>
      <c r="AB1288" s="14"/>
    </row>
    <row r="1289" spans="1:28" x14ac:dyDescent="0.3">
      <c r="A1289" s="5"/>
      <c r="B1289" s="5"/>
      <c r="C1289" s="5"/>
      <c r="D1289" s="5"/>
      <c r="E1289" s="12"/>
      <c r="F1289" s="5"/>
      <c r="G1289" s="5"/>
      <c r="H1289" s="5"/>
      <c r="I1289" s="5"/>
      <c r="J1289" s="5"/>
      <c r="L1289" s="5"/>
      <c r="M1289" s="5"/>
      <c r="P1289" s="5"/>
      <c r="Q1289" s="5"/>
      <c r="R1289" s="5"/>
      <c r="S1289" s="5"/>
      <c r="T1289" s="5"/>
      <c r="U1289" s="5"/>
      <c r="V1289" s="5"/>
      <c r="W1289" s="5"/>
      <c r="AA1289" s="15"/>
      <c r="AB1289" s="15"/>
    </row>
    <row r="1290" spans="1:28" x14ac:dyDescent="0.3">
      <c r="A1290" s="5"/>
      <c r="B1290" s="5"/>
      <c r="C1290" s="5"/>
      <c r="D1290" s="5"/>
      <c r="E1290" s="12"/>
      <c r="F1290" s="5"/>
      <c r="G1290" s="5"/>
      <c r="H1290" s="5"/>
      <c r="I1290" s="5"/>
      <c r="J1290" s="5"/>
      <c r="L1290" s="5"/>
      <c r="M1290" s="5"/>
      <c r="P1290" s="5"/>
      <c r="Q1290" s="5"/>
      <c r="R1290" s="5"/>
      <c r="S1290" s="5"/>
      <c r="T1290" s="5"/>
      <c r="U1290" s="5"/>
      <c r="V1290" s="5"/>
      <c r="W1290" s="5"/>
      <c r="AA1290" s="14"/>
      <c r="AB1290" s="14"/>
    </row>
    <row r="1291" spans="1:28" x14ac:dyDescent="0.3">
      <c r="A1291" s="5"/>
      <c r="B1291" s="5"/>
      <c r="C1291" s="5"/>
      <c r="D1291" s="5"/>
      <c r="E1291" s="12"/>
      <c r="F1291" s="5"/>
      <c r="G1291" s="5"/>
      <c r="H1291" s="5"/>
      <c r="I1291" s="5"/>
      <c r="J1291" s="5"/>
      <c r="L1291" s="5"/>
      <c r="M1291" s="5"/>
      <c r="P1291" s="5"/>
      <c r="Q1291" s="5"/>
      <c r="R1291" s="5"/>
      <c r="S1291" s="5"/>
      <c r="T1291" s="5"/>
      <c r="U1291" s="5"/>
      <c r="V1291" s="5"/>
      <c r="W1291" s="5"/>
    </row>
    <row r="1292" spans="1:28" x14ac:dyDescent="0.3">
      <c r="A1292" s="5"/>
      <c r="B1292" s="5"/>
      <c r="C1292" s="5"/>
      <c r="D1292" s="5"/>
      <c r="E1292" s="12"/>
      <c r="F1292" s="5"/>
      <c r="G1292" s="5"/>
      <c r="H1292" s="5"/>
      <c r="I1292" s="5"/>
      <c r="J1292" s="5"/>
      <c r="L1292" s="5"/>
      <c r="M1292" s="5"/>
      <c r="P1292" s="5"/>
      <c r="Q1292" s="5"/>
      <c r="R1292" s="5"/>
      <c r="S1292" s="5"/>
      <c r="T1292" s="5"/>
      <c r="U1292" s="5"/>
      <c r="V1292" s="5"/>
      <c r="W1292" s="5"/>
    </row>
    <row r="1293" spans="1:28" x14ac:dyDescent="0.3">
      <c r="A1293" s="5"/>
      <c r="B1293" s="5"/>
      <c r="C1293" s="5"/>
      <c r="D1293" s="5"/>
      <c r="E1293" s="12"/>
      <c r="F1293" s="5"/>
      <c r="G1293" s="5"/>
      <c r="H1293" s="5"/>
      <c r="I1293" s="5"/>
      <c r="J1293" s="5"/>
      <c r="L1293" s="5"/>
      <c r="M1293" s="5"/>
      <c r="P1293" s="5"/>
      <c r="Q1293" s="5"/>
      <c r="R1293" s="5"/>
      <c r="S1293" s="5"/>
      <c r="T1293" s="5"/>
      <c r="U1293" s="5"/>
      <c r="V1293" s="5"/>
      <c r="W1293" s="5"/>
    </row>
    <row r="1294" spans="1:28" x14ac:dyDescent="0.3">
      <c r="A1294" s="5"/>
      <c r="B1294" s="5"/>
      <c r="C1294" s="5"/>
      <c r="D1294" s="5"/>
      <c r="E1294" s="12"/>
      <c r="F1294" s="5"/>
      <c r="G1294" s="5"/>
      <c r="H1294" s="5"/>
      <c r="I1294" s="5"/>
      <c r="J1294" s="5"/>
      <c r="L1294" s="5"/>
      <c r="M1294" s="5"/>
      <c r="P1294" s="5"/>
      <c r="Q1294" s="5"/>
      <c r="R1294" s="5"/>
      <c r="S1294" s="5"/>
      <c r="T1294" s="5"/>
      <c r="U1294" s="5"/>
      <c r="V1294" s="5"/>
      <c r="W1294" s="5"/>
    </row>
    <row r="1295" spans="1:28" x14ac:dyDescent="0.3">
      <c r="A1295" s="5"/>
      <c r="B1295" s="5"/>
      <c r="C1295" s="5"/>
      <c r="D1295" s="5"/>
      <c r="E1295" s="12"/>
      <c r="F1295" s="5"/>
      <c r="G1295" s="5"/>
      <c r="H1295" s="5"/>
      <c r="I1295" s="5"/>
      <c r="J1295" s="5"/>
      <c r="L1295" s="5"/>
      <c r="M1295" s="5"/>
      <c r="P1295" s="5"/>
      <c r="Q1295" s="5"/>
      <c r="R1295" s="5"/>
      <c r="S1295" s="5"/>
      <c r="T1295" s="5"/>
      <c r="U1295" s="5"/>
      <c r="V1295" s="5"/>
      <c r="W1295" s="5"/>
    </row>
    <row r="1296" spans="1:28" x14ac:dyDescent="0.3">
      <c r="A1296" s="5"/>
      <c r="B1296" s="5"/>
      <c r="C1296" s="5"/>
      <c r="D1296" s="5"/>
      <c r="E1296" s="12"/>
      <c r="F1296" s="5"/>
      <c r="G1296" s="5"/>
      <c r="H1296" s="5"/>
      <c r="I1296" s="5"/>
      <c r="J1296" s="5"/>
      <c r="L1296" s="5"/>
      <c r="M1296" s="5"/>
      <c r="P1296" s="5"/>
      <c r="Q1296" s="5"/>
      <c r="R1296" s="5"/>
      <c r="S1296" s="5"/>
      <c r="T1296" s="5"/>
      <c r="U1296" s="5"/>
      <c r="V1296" s="5"/>
      <c r="W1296" s="5"/>
      <c r="AA1296" s="14"/>
      <c r="AB1296" s="14"/>
    </row>
    <row r="1297" spans="1:28" x14ac:dyDescent="0.3">
      <c r="A1297" s="5"/>
      <c r="B1297" s="5"/>
      <c r="C1297" s="5"/>
      <c r="D1297" s="5"/>
      <c r="E1297" s="12"/>
      <c r="F1297" s="5"/>
      <c r="G1297" s="5"/>
      <c r="H1297" s="5"/>
      <c r="I1297" s="5"/>
      <c r="J1297" s="5"/>
      <c r="L1297" s="5"/>
      <c r="M1297" s="5"/>
      <c r="P1297" s="5"/>
      <c r="Q1297" s="5"/>
      <c r="R1297" s="5"/>
      <c r="S1297" s="5"/>
      <c r="T1297" s="5"/>
      <c r="U1297" s="5"/>
      <c r="V1297" s="5"/>
      <c r="W1297" s="5"/>
      <c r="AA1297" s="14"/>
      <c r="AB1297" s="14"/>
    </row>
    <row r="1298" spans="1:28" x14ac:dyDescent="0.3">
      <c r="A1298" s="5"/>
      <c r="B1298" s="5"/>
      <c r="C1298" s="5"/>
      <c r="D1298" s="5"/>
      <c r="E1298" s="12"/>
      <c r="F1298" s="5"/>
      <c r="G1298" s="5"/>
      <c r="H1298" s="5"/>
      <c r="I1298" s="5"/>
      <c r="J1298" s="5"/>
      <c r="L1298" s="5"/>
      <c r="M1298" s="5"/>
      <c r="P1298" s="5"/>
      <c r="Q1298" s="5"/>
      <c r="R1298" s="5"/>
      <c r="S1298" s="5"/>
      <c r="T1298" s="5"/>
      <c r="U1298" s="5"/>
      <c r="V1298" s="5"/>
      <c r="W1298" s="5"/>
    </row>
    <row r="1299" spans="1:28" x14ac:dyDescent="0.3">
      <c r="A1299" s="5"/>
      <c r="B1299" s="5"/>
      <c r="C1299" s="5"/>
      <c r="D1299" s="5"/>
      <c r="E1299" s="12"/>
      <c r="F1299" s="5"/>
      <c r="G1299" s="5"/>
      <c r="H1299" s="5"/>
      <c r="I1299" s="5"/>
      <c r="J1299" s="5"/>
      <c r="L1299" s="5"/>
      <c r="M1299" s="5"/>
      <c r="P1299" s="5"/>
      <c r="Q1299" s="5"/>
      <c r="R1299" s="5"/>
      <c r="S1299" s="5"/>
      <c r="T1299" s="5"/>
      <c r="U1299" s="5"/>
      <c r="V1299" s="5"/>
      <c r="W1299" s="5"/>
    </row>
    <row r="1300" spans="1:28" x14ac:dyDescent="0.3">
      <c r="A1300" s="5"/>
      <c r="B1300" s="5"/>
      <c r="C1300" s="5"/>
      <c r="D1300" s="5"/>
      <c r="E1300" s="12"/>
      <c r="F1300" s="5"/>
      <c r="G1300" s="5"/>
      <c r="H1300" s="5"/>
      <c r="I1300" s="5"/>
      <c r="J1300" s="5"/>
      <c r="L1300" s="5"/>
      <c r="M1300" s="5"/>
      <c r="P1300" s="5"/>
      <c r="Q1300" s="5"/>
      <c r="R1300" s="5"/>
      <c r="S1300" s="5"/>
      <c r="T1300" s="5"/>
      <c r="U1300" s="5"/>
      <c r="V1300" s="5"/>
      <c r="W1300" s="5"/>
    </row>
    <row r="1301" spans="1:28" x14ac:dyDescent="0.3">
      <c r="A1301" s="5"/>
      <c r="B1301" s="5"/>
      <c r="C1301" s="5"/>
      <c r="D1301" s="5"/>
      <c r="E1301" s="12"/>
      <c r="F1301" s="5"/>
      <c r="G1301" s="5"/>
      <c r="H1301" s="5"/>
      <c r="I1301" s="5"/>
      <c r="J1301" s="5"/>
      <c r="L1301" s="5"/>
      <c r="M1301" s="5"/>
      <c r="P1301" s="5"/>
      <c r="Q1301" s="5"/>
      <c r="R1301" s="5"/>
      <c r="S1301" s="5"/>
      <c r="T1301" s="5"/>
      <c r="U1301" s="5"/>
      <c r="V1301" s="5"/>
      <c r="W1301" s="5"/>
    </row>
    <row r="1302" spans="1:28" x14ac:dyDescent="0.3">
      <c r="A1302" s="5"/>
      <c r="B1302" s="5"/>
      <c r="C1302" s="5"/>
      <c r="D1302" s="5"/>
      <c r="E1302" s="12"/>
      <c r="F1302" s="5"/>
      <c r="G1302" s="5"/>
      <c r="H1302" s="5"/>
      <c r="I1302" s="5"/>
      <c r="J1302" s="5"/>
      <c r="L1302" s="5"/>
      <c r="M1302" s="5"/>
      <c r="P1302" s="5"/>
      <c r="Q1302" s="5"/>
      <c r="R1302" s="5"/>
      <c r="S1302" s="5"/>
      <c r="T1302" s="5"/>
      <c r="U1302" s="5"/>
      <c r="V1302" s="5"/>
      <c r="W1302" s="5"/>
    </row>
    <row r="1303" spans="1:28" x14ac:dyDescent="0.3">
      <c r="A1303" s="5"/>
      <c r="B1303" s="5"/>
      <c r="C1303" s="5"/>
      <c r="D1303" s="5"/>
      <c r="E1303" s="12"/>
      <c r="F1303" s="5"/>
      <c r="G1303" s="5"/>
      <c r="H1303" s="5"/>
      <c r="I1303" s="5"/>
      <c r="J1303" s="5"/>
      <c r="L1303" s="5"/>
      <c r="M1303" s="5"/>
      <c r="P1303" s="5"/>
      <c r="Q1303" s="5"/>
      <c r="R1303" s="5"/>
      <c r="S1303" s="5"/>
      <c r="T1303" s="5"/>
      <c r="U1303" s="5"/>
      <c r="V1303" s="5"/>
      <c r="W1303" s="5"/>
      <c r="AA1303" s="14"/>
      <c r="AB1303" s="14"/>
    </row>
    <row r="1304" spans="1:28" x14ac:dyDescent="0.3">
      <c r="A1304" s="5"/>
      <c r="B1304" s="5"/>
      <c r="C1304" s="5"/>
      <c r="D1304" s="5"/>
      <c r="E1304" s="12"/>
      <c r="F1304" s="5"/>
      <c r="G1304" s="5"/>
      <c r="H1304" s="5"/>
      <c r="I1304" s="5"/>
      <c r="J1304" s="5"/>
      <c r="L1304" s="5"/>
      <c r="M1304" s="5"/>
      <c r="P1304" s="5"/>
      <c r="Q1304" s="5"/>
      <c r="R1304" s="5"/>
      <c r="S1304" s="5"/>
      <c r="T1304" s="5"/>
      <c r="U1304" s="5"/>
      <c r="V1304" s="5"/>
      <c r="W1304" s="5"/>
      <c r="AA1304" s="14"/>
      <c r="AB1304" s="14"/>
    </row>
    <row r="1305" spans="1:28" x14ac:dyDescent="0.3">
      <c r="A1305" s="5"/>
      <c r="B1305" s="5"/>
      <c r="C1305" s="5"/>
      <c r="D1305" s="5"/>
      <c r="E1305" s="12"/>
      <c r="F1305" s="5"/>
      <c r="G1305" s="5"/>
      <c r="H1305" s="5"/>
      <c r="I1305" s="5"/>
      <c r="J1305" s="5"/>
      <c r="L1305" s="5"/>
      <c r="M1305" s="5"/>
      <c r="P1305" s="5"/>
      <c r="Q1305" s="5"/>
      <c r="R1305" s="5"/>
      <c r="S1305" s="5"/>
      <c r="T1305" s="5"/>
      <c r="U1305" s="5"/>
      <c r="V1305" s="5"/>
      <c r="W1305" s="5"/>
      <c r="AA1305" s="14"/>
      <c r="AB1305" s="14"/>
    </row>
    <row r="1306" spans="1:28" x14ac:dyDescent="0.3">
      <c r="A1306" s="5"/>
      <c r="B1306" s="5"/>
      <c r="C1306" s="5"/>
      <c r="D1306" s="5"/>
      <c r="E1306" s="12"/>
      <c r="F1306" s="5"/>
      <c r="G1306" s="5"/>
      <c r="H1306" s="5"/>
      <c r="I1306" s="5"/>
      <c r="J1306" s="5"/>
      <c r="L1306" s="5"/>
      <c r="M1306" s="5"/>
      <c r="P1306" s="5"/>
      <c r="Q1306" s="5"/>
      <c r="R1306" s="5"/>
      <c r="S1306" s="5"/>
      <c r="T1306" s="5"/>
      <c r="U1306" s="5"/>
      <c r="V1306" s="5"/>
      <c r="W1306" s="5"/>
      <c r="AA1306" s="14"/>
      <c r="AB1306" s="14"/>
    </row>
    <row r="1307" spans="1:28" x14ac:dyDescent="0.3">
      <c r="A1307" s="5"/>
      <c r="B1307" s="5"/>
      <c r="C1307" s="5"/>
      <c r="D1307" s="5"/>
      <c r="E1307" s="12"/>
      <c r="F1307" s="5"/>
      <c r="G1307" s="5"/>
      <c r="H1307" s="5"/>
      <c r="I1307" s="5"/>
      <c r="J1307" s="5"/>
      <c r="L1307" s="5"/>
      <c r="M1307" s="5"/>
      <c r="P1307" s="5"/>
      <c r="Q1307" s="5"/>
      <c r="R1307" s="5"/>
      <c r="S1307" s="5"/>
      <c r="T1307" s="5"/>
      <c r="U1307" s="5"/>
      <c r="V1307" s="5"/>
      <c r="W1307" s="5"/>
    </row>
    <row r="1308" spans="1:28" x14ac:dyDescent="0.3">
      <c r="A1308" s="5"/>
      <c r="B1308" s="5"/>
      <c r="C1308" s="5"/>
      <c r="D1308" s="5"/>
      <c r="E1308" s="12"/>
      <c r="F1308" s="5"/>
      <c r="G1308" s="5"/>
      <c r="H1308" s="5"/>
      <c r="I1308" s="5"/>
      <c r="J1308" s="5"/>
      <c r="L1308" s="5"/>
      <c r="M1308" s="5"/>
      <c r="P1308" s="5"/>
      <c r="Q1308" s="5"/>
      <c r="R1308" s="5"/>
      <c r="S1308" s="5"/>
      <c r="T1308" s="5"/>
      <c r="U1308" s="5"/>
      <c r="V1308" s="5"/>
      <c r="W1308" s="5"/>
    </row>
    <row r="1309" spans="1:28" x14ac:dyDescent="0.3">
      <c r="A1309" s="5"/>
      <c r="B1309" s="5"/>
      <c r="C1309" s="5"/>
      <c r="D1309" s="5"/>
      <c r="E1309" s="12"/>
      <c r="F1309" s="5"/>
      <c r="G1309" s="5"/>
      <c r="H1309" s="5"/>
      <c r="I1309" s="5"/>
      <c r="J1309" s="5"/>
      <c r="L1309" s="5"/>
      <c r="M1309" s="5"/>
      <c r="P1309" s="5"/>
      <c r="Q1309" s="5"/>
      <c r="R1309" s="5"/>
      <c r="S1309" s="5"/>
      <c r="T1309" s="5"/>
      <c r="U1309" s="5"/>
      <c r="V1309" s="5"/>
      <c r="W1309" s="5"/>
    </row>
    <row r="1310" spans="1:28" x14ac:dyDescent="0.3">
      <c r="A1310" s="5"/>
      <c r="B1310" s="5"/>
      <c r="C1310" s="5"/>
      <c r="D1310" s="5"/>
      <c r="E1310" s="12"/>
      <c r="F1310" s="5"/>
      <c r="G1310" s="5"/>
      <c r="H1310" s="5"/>
      <c r="I1310" s="5"/>
      <c r="J1310" s="5"/>
      <c r="L1310" s="5"/>
      <c r="M1310" s="5"/>
      <c r="P1310" s="5"/>
      <c r="Q1310" s="5"/>
      <c r="R1310" s="5"/>
      <c r="S1310" s="5"/>
      <c r="T1310" s="5"/>
      <c r="U1310" s="5"/>
      <c r="V1310" s="5"/>
      <c r="W1310" s="5"/>
    </row>
    <row r="1311" spans="1:28" x14ac:dyDescent="0.3">
      <c r="A1311" s="5"/>
      <c r="B1311" s="5"/>
      <c r="C1311" s="5"/>
      <c r="D1311" s="5"/>
      <c r="E1311" s="12"/>
      <c r="F1311" s="5"/>
      <c r="G1311" s="5"/>
      <c r="H1311" s="5"/>
      <c r="I1311" s="5"/>
      <c r="J1311" s="5"/>
      <c r="L1311" s="5"/>
      <c r="M1311" s="5"/>
      <c r="P1311" s="5"/>
      <c r="Q1311" s="5"/>
      <c r="R1311" s="5"/>
      <c r="S1311" s="5"/>
      <c r="T1311" s="5"/>
      <c r="U1311" s="5"/>
      <c r="V1311" s="5"/>
      <c r="W1311" s="5"/>
    </row>
    <row r="1312" spans="1:28" x14ac:dyDescent="0.3">
      <c r="A1312" s="5"/>
      <c r="B1312" s="5"/>
      <c r="C1312" s="5"/>
      <c r="D1312" s="5"/>
      <c r="E1312" s="12"/>
      <c r="F1312" s="5"/>
      <c r="G1312" s="5"/>
      <c r="H1312" s="5"/>
      <c r="I1312" s="5"/>
      <c r="J1312" s="5"/>
      <c r="L1312" s="5"/>
      <c r="M1312" s="5"/>
      <c r="P1312" s="5"/>
      <c r="Q1312" s="5"/>
      <c r="R1312" s="5"/>
      <c r="S1312" s="5"/>
      <c r="T1312" s="5"/>
      <c r="U1312" s="5"/>
      <c r="V1312" s="5"/>
      <c r="W1312" s="5"/>
      <c r="AA1312" s="14"/>
      <c r="AB1312" s="14"/>
    </row>
    <row r="1313" spans="1:28" x14ac:dyDescent="0.3">
      <c r="A1313" s="5"/>
      <c r="B1313" s="5"/>
      <c r="C1313" s="5"/>
      <c r="D1313" s="5"/>
      <c r="E1313" s="12"/>
      <c r="F1313" s="5"/>
      <c r="G1313" s="5"/>
      <c r="H1313" s="5"/>
      <c r="I1313" s="5"/>
      <c r="J1313" s="5"/>
      <c r="L1313" s="5"/>
      <c r="M1313" s="5"/>
      <c r="P1313" s="5"/>
      <c r="Q1313" s="5"/>
      <c r="R1313" s="5"/>
      <c r="S1313" s="5"/>
      <c r="T1313" s="5"/>
      <c r="U1313" s="5"/>
      <c r="V1313" s="5"/>
      <c r="W1313" s="5"/>
      <c r="AA1313" s="14"/>
      <c r="AB1313" s="14"/>
    </row>
    <row r="1314" spans="1:28" x14ac:dyDescent="0.3">
      <c r="A1314" s="5"/>
      <c r="B1314" s="5"/>
      <c r="C1314" s="5"/>
      <c r="D1314" s="5"/>
      <c r="E1314" s="12"/>
      <c r="F1314" s="5"/>
      <c r="G1314" s="5"/>
      <c r="H1314" s="5"/>
      <c r="I1314" s="5"/>
      <c r="J1314" s="5"/>
      <c r="L1314" s="5"/>
      <c r="M1314" s="5"/>
      <c r="P1314" s="5"/>
      <c r="Q1314" s="5"/>
      <c r="R1314" s="5"/>
      <c r="S1314" s="5"/>
      <c r="T1314" s="5"/>
      <c r="U1314" s="5"/>
      <c r="V1314" s="5"/>
      <c r="W1314" s="5"/>
      <c r="AA1314" s="14"/>
      <c r="AB1314" s="14"/>
    </row>
    <row r="1315" spans="1:28" x14ac:dyDescent="0.3">
      <c r="A1315" s="5"/>
      <c r="B1315" s="5"/>
      <c r="C1315" s="5"/>
      <c r="D1315" s="5"/>
      <c r="E1315" s="12"/>
      <c r="F1315" s="5"/>
      <c r="G1315" s="5"/>
      <c r="H1315" s="5"/>
      <c r="I1315" s="5"/>
      <c r="J1315" s="5"/>
      <c r="L1315" s="5"/>
      <c r="M1315" s="5"/>
      <c r="P1315" s="5"/>
      <c r="Q1315" s="5"/>
      <c r="R1315" s="5"/>
      <c r="S1315" s="5"/>
      <c r="T1315" s="5"/>
      <c r="U1315" s="5"/>
      <c r="V1315" s="5"/>
      <c r="W1315" s="5"/>
      <c r="AA1315" s="14"/>
      <c r="AB1315" s="14"/>
    </row>
    <row r="1316" spans="1:28" x14ac:dyDescent="0.3">
      <c r="A1316" s="5"/>
      <c r="B1316" s="5"/>
      <c r="C1316" s="5"/>
      <c r="D1316" s="5"/>
      <c r="E1316" s="12"/>
      <c r="F1316" s="5"/>
      <c r="G1316" s="5"/>
      <c r="H1316" s="5"/>
      <c r="I1316" s="5"/>
      <c r="J1316" s="5"/>
      <c r="L1316" s="5"/>
      <c r="M1316" s="5"/>
      <c r="P1316" s="5"/>
      <c r="Q1316" s="5"/>
      <c r="R1316" s="5"/>
      <c r="S1316" s="5"/>
      <c r="T1316" s="5"/>
      <c r="U1316" s="5"/>
      <c r="V1316" s="5"/>
      <c r="W1316" s="5"/>
      <c r="AA1316" s="14"/>
      <c r="AB1316" s="14"/>
    </row>
    <row r="1317" spans="1:28" x14ac:dyDescent="0.3">
      <c r="A1317" s="5"/>
      <c r="B1317" s="5"/>
      <c r="C1317" s="5"/>
      <c r="D1317" s="5"/>
      <c r="E1317" s="12"/>
      <c r="F1317" s="5"/>
      <c r="G1317" s="5"/>
      <c r="H1317" s="5"/>
      <c r="I1317" s="5"/>
      <c r="J1317" s="5"/>
      <c r="L1317" s="5"/>
      <c r="M1317" s="5"/>
      <c r="P1317" s="5"/>
      <c r="Q1317" s="5"/>
      <c r="R1317" s="5"/>
      <c r="S1317" s="5"/>
      <c r="T1317" s="5"/>
      <c r="U1317" s="5"/>
      <c r="V1317" s="5"/>
      <c r="W1317" s="5"/>
      <c r="AA1317" s="14"/>
      <c r="AB1317" s="14"/>
    </row>
    <row r="1318" spans="1:28" x14ac:dyDescent="0.3">
      <c r="A1318" s="5"/>
      <c r="B1318" s="5"/>
      <c r="C1318" s="5"/>
      <c r="D1318" s="5"/>
      <c r="E1318" s="12"/>
      <c r="F1318" s="5"/>
      <c r="G1318" s="5"/>
      <c r="H1318" s="5"/>
      <c r="I1318" s="5"/>
      <c r="J1318" s="5"/>
      <c r="L1318" s="5"/>
      <c r="M1318" s="5"/>
      <c r="P1318" s="5"/>
      <c r="Q1318" s="5"/>
      <c r="R1318" s="5"/>
      <c r="S1318" s="5"/>
      <c r="T1318" s="5"/>
      <c r="U1318" s="5"/>
      <c r="V1318" s="5"/>
      <c r="W1318" s="5"/>
      <c r="AA1318" s="14"/>
      <c r="AB1318" s="14"/>
    </row>
    <row r="1319" spans="1:28" x14ac:dyDescent="0.3">
      <c r="A1319" s="5"/>
      <c r="B1319" s="5"/>
      <c r="C1319" s="5"/>
      <c r="D1319" s="5"/>
      <c r="E1319" s="12"/>
      <c r="F1319" s="5"/>
      <c r="G1319" s="5"/>
      <c r="H1319" s="5"/>
      <c r="I1319" s="5"/>
      <c r="J1319" s="5"/>
      <c r="L1319" s="5"/>
      <c r="M1319" s="5"/>
      <c r="P1319" s="5"/>
      <c r="Q1319" s="5"/>
      <c r="R1319" s="5"/>
      <c r="S1319" s="5"/>
      <c r="T1319" s="5"/>
      <c r="U1319" s="5"/>
      <c r="V1319" s="5"/>
      <c r="W1319" s="5"/>
      <c r="AA1319" s="14"/>
      <c r="AB1319" s="14"/>
    </row>
    <row r="1320" spans="1:28" x14ac:dyDescent="0.3">
      <c r="A1320" s="5"/>
      <c r="B1320" s="5"/>
      <c r="C1320" s="5"/>
      <c r="D1320" s="5"/>
      <c r="E1320" s="12"/>
      <c r="F1320" s="5"/>
      <c r="G1320" s="5"/>
      <c r="H1320" s="5"/>
      <c r="I1320" s="5"/>
      <c r="J1320" s="5"/>
      <c r="L1320" s="5"/>
      <c r="M1320" s="5"/>
      <c r="P1320" s="5"/>
      <c r="Q1320" s="5"/>
      <c r="R1320" s="5"/>
      <c r="S1320" s="5"/>
      <c r="T1320" s="5"/>
      <c r="U1320" s="5"/>
      <c r="V1320" s="5"/>
      <c r="W1320" s="5"/>
      <c r="AA1320" s="14"/>
      <c r="AB1320" s="14"/>
    </row>
    <row r="1321" spans="1:28" x14ac:dyDescent="0.3">
      <c r="A1321" s="5"/>
      <c r="B1321" s="5"/>
      <c r="C1321" s="5"/>
      <c r="D1321" s="5"/>
      <c r="E1321" s="12"/>
      <c r="F1321" s="5"/>
      <c r="G1321" s="5"/>
      <c r="H1321" s="5"/>
      <c r="I1321" s="5"/>
      <c r="J1321" s="5"/>
      <c r="L1321" s="5"/>
      <c r="M1321" s="5"/>
      <c r="P1321" s="5"/>
      <c r="Q1321" s="5"/>
      <c r="R1321" s="5"/>
      <c r="S1321" s="5"/>
      <c r="T1321" s="5"/>
      <c r="U1321" s="5"/>
      <c r="V1321" s="5"/>
      <c r="W1321" s="5"/>
      <c r="AA1321" s="14"/>
      <c r="AB1321" s="14"/>
    </row>
    <row r="1322" spans="1:28" x14ac:dyDescent="0.3">
      <c r="A1322" s="5"/>
      <c r="B1322" s="5"/>
      <c r="C1322" s="5"/>
      <c r="D1322" s="5"/>
      <c r="E1322" s="12"/>
      <c r="F1322" s="5"/>
      <c r="G1322" s="5"/>
      <c r="H1322" s="5"/>
      <c r="I1322" s="5"/>
      <c r="J1322" s="5"/>
      <c r="L1322" s="5"/>
      <c r="M1322" s="5"/>
      <c r="P1322" s="5"/>
      <c r="Q1322" s="5"/>
      <c r="R1322" s="5"/>
      <c r="S1322" s="5"/>
      <c r="T1322" s="5"/>
      <c r="U1322" s="5"/>
      <c r="V1322" s="5"/>
      <c r="W1322" s="5"/>
      <c r="AA1322" s="14"/>
      <c r="AB1322" s="14"/>
    </row>
    <row r="1323" spans="1:28" x14ac:dyDescent="0.3">
      <c r="A1323" s="5"/>
      <c r="B1323" s="5"/>
      <c r="C1323" s="5"/>
      <c r="D1323" s="5"/>
      <c r="E1323" s="12"/>
      <c r="F1323" s="5"/>
      <c r="G1323" s="5"/>
      <c r="H1323" s="5"/>
      <c r="I1323" s="5"/>
      <c r="J1323" s="5"/>
      <c r="L1323" s="5"/>
      <c r="M1323" s="5"/>
      <c r="P1323" s="5"/>
      <c r="Q1323" s="5"/>
      <c r="R1323" s="5"/>
      <c r="S1323" s="5"/>
      <c r="T1323" s="5"/>
      <c r="U1323" s="5"/>
      <c r="V1323" s="5"/>
      <c r="W1323" s="5"/>
    </row>
    <row r="1324" spans="1:28" x14ac:dyDescent="0.3">
      <c r="A1324" s="5"/>
      <c r="B1324" s="5"/>
      <c r="C1324" s="5"/>
      <c r="D1324" s="5"/>
      <c r="E1324" s="12"/>
      <c r="F1324" s="5"/>
      <c r="G1324" s="5"/>
      <c r="H1324" s="5"/>
      <c r="I1324" s="5"/>
      <c r="J1324" s="5"/>
      <c r="L1324" s="5"/>
      <c r="M1324" s="5"/>
      <c r="P1324" s="5"/>
      <c r="Q1324" s="5"/>
      <c r="R1324" s="5"/>
      <c r="S1324" s="5"/>
      <c r="T1324" s="5"/>
      <c r="U1324" s="5"/>
      <c r="V1324" s="5"/>
      <c r="W1324" s="5"/>
    </row>
    <row r="1325" spans="1:28" x14ac:dyDescent="0.3">
      <c r="A1325" s="5"/>
      <c r="B1325" s="5"/>
      <c r="C1325" s="5"/>
      <c r="D1325" s="5"/>
      <c r="E1325" s="12"/>
      <c r="F1325" s="5"/>
      <c r="G1325" s="5"/>
      <c r="H1325" s="5"/>
      <c r="I1325" s="5"/>
      <c r="J1325" s="5"/>
      <c r="L1325" s="5"/>
      <c r="M1325" s="5"/>
      <c r="P1325" s="5"/>
      <c r="Q1325" s="5"/>
      <c r="R1325" s="5"/>
      <c r="S1325" s="5"/>
      <c r="T1325" s="5"/>
      <c r="U1325" s="5"/>
      <c r="V1325" s="5"/>
      <c r="W1325" s="5"/>
    </row>
    <row r="1326" spans="1:28" x14ac:dyDescent="0.3">
      <c r="A1326" s="5"/>
      <c r="B1326" s="5"/>
      <c r="C1326" s="5"/>
      <c r="D1326" s="5"/>
      <c r="E1326" s="12"/>
      <c r="F1326" s="5"/>
      <c r="G1326" s="5"/>
      <c r="H1326" s="5"/>
      <c r="I1326" s="5"/>
      <c r="J1326" s="5"/>
      <c r="L1326" s="5"/>
      <c r="M1326" s="5"/>
      <c r="P1326" s="5"/>
      <c r="Q1326" s="5"/>
      <c r="R1326" s="5"/>
      <c r="S1326" s="5"/>
      <c r="T1326" s="5"/>
      <c r="U1326" s="5"/>
      <c r="V1326" s="5"/>
      <c r="W1326" s="5"/>
    </row>
    <row r="1327" spans="1:28" x14ac:dyDescent="0.3">
      <c r="A1327" s="5"/>
      <c r="B1327" s="5"/>
      <c r="C1327" s="5"/>
      <c r="D1327" s="5"/>
      <c r="E1327" s="12"/>
      <c r="F1327" s="5"/>
      <c r="G1327" s="5"/>
      <c r="H1327" s="5"/>
      <c r="I1327" s="5"/>
      <c r="J1327" s="5"/>
      <c r="L1327" s="5"/>
      <c r="M1327" s="5"/>
      <c r="P1327" s="5"/>
      <c r="Q1327" s="5"/>
      <c r="R1327" s="5"/>
      <c r="S1327" s="5"/>
      <c r="T1327" s="5"/>
      <c r="U1327" s="5"/>
      <c r="V1327" s="5"/>
      <c r="W1327" s="5"/>
    </row>
    <row r="1328" spans="1:28" x14ac:dyDescent="0.3">
      <c r="A1328" s="5"/>
      <c r="B1328" s="5"/>
      <c r="C1328" s="5"/>
      <c r="D1328" s="5"/>
      <c r="E1328" s="12"/>
      <c r="F1328" s="5"/>
      <c r="G1328" s="5"/>
      <c r="H1328" s="5"/>
      <c r="I1328" s="5"/>
      <c r="J1328" s="5"/>
      <c r="L1328" s="5"/>
      <c r="M1328" s="5"/>
      <c r="P1328" s="5"/>
      <c r="Q1328" s="5"/>
      <c r="R1328" s="5"/>
      <c r="S1328" s="5"/>
      <c r="T1328" s="5"/>
      <c r="U1328" s="5"/>
      <c r="V1328" s="5"/>
      <c r="W1328" s="5"/>
    </row>
    <row r="1329" spans="1:23" x14ac:dyDescent="0.3">
      <c r="A1329" s="5"/>
      <c r="B1329" s="5"/>
      <c r="C1329" s="5"/>
      <c r="D1329" s="5"/>
      <c r="E1329" s="12"/>
      <c r="F1329" s="5"/>
      <c r="G1329" s="5"/>
      <c r="H1329" s="5"/>
      <c r="I1329" s="5"/>
      <c r="J1329" s="5"/>
      <c r="L1329" s="5"/>
      <c r="M1329" s="5"/>
      <c r="P1329" s="5"/>
      <c r="Q1329" s="5"/>
      <c r="R1329" s="5"/>
      <c r="S1329" s="5"/>
      <c r="T1329" s="5"/>
      <c r="U1329" s="5"/>
      <c r="V1329" s="5"/>
      <c r="W1329" s="5"/>
    </row>
    <row r="1330" spans="1:23" x14ac:dyDescent="0.3">
      <c r="A1330" s="5"/>
      <c r="B1330" s="5"/>
      <c r="C1330" s="5"/>
      <c r="D1330" s="5"/>
      <c r="E1330" s="12"/>
      <c r="F1330" s="5"/>
      <c r="G1330" s="5"/>
      <c r="H1330" s="5"/>
      <c r="I1330" s="5"/>
      <c r="J1330" s="5"/>
      <c r="L1330" s="5"/>
      <c r="M1330" s="5"/>
      <c r="P1330" s="5"/>
      <c r="Q1330" s="5"/>
      <c r="R1330" s="5"/>
      <c r="S1330" s="5"/>
      <c r="T1330" s="5"/>
      <c r="U1330" s="5"/>
      <c r="V1330" s="5"/>
      <c r="W1330" s="5"/>
    </row>
    <row r="1331" spans="1:23" x14ac:dyDescent="0.3">
      <c r="A1331" s="5"/>
      <c r="B1331" s="5"/>
      <c r="C1331" s="5"/>
      <c r="D1331" s="5"/>
      <c r="E1331" s="12"/>
      <c r="F1331" s="5"/>
      <c r="G1331" s="5"/>
      <c r="H1331" s="5"/>
      <c r="I1331" s="5"/>
      <c r="J1331" s="5"/>
      <c r="L1331" s="5"/>
      <c r="M1331" s="5"/>
      <c r="P1331" s="5"/>
      <c r="Q1331" s="5"/>
      <c r="R1331" s="5"/>
      <c r="S1331" s="5"/>
      <c r="T1331" s="5"/>
      <c r="U1331" s="5"/>
      <c r="V1331" s="5"/>
      <c r="W1331" s="5"/>
    </row>
    <row r="1332" spans="1:23" x14ac:dyDescent="0.3">
      <c r="A1332" s="5"/>
      <c r="B1332" s="5"/>
      <c r="C1332" s="5"/>
      <c r="D1332" s="5"/>
      <c r="E1332" s="12"/>
      <c r="F1332" s="5"/>
      <c r="G1332" s="5"/>
      <c r="H1332" s="5"/>
      <c r="I1332" s="5"/>
      <c r="J1332" s="5"/>
      <c r="L1332" s="5"/>
      <c r="M1332" s="5"/>
      <c r="P1332" s="5"/>
      <c r="Q1332" s="5"/>
      <c r="R1332" s="5"/>
      <c r="S1332" s="5"/>
      <c r="T1332" s="5"/>
      <c r="U1332" s="5"/>
      <c r="V1332" s="5"/>
      <c r="W1332" s="5"/>
    </row>
    <row r="1333" spans="1:23" x14ac:dyDescent="0.3">
      <c r="A1333" s="5"/>
      <c r="B1333" s="5"/>
      <c r="C1333" s="5"/>
      <c r="D1333" s="5"/>
      <c r="E1333" s="12"/>
      <c r="F1333" s="5"/>
      <c r="G1333" s="5"/>
      <c r="H1333" s="5"/>
      <c r="I1333" s="5"/>
      <c r="J1333" s="5"/>
      <c r="L1333" s="5"/>
      <c r="M1333" s="5"/>
      <c r="P1333" s="5"/>
      <c r="Q1333" s="5"/>
      <c r="R1333" s="5"/>
      <c r="S1333" s="5"/>
      <c r="T1333" s="5"/>
      <c r="U1333" s="5"/>
      <c r="V1333" s="5"/>
      <c r="W1333" s="5"/>
    </row>
    <row r="1334" spans="1:23" x14ac:dyDescent="0.3">
      <c r="A1334" s="5"/>
      <c r="B1334" s="5"/>
      <c r="C1334" s="5"/>
      <c r="D1334" s="5"/>
      <c r="E1334" s="12"/>
      <c r="F1334" s="5"/>
      <c r="G1334" s="5"/>
      <c r="H1334" s="5"/>
      <c r="I1334" s="5"/>
      <c r="J1334" s="5"/>
      <c r="L1334" s="5"/>
      <c r="M1334" s="5"/>
      <c r="P1334" s="5"/>
      <c r="Q1334" s="5"/>
      <c r="R1334" s="5"/>
      <c r="S1334" s="5"/>
      <c r="T1334" s="5"/>
      <c r="U1334" s="5"/>
      <c r="V1334" s="5"/>
      <c r="W1334" s="5"/>
    </row>
    <row r="1335" spans="1:23" x14ac:dyDescent="0.3">
      <c r="A1335" s="5"/>
      <c r="B1335" s="5"/>
      <c r="C1335" s="5"/>
      <c r="D1335" s="5"/>
      <c r="E1335" s="12"/>
      <c r="F1335" s="5"/>
      <c r="G1335" s="5"/>
      <c r="H1335" s="5"/>
      <c r="I1335" s="5"/>
      <c r="J1335" s="5"/>
      <c r="L1335" s="5"/>
      <c r="M1335" s="5"/>
      <c r="P1335" s="5"/>
      <c r="Q1335" s="5"/>
      <c r="R1335" s="5"/>
      <c r="S1335" s="5"/>
      <c r="T1335" s="5"/>
      <c r="U1335" s="5"/>
      <c r="V1335" s="5"/>
      <c r="W1335" s="5"/>
    </row>
    <row r="1336" spans="1:23" x14ac:dyDescent="0.3">
      <c r="A1336" s="5"/>
      <c r="B1336" s="5"/>
      <c r="C1336" s="5"/>
      <c r="D1336" s="5"/>
      <c r="E1336" s="12"/>
      <c r="F1336" s="5"/>
      <c r="G1336" s="5"/>
      <c r="H1336" s="5"/>
      <c r="I1336" s="5"/>
      <c r="J1336" s="5"/>
      <c r="L1336" s="5"/>
      <c r="M1336" s="5"/>
      <c r="P1336" s="5"/>
      <c r="Q1336" s="5"/>
      <c r="R1336" s="5"/>
      <c r="S1336" s="5"/>
      <c r="T1336" s="5"/>
      <c r="U1336" s="5"/>
      <c r="V1336" s="5"/>
      <c r="W1336" s="5"/>
    </row>
    <row r="1337" spans="1:23" x14ac:dyDescent="0.3">
      <c r="A1337" s="5"/>
      <c r="B1337" s="5"/>
      <c r="C1337" s="5"/>
      <c r="D1337" s="5"/>
      <c r="E1337" s="12"/>
      <c r="F1337" s="5"/>
      <c r="G1337" s="5"/>
      <c r="H1337" s="5"/>
      <c r="I1337" s="5"/>
      <c r="J1337" s="5"/>
      <c r="L1337" s="5"/>
      <c r="M1337" s="5"/>
      <c r="P1337" s="5"/>
      <c r="Q1337" s="5"/>
      <c r="R1337" s="5"/>
      <c r="S1337" s="5"/>
      <c r="T1337" s="5"/>
      <c r="U1337" s="5"/>
      <c r="V1337" s="5"/>
      <c r="W1337" s="5"/>
    </row>
    <row r="1338" spans="1:23" x14ac:dyDescent="0.3">
      <c r="A1338" s="5"/>
      <c r="B1338" s="5"/>
      <c r="C1338" s="5"/>
      <c r="D1338" s="5"/>
      <c r="E1338" s="12"/>
      <c r="F1338" s="5"/>
      <c r="G1338" s="5"/>
      <c r="H1338" s="5"/>
      <c r="I1338" s="5"/>
      <c r="J1338" s="5"/>
      <c r="L1338" s="5"/>
      <c r="M1338" s="5"/>
      <c r="P1338" s="5"/>
      <c r="Q1338" s="5"/>
      <c r="R1338" s="5"/>
      <c r="S1338" s="5"/>
      <c r="T1338" s="5"/>
      <c r="U1338" s="5"/>
      <c r="V1338" s="5"/>
      <c r="W1338" s="5"/>
    </row>
    <row r="1339" spans="1:23" x14ac:dyDescent="0.3">
      <c r="A1339" s="5"/>
      <c r="B1339" s="5"/>
      <c r="C1339" s="5"/>
      <c r="D1339" s="5"/>
      <c r="E1339" s="12"/>
      <c r="F1339" s="5"/>
      <c r="G1339" s="5"/>
      <c r="H1339" s="5"/>
      <c r="I1339" s="5"/>
      <c r="J1339" s="5"/>
      <c r="L1339" s="5"/>
      <c r="M1339" s="5"/>
      <c r="P1339" s="5"/>
      <c r="Q1339" s="5"/>
      <c r="R1339" s="5"/>
      <c r="S1339" s="5"/>
      <c r="T1339" s="5"/>
      <c r="U1339" s="5"/>
      <c r="V1339" s="5"/>
      <c r="W1339" s="5"/>
    </row>
    <row r="1340" spans="1:23" x14ac:dyDescent="0.3">
      <c r="A1340" s="5"/>
      <c r="B1340" s="5"/>
      <c r="C1340" s="5"/>
      <c r="D1340" s="5"/>
      <c r="E1340" s="12"/>
      <c r="F1340" s="5"/>
      <c r="G1340" s="5"/>
      <c r="H1340" s="5"/>
      <c r="I1340" s="5"/>
      <c r="J1340" s="5"/>
      <c r="L1340" s="5"/>
      <c r="M1340" s="5"/>
      <c r="P1340" s="5"/>
      <c r="Q1340" s="5"/>
      <c r="R1340" s="5"/>
      <c r="S1340" s="5"/>
      <c r="T1340" s="5"/>
      <c r="U1340" s="5"/>
      <c r="V1340" s="5"/>
      <c r="W1340" s="5"/>
    </row>
    <row r="1341" spans="1:23" x14ac:dyDescent="0.3">
      <c r="A1341" s="5"/>
      <c r="B1341" s="5"/>
      <c r="C1341" s="5"/>
      <c r="D1341" s="5"/>
      <c r="E1341" s="12"/>
      <c r="F1341" s="5"/>
      <c r="G1341" s="5"/>
      <c r="H1341" s="5"/>
      <c r="I1341" s="5"/>
      <c r="J1341" s="5"/>
      <c r="L1341" s="5"/>
      <c r="M1341" s="5"/>
      <c r="P1341" s="5"/>
      <c r="Q1341" s="5"/>
      <c r="R1341" s="5"/>
      <c r="S1341" s="5"/>
      <c r="T1341" s="5"/>
      <c r="U1341" s="5"/>
      <c r="V1341" s="5"/>
      <c r="W1341" s="5"/>
    </row>
    <row r="1342" spans="1:23" x14ac:dyDescent="0.3">
      <c r="A1342" s="5"/>
      <c r="B1342" s="5"/>
      <c r="C1342" s="5"/>
      <c r="D1342" s="5"/>
      <c r="E1342" s="12"/>
      <c r="F1342" s="5"/>
      <c r="G1342" s="5"/>
      <c r="H1342" s="5"/>
      <c r="I1342" s="5"/>
      <c r="J1342" s="5"/>
      <c r="L1342" s="5"/>
      <c r="M1342" s="5"/>
      <c r="P1342" s="5"/>
      <c r="Q1342" s="5"/>
      <c r="R1342" s="5"/>
      <c r="S1342" s="5"/>
      <c r="T1342" s="5"/>
      <c r="U1342" s="5"/>
      <c r="V1342" s="5"/>
      <c r="W1342" s="5"/>
    </row>
    <row r="1343" spans="1:23" x14ac:dyDescent="0.3">
      <c r="A1343" s="5"/>
      <c r="B1343" s="5"/>
      <c r="C1343" s="5"/>
      <c r="D1343" s="5"/>
      <c r="E1343" s="12"/>
      <c r="F1343" s="5"/>
      <c r="G1343" s="5"/>
      <c r="H1343" s="5"/>
      <c r="I1343" s="5"/>
      <c r="J1343" s="5"/>
      <c r="L1343" s="5"/>
      <c r="M1343" s="5"/>
      <c r="P1343" s="5"/>
      <c r="Q1343" s="5"/>
      <c r="R1343" s="5"/>
      <c r="S1343" s="5"/>
      <c r="T1343" s="5"/>
      <c r="U1343" s="5"/>
      <c r="V1343" s="5"/>
      <c r="W1343" s="5"/>
    </row>
    <row r="1344" spans="1:23" x14ac:dyDescent="0.3">
      <c r="A1344" s="5"/>
      <c r="B1344" s="5"/>
      <c r="C1344" s="5"/>
      <c r="D1344" s="5"/>
      <c r="E1344" s="12"/>
      <c r="F1344" s="5"/>
      <c r="G1344" s="5"/>
      <c r="H1344" s="5"/>
      <c r="I1344" s="5"/>
      <c r="J1344" s="5"/>
      <c r="L1344" s="5"/>
      <c r="M1344" s="5"/>
      <c r="P1344" s="5"/>
      <c r="Q1344" s="5"/>
      <c r="R1344" s="5"/>
      <c r="S1344" s="5"/>
      <c r="T1344" s="5"/>
      <c r="U1344" s="5"/>
      <c r="V1344" s="5"/>
      <c r="W1344" s="5"/>
    </row>
    <row r="1345" spans="1:23" x14ac:dyDescent="0.3">
      <c r="A1345" s="5"/>
      <c r="B1345" s="5"/>
      <c r="C1345" s="5"/>
      <c r="D1345" s="5"/>
      <c r="E1345" s="12"/>
      <c r="F1345" s="5"/>
      <c r="G1345" s="5"/>
      <c r="H1345" s="5"/>
      <c r="I1345" s="5"/>
      <c r="J1345" s="5"/>
      <c r="L1345" s="5"/>
      <c r="M1345" s="5"/>
      <c r="P1345" s="5"/>
      <c r="Q1345" s="5"/>
      <c r="R1345" s="5"/>
      <c r="S1345" s="5"/>
      <c r="T1345" s="5"/>
      <c r="U1345" s="5"/>
      <c r="V1345" s="5"/>
      <c r="W1345" s="5"/>
    </row>
    <row r="1346" spans="1:23" x14ac:dyDescent="0.3">
      <c r="A1346" s="5"/>
      <c r="B1346" s="5"/>
      <c r="C1346" s="5"/>
      <c r="D1346" s="5"/>
      <c r="E1346" s="12"/>
      <c r="F1346" s="5"/>
      <c r="G1346" s="5"/>
      <c r="H1346" s="5"/>
      <c r="I1346" s="5"/>
      <c r="J1346" s="5"/>
      <c r="L1346" s="5"/>
      <c r="M1346" s="5"/>
      <c r="P1346" s="5"/>
      <c r="Q1346" s="5"/>
      <c r="R1346" s="5"/>
      <c r="S1346" s="5"/>
      <c r="T1346" s="5"/>
      <c r="U1346" s="5"/>
      <c r="V1346" s="5"/>
      <c r="W1346" s="5"/>
    </row>
    <row r="1347" spans="1:23" x14ac:dyDescent="0.3">
      <c r="A1347" s="5"/>
      <c r="B1347" s="5"/>
      <c r="C1347" s="5"/>
      <c r="D1347" s="5"/>
      <c r="E1347" s="12"/>
      <c r="F1347" s="5"/>
      <c r="G1347" s="5"/>
      <c r="H1347" s="5"/>
      <c r="I1347" s="5"/>
      <c r="J1347" s="5"/>
      <c r="L1347" s="5"/>
      <c r="M1347" s="5"/>
      <c r="P1347" s="5"/>
      <c r="Q1347" s="5"/>
      <c r="R1347" s="5"/>
      <c r="S1347" s="5"/>
      <c r="T1347" s="5"/>
      <c r="U1347" s="5"/>
      <c r="V1347" s="5"/>
      <c r="W1347" s="5"/>
    </row>
    <row r="1348" spans="1:23" x14ac:dyDescent="0.3">
      <c r="A1348" s="5"/>
      <c r="B1348" s="5"/>
      <c r="C1348" s="5"/>
      <c r="D1348" s="5"/>
      <c r="E1348" s="12"/>
      <c r="F1348" s="5"/>
      <c r="G1348" s="5"/>
      <c r="H1348" s="5"/>
      <c r="I1348" s="5"/>
      <c r="J1348" s="5"/>
      <c r="L1348" s="5"/>
      <c r="M1348" s="5"/>
      <c r="P1348" s="5"/>
      <c r="Q1348" s="5"/>
      <c r="R1348" s="5"/>
      <c r="S1348" s="5"/>
      <c r="T1348" s="5"/>
      <c r="U1348" s="5"/>
      <c r="V1348" s="5"/>
      <c r="W1348" s="5"/>
    </row>
    <row r="1349" spans="1:23" x14ac:dyDescent="0.3">
      <c r="A1349" s="5"/>
      <c r="B1349" s="5"/>
      <c r="C1349" s="5"/>
      <c r="D1349" s="5"/>
      <c r="E1349" s="12"/>
      <c r="F1349" s="5"/>
      <c r="G1349" s="5"/>
      <c r="H1349" s="5"/>
      <c r="I1349" s="5"/>
      <c r="J1349" s="5"/>
      <c r="L1349" s="5"/>
      <c r="M1349" s="5"/>
      <c r="P1349" s="5"/>
      <c r="Q1349" s="5"/>
      <c r="R1349" s="5"/>
      <c r="S1349" s="5"/>
      <c r="T1349" s="5"/>
      <c r="U1349" s="5"/>
      <c r="V1349" s="5"/>
      <c r="W1349" s="5"/>
    </row>
    <row r="1350" spans="1:23" x14ac:dyDescent="0.3">
      <c r="A1350" s="5"/>
      <c r="B1350" s="5"/>
      <c r="C1350" s="5"/>
      <c r="D1350" s="5"/>
      <c r="E1350" s="12"/>
      <c r="F1350" s="5"/>
      <c r="G1350" s="5"/>
      <c r="H1350" s="5"/>
      <c r="I1350" s="5"/>
      <c r="J1350" s="5"/>
      <c r="L1350" s="5"/>
      <c r="M1350" s="5"/>
      <c r="P1350" s="5"/>
      <c r="Q1350" s="5"/>
      <c r="R1350" s="5"/>
      <c r="S1350" s="5"/>
      <c r="T1350" s="5"/>
      <c r="U1350" s="5"/>
      <c r="V1350" s="5"/>
      <c r="W1350" s="5"/>
    </row>
    <row r="1351" spans="1:23" x14ac:dyDescent="0.3">
      <c r="A1351" s="5"/>
      <c r="B1351" s="5"/>
      <c r="C1351" s="5"/>
      <c r="D1351" s="5"/>
      <c r="E1351" s="12"/>
      <c r="F1351" s="5"/>
      <c r="G1351" s="5"/>
      <c r="H1351" s="5"/>
      <c r="I1351" s="5"/>
      <c r="J1351" s="5"/>
      <c r="L1351" s="5"/>
      <c r="M1351" s="5"/>
      <c r="P1351" s="5"/>
      <c r="Q1351" s="5"/>
      <c r="R1351" s="5"/>
      <c r="S1351" s="5"/>
      <c r="T1351" s="5"/>
      <c r="U1351" s="5"/>
      <c r="V1351" s="5"/>
      <c r="W1351" s="5"/>
    </row>
    <row r="1352" spans="1:23" x14ac:dyDescent="0.3">
      <c r="A1352" s="5"/>
      <c r="B1352" s="5"/>
      <c r="C1352" s="5"/>
      <c r="D1352" s="5"/>
      <c r="E1352" s="12"/>
      <c r="F1352" s="5"/>
      <c r="G1352" s="5"/>
      <c r="H1352" s="5"/>
      <c r="I1352" s="5"/>
      <c r="J1352" s="5"/>
      <c r="L1352" s="5"/>
      <c r="M1352" s="5"/>
      <c r="P1352" s="5"/>
      <c r="Q1352" s="5"/>
      <c r="R1352" s="5"/>
      <c r="S1352" s="5"/>
      <c r="T1352" s="5"/>
      <c r="U1352" s="5"/>
      <c r="V1352" s="5"/>
      <c r="W1352" s="5"/>
    </row>
    <row r="1353" spans="1:23" x14ac:dyDescent="0.3">
      <c r="A1353" s="5"/>
      <c r="B1353" s="5"/>
      <c r="C1353" s="5"/>
      <c r="D1353" s="5"/>
      <c r="E1353" s="12"/>
      <c r="F1353" s="5"/>
      <c r="G1353" s="5"/>
      <c r="H1353" s="5"/>
      <c r="I1353" s="5"/>
      <c r="J1353" s="5"/>
      <c r="L1353" s="5"/>
      <c r="M1353" s="5"/>
      <c r="P1353" s="5"/>
      <c r="Q1353" s="5"/>
      <c r="R1353" s="5"/>
      <c r="S1353" s="5"/>
      <c r="T1353" s="5"/>
      <c r="U1353" s="5"/>
      <c r="V1353" s="5"/>
      <c r="W1353" s="5"/>
    </row>
    <row r="1354" spans="1:23" x14ac:dyDescent="0.3">
      <c r="A1354" s="5"/>
      <c r="B1354" s="5"/>
      <c r="C1354" s="5"/>
      <c r="D1354" s="5"/>
      <c r="E1354" s="12"/>
      <c r="F1354" s="5"/>
      <c r="G1354" s="5"/>
      <c r="H1354" s="5"/>
      <c r="I1354" s="5"/>
      <c r="J1354" s="5"/>
      <c r="L1354" s="5"/>
      <c r="M1354" s="5"/>
      <c r="P1354" s="5"/>
      <c r="Q1354" s="5"/>
      <c r="R1354" s="5"/>
      <c r="S1354" s="5"/>
      <c r="T1354" s="5"/>
      <c r="U1354" s="5"/>
      <c r="V1354" s="5"/>
      <c r="W1354" s="5"/>
    </row>
    <row r="1355" spans="1:23" x14ac:dyDescent="0.3">
      <c r="A1355" s="5"/>
      <c r="B1355" s="5"/>
      <c r="C1355" s="5"/>
      <c r="D1355" s="5"/>
      <c r="E1355" s="12"/>
      <c r="F1355" s="5"/>
      <c r="G1355" s="5"/>
      <c r="H1355" s="5"/>
      <c r="I1355" s="5"/>
      <c r="J1355" s="5"/>
      <c r="L1355" s="5"/>
      <c r="M1355" s="5"/>
      <c r="P1355" s="5"/>
      <c r="Q1355" s="5"/>
      <c r="R1355" s="5"/>
      <c r="S1355" s="5"/>
      <c r="T1355" s="5"/>
      <c r="U1355" s="5"/>
      <c r="V1355" s="5"/>
      <c r="W1355" s="5"/>
    </row>
    <row r="1356" spans="1:23" x14ac:dyDescent="0.3">
      <c r="A1356" s="5"/>
      <c r="B1356" s="5"/>
      <c r="C1356" s="5"/>
      <c r="D1356" s="5"/>
      <c r="E1356" s="12"/>
      <c r="F1356" s="5"/>
      <c r="G1356" s="5"/>
      <c r="H1356" s="5"/>
      <c r="I1356" s="5"/>
      <c r="J1356" s="5"/>
      <c r="L1356" s="5"/>
      <c r="M1356" s="5"/>
      <c r="P1356" s="5"/>
      <c r="Q1356" s="5"/>
      <c r="R1356" s="5"/>
      <c r="S1356" s="5"/>
      <c r="T1356" s="5"/>
      <c r="U1356" s="5"/>
      <c r="V1356" s="5"/>
      <c r="W1356" s="5"/>
    </row>
    <row r="1357" spans="1:23" x14ac:dyDescent="0.3">
      <c r="A1357" s="5"/>
      <c r="B1357" s="5"/>
      <c r="C1357" s="5"/>
      <c r="D1357" s="5"/>
      <c r="E1357" s="12"/>
      <c r="F1357" s="5"/>
      <c r="G1357" s="5"/>
      <c r="H1357" s="5"/>
      <c r="I1357" s="5"/>
      <c r="J1357" s="5"/>
      <c r="L1357" s="5"/>
      <c r="M1357" s="5"/>
      <c r="P1357" s="5"/>
      <c r="Q1357" s="5"/>
      <c r="R1357" s="5"/>
      <c r="S1357" s="5"/>
      <c r="T1357" s="5"/>
      <c r="U1357" s="5"/>
      <c r="V1357" s="5"/>
      <c r="W1357" s="5"/>
    </row>
    <row r="1358" spans="1:23" x14ac:dyDescent="0.3">
      <c r="A1358" s="5"/>
      <c r="B1358" s="5"/>
      <c r="C1358" s="5"/>
      <c r="D1358" s="5"/>
      <c r="E1358" s="12"/>
      <c r="F1358" s="5"/>
      <c r="G1358" s="5"/>
      <c r="H1358" s="5"/>
      <c r="I1358" s="5"/>
      <c r="J1358" s="5"/>
      <c r="L1358" s="5"/>
      <c r="M1358" s="5"/>
      <c r="P1358" s="5"/>
      <c r="Q1358" s="5"/>
      <c r="R1358" s="5"/>
      <c r="S1358" s="5"/>
      <c r="T1358" s="5"/>
      <c r="U1358" s="5"/>
      <c r="V1358" s="5"/>
      <c r="W1358" s="5"/>
    </row>
    <row r="1359" spans="1:23" x14ac:dyDescent="0.3">
      <c r="A1359" s="5"/>
      <c r="B1359" s="5"/>
      <c r="C1359" s="5"/>
      <c r="D1359" s="5"/>
      <c r="E1359" s="12"/>
      <c r="F1359" s="5"/>
      <c r="G1359" s="5"/>
      <c r="H1359" s="5"/>
      <c r="I1359" s="5"/>
      <c r="J1359" s="5"/>
      <c r="L1359" s="5"/>
      <c r="M1359" s="5"/>
      <c r="P1359" s="5"/>
      <c r="Q1359" s="5"/>
      <c r="R1359" s="5"/>
      <c r="S1359" s="5"/>
      <c r="T1359" s="5"/>
      <c r="U1359" s="5"/>
      <c r="V1359" s="5"/>
      <c r="W1359" s="5"/>
    </row>
    <row r="1360" spans="1:23" x14ac:dyDescent="0.3">
      <c r="A1360" s="5"/>
      <c r="B1360" s="5"/>
      <c r="C1360" s="5"/>
      <c r="D1360" s="5"/>
      <c r="E1360" s="12"/>
      <c r="F1360" s="5"/>
      <c r="G1360" s="5"/>
      <c r="H1360" s="5"/>
      <c r="I1360" s="5"/>
      <c r="J1360" s="5"/>
      <c r="L1360" s="5"/>
      <c r="M1360" s="5"/>
      <c r="P1360" s="5"/>
      <c r="Q1360" s="5"/>
      <c r="R1360" s="5"/>
      <c r="S1360" s="5"/>
      <c r="T1360" s="5"/>
      <c r="U1360" s="5"/>
      <c r="V1360" s="5"/>
      <c r="W1360" s="5"/>
    </row>
    <row r="1361" spans="1:28" x14ac:dyDescent="0.3">
      <c r="A1361" s="5"/>
      <c r="B1361" s="5"/>
      <c r="C1361" s="5"/>
      <c r="D1361" s="5"/>
      <c r="E1361" s="12"/>
      <c r="F1361" s="5"/>
      <c r="G1361" s="5"/>
      <c r="H1361" s="5"/>
      <c r="I1361" s="5"/>
      <c r="J1361" s="5"/>
      <c r="L1361" s="5"/>
      <c r="M1361" s="5"/>
      <c r="P1361" s="5"/>
      <c r="Q1361" s="5"/>
      <c r="R1361" s="5"/>
      <c r="S1361" s="5"/>
      <c r="T1361" s="5"/>
      <c r="U1361" s="5"/>
      <c r="V1361" s="5"/>
      <c r="W1361" s="5"/>
    </row>
    <row r="1362" spans="1:28" x14ac:dyDescent="0.3">
      <c r="A1362" s="5"/>
      <c r="B1362" s="5"/>
      <c r="C1362" s="5"/>
      <c r="D1362" s="5"/>
      <c r="E1362" s="12"/>
      <c r="F1362" s="5"/>
      <c r="G1362" s="5"/>
      <c r="H1362" s="5"/>
      <c r="I1362" s="5"/>
      <c r="J1362" s="5"/>
      <c r="L1362" s="5"/>
      <c r="M1362" s="5"/>
      <c r="P1362" s="5"/>
      <c r="Q1362" s="5"/>
      <c r="R1362" s="5"/>
      <c r="S1362" s="5"/>
      <c r="T1362" s="5"/>
      <c r="U1362" s="5"/>
      <c r="V1362" s="5"/>
      <c r="W1362" s="5"/>
    </row>
    <row r="1363" spans="1:28" x14ac:dyDescent="0.3">
      <c r="A1363" s="5"/>
      <c r="B1363" s="5"/>
      <c r="C1363" s="5"/>
      <c r="D1363" s="5"/>
      <c r="E1363" s="12"/>
      <c r="F1363" s="5"/>
      <c r="G1363" s="5"/>
      <c r="H1363" s="5"/>
      <c r="I1363" s="5"/>
      <c r="J1363" s="5"/>
      <c r="L1363" s="5"/>
      <c r="M1363" s="5"/>
      <c r="P1363" s="5"/>
      <c r="Q1363" s="5"/>
      <c r="R1363" s="5"/>
      <c r="S1363" s="5"/>
      <c r="T1363" s="5"/>
      <c r="U1363" s="5"/>
      <c r="V1363" s="5"/>
      <c r="W1363" s="5"/>
    </row>
    <row r="1364" spans="1:28" x14ac:dyDescent="0.3">
      <c r="A1364" s="5"/>
      <c r="B1364" s="5"/>
      <c r="C1364" s="5"/>
      <c r="D1364" s="5"/>
      <c r="E1364" s="12"/>
      <c r="F1364" s="5"/>
      <c r="G1364" s="5"/>
      <c r="H1364" s="5"/>
      <c r="I1364" s="5"/>
      <c r="J1364" s="5"/>
      <c r="L1364" s="5"/>
      <c r="M1364" s="5"/>
      <c r="P1364" s="5"/>
      <c r="Q1364" s="5"/>
      <c r="R1364" s="5"/>
      <c r="S1364" s="5"/>
      <c r="T1364" s="5"/>
      <c r="U1364" s="5"/>
      <c r="V1364" s="5"/>
      <c r="W1364" s="5"/>
    </row>
    <row r="1365" spans="1:28" x14ac:dyDescent="0.3">
      <c r="A1365" s="5"/>
      <c r="B1365" s="5"/>
      <c r="C1365" s="5"/>
      <c r="D1365" s="5"/>
      <c r="E1365" s="12"/>
      <c r="F1365" s="5"/>
      <c r="G1365" s="5"/>
      <c r="H1365" s="5"/>
      <c r="I1365" s="5"/>
      <c r="J1365" s="5"/>
      <c r="L1365" s="5"/>
      <c r="M1365" s="5"/>
      <c r="P1365" s="5"/>
      <c r="Q1365" s="5"/>
      <c r="R1365" s="5"/>
      <c r="S1365" s="5"/>
      <c r="T1365" s="5"/>
      <c r="U1365" s="5"/>
      <c r="V1365" s="5"/>
      <c r="W1365" s="5"/>
    </row>
    <row r="1366" spans="1:28" x14ac:dyDescent="0.3">
      <c r="A1366" s="5"/>
      <c r="B1366" s="5"/>
      <c r="C1366" s="5"/>
      <c r="D1366" s="5"/>
      <c r="E1366" s="12"/>
      <c r="F1366" s="5"/>
      <c r="G1366" s="5"/>
      <c r="H1366" s="5"/>
      <c r="I1366" s="5"/>
      <c r="J1366" s="5"/>
      <c r="L1366" s="5"/>
      <c r="M1366" s="5"/>
      <c r="P1366" s="5"/>
      <c r="Q1366" s="5"/>
      <c r="R1366" s="5"/>
      <c r="S1366" s="5"/>
      <c r="T1366" s="5"/>
      <c r="U1366" s="5"/>
      <c r="V1366" s="5"/>
      <c r="W1366" s="5"/>
    </row>
    <row r="1367" spans="1:28" x14ac:dyDescent="0.3">
      <c r="A1367" s="5"/>
      <c r="B1367" s="5"/>
      <c r="C1367" s="5"/>
      <c r="D1367" s="5"/>
      <c r="E1367" s="12"/>
      <c r="F1367" s="5"/>
      <c r="G1367" s="5"/>
      <c r="H1367" s="5"/>
      <c r="I1367" s="5"/>
      <c r="J1367" s="5"/>
      <c r="L1367" s="5"/>
      <c r="M1367" s="5"/>
      <c r="P1367" s="5"/>
      <c r="Q1367" s="5"/>
      <c r="R1367" s="5"/>
      <c r="S1367" s="5"/>
      <c r="T1367" s="5"/>
      <c r="U1367" s="5"/>
      <c r="V1367" s="5"/>
      <c r="W1367" s="5"/>
    </row>
    <row r="1368" spans="1:28" x14ac:dyDescent="0.3">
      <c r="A1368" s="5"/>
      <c r="B1368" s="5"/>
      <c r="C1368" s="5"/>
      <c r="D1368" s="5"/>
      <c r="E1368" s="12"/>
      <c r="F1368" s="5"/>
      <c r="G1368" s="5"/>
      <c r="H1368" s="5"/>
      <c r="I1368" s="5"/>
      <c r="J1368" s="5"/>
      <c r="L1368" s="5"/>
      <c r="M1368" s="5"/>
      <c r="P1368" s="5"/>
      <c r="Q1368" s="5"/>
      <c r="R1368" s="5"/>
      <c r="S1368" s="5"/>
      <c r="T1368" s="5"/>
      <c r="U1368" s="5"/>
      <c r="V1368" s="5"/>
      <c r="W1368" s="5"/>
    </row>
    <row r="1369" spans="1:28" x14ac:dyDescent="0.3">
      <c r="A1369" s="5"/>
      <c r="B1369" s="5"/>
      <c r="C1369" s="5"/>
      <c r="D1369" s="5"/>
      <c r="E1369" s="12"/>
      <c r="F1369" s="5"/>
      <c r="G1369" s="5"/>
      <c r="H1369" s="5"/>
      <c r="I1369" s="5"/>
      <c r="J1369" s="5"/>
      <c r="L1369" s="5"/>
      <c r="M1369" s="5"/>
      <c r="P1369" s="5"/>
      <c r="Q1369" s="5"/>
      <c r="R1369" s="5"/>
      <c r="S1369" s="5"/>
      <c r="T1369" s="5"/>
      <c r="U1369" s="5"/>
      <c r="V1369" s="5"/>
      <c r="W1369" s="5"/>
    </row>
    <row r="1370" spans="1:28" x14ac:dyDescent="0.3">
      <c r="A1370" s="5"/>
      <c r="B1370" s="5"/>
      <c r="C1370" s="5"/>
      <c r="D1370" s="5"/>
      <c r="E1370" s="12"/>
      <c r="F1370" s="5"/>
      <c r="G1370" s="5"/>
      <c r="H1370" s="5"/>
      <c r="I1370" s="5"/>
      <c r="J1370" s="5"/>
      <c r="L1370" s="5"/>
      <c r="M1370" s="5"/>
      <c r="P1370" s="5"/>
      <c r="Q1370" s="5"/>
      <c r="R1370" s="5"/>
      <c r="S1370" s="5"/>
      <c r="T1370" s="5"/>
      <c r="U1370" s="5"/>
      <c r="V1370" s="5"/>
      <c r="W1370" s="5"/>
      <c r="AA1370" s="5"/>
      <c r="AB1370" s="5"/>
    </row>
    <row r="1371" spans="1:28" x14ac:dyDescent="0.3">
      <c r="A1371" s="5"/>
      <c r="B1371" s="5"/>
      <c r="C1371" s="5"/>
      <c r="D1371" s="5"/>
      <c r="E1371" s="12"/>
      <c r="F1371" s="5"/>
      <c r="G1371" s="5"/>
      <c r="H1371" s="5"/>
      <c r="I1371" s="5"/>
      <c r="J1371" s="5"/>
      <c r="L1371" s="5"/>
      <c r="M1371" s="5"/>
      <c r="P1371" s="5"/>
      <c r="Q1371" s="5"/>
      <c r="R1371" s="5"/>
      <c r="S1371" s="5"/>
      <c r="T1371" s="5"/>
      <c r="U1371" s="5"/>
      <c r="V1371" s="5"/>
      <c r="W1371" s="5"/>
      <c r="AA1371" s="13"/>
      <c r="AB1371" s="13"/>
    </row>
    <row r="1372" spans="1:28" x14ac:dyDescent="0.3">
      <c r="A1372" s="5"/>
      <c r="B1372" s="5"/>
      <c r="C1372" s="5"/>
      <c r="D1372" s="5"/>
      <c r="E1372" s="12"/>
      <c r="F1372" s="5"/>
      <c r="G1372" s="5"/>
      <c r="H1372" s="5"/>
      <c r="I1372" s="5"/>
      <c r="J1372" s="5"/>
      <c r="L1372" s="5"/>
      <c r="M1372" s="5"/>
      <c r="P1372" s="5"/>
      <c r="Q1372" s="5"/>
      <c r="R1372" s="5"/>
      <c r="S1372" s="5"/>
      <c r="T1372" s="5"/>
      <c r="U1372" s="5"/>
      <c r="V1372" s="5"/>
      <c r="W1372" s="5"/>
      <c r="AA1372" s="5"/>
      <c r="AB1372" s="5"/>
    </row>
    <row r="1373" spans="1:28" x14ac:dyDescent="0.3">
      <c r="A1373" s="5"/>
      <c r="B1373" s="5"/>
      <c r="C1373" s="5"/>
      <c r="D1373" s="5"/>
      <c r="E1373" s="12"/>
      <c r="F1373" s="5"/>
      <c r="G1373" s="5"/>
      <c r="H1373" s="5"/>
      <c r="I1373" s="5"/>
      <c r="J1373" s="5"/>
      <c r="L1373" s="5"/>
      <c r="M1373" s="5"/>
      <c r="P1373" s="5"/>
      <c r="Q1373" s="5"/>
      <c r="R1373" s="5"/>
      <c r="S1373" s="5"/>
      <c r="T1373" s="5"/>
      <c r="U1373" s="5"/>
      <c r="V1373" s="5"/>
      <c r="W1373" s="5"/>
      <c r="AA1373" s="5"/>
      <c r="AB1373" s="5"/>
    </row>
    <row r="1374" spans="1:28" x14ac:dyDescent="0.3">
      <c r="A1374" s="5"/>
      <c r="B1374" s="5"/>
      <c r="C1374" s="5"/>
      <c r="D1374" s="5"/>
      <c r="E1374" s="12"/>
      <c r="F1374" s="5"/>
      <c r="G1374" s="5"/>
      <c r="H1374" s="5"/>
      <c r="I1374" s="5"/>
      <c r="J1374" s="5"/>
      <c r="L1374" s="5"/>
      <c r="M1374" s="5"/>
      <c r="P1374" s="5"/>
      <c r="Q1374" s="5"/>
      <c r="R1374" s="5"/>
      <c r="S1374" s="5"/>
      <c r="T1374" s="5"/>
      <c r="U1374" s="5"/>
      <c r="V1374" s="5"/>
      <c r="W1374" s="5"/>
    </row>
    <row r="1375" spans="1:28" x14ac:dyDescent="0.3">
      <c r="A1375" s="5"/>
      <c r="B1375" s="5"/>
      <c r="C1375" s="5"/>
      <c r="D1375" s="5"/>
      <c r="E1375" s="12"/>
      <c r="F1375" s="5"/>
      <c r="G1375" s="5"/>
      <c r="H1375" s="5"/>
      <c r="I1375" s="5"/>
      <c r="J1375" s="5"/>
      <c r="L1375" s="5"/>
      <c r="M1375" s="5"/>
      <c r="P1375" s="5"/>
      <c r="Q1375" s="5"/>
      <c r="R1375" s="5"/>
      <c r="S1375" s="5"/>
      <c r="T1375" s="5"/>
      <c r="U1375" s="5"/>
      <c r="V1375" s="5"/>
      <c r="W1375" s="5"/>
    </row>
    <row r="1376" spans="1:28" x14ac:dyDescent="0.3">
      <c r="A1376" s="5"/>
      <c r="B1376" s="5"/>
      <c r="C1376" s="5"/>
      <c r="D1376" s="5"/>
      <c r="E1376" s="12"/>
      <c r="F1376" s="5"/>
      <c r="G1376" s="5"/>
      <c r="H1376" s="5"/>
      <c r="I1376" s="5"/>
      <c r="J1376" s="5"/>
      <c r="L1376" s="5"/>
      <c r="M1376" s="5"/>
      <c r="P1376" s="5"/>
      <c r="Q1376" s="5"/>
      <c r="R1376" s="5"/>
      <c r="S1376" s="5"/>
      <c r="T1376" s="5"/>
      <c r="U1376" s="5"/>
      <c r="V1376" s="5"/>
      <c r="W1376" s="5"/>
    </row>
    <row r="1377" spans="1:23" x14ac:dyDescent="0.3">
      <c r="A1377" s="5"/>
      <c r="B1377" s="5"/>
      <c r="C1377" s="5"/>
      <c r="D1377" s="5"/>
      <c r="E1377" s="12"/>
      <c r="F1377" s="5"/>
      <c r="G1377" s="5"/>
      <c r="H1377" s="5"/>
      <c r="I1377" s="5"/>
      <c r="J1377" s="5"/>
      <c r="L1377" s="5"/>
      <c r="M1377" s="5"/>
      <c r="P1377" s="5"/>
      <c r="Q1377" s="5"/>
      <c r="R1377" s="5"/>
      <c r="S1377" s="5"/>
      <c r="T1377" s="5"/>
      <c r="U1377" s="5"/>
      <c r="V1377" s="5"/>
      <c r="W1377" s="5"/>
    </row>
    <row r="1378" spans="1:23" x14ac:dyDescent="0.3">
      <c r="A1378" s="5"/>
      <c r="B1378" s="5"/>
      <c r="C1378" s="5"/>
      <c r="D1378" s="5"/>
      <c r="E1378" s="12"/>
      <c r="F1378" s="5"/>
      <c r="G1378" s="5"/>
      <c r="H1378" s="5"/>
      <c r="I1378" s="5"/>
      <c r="J1378" s="5"/>
      <c r="L1378" s="5"/>
      <c r="M1378" s="5"/>
      <c r="P1378" s="5"/>
      <c r="Q1378" s="5"/>
      <c r="R1378" s="5"/>
      <c r="S1378" s="5"/>
      <c r="T1378" s="5"/>
      <c r="U1378" s="5"/>
      <c r="V1378" s="5"/>
      <c r="W1378" s="5"/>
    </row>
    <row r="1379" spans="1:23" x14ac:dyDescent="0.3">
      <c r="A1379" s="5"/>
      <c r="B1379" s="5"/>
      <c r="C1379" s="5"/>
      <c r="D1379" s="5"/>
      <c r="E1379" s="12"/>
      <c r="F1379" s="5"/>
      <c r="G1379" s="5"/>
      <c r="H1379" s="5"/>
      <c r="I1379" s="5"/>
      <c r="J1379" s="5"/>
      <c r="L1379" s="5"/>
      <c r="M1379" s="5"/>
      <c r="P1379" s="5"/>
      <c r="Q1379" s="5"/>
      <c r="R1379" s="5"/>
      <c r="S1379" s="5"/>
      <c r="T1379" s="5"/>
      <c r="U1379" s="5"/>
      <c r="V1379" s="5"/>
      <c r="W1379" s="5"/>
    </row>
    <row r="1380" spans="1:23" x14ac:dyDescent="0.3">
      <c r="A1380" s="5"/>
      <c r="B1380" s="5"/>
      <c r="C1380" s="5"/>
      <c r="D1380" s="5"/>
      <c r="E1380" s="12"/>
      <c r="F1380" s="5"/>
      <c r="G1380" s="5"/>
      <c r="H1380" s="5"/>
      <c r="I1380" s="5"/>
      <c r="J1380" s="5"/>
      <c r="L1380" s="5"/>
      <c r="M1380" s="5"/>
      <c r="P1380" s="5"/>
      <c r="Q1380" s="5"/>
      <c r="R1380" s="5"/>
      <c r="S1380" s="5"/>
      <c r="T1380" s="5"/>
      <c r="U1380" s="5"/>
      <c r="V1380" s="5"/>
      <c r="W1380" s="5"/>
    </row>
    <row r="1381" spans="1:23" x14ac:dyDescent="0.3">
      <c r="A1381" s="5"/>
      <c r="B1381" s="5"/>
      <c r="C1381" s="5"/>
      <c r="D1381" s="5"/>
      <c r="E1381" s="12"/>
      <c r="F1381" s="5"/>
      <c r="G1381" s="5"/>
      <c r="H1381" s="5"/>
      <c r="I1381" s="5"/>
      <c r="J1381" s="5"/>
      <c r="L1381" s="5"/>
      <c r="M1381" s="5"/>
      <c r="P1381" s="5"/>
      <c r="Q1381" s="5"/>
      <c r="R1381" s="5"/>
      <c r="S1381" s="5"/>
      <c r="T1381" s="5"/>
      <c r="U1381" s="5"/>
      <c r="V1381" s="5"/>
      <c r="W1381" s="5"/>
    </row>
    <row r="1382" spans="1:23" x14ac:dyDescent="0.3">
      <c r="A1382" s="5"/>
      <c r="B1382" s="5"/>
      <c r="C1382" s="5"/>
      <c r="D1382" s="5"/>
      <c r="E1382" s="12"/>
      <c r="F1382" s="5"/>
      <c r="G1382" s="5"/>
      <c r="H1382" s="5"/>
      <c r="I1382" s="5"/>
      <c r="J1382" s="5"/>
      <c r="L1382" s="5"/>
      <c r="M1382" s="5"/>
      <c r="P1382" s="5"/>
      <c r="Q1382" s="5"/>
      <c r="R1382" s="5"/>
      <c r="S1382" s="5"/>
      <c r="T1382" s="5"/>
      <c r="U1382" s="5"/>
      <c r="V1382" s="5"/>
      <c r="W1382" s="5"/>
    </row>
    <row r="1383" spans="1:23" x14ac:dyDescent="0.3">
      <c r="A1383" s="5"/>
      <c r="B1383" s="5"/>
      <c r="C1383" s="5"/>
      <c r="D1383" s="5"/>
      <c r="E1383" s="12"/>
      <c r="F1383" s="5"/>
      <c r="G1383" s="5"/>
      <c r="H1383" s="5"/>
      <c r="I1383" s="5"/>
      <c r="J1383" s="5"/>
      <c r="L1383" s="5"/>
      <c r="M1383" s="5"/>
      <c r="P1383" s="5"/>
      <c r="Q1383" s="5"/>
      <c r="R1383" s="5"/>
      <c r="S1383" s="5"/>
      <c r="T1383" s="5"/>
      <c r="U1383" s="5"/>
      <c r="V1383" s="5"/>
      <c r="W1383" s="5"/>
    </row>
    <row r="1384" spans="1:23" x14ac:dyDescent="0.3">
      <c r="A1384" s="5"/>
      <c r="B1384" s="5"/>
      <c r="C1384" s="5"/>
      <c r="D1384" s="5"/>
      <c r="E1384" s="12"/>
      <c r="F1384" s="5"/>
      <c r="G1384" s="5"/>
      <c r="H1384" s="5"/>
      <c r="I1384" s="5"/>
      <c r="J1384" s="5"/>
      <c r="L1384" s="5"/>
      <c r="M1384" s="5"/>
      <c r="P1384" s="5"/>
      <c r="Q1384" s="5"/>
      <c r="R1384" s="5"/>
      <c r="S1384" s="5"/>
      <c r="T1384" s="5"/>
      <c r="U1384" s="5"/>
      <c r="V1384" s="5"/>
      <c r="W1384" s="5"/>
    </row>
    <row r="1385" spans="1:23" x14ac:dyDescent="0.3">
      <c r="A1385" s="5"/>
      <c r="B1385" s="5"/>
      <c r="C1385" s="5"/>
      <c r="D1385" s="5"/>
      <c r="E1385" s="12"/>
      <c r="F1385" s="5"/>
      <c r="G1385" s="5"/>
      <c r="H1385" s="5"/>
      <c r="I1385" s="5"/>
      <c r="J1385" s="5"/>
      <c r="L1385" s="5"/>
      <c r="M1385" s="5"/>
      <c r="P1385" s="5"/>
      <c r="Q1385" s="5"/>
      <c r="R1385" s="5"/>
      <c r="S1385" s="5"/>
      <c r="T1385" s="5"/>
      <c r="U1385" s="5"/>
      <c r="V1385" s="5"/>
      <c r="W1385" s="5"/>
    </row>
    <row r="1386" spans="1:23" x14ac:dyDescent="0.3">
      <c r="A1386" s="5"/>
      <c r="B1386" s="5"/>
      <c r="C1386" s="5"/>
      <c r="D1386" s="5"/>
      <c r="E1386" s="12"/>
      <c r="F1386" s="5"/>
      <c r="G1386" s="5"/>
      <c r="H1386" s="5"/>
      <c r="I1386" s="5"/>
      <c r="J1386" s="5"/>
      <c r="L1386" s="5"/>
      <c r="M1386" s="5"/>
      <c r="P1386" s="5"/>
      <c r="Q1386" s="5"/>
      <c r="R1386" s="5"/>
      <c r="S1386" s="5"/>
      <c r="T1386" s="5"/>
      <c r="U1386" s="5"/>
      <c r="V1386" s="5"/>
      <c r="W1386" s="5"/>
    </row>
    <row r="1387" spans="1:23" x14ac:dyDescent="0.3">
      <c r="A1387" s="5"/>
      <c r="B1387" s="5"/>
      <c r="C1387" s="5"/>
      <c r="D1387" s="5"/>
      <c r="E1387" s="12"/>
      <c r="F1387" s="5"/>
      <c r="G1387" s="5"/>
      <c r="H1387" s="5"/>
      <c r="I1387" s="5"/>
      <c r="J1387" s="5"/>
      <c r="L1387" s="5"/>
      <c r="M1387" s="5"/>
      <c r="P1387" s="5"/>
      <c r="Q1387" s="5"/>
      <c r="R1387" s="5"/>
      <c r="S1387" s="5"/>
      <c r="T1387" s="5"/>
      <c r="U1387" s="5"/>
      <c r="V1387" s="5"/>
      <c r="W1387" s="5"/>
    </row>
    <row r="1388" spans="1:23" x14ac:dyDescent="0.3">
      <c r="A1388" s="5"/>
      <c r="B1388" s="5"/>
      <c r="C1388" s="5"/>
      <c r="D1388" s="5"/>
      <c r="E1388" s="12"/>
      <c r="F1388" s="5"/>
      <c r="G1388" s="5"/>
      <c r="H1388" s="5"/>
      <c r="I1388" s="5"/>
      <c r="J1388" s="5"/>
      <c r="L1388" s="5"/>
      <c r="M1388" s="5"/>
      <c r="P1388" s="5"/>
      <c r="Q1388" s="5"/>
      <c r="R1388" s="5"/>
      <c r="S1388" s="5"/>
      <c r="T1388" s="5"/>
      <c r="U1388" s="5"/>
      <c r="V1388" s="5"/>
      <c r="W1388" s="5"/>
    </row>
    <row r="1389" spans="1:23" x14ac:dyDescent="0.3">
      <c r="A1389" s="5"/>
      <c r="B1389" s="5"/>
      <c r="C1389" s="5"/>
      <c r="D1389" s="5"/>
      <c r="E1389" s="12"/>
      <c r="F1389" s="5"/>
      <c r="G1389" s="5"/>
      <c r="H1389" s="5"/>
      <c r="I1389" s="5"/>
      <c r="J1389" s="5"/>
      <c r="L1389" s="5"/>
      <c r="M1389" s="5"/>
      <c r="P1389" s="5"/>
      <c r="Q1389" s="5"/>
      <c r="R1389" s="5"/>
      <c r="S1389" s="5"/>
      <c r="T1389" s="5"/>
      <c r="U1389" s="5"/>
      <c r="V1389" s="5"/>
      <c r="W1389" s="5"/>
    </row>
    <row r="1390" spans="1:23" x14ac:dyDescent="0.3">
      <c r="A1390" s="5"/>
      <c r="B1390" s="5"/>
      <c r="C1390" s="5"/>
      <c r="D1390" s="5"/>
      <c r="E1390" s="12"/>
      <c r="F1390" s="5"/>
      <c r="G1390" s="5"/>
      <c r="H1390" s="5"/>
      <c r="I1390" s="5"/>
      <c r="J1390" s="5"/>
      <c r="L1390" s="5"/>
      <c r="M1390" s="5"/>
      <c r="P1390" s="5"/>
      <c r="Q1390" s="5"/>
      <c r="R1390" s="5"/>
      <c r="S1390" s="5"/>
      <c r="T1390" s="5"/>
      <c r="U1390" s="5"/>
      <c r="V1390" s="5"/>
      <c r="W1390" s="5"/>
    </row>
    <row r="1391" spans="1:23" x14ac:dyDescent="0.3">
      <c r="A1391" s="5"/>
      <c r="B1391" s="5"/>
      <c r="C1391" s="5"/>
      <c r="D1391" s="5"/>
      <c r="E1391" s="12"/>
      <c r="F1391" s="5"/>
      <c r="G1391" s="5"/>
      <c r="H1391" s="5"/>
      <c r="I1391" s="5"/>
      <c r="J1391" s="5"/>
      <c r="L1391" s="5"/>
      <c r="M1391" s="5"/>
      <c r="P1391" s="5"/>
      <c r="Q1391" s="5"/>
      <c r="R1391" s="5"/>
      <c r="S1391" s="5"/>
      <c r="T1391" s="5"/>
      <c r="U1391" s="5"/>
      <c r="V1391" s="5"/>
      <c r="W1391" s="5"/>
    </row>
    <row r="1392" spans="1:23" x14ac:dyDescent="0.3">
      <c r="A1392" s="5"/>
      <c r="B1392" s="5"/>
      <c r="C1392" s="5"/>
      <c r="D1392" s="5"/>
      <c r="E1392" s="12"/>
      <c r="F1392" s="5"/>
      <c r="G1392" s="5"/>
      <c r="H1392" s="5"/>
      <c r="I1392" s="5"/>
      <c r="J1392" s="5"/>
      <c r="L1392" s="5"/>
      <c r="M1392" s="5"/>
      <c r="P1392" s="5"/>
      <c r="Q1392" s="5"/>
      <c r="R1392" s="5"/>
      <c r="S1392" s="5"/>
      <c r="T1392" s="5"/>
      <c r="U1392" s="5"/>
      <c r="V1392" s="5"/>
      <c r="W1392" s="5"/>
    </row>
    <row r="1393" spans="1:28" x14ac:dyDescent="0.3">
      <c r="A1393" s="5"/>
      <c r="B1393" s="5"/>
      <c r="C1393" s="5"/>
      <c r="D1393" s="5"/>
      <c r="E1393" s="12"/>
      <c r="F1393" s="5"/>
      <c r="G1393" s="5"/>
      <c r="H1393" s="5"/>
      <c r="I1393" s="5"/>
      <c r="J1393" s="5"/>
      <c r="L1393" s="5"/>
      <c r="M1393" s="5"/>
      <c r="P1393" s="5"/>
      <c r="Q1393" s="5"/>
      <c r="R1393" s="5"/>
      <c r="S1393" s="5"/>
      <c r="T1393" s="5"/>
      <c r="U1393" s="5"/>
      <c r="V1393" s="5"/>
      <c r="W1393" s="5"/>
    </row>
    <row r="1394" spans="1:28" x14ac:dyDescent="0.3">
      <c r="A1394" s="5"/>
      <c r="B1394" s="5"/>
      <c r="C1394" s="5"/>
      <c r="D1394" s="5"/>
      <c r="E1394" s="12"/>
      <c r="F1394" s="5"/>
      <c r="G1394" s="5"/>
      <c r="H1394" s="5"/>
      <c r="I1394" s="5"/>
      <c r="J1394" s="5"/>
      <c r="L1394" s="5"/>
      <c r="M1394" s="5"/>
      <c r="P1394" s="5"/>
      <c r="Q1394" s="5"/>
      <c r="R1394" s="5"/>
      <c r="S1394" s="5"/>
      <c r="T1394" s="5"/>
      <c r="U1394" s="5"/>
      <c r="V1394" s="5"/>
      <c r="W1394" s="5"/>
    </row>
    <row r="1395" spans="1:28" x14ac:dyDescent="0.3">
      <c r="A1395" s="5"/>
      <c r="B1395" s="5"/>
      <c r="C1395" s="5"/>
      <c r="D1395" s="5"/>
      <c r="E1395" s="12"/>
      <c r="F1395" s="5"/>
      <c r="G1395" s="5"/>
      <c r="H1395" s="5"/>
      <c r="I1395" s="5"/>
      <c r="J1395" s="5"/>
      <c r="L1395" s="5"/>
      <c r="M1395" s="5"/>
      <c r="P1395" s="5"/>
      <c r="Q1395" s="5"/>
      <c r="R1395" s="5"/>
      <c r="S1395" s="5"/>
      <c r="T1395" s="5"/>
      <c r="U1395" s="5"/>
      <c r="V1395" s="5"/>
      <c r="W1395" s="5"/>
    </row>
    <row r="1396" spans="1:28" x14ac:dyDescent="0.3">
      <c r="A1396" s="5"/>
      <c r="B1396" s="5"/>
      <c r="C1396" s="5"/>
      <c r="D1396" s="5"/>
      <c r="E1396" s="12"/>
      <c r="F1396" s="5"/>
      <c r="G1396" s="5"/>
      <c r="H1396" s="5"/>
      <c r="I1396" s="5"/>
      <c r="J1396" s="5"/>
      <c r="L1396" s="5"/>
      <c r="M1396" s="5"/>
      <c r="P1396" s="5"/>
      <c r="Q1396" s="5"/>
      <c r="R1396" s="5"/>
      <c r="S1396" s="5"/>
      <c r="T1396" s="5"/>
      <c r="U1396" s="5"/>
      <c r="V1396" s="5"/>
      <c r="W1396" s="5"/>
    </row>
    <row r="1397" spans="1:28" x14ac:dyDescent="0.3">
      <c r="A1397" s="5"/>
      <c r="B1397" s="5"/>
      <c r="C1397" s="5"/>
      <c r="D1397" s="5"/>
      <c r="E1397" s="12"/>
      <c r="F1397" s="5"/>
      <c r="G1397" s="5"/>
      <c r="H1397" s="5"/>
      <c r="I1397" s="5"/>
      <c r="J1397" s="5"/>
      <c r="L1397" s="5"/>
      <c r="M1397" s="5"/>
      <c r="P1397" s="5"/>
      <c r="Q1397" s="5"/>
      <c r="R1397" s="5"/>
      <c r="S1397" s="5"/>
      <c r="T1397" s="5"/>
      <c r="U1397" s="5"/>
      <c r="V1397" s="5"/>
      <c r="W1397" s="5"/>
    </row>
    <row r="1398" spans="1:28" x14ac:dyDescent="0.3">
      <c r="A1398" s="5"/>
      <c r="B1398" s="5"/>
      <c r="C1398" s="5"/>
      <c r="D1398" s="5"/>
      <c r="E1398" s="12"/>
      <c r="F1398" s="5"/>
      <c r="G1398" s="5"/>
      <c r="H1398" s="5"/>
      <c r="I1398" s="5"/>
      <c r="J1398" s="5"/>
      <c r="L1398" s="5"/>
      <c r="M1398" s="5"/>
      <c r="P1398" s="5"/>
      <c r="Q1398" s="5"/>
      <c r="R1398" s="5"/>
      <c r="S1398" s="5"/>
      <c r="T1398" s="5"/>
      <c r="U1398" s="5"/>
      <c r="V1398" s="5"/>
      <c r="W1398" s="5"/>
      <c r="AA1398" s="5"/>
      <c r="AB1398" s="5"/>
    </row>
    <row r="1399" spans="1:28" x14ac:dyDescent="0.3">
      <c r="A1399" s="5"/>
      <c r="B1399" s="5"/>
      <c r="C1399" s="5"/>
      <c r="D1399" s="5"/>
      <c r="E1399" s="12"/>
      <c r="F1399" s="5"/>
      <c r="G1399" s="5"/>
      <c r="H1399" s="5"/>
      <c r="I1399" s="5"/>
      <c r="J1399" s="5"/>
      <c r="L1399" s="5"/>
      <c r="M1399" s="5"/>
      <c r="P1399" s="5"/>
      <c r="Q1399" s="5"/>
      <c r="R1399" s="5"/>
      <c r="S1399" s="5"/>
      <c r="T1399" s="5"/>
      <c r="U1399" s="5"/>
      <c r="V1399" s="5"/>
      <c r="W1399" s="5"/>
      <c r="AA1399" s="13"/>
      <c r="AB1399" s="13"/>
    </row>
    <row r="1400" spans="1:28" x14ac:dyDescent="0.3">
      <c r="A1400" s="5"/>
      <c r="B1400" s="5"/>
      <c r="C1400" s="5"/>
      <c r="D1400" s="5"/>
      <c r="E1400" s="12"/>
      <c r="F1400" s="5"/>
      <c r="G1400" s="5"/>
      <c r="H1400" s="5"/>
      <c r="I1400" s="5"/>
      <c r="J1400" s="5"/>
      <c r="L1400" s="5"/>
      <c r="M1400" s="5"/>
      <c r="P1400" s="5"/>
      <c r="Q1400" s="5"/>
      <c r="R1400" s="5"/>
      <c r="S1400" s="5"/>
      <c r="T1400" s="5"/>
      <c r="U1400" s="5"/>
      <c r="V1400" s="5"/>
      <c r="W1400" s="5"/>
      <c r="AA1400" s="5"/>
      <c r="AB1400" s="5"/>
    </row>
    <row r="1401" spans="1:28" x14ac:dyDescent="0.3">
      <c r="A1401" s="5"/>
      <c r="B1401" s="5"/>
      <c r="C1401" s="5"/>
      <c r="D1401" s="5"/>
      <c r="E1401" s="12"/>
      <c r="F1401" s="5"/>
      <c r="G1401" s="5"/>
      <c r="H1401" s="5"/>
      <c r="I1401" s="5"/>
      <c r="J1401" s="5"/>
      <c r="L1401" s="5"/>
      <c r="M1401" s="5"/>
      <c r="P1401" s="5"/>
      <c r="Q1401" s="5"/>
      <c r="R1401" s="5"/>
      <c r="S1401" s="5"/>
      <c r="T1401" s="5"/>
      <c r="U1401" s="5"/>
      <c r="V1401" s="5"/>
      <c r="W1401" s="5"/>
      <c r="AA1401" s="5"/>
      <c r="AB1401" s="5"/>
    </row>
    <row r="1402" spans="1:28" x14ac:dyDescent="0.3">
      <c r="A1402" s="5"/>
      <c r="B1402" s="5"/>
      <c r="C1402" s="5"/>
      <c r="D1402" s="5"/>
      <c r="E1402" s="12"/>
      <c r="F1402" s="5"/>
      <c r="G1402" s="5"/>
      <c r="H1402" s="5"/>
      <c r="I1402" s="5"/>
      <c r="J1402" s="5"/>
      <c r="L1402" s="5"/>
      <c r="M1402" s="5"/>
      <c r="P1402" s="5"/>
      <c r="Q1402" s="5"/>
      <c r="R1402" s="5"/>
      <c r="S1402" s="5"/>
      <c r="T1402" s="5"/>
      <c r="U1402" s="5"/>
      <c r="V1402" s="5"/>
      <c r="W1402" s="5"/>
    </row>
    <row r="1403" spans="1:28" x14ac:dyDescent="0.3">
      <c r="A1403" s="5"/>
      <c r="B1403" s="5"/>
      <c r="C1403" s="5"/>
      <c r="D1403" s="5"/>
      <c r="E1403" s="12"/>
      <c r="F1403" s="5"/>
      <c r="G1403" s="5"/>
      <c r="H1403" s="5"/>
      <c r="I1403" s="5"/>
      <c r="J1403" s="5"/>
      <c r="L1403" s="5"/>
      <c r="M1403" s="5"/>
      <c r="P1403" s="5"/>
      <c r="Q1403" s="5"/>
      <c r="R1403" s="5"/>
      <c r="S1403" s="5"/>
      <c r="T1403" s="5"/>
      <c r="U1403" s="5"/>
      <c r="V1403" s="5"/>
      <c r="W1403" s="5"/>
    </row>
    <row r="1404" spans="1:28" x14ac:dyDescent="0.3">
      <c r="A1404" s="5"/>
      <c r="B1404" s="5"/>
      <c r="C1404" s="5"/>
      <c r="D1404" s="5"/>
      <c r="E1404" s="12"/>
      <c r="F1404" s="5"/>
      <c r="G1404" s="5"/>
      <c r="H1404" s="5"/>
      <c r="I1404" s="5"/>
      <c r="J1404" s="5"/>
      <c r="L1404" s="5"/>
      <c r="M1404" s="5"/>
      <c r="P1404" s="5"/>
      <c r="Q1404" s="5"/>
      <c r="R1404" s="5"/>
      <c r="S1404" s="5"/>
      <c r="T1404" s="5"/>
      <c r="U1404" s="5"/>
      <c r="V1404" s="5"/>
      <c r="W1404" s="5"/>
      <c r="AA1404" s="16"/>
      <c r="AB1404" s="16"/>
    </row>
    <row r="1405" spans="1:28" x14ac:dyDescent="0.3">
      <c r="A1405" s="5"/>
      <c r="B1405" s="5"/>
      <c r="C1405" s="5"/>
      <c r="D1405" s="5"/>
      <c r="E1405" s="12"/>
      <c r="F1405" s="5"/>
      <c r="G1405" s="5"/>
      <c r="H1405" s="5"/>
      <c r="I1405" s="5"/>
      <c r="J1405" s="5"/>
      <c r="L1405" s="5"/>
      <c r="M1405" s="5"/>
      <c r="P1405" s="5"/>
      <c r="Q1405" s="5"/>
      <c r="R1405" s="5"/>
      <c r="S1405" s="5"/>
      <c r="T1405" s="5"/>
      <c r="U1405" s="5"/>
      <c r="V1405" s="5"/>
      <c r="W1405" s="5"/>
      <c r="AA1405" s="14"/>
      <c r="AB1405" s="14"/>
    </row>
    <row r="1406" spans="1:28" x14ac:dyDescent="0.3">
      <c r="A1406" s="5"/>
      <c r="B1406" s="5"/>
      <c r="C1406" s="5"/>
      <c r="D1406" s="5"/>
      <c r="E1406" s="12"/>
      <c r="F1406" s="5"/>
      <c r="G1406" s="5"/>
      <c r="H1406" s="5"/>
      <c r="I1406" s="5"/>
      <c r="J1406" s="5"/>
      <c r="L1406" s="5"/>
      <c r="M1406" s="5"/>
      <c r="P1406" s="5"/>
      <c r="Q1406" s="5"/>
      <c r="R1406" s="5"/>
      <c r="S1406" s="5"/>
      <c r="T1406" s="5"/>
      <c r="U1406" s="5"/>
      <c r="V1406" s="5"/>
      <c r="W1406" s="5"/>
      <c r="AA1406" s="14"/>
      <c r="AB1406" s="14"/>
    </row>
    <row r="1407" spans="1:28" x14ac:dyDescent="0.3">
      <c r="A1407" s="5"/>
      <c r="B1407" s="5"/>
      <c r="C1407" s="5"/>
      <c r="D1407" s="5"/>
      <c r="E1407" s="12"/>
      <c r="F1407" s="5"/>
      <c r="G1407" s="5"/>
      <c r="H1407" s="5"/>
      <c r="I1407" s="5"/>
      <c r="J1407" s="5"/>
      <c r="L1407" s="5"/>
      <c r="M1407" s="5"/>
      <c r="P1407" s="5"/>
      <c r="Q1407" s="5"/>
      <c r="R1407" s="5"/>
      <c r="S1407" s="5"/>
      <c r="T1407" s="5"/>
      <c r="U1407" s="5"/>
      <c r="V1407" s="5"/>
      <c r="W1407" s="5"/>
      <c r="AA1407" s="15"/>
      <c r="AB1407" s="15"/>
    </row>
    <row r="1408" spans="1:28" x14ac:dyDescent="0.3">
      <c r="A1408" s="5"/>
      <c r="B1408" s="5"/>
      <c r="C1408" s="5"/>
      <c r="D1408" s="5"/>
      <c r="E1408" s="12"/>
      <c r="F1408" s="5"/>
      <c r="G1408" s="5"/>
      <c r="H1408" s="5"/>
      <c r="I1408" s="5"/>
      <c r="J1408" s="5"/>
      <c r="L1408" s="5"/>
      <c r="M1408" s="5"/>
      <c r="P1408" s="5"/>
      <c r="Q1408" s="5"/>
      <c r="R1408" s="5"/>
      <c r="S1408" s="5"/>
      <c r="T1408" s="5"/>
      <c r="U1408" s="5"/>
      <c r="V1408" s="5"/>
      <c r="W1408" s="5"/>
      <c r="AA1408" s="14"/>
      <c r="AB1408" s="14"/>
    </row>
    <row r="1409" spans="1:28" x14ac:dyDescent="0.3">
      <c r="A1409" s="5"/>
      <c r="B1409" s="5"/>
      <c r="C1409" s="5"/>
      <c r="D1409" s="5"/>
      <c r="E1409" s="12"/>
      <c r="F1409" s="5"/>
      <c r="G1409" s="5"/>
      <c r="H1409" s="5"/>
      <c r="I1409" s="5"/>
      <c r="J1409" s="5"/>
      <c r="L1409" s="5"/>
      <c r="M1409" s="5"/>
      <c r="P1409" s="5"/>
      <c r="Q1409" s="5"/>
      <c r="R1409" s="5"/>
      <c r="S1409" s="5"/>
      <c r="T1409" s="5"/>
      <c r="U1409" s="5"/>
      <c r="V1409" s="5"/>
      <c r="W1409" s="5"/>
    </row>
    <row r="1410" spans="1:28" x14ac:dyDescent="0.3">
      <c r="A1410" s="5"/>
      <c r="B1410" s="5"/>
      <c r="C1410" s="5"/>
      <c r="D1410" s="5"/>
      <c r="E1410" s="12"/>
      <c r="F1410" s="5"/>
      <c r="G1410" s="5"/>
      <c r="H1410" s="5"/>
      <c r="I1410" s="5"/>
      <c r="J1410" s="5"/>
      <c r="L1410" s="5"/>
      <c r="M1410" s="5"/>
      <c r="P1410" s="5"/>
      <c r="Q1410" s="5"/>
      <c r="R1410" s="5"/>
      <c r="S1410" s="5"/>
      <c r="T1410" s="5"/>
      <c r="U1410" s="5"/>
      <c r="V1410" s="5"/>
      <c r="W1410" s="5"/>
    </row>
    <row r="1411" spans="1:28" x14ac:dyDescent="0.3">
      <c r="A1411" s="5"/>
      <c r="B1411" s="5"/>
      <c r="C1411" s="5"/>
      <c r="D1411" s="5"/>
      <c r="E1411" s="12"/>
      <c r="F1411" s="5"/>
      <c r="G1411" s="5"/>
      <c r="H1411" s="5"/>
      <c r="I1411" s="5"/>
      <c r="J1411" s="5"/>
      <c r="L1411" s="5"/>
      <c r="M1411" s="5"/>
      <c r="P1411" s="5"/>
      <c r="Q1411" s="5"/>
      <c r="R1411" s="5"/>
      <c r="S1411" s="5"/>
      <c r="T1411" s="5"/>
      <c r="U1411" s="5"/>
      <c r="V1411" s="5"/>
      <c r="W1411" s="5"/>
    </row>
    <row r="1412" spans="1:28" x14ac:dyDescent="0.3">
      <c r="A1412" s="5"/>
      <c r="B1412" s="5"/>
      <c r="C1412" s="5"/>
      <c r="D1412" s="5"/>
      <c r="E1412" s="12"/>
      <c r="F1412" s="5"/>
      <c r="G1412" s="5"/>
      <c r="H1412" s="5"/>
      <c r="I1412" s="5"/>
      <c r="J1412" s="5"/>
      <c r="L1412" s="5"/>
      <c r="M1412" s="5"/>
      <c r="P1412" s="5"/>
      <c r="Q1412" s="5"/>
      <c r="R1412" s="5"/>
      <c r="S1412" s="5"/>
      <c r="T1412" s="5"/>
      <c r="U1412" s="5"/>
      <c r="V1412" s="5"/>
      <c r="W1412" s="5"/>
    </row>
    <row r="1413" spans="1:28" x14ac:dyDescent="0.3">
      <c r="A1413" s="5"/>
      <c r="B1413" s="5"/>
      <c r="C1413" s="5"/>
      <c r="D1413" s="5"/>
      <c r="E1413" s="12"/>
      <c r="F1413" s="5"/>
      <c r="G1413" s="5"/>
      <c r="H1413" s="5"/>
      <c r="I1413" s="5"/>
      <c r="J1413" s="5"/>
      <c r="L1413" s="5"/>
      <c r="M1413" s="5"/>
      <c r="P1413" s="5"/>
      <c r="Q1413" s="5"/>
      <c r="R1413" s="5"/>
      <c r="S1413" s="5"/>
      <c r="T1413" s="5"/>
      <c r="U1413" s="5"/>
      <c r="V1413" s="5"/>
      <c r="W1413" s="5"/>
    </row>
    <row r="1414" spans="1:28" x14ac:dyDescent="0.3">
      <c r="A1414" s="5"/>
      <c r="B1414" s="5"/>
      <c r="C1414" s="5"/>
      <c r="D1414" s="5"/>
      <c r="E1414" s="12"/>
      <c r="F1414" s="5"/>
      <c r="G1414" s="5"/>
      <c r="H1414" s="5"/>
      <c r="I1414" s="5"/>
      <c r="J1414" s="5"/>
      <c r="L1414" s="5"/>
      <c r="M1414" s="5"/>
      <c r="P1414" s="5"/>
      <c r="Q1414" s="5"/>
      <c r="R1414" s="5"/>
      <c r="S1414" s="5"/>
      <c r="T1414" s="5"/>
      <c r="U1414" s="5"/>
      <c r="V1414" s="5"/>
      <c r="W1414" s="5"/>
      <c r="AA1414" s="14"/>
      <c r="AB1414" s="14"/>
    </row>
    <row r="1415" spans="1:28" x14ac:dyDescent="0.3">
      <c r="A1415" s="5"/>
      <c r="B1415" s="5"/>
      <c r="C1415" s="5"/>
      <c r="D1415" s="5"/>
      <c r="E1415" s="12"/>
      <c r="F1415" s="5"/>
      <c r="G1415" s="5"/>
      <c r="H1415" s="5"/>
      <c r="I1415" s="5"/>
      <c r="J1415" s="5"/>
      <c r="L1415" s="5"/>
      <c r="M1415" s="5"/>
      <c r="P1415" s="5"/>
      <c r="Q1415" s="5"/>
      <c r="R1415" s="5"/>
      <c r="S1415" s="5"/>
      <c r="T1415" s="5"/>
      <c r="U1415" s="5"/>
      <c r="V1415" s="5"/>
      <c r="W1415" s="5"/>
      <c r="AA1415" s="14"/>
      <c r="AB1415" s="14"/>
    </row>
    <row r="1416" spans="1:28" x14ac:dyDescent="0.3">
      <c r="A1416" s="5"/>
      <c r="B1416" s="5"/>
      <c r="C1416" s="5"/>
      <c r="D1416" s="5"/>
      <c r="E1416" s="12"/>
      <c r="F1416" s="5"/>
      <c r="G1416" s="5"/>
      <c r="H1416" s="5"/>
      <c r="I1416" s="5"/>
      <c r="J1416" s="5"/>
      <c r="L1416" s="5"/>
      <c r="M1416" s="5"/>
      <c r="P1416" s="5"/>
      <c r="Q1416" s="5"/>
      <c r="R1416" s="5"/>
      <c r="S1416" s="5"/>
      <c r="T1416" s="5"/>
      <c r="U1416" s="5"/>
      <c r="V1416" s="5"/>
      <c r="W1416" s="5"/>
      <c r="AA1416" s="14"/>
      <c r="AB1416" s="14"/>
    </row>
    <row r="1417" spans="1:28" x14ac:dyDescent="0.3">
      <c r="A1417" s="5"/>
      <c r="B1417" s="5"/>
      <c r="C1417" s="5"/>
      <c r="D1417" s="5"/>
      <c r="E1417" s="12"/>
      <c r="F1417" s="5"/>
      <c r="G1417" s="5"/>
      <c r="H1417" s="5"/>
      <c r="I1417" s="5"/>
      <c r="J1417" s="5"/>
      <c r="L1417" s="5"/>
      <c r="M1417" s="5"/>
      <c r="P1417" s="5"/>
      <c r="Q1417" s="5"/>
      <c r="R1417" s="5"/>
      <c r="S1417" s="5"/>
      <c r="T1417" s="5"/>
      <c r="U1417" s="5"/>
      <c r="V1417" s="5"/>
      <c r="W1417" s="5"/>
    </row>
    <row r="1418" spans="1:28" x14ac:dyDescent="0.3">
      <c r="A1418" s="5"/>
      <c r="B1418" s="5"/>
      <c r="C1418" s="5"/>
      <c r="D1418" s="5"/>
      <c r="E1418" s="12"/>
      <c r="F1418" s="5"/>
      <c r="G1418" s="5"/>
      <c r="H1418" s="5"/>
      <c r="I1418" s="5"/>
      <c r="J1418" s="5"/>
      <c r="L1418" s="5"/>
      <c r="M1418" s="5"/>
      <c r="P1418" s="5"/>
      <c r="Q1418" s="5"/>
      <c r="R1418" s="5"/>
      <c r="S1418" s="5"/>
      <c r="T1418" s="5"/>
      <c r="U1418" s="5"/>
      <c r="V1418" s="5"/>
      <c r="W1418" s="5"/>
    </row>
    <row r="1419" spans="1:28" x14ac:dyDescent="0.3">
      <c r="A1419" s="5"/>
      <c r="B1419" s="5"/>
      <c r="C1419" s="5"/>
      <c r="D1419" s="5"/>
      <c r="E1419" s="12"/>
      <c r="F1419" s="5"/>
      <c r="G1419" s="5"/>
      <c r="H1419" s="5"/>
      <c r="I1419" s="5"/>
      <c r="J1419" s="5"/>
      <c r="L1419" s="5"/>
      <c r="M1419" s="5"/>
      <c r="P1419" s="5"/>
      <c r="Q1419" s="5"/>
      <c r="R1419" s="5"/>
      <c r="S1419" s="5"/>
      <c r="T1419" s="5"/>
      <c r="U1419" s="5"/>
      <c r="V1419" s="5"/>
      <c r="W1419" s="5"/>
    </row>
    <row r="1420" spans="1:28" x14ac:dyDescent="0.3">
      <c r="A1420" s="5"/>
      <c r="B1420" s="5"/>
      <c r="C1420" s="5"/>
      <c r="D1420" s="5"/>
      <c r="E1420" s="12"/>
      <c r="F1420" s="5"/>
      <c r="G1420" s="5"/>
      <c r="H1420" s="5"/>
      <c r="I1420" s="5"/>
      <c r="J1420" s="5"/>
      <c r="L1420" s="5"/>
      <c r="M1420" s="5"/>
      <c r="P1420" s="5"/>
      <c r="Q1420" s="5"/>
      <c r="R1420" s="5"/>
      <c r="S1420" s="5"/>
      <c r="T1420" s="5"/>
      <c r="U1420" s="5"/>
      <c r="V1420" s="5"/>
      <c r="W1420" s="5"/>
    </row>
    <row r="1421" spans="1:28" x14ac:dyDescent="0.3">
      <c r="A1421" s="5"/>
      <c r="B1421" s="5"/>
      <c r="C1421" s="5"/>
      <c r="D1421" s="5"/>
      <c r="E1421" s="12"/>
      <c r="F1421" s="5"/>
      <c r="G1421" s="5"/>
      <c r="H1421" s="5"/>
      <c r="I1421" s="5"/>
      <c r="J1421" s="5"/>
      <c r="L1421" s="5"/>
      <c r="M1421" s="5"/>
      <c r="P1421" s="5"/>
      <c r="Q1421" s="5"/>
      <c r="R1421" s="5"/>
      <c r="S1421" s="5"/>
      <c r="T1421" s="5"/>
      <c r="U1421" s="5"/>
      <c r="V1421" s="5"/>
      <c r="W1421" s="5"/>
    </row>
    <row r="1422" spans="1:28" x14ac:dyDescent="0.3">
      <c r="A1422" s="5"/>
      <c r="B1422" s="5"/>
      <c r="C1422" s="5"/>
      <c r="D1422" s="5"/>
      <c r="E1422" s="12"/>
      <c r="F1422" s="5"/>
      <c r="G1422" s="5"/>
      <c r="H1422" s="5"/>
      <c r="I1422" s="5"/>
      <c r="J1422" s="5"/>
      <c r="L1422" s="5"/>
      <c r="M1422" s="5"/>
      <c r="P1422" s="5"/>
      <c r="Q1422" s="5"/>
      <c r="R1422" s="5"/>
      <c r="S1422" s="5"/>
      <c r="T1422" s="5"/>
      <c r="U1422" s="5"/>
      <c r="V1422" s="5"/>
      <c r="W1422" s="5"/>
      <c r="AA1422" s="14"/>
      <c r="AB1422" s="14"/>
    </row>
    <row r="1423" spans="1:28" x14ac:dyDescent="0.3">
      <c r="A1423" s="5"/>
      <c r="B1423" s="5"/>
      <c r="C1423" s="5"/>
      <c r="D1423" s="5"/>
      <c r="E1423" s="12"/>
      <c r="F1423" s="5"/>
      <c r="G1423" s="5"/>
      <c r="H1423" s="5"/>
      <c r="I1423" s="5"/>
      <c r="J1423" s="5"/>
      <c r="L1423" s="5"/>
      <c r="M1423" s="5"/>
      <c r="P1423" s="5"/>
      <c r="Q1423" s="5"/>
      <c r="R1423" s="5"/>
      <c r="S1423" s="5"/>
      <c r="T1423" s="5"/>
      <c r="U1423" s="5"/>
      <c r="V1423" s="5"/>
      <c r="W1423" s="5"/>
      <c r="AA1423" s="14"/>
      <c r="AB1423" s="14"/>
    </row>
    <row r="1424" spans="1:28" x14ac:dyDescent="0.3">
      <c r="A1424" s="5"/>
      <c r="B1424" s="5"/>
      <c r="C1424" s="5"/>
      <c r="D1424" s="5"/>
      <c r="E1424" s="12"/>
      <c r="F1424" s="5"/>
      <c r="G1424" s="5"/>
      <c r="H1424" s="5"/>
      <c r="I1424" s="5"/>
      <c r="J1424" s="5"/>
      <c r="L1424" s="5"/>
      <c r="M1424" s="5"/>
      <c r="P1424" s="5"/>
      <c r="Q1424" s="5"/>
      <c r="R1424" s="5"/>
      <c r="S1424" s="5"/>
      <c r="T1424" s="5"/>
      <c r="U1424" s="5"/>
      <c r="V1424" s="5"/>
      <c r="W1424" s="5"/>
      <c r="AA1424" s="14"/>
      <c r="AB1424" s="14"/>
    </row>
    <row r="1425" spans="1:23" x14ac:dyDescent="0.3">
      <c r="A1425" s="5"/>
      <c r="B1425" s="5"/>
      <c r="C1425" s="5"/>
      <c r="D1425" s="5"/>
      <c r="E1425" s="12"/>
      <c r="F1425" s="5"/>
      <c r="G1425" s="5"/>
      <c r="H1425" s="5"/>
      <c r="I1425" s="5"/>
      <c r="J1425" s="5"/>
      <c r="L1425" s="5"/>
      <c r="M1425" s="5"/>
      <c r="P1425" s="5"/>
      <c r="Q1425" s="5"/>
      <c r="R1425" s="5"/>
      <c r="S1425" s="5"/>
      <c r="T1425" s="5"/>
      <c r="U1425" s="5"/>
      <c r="V1425" s="5"/>
      <c r="W1425" s="5"/>
    </row>
    <row r="1426" spans="1:23" x14ac:dyDescent="0.3">
      <c r="A1426" s="5"/>
      <c r="B1426" s="5"/>
      <c r="C1426" s="5"/>
      <c r="D1426" s="5"/>
      <c r="E1426" s="12"/>
      <c r="F1426" s="5"/>
      <c r="G1426" s="5"/>
      <c r="H1426" s="5"/>
      <c r="I1426" s="5"/>
      <c r="J1426" s="5"/>
      <c r="L1426" s="5"/>
      <c r="M1426" s="5"/>
      <c r="P1426" s="5"/>
      <c r="Q1426" s="5"/>
      <c r="R1426" s="5"/>
      <c r="S1426" s="5"/>
      <c r="T1426" s="5"/>
      <c r="U1426" s="5"/>
      <c r="V1426" s="5"/>
      <c r="W1426" s="5"/>
    </row>
    <row r="1427" spans="1:23" x14ac:dyDescent="0.3">
      <c r="A1427" s="5"/>
      <c r="B1427" s="5"/>
      <c r="C1427" s="5"/>
      <c r="D1427" s="5"/>
      <c r="E1427" s="12"/>
      <c r="F1427" s="5"/>
      <c r="G1427" s="5"/>
      <c r="H1427" s="5"/>
      <c r="I1427" s="5"/>
      <c r="J1427" s="5"/>
      <c r="L1427" s="5"/>
      <c r="M1427" s="5"/>
      <c r="P1427" s="5"/>
      <c r="Q1427" s="5"/>
      <c r="R1427" s="5"/>
      <c r="S1427" s="5"/>
      <c r="T1427" s="5"/>
      <c r="U1427" s="5"/>
      <c r="V1427" s="5"/>
      <c r="W1427" s="5"/>
    </row>
    <row r="1428" spans="1:23" x14ac:dyDescent="0.3">
      <c r="A1428" s="5"/>
      <c r="B1428" s="5"/>
      <c r="C1428" s="5"/>
      <c r="D1428" s="5"/>
      <c r="E1428" s="12"/>
      <c r="F1428" s="5"/>
      <c r="G1428" s="5"/>
      <c r="H1428" s="5"/>
      <c r="I1428" s="5"/>
      <c r="J1428" s="5"/>
      <c r="L1428" s="5"/>
      <c r="M1428" s="5"/>
      <c r="P1428" s="5"/>
      <c r="Q1428" s="5"/>
      <c r="R1428" s="5"/>
      <c r="S1428" s="5"/>
      <c r="T1428" s="5"/>
      <c r="U1428" s="5"/>
      <c r="V1428" s="5"/>
      <c r="W1428" s="5"/>
    </row>
    <row r="1429" spans="1:23" x14ac:dyDescent="0.3">
      <c r="A1429" s="5"/>
      <c r="B1429" s="5"/>
      <c r="C1429" s="5"/>
      <c r="D1429" s="5"/>
      <c r="E1429" s="12"/>
      <c r="F1429" s="5"/>
      <c r="G1429" s="5"/>
      <c r="H1429" s="5"/>
      <c r="I1429" s="5"/>
      <c r="J1429" s="5"/>
      <c r="L1429" s="5"/>
      <c r="M1429" s="5"/>
      <c r="P1429" s="5"/>
      <c r="Q1429" s="5"/>
      <c r="R1429" s="5"/>
      <c r="S1429" s="5"/>
      <c r="T1429" s="5"/>
      <c r="U1429" s="5"/>
      <c r="V1429" s="5"/>
      <c r="W1429" s="5"/>
    </row>
    <row r="1430" spans="1:23" x14ac:dyDescent="0.3">
      <c r="A1430" s="5"/>
      <c r="B1430" s="5"/>
      <c r="C1430" s="5"/>
      <c r="D1430" s="5"/>
      <c r="E1430" s="12"/>
      <c r="F1430" s="5"/>
      <c r="G1430" s="5"/>
      <c r="H1430" s="5"/>
      <c r="I1430" s="5"/>
      <c r="J1430" s="5"/>
      <c r="L1430" s="5"/>
      <c r="M1430" s="5"/>
      <c r="P1430" s="5"/>
      <c r="Q1430" s="5"/>
      <c r="R1430" s="5"/>
      <c r="S1430" s="5"/>
      <c r="T1430" s="5"/>
      <c r="U1430" s="5"/>
      <c r="V1430" s="5"/>
      <c r="W1430" s="5"/>
    </row>
    <row r="1431" spans="1:23" x14ac:dyDescent="0.3">
      <c r="A1431" s="5"/>
      <c r="B1431" s="5"/>
      <c r="C1431" s="5"/>
      <c r="D1431" s="5"/>
      <c r="E1431" s="12"/>
      <c r="F1431" s="5"/>
      <c r="G1431" s="5"/>
      <c r="H1431" s="5"/>
      <c r="I1431" s="5"/>
      <c r="J1431" s="5"/>
      <c r="L1431" s="5"/>
      <c r="M1431" s="5"/>
      <c r="P1431" s="5"/>
      <c r="Q1431" s="5"/>
      <c r="R1431" s="5"/>
      <c r="S1431" s="5"/>
      <c r="T1431" s="5"/>
      <c r="U1431" s="5"/>
      <c r="V1431" s="5"/>
      <c r="W1431" s="5"/>
    </row>
    <row r="1432" spans="1:23" x14ac:dyDescent="0.3">
      <c r="A1432" s="5"/>
      <c r="B1432" s="5"/>
      <c r="C1432" s="5"/>
      <c r="D1432" s="5"/>
      <c r="E1432" s="12"/>
      <c r="F1432" s="5"/>
      <c r="G1432" s="5"/>
      <c r="H1432" s="5"/>
      <c r="I1432" s="5"/>
      <c r="J1432" s="5"/>
      <c r="L1432" s="5"/>
      <c r="M1432" s="5"/>
      <c r="P1432" s="5"/>
      <c r="Q1432" s="5"/>
      <c r="R1432" s="5"/>
      <c r="S1432" s="5"/>
      <c r="T1432" s="5"/>
      <c r="U1432" s="5"/>
      <c r="V1432" s="5"/>
      <c r="W1432" s="5"/>
    </row>
    <row r="1433" spans="1:23" x14ac:dyDescent="0.3">
      <c r="A1433" s="5"/>
      <c r="B1433" s="5"/>
      <c r="C1433" s="5"/>
      <c r="D1433" s="5"/>
      <c r="E1433" s="12"/>
      <c r="F1433" s="5"/>
      <c r="G1433" s="5"/>
      <c r="H1433" s="5"/>
      <c r="I1433" s="5"/>
      <c r="J1433" s="5"/>
      <c r="L1433" s="5"/>
      <c r="M1433" s="5"/>
      <c r="P1433" s="5"/>
      <c r="Q1433" s="5"/>
      <c r="R1433" s="5"/>
      <c r="S1433" s="5"/>
      <c r="T1433" s="5"/>
      <c r="U1433" s="5"/>
      <c r="V1433" s="5"/>
      <c r="W1433" s="5"/>
    </row>
    <row r="1434" spans="1:23" x14ac:dyDescent="0.3">
      <c r="A1434" s="5"/>
      <c r="B1434" s="5"/>
      <c r="C1434" s="5"/>
      <c r="D1434" s="5"/>
      <c r="E1434" s="12"/>
      <c r="F1434" s="5"/>
      <c r="G1434" s="5"/>
      <c r="H1434" s="5"/>
      <c r="I1434" s="5"/>
      <c r="J1434" s="5"/>
      <c r="L1434" s="5"/>
      <c r="M1434" s="5"/>
      <c r="P1434" s="5"/>
      <c r="Q1434" s="5"/>
      <c r="R1434" s="5"/>
      <c r="S1434" s="5"/>
      <c r="T1434" s="5"/>
      <c r="U1434" s="5"/>
      <c r="V1434" s="5"/>
      <c r="W1434" s="5"/>
    </row>
    <row r="1435" spans="1:23" x14ac:dyDescent="0.3">
      <c r="A1435" s="5"/>
      <c r="B1435" s="5"/>
      <c r="C1435" s="5"/>
      <c r="D1435" s="5"/>
      <c r="E1435" s="12"/>
      <c r="F1435" s="5"/>
      <c r="G1435" s="5"/>
      <c r="H1435" s="5"/>
      <c r="I1435" s="5"/>
      <c r="J1435" s="5"/>
      <c r="L1435" s="5"/>
      <c r="M1435" s="5"/>
      <c r="P1435" s="5"/>
      <c r="Q1435" s="5"/>
      <c r="R1435" s="5"/>
      <c r="S1435" s="5"/>
      <c r="T1435" s="5"/>
      <c r="U1435" s="5"/>
      <c r="V1435" s="5"/>
      <c r="W1435" s="5"/>
    </row>
    <row r="1436" spans="1:23" x14ac:dyDescent="0.3">
      <c r="A1436" s="5"/>
      <c r="B1436" s="5"/>
      <c r="C1436" s="5"/>
      <c r="D1436" s="5"/>
      <c r="E1436" s="12"/>
      <c r="F1436" s="5"/>
      <c r="G1436" s="5"/>
      <c r="H1436" s="5"/>
      <c r="I1436" s="5"/>
      <c r="J1436" s="5"/>
      <c r="L1436" s="5"/>
      <c r="M1436" s="5"/>
      <c r="P1436" s="5"/>
      <c r="Q1436" s="5"/>
      <c r="R1436" s="5"/>
      <c r="S1436" s="5"/>
      <c r="T1436" s="5"/>
      <c r="U1436" s="5"/>
      <c r="V1436" s="5"/>
      <c r="W1436" s="5"/>
    </row>
    <row r="1437" spans="1:23" x14ac:dyDescent="0.3">
      <c r="A1437" s="5"/>
      <c r="B1437" s="5"/>
      <c r="C1437" s="5"/>
      <c r="D1437" s="5"/>
      <c r="E1437" s="12"/>
      <c r="F1437" s="5"/>
      <c r="G1437" s="5"/>
      <c r="H1437" s="5"/>
      <c r="I1437" s="5"/>
      <c r="J1437" s="5"/>
      <c r="L1437" s="5"/>
      <c r="M1437" s="5"/>
      <c r="P1437" s="5"/>
      <c r="Q1437" s="5"/>
      <c r="R1437" s="5"/>
      <c r="S1437" s="5"/>
      <c r="T1437" s="5"/>
      <c r="U1437" s="5"/>
      <c r="V1437" s="5"/>
      <c r="W1437" s="5"/>
    </row>
    <row r="1438" spans="1:23" x14ac:dyDescent="0.3">
      <c r="A1438" s="5"/>
      <c r="B1438" s="5"/>
      <c r="C1438" s="5"/>
      <c r="D1438" s="5"/>
      <c r="E1438" s="12"/>
      <c r="F1438" s="5"/>
      <c r="G1438" s="5"/>
      <c r="H1438" s="5"/>
      <c r="I1438" s="5"/>
      <c r="J1438" s="5"/>
      <c r="L1438" s="5"/>
      <c r="M1438" s="5"/>
      <c r="P1438" s="5"/>
      <c r="Q1438" s="5"/>
      <c r="R1438" s="5"/>
      <c r="S1438" s="5"/>
      <c r="T1438" s="5"/>
      <c r="U1438" s="5"/>
      <c r="V1438" s="5"/>
      <c r="W1438" s="5"/>
    </row>
    <row r="1439" spans="1:23" x14ac:dyDescent="0.3">
      <c r="A1439" s="5"/>
      <c r="B1439" s="5"/>
      <c r="C1439" s="5"/>
      <c r="D1439" s="5"/>
      <c r="E1439" s="12"/>
      <c r="F1439" s="5"/>
      <c r="G1439" s="5"/>
      <c r="H1439" s="5"/>
      <c r="I1439" s="5"/>
      <c r="J1439" s="5"/>
      <c r="L1439" s="5"/>
      <c r="M1439" s="5"/>
      <c r="P1439" s="5"/>
      <c r="Q1439" s="5"/>
      <c r="R1439" s="5"/>
      <c r="S1439" s="5"/>
      <c r="T1439" s="5"/>
      <c r="U1439" s="5"/>
      <c r="V1439" s="5"/>
      <c r="W1439" s="5"/>
    </row>
    <row r="1440" spans="1:23" x14ac:dyDescent="0.3">
      <c r="A1440" s="5"/>
      <c r="B1440" s="5"/>
      <c r="C1440" s="5"/>
      <c r="D1440" s="5"/>
      <c r="E1440" s="12"/>
      <c r="F1440" s="5"/>
      <c r="G1440" s="5"/>
      <c r="H1440" s="5"/>
      <c r="I1440" s="5"/>
      <c r="J1440" s="5"/>
      <c r="L1440" s="5"/>
      <c r="M1440" s="5"/>
      <c r="P1440" s="5"/>
      <c r="Q1440" s="5"/>
      <c r="R1440" s="5"/>
      <c r="S1440" s="5"/>
      <c r="T1440" s="5"/>
      <c r="U1440" s="5"/>
      <c r="V1440" s="5"/>
      <c r="W1440" s="5"/>
    </row>
    <row r="1441" spans="1:23" x14ac:dyDescent="0.3">
      <c r="A1441" s="5"/>
      <c r="B1441" s="5"/>
      <c r="C1441" s="5"/>
      <c r="D1441" s="5"/>
      <c r="E1441" s="12"/>
      <c r="F1441" s="5"/>
      <c r="G1441" s="5"/>
      <c r="H1441" s="5"/>
      <c r="I1441" s="5"/>
      <c r="J1441" s="5"/>
      <c r="L1441" s="5"/>
      <c r="M1441" s="5"/>
      <c r="P1441" s="5"/>
      <c r="Q1441" s="5"/>
      <c r="R1441" s="5"/>
      <c r="S1441" s="5"/>
      <c r="T1441" s="5"/>
      <c r="U1441" s="5"/>
      <c r="V1441" s="5"/>
      <c r="W1441" s="5"/>
    </row>
    <row r="1442" spans="1:23" x14ac:dyDescent="0.3">
      <c r="A1442" s="5"/>
      <c r="B1442" s="5"/>
      <c r="C1442" s="5"/>
      <c r="D1442" s="5"/>
      <c r="E1442" s="12"/>
      <c r="F1442" s="5"/>
      <c r="G1442" s="5"/>
      <c r="H1442" s="5"/>
      <c r="I1442" s="5"/>
      <c r="J1442" s="5"/>
      <c r="L1442" s="5"/>
      <c r="M1442" s="5"/>
      <c r="P1442" s="5"/>
      <c r="Q1442" s="5"/>
      <c r="R1442" s="5"/>
      <c r="S1442" s="5"/>
      <c r="T1442" s="5"/>
      <c r="U1442" s="5"/>
      <c r="V1442" s="5"/>
      <c r="W1442" s="5"/>
    </row>
    <row r="1443" spans="1:23" x14ac:dyDescent="0.3">
      <c r="A1443" s="5"/>
      <c r="B1443" s="5"/>
      <c r="C1443" s="5"/>
      <c r="D1443" s="5"/>
      <c r="E1443" s="12"/>
      <c r="F1443" s="5"/>
      <c r="G1443" s="5"/>
      <c r="H1443" s="5"/>
      <c r="I1443" s="5"/>
      <c r="J1443" s="5"/>
      <c r="L1443" s="5"/>
      <c r="M1443" s="5"/>
      <c r="P1443" s="5"/>
      <c r="Q1443" s="5"/>
      <c r="R1443" s="5"/>
      <c r="S1443" s="5"/>
      <c r="T1443" s="5"/>
      <c r="U1443" s="5"/>
      <c r="V1443" s="5"/>
      <c r="W1443" s="5"/>
    </row>
    <row r="1444" spans="1:23" x14ac:dyDescent="0.3">
      <c r="A1444" s="5"/>
      <c r="B1444" s="5"/>
      <c r="C1444" s="5"/>
      <c r="D1444" s="5"/>
      <c r="E1444" s="12"/>
      <c r="F1444" s="5"/>
      <c r="G1444" s="5"/>
      <c r="H1444" s="5"/>
      <c r="I1444" s="5"/>
      <c r="J1444" s="5"/>
      <c r="L1444" s="5"/>
      <c r="M1444" s="5"/>
      <c r="P1444" s="5"/>
      <c r="Q1444" s="5"/>
      <c r="R1444" s="5"/>
      <c r="S1444" s="5"/>
      <c r="T1444" s="5"/>
      <c r="U1444" s="5"/>
      <c r="V1444" s="5"/>
      <c r="W1444" s="5"/>
    </row>
    <row r="1445" spans="1:23" x14ac:dyDescent="0.3">
      <c r="A1445" s="5"/>
      <c r="B1445" s="5"/>
      <c r="C1445" s="5"/>
      <c r="D1445" s="5"/>
      <c r="E1445" s="12"/>
      <c r="F1445" s="5"/>
      <c r="G1445" s="5"/>
      <c r="H1445" s="5"/>
      <c r="I1445" s="5"/>
      <c r="J1445" s="5"/>
      <c r="L1445" s="5"/>
      <c r="M1445" s="5"/>
      <c r="P1445" s="5"/>
      <c r="Q1445" s="5"/>
      <c r="R1445" s="5"/>
      <c r="S1445" s="5"/>
      <c r="T1445" s="5"/>
      <c r="U1445" s="5"/>
      <c r="V1445" s="5"/>
      <c r="W1445" s="5"/>
    </row>
    <row r="1446" spans="1:23" x14ac:dyDescent="0.3">
      <c r="A1446" s="5"/>
      <c r="B1446" s="5"/>
      <c r="C1446" s="5"/>
      <c r="D1446" s="5"/>
      <c r="E1446" s="12"/>
      <c r="F1446" s="5"/>
      <c r="G1446" s="5"/>
      <c r="H1446" s="5"/>
      <c r="I1446" s="5"/>
      <c r="J1446" s="5"/>
      <c r="L1446" s="5"/>
      <c r="M1446" s="5"/>
      <c r="P1446" s="5"/>
      <c r="Q1446" s="5"/>
      <c r="R1446" s="5"/>
      <c r="S1446" s="5"/>
      <c r="T1446" s="5"/>
      <c r="U1446" s="5"/>
      <c r="V1446" s="5"/>
      <c r="W1446" s="5"/>
    </row>
    <row r="1447" spans="1:23" x14ac:dyDescent="0.3">
      <c r="A1447" s="5"/>
      <c r="B1447" s="5"/>
      <c r="C1447" s="5"/>
      <c r="D1447" s="5"/>
      <c r="E1447" s="12"/>
      <c r="F1447" s="5"/>
      <c r="G1447" s="5"/>
      <c r="H1447" s="5"/>
      <c r="I1447" s="5"/>
      <c r="J1447" s="5"/>
      <c r="L1447" s="5"/>
      <c r="M1447" s="5"/>
      <c r="P1447" s="5"/>
      <c r="Q1447" s="5"/>
      <c r="R1447" s="5"/>
      <c r="S1447" s="5"/>
      <c r="T1447" s="5"/>
      <c r="U1447" s="5"/>
      <c r="V1447" s="5"/>
      <c r="W1447" s="5"/>
    </row>
    <row r="1448" spans="1:23" x14ac:dyDescent="0.3">
      <c r="A1448" s="5"/>
      <c r="B1448" s="5"/>
      <c r="C1448" s="5"/>
      <c r="D1448" s="5"/>
      <c r="E1448" s="12"/>
      <c r="F1448" s="5"/>
      <c r="G1448" s="5"/>
      <c r="H1448" s="5"/>
      <c r="I1448" s="5"/>
      <c r="J1448" s="5"/>
      <c r="L1448" s="5"/>
      <c r="M1448" s="5"/>
      <c r="P1448" s="5"/>
      <c r="Q1448" s="5"/>
      <c r="R1448" s="5"/>
      <c r="S1448" s="5"/>
      <c r="T1448" s="5"/>
      <c r="U1448" s="5"/>
      <c r="V1448" s="5"/>
      <c r="W1448" s="5"/>
    </row>
    <row r="1449" spans="1:23" x14ac:dyDescent="0.3">
      <c r="A1449" s="5"/>
      <c r="B1449" s="5"/>
      <c r="C1449" s="5"/>
      <c r="D1449" s="5"/>
      <c r="E1449" s="12"/>
      <c r="F1449" s="5"/>
      <c r="G1449" s="5"/>
      <c r="H1449" s="5"/>
      <c r="I1449" s="5"/>
      <c r="J1449" s="5"/>
      <c r="L1449" s="5"/>
      <c r="M1449" s="5"/>
      <c r="P1449" s="5"/>
      <c r="Q1449" s="5"/>
      <c r="R1449" s="5"/>
      <c r="S1449" s="5"/>
      <c r="T1449" s="5"/>
      <c r="U1449" s="5"/>
      <c r="V1449" s="5"/>
      <c r="W1449" s="5"/>
    </row>
    <row r="1450" spans="1:23" x14ac:dyDescent="0.3">
      <c r="A1450" s="5"/>
      <c r="B1450" s="5"/>
      <c r="C1450" s="5"/>
      <c r="D1450" s="5"/>
      <c r="E1450" s="12"/>
      <c r="F1450" s="5"/>
      <c r="G1450" s="5"/>
      <c r="H1450" s="5"/>
      <c r="I1450" s="5"/>
      <c r="J1450" s="5"/>
      <c r="L1450" s="5"/>
      <c r="M1450" s="5"/>
      <c r="P1450" s="5"/>
      <c r="Q1450" s="5"/>
      <c r="R1450" s="5"/>
      <c r="S1450" s="5"/>
      <c r="T1450" s="5"/>
      <c r="U1450" s="5"/>
      <c r="V1450" s="5"/>
      <c r="W1450" s="5"/>
    </row>
    <row r="1451" spans="1:23" x14ac:dyDescent="0.3">
      <c r="A1451" s="5"/>
      <c r="B1451" s="5"/>
      <c r="C1451" s="5"/>
      <c r="D1451" s="5"/>
      <c r="E1451" s="12"/>
      <c r="F1451" s="5"/>
      <c r="G1451" s="5"/>
      <c r="H1451" s="5"/>
      <c r="I1451" s="5"/>
      <c r="J1451" s="5"/>
      <c r="L1451" s="5"/>
      <c r="M1451" s="5"/>
      <c r="P1451" s="5"/>
      <c r="Q1451" s="5"/>
      <c r="R1451" s="5"/>
      <c r="S1451" s="5"/>
      <c r="T1451" s="5"/>
      <c r="U1451" s="5"/>
      <c r="V1451" s="5"/>
      <c r="W1451" s="5"/>
    </row>
    <row r="1452" spans="1:23" x14ac:dyDescent="0.3">
      <c r="A1452" s="5"/>
      <c r="B1452" s="5"/>
      <c r="C1452" s="5"/>
      <c r="D1452" s="5"/>
      <c r="E1452" s="12"/>
      <c r="F1452" s="5"/>
      <c r="G1452" s="5"/>
      <c r="H1452" s="5"/>
      <c r="I1452" s="5"/>
      <c r="J1452" s="5"/>
      <c r="L1452" s="5"/>
      <c r="M1452" s="5"/>
      <c r="P1452" s="5"/>
      <c r="Q1452" s="5"/>
      <c r="R1452" s="5"/>
      <c r="S1452" s="5"/>
      <c r="T1452" s="5"/>
      <c r="U1452" s="5"/>
      <c r="V1452" s="5"/>
      <c r="W1452" s="5"/>
    </row>
    <row r="1453" spans="1:23" x14ac:dyDescent="0.3">
      <c r="A1453" s="5"/>
      <c r="B1453" s="5"/>
      <c r="C1453" s="5"/>
      <c r="D1453" s="5"/>
      <c r="E1453" s="12"/>
      <c r="F1453" s="5"/>
      <c r="G1453" s="5"/>
      <c r="H1453" s="5"/>
      <c r="I1453" s="5"/>
      <c r="J1453" s="5"/>
      <c r="L1453" s="5"/>
      <c r="M1453" s="5"/>
      <c r="P1453" s="5"/>
      <c r="Q1453" s="5"/>
      <c r="R1453" s="5"/>
      <c r="S1453" s="5"/>
      <c r="T1453" s="5"/>
      <c r="U1453" s="5"/>
      <c r="V1453" s="5"/>
      <c r="W1453" s="5"/>
    </row>
    <row r="1454" spans="1:23" x14ac:dyDescent="0.3">
      <c r="A1454" s="5"/>
      <c r="B1454" s="5"/>
      <c r="C1454" s="5"/>
      <c r="D1454" s="5"/>
      <c r="E1454" s="12"/>
      <c r="F1454" s="5"/>
      <c r="G1454" s="5"/>
      <c r="H1454" s="5"/>
      <c r="I1454" s="5"/>
      <c r="J1454" s="5"/>
      <c r="L1454" s="5"/>
      <c r="M1454" s="5"/>
      <c r="P1454" s="5"/>
      <c r="Q1454" s="5"/>
      <c r="R1454" s="5"/>
      <c r="S1454" s="5"/>
      <c r="T1454" s="5"/>
      <c r="U1454" s="5"/>
      <c r="V1454" s="5"/>
      <c r="W1454" s="5"/>
    </row>
    <row r="1455" spans="1:23" x14ac:dyDescent="0.3">
      <c r="A1455" s="5"/>
      <c r="B1455" s="5"/>
      <c r="C1455" s="5"/>
      <c r="D1455" s="5"/>
      <c r="E1455" s="12"/>
      <c r="F1455" s="5"/>
      <c r="G1455" s="5"/>
      <c r="H1455" s="5"/>
      <c r="I1455" s="5"/>
      <c r="J1455" s="5"/>
      <c r="L1455" s="5"/>
      <c r="M1455" s="5"/>
      <c r="P1455" s="5"/>
      <c r="Q1455" s="5"/>
      <c r="R1455" s="5"/>
      <c r="S1455" s="5"/>
      <c r="T1455" s="5"/>
      <c r="U1455" s="5"/>
      <c r="V1455" s="5"/>
      <c r="W1455" s="5"/>
    </row>
    <row r="1456" spans="1:23" x14ac:dyDescent="0.3">
      <c r="A1456" s="5"/>
      <c r="B1456" s="5"/>
      <c r="C1456" s="5"/>
      <c r="D1456" s="5"/>
      <c r="E1456" s="12"/>
      <c r="F1456" s="5"/>
      <c r="G1456" s="5"/>
      <c r="H1456" s="5"/>
      <c r="I1456" s="5"/>
      <c r="J1456" s="5"/>
      <c r="L1456" s="5"/>
      <c r="M1456" s="5"/>
      <c r="P1456" s="5"/>
      <c r="Q1456" s="5"/>
      <c r="R1456" s="5"/>
      <c r="S1456" s="5"/>
      <c r="T1456" s="5"/>
      <c r="U1456" s="5"/>
      <c r="V1456" s="5"/>
      <c r="W1456" s="5"/>
    </row>
    <row r="1457" spans="1:23" x14ac:dyDescent="0.3">
      <c r="A1457" s="5"/>
      <c r="B1457" s="5"/>
      <c r="C1457" s="5"/>
      <c r="D1457" s="5"/>
      <c r="E1457" s="12"/>
      <c r="F1457" s="5"/>
      <c r="G1457" s="5"/>
      <c r="H1457" s="5"/>
      <c r="I1457" s="5"/>
      <c r="J1457" s="5"/>
      <c r="L1457" s="5"/>
      <c r="M1457" s="5"/>
      <c r="P1457" s="5"/>
      <c r="Q1457" s="5"/>
      <c r="R1457" s="5"/>
      <c r="S1457" s="5"/>
      <c r="T1457" s="5"/>
      <c r="U1457" s="5"/>
      <c r="V1457" s="5"/>
      <c r="W1457" s="5"/>
    </row>
    <row r="1458" spans="1:23" x14ac:dyDescent="0.3">
      <c r="A1458" s="5"/>
      <c r="B1458" s="5"/>
      <c r="C1458" s="5"/>
      <c r="D1458" s="5"/>
      <c r="E1458" s="12"/>
      <c r="F1458" s="5"/>
      <c r="G1458" s="5"/>
      <c r="H1458" s="5"/>
      <c r="I1458" s="5"/>
      <c r="J1458" s="5"/>
      <c r="L1458" s="5"/>
      <c r="M1458" s="5"/>
      <c r="P1458" s="5"/>
      <c r="Q1458" s="5"/>
      <c r="R1458" s="5"/>
      <c r="S1458" s="5"/>
      <c r="T1458" s="5"/>
      <c r="U1458" s="5"/>
      <c r="V1458" s="5"/>
      <c r="W1458" s="5"/>
    </row>
    <row r="1459" spans="1:23" x14ac:dyDescent="0.3">
      <c r="A1459" s="5"/>
      <c r="B1459" s="5"/>
      <c r="C1459" s="5"/>
      <c r="D1459" s="5"/>
      <c r="E1459" s="12"/>
      <c r="F1459" s="5"/>
      <c r="G1459" s="5"/>
      <c r="H1459" s="5"/>
      <c r="I1459" s="5"/>
      <c r="J1459" s="5"/>
      <c r="L1459" s="5"/>
      <c r="M1459" s="5"/>
      <c r="P1459" s="5"/>
      <c r="Q1459" s="5"/>
      <c r="R1459" s="5"/>
      <c r="S1459" s="5"/>
      <c r="T1459" s="5"/>
      <c r="U1459" s="5"/>
      <c r="V1459" s="5"/>
      <c r="W1459" s="5"/>
    </row>
    <row r="1460" spans="1:23" x14ac:dyDescent="0.3">
      <c r="A1460" s="5"/>
      <c r="B1460" s="5"/>
      <c r="C1460" s="5"/>
      <c r="D1460" s="5"/>
      <c r="E1460" s="12"/>
      <c r="F1460" s="5"/>
      <c r="G1460" s="5"/>
      <c r="H1460" s="5"/>
      <c r="I1460" s="5"/>
      <c r="J1460" s="5"/>
      <c r="L1460" s="5"/>
      <c r="M1460" s="5"/>
      <c r="P1460" s="5"/>
      <c r="Q1460" s="5"/>
      <c r="R1460" s="5"/>
      <c r="S1460" s="5"/>
      <c r="T1460" s="5"/>
      <c r="U1460" s="5"/>
      <c r="V1460" s="5"/>
      <c r="W1460" s="5"/>
    </row>
    <row r="1461" spans="1:23" x14ac:dyDescent="0.3">
      <c r="A1461" s="5"/>
      <c r="B1461" s="5"/>
      <c r="C1461" s="5"/>
      <c r="D1461" s="5"/>
      <c r="E1461" s="12"/>
      <c r="F1461" s="5"/>
      <c r="G1461" s="5"/>
      <c r="H1461" s="5"/>
      <c r="I1461" s="5"/>
      <c r="J1461" s="5"/>
      <c r="L1461" s="5"/>
      <c r="M1461" s="5"/>
      <c r="P1461" s="5"/>
      <c r="Q1461" s="5"/>
      <c r="R1461" s="5"/>
      <c r="S1461" s="5"/>
      <c r="T1461" s="5"/>
      <c r="U1461" s="5"/>
      <c r="V1461" s="5"/>
      <c r="W1461" s="5"/>
    </row>
    <row r="1462" spans="1:23" x14ac:dyDescent="0.3">
      <c r="A1462" s="5"/>
      <c r="B1462" s="5"/>
      <c r="C1462" s="5"/>
      <c r="D1462" s="5"/>
      <c r="E1462" s="12"/>
      <c r="F1462" s="5"/>
      <c r="G1462" s="5"/>
      <c r="H1462" s="5"/>
      <c r="I1462" s="5"/>
      <c r="J1462" s="5"/>
      <c r="L1462" s="5"/>
      <c r="M1462" s="5"/>
      <c r="P1462" s="5"/>
      <c r="Q1462" s="5"/>
      <c r="R1462" s="5"/>
      <c r="S1462" s="5"/>
      <c r="T1462" s="5"/>
      <c r="U1462" s="5"/>
      <c r="V1462" s="5"/>
      <c r="W1462" s="5"/>
    </row>
    <row r="1463" spans="1:23" x14ac:dyDescent="0.3">
      <c r="A1463" s="5"/>
      <c r="B1463" s="5"/>
      <c r="C1463" s="5"/>
      <c r="D1463" s="5"/>
      <c r="E1463" s="12"/>
      <c r="F1463" s="5"/>
      <c r="G1463" s="5"/>
      <c r="H1463" s="5"/>
      <c r="I1463" s="5"/>
      <c r="J1463" s="5"/>
      <c r="L1463" s="5"/>
      <c r="M1463" s="5"/>
      <c r="P1463" s="5"/>
      <c r="Q1463" s="5"/>
      <c r="R1463" s="5"/>
      <c r="S1463" s="5"/>
      <c r="T1463" s="5"/>
      <c r="U1463" s="5"/>
      <c r="V1463" s="5"/>
      <c r="W1463" s="5"/>
    </row>
    <row r="1464" spans="1:23" x14ac:dyDescent="0.3">
      <c r="A1464" s="5"/>
      <c r="B1464" s="5"/>
      <c r="C1464" s="5"/>
      <c r="D1464" s="5"/>
      <c r="E1464" s="12"/>
      <c r="F1464" s="5"/>
      <c r="G1464" s="5"/>
      <c r="H1464" s="5"/>
      <c r="I1464" s="5"/>
      <c r="J1464" s="5"/>
      <c r="L1464" s="5"/>
      <c r="M1464" s="5"/>
      <c r="P1464" s="5"/>
      <c r="Q1464" s="5"/>
      <c r="R1464" s="5"/>
      <c r="S1464" s="5"/>
      <c r="T1464" s="5"/>
      <c r="U1464" s="5"/>
      <c r="V1464" s="5"/>
      <c r="W1464" s="5"/>
    </row>
    <row r="1465" spans="1:23" x14ac:dyDescent="0.3">
      <c r="A1465" s="5"/>
      <c r="B1465" s="5"/>
      <c r="C1465" s="5"/>
      <c r="D1465" s="5"/>
      <c r="E1465" s="12"/>
      <c r="F1465" s="5"/>
      <c r="G1465" s="5"/>
      <c r="H1465" s="5"/>
      <c r="I1465" s="5"/>
      <c r="J1465" s="5"/>
      <c r="L1465" s="5"/>
      <c r="M1465" s="5"/>
      <c r="P1465" s="5"/>
      <c r="Q1465" s="5"/>
      <c r="R1465" s="5"/>
      <c r="S1465" s="5"/>
      <c r="T1465" s="5"/>
      <c r="U1465" s="5"/>
      <c r="V1465" s="5"/>
      <c r="W1465" s="5"/>
    </row>
    <row r="1466" spans="1:23" x14ac:dyDescent="0.3">
      <c r="A1466" s="5"/>
      <c r="B1466" s="5"/>
      <c r="C1466" s="5"/>
      <c r="D1466" s="5"/>
      <c r="E1466" s="12"/>
      <c r="F1466" s="5"/>
      <c r="G1466" s="5"/>
      <c r="H1466" s="5"/>
      <c r="I1466" s="5"/>
      <c r="J1466" s="5"/>
      <c r="L1466" s="5"/>
      <c r="M1466" s="5"/>
      <c r="P1466" s="5"/>
      <c r="Q1466" s="5"/>
      <c r="R1466" s="5"/>
      <c r="S1466" s="5"/>
      <c r="T1466" s="5"/>
      <c r="U1466" s="5"/>
      <c r="V1466" s="5"/>
      <c r="W1466" s="5"/>
    </row>
    <row r="1467" spans="1:23" x14ac:dyDescent="0.3">
      <c r="A1467" s="5"/>
      <c r="B1467" s="5"/>
      <c r="C1467" s="5"/>
      <c r="D1467" s="5"/>
      <c r="E1467" s="12"/>
      <c r="F1467" s="5"/>
      <c r="G1467" s="5"/>
      <c r="H1467" s="5"/>
      <c r="I1467" s="5"/>
      <c r="J1467" s="5"/>
      <c r="L1467" s="5"/>
      <c r="M1467" s="5"/>
      <c r="P1467" s="5"/>
      <c r="Q1467" s="5"/>
      <c r="R1467" s="5"/>
      <c r="S1467" s="5"/>
      <c r="T1467" s="5"/>
      <c r="U1467" s="5"/>
      <c r="V1467" s="5"/>
      <c r="W1467" s="5"/>
    </row>
    <row r="1468" spans="1:23" x14ac:dyDescent="0.3">
      <c r="A1468" s="5"/>
      <c r="B1468" s="5"/>
      <c r="C1468" s="5"/>
      <c r="D1468" s="5"/>
      <c r="E1468" s="12"/>
      <c r="F1468" s="5"/>
      <c r="G1468" s="5"/>
      <c r="H1468" s="5"/>
      <c r="I1468" s="5"/>
      <c r="J1468" s="5"/>
      <c r="L1468" s="5"/>
      <c r="M1468" s="5"/>
      <c r="P1468" s="5"/>
      <c r="Q1468" s="5"/>
      <c r="R1468" s="5"/>
      <c r="S1468" s="5"/>
      <c r="T1468" s="5"/>
      <c r="U1468" s="5"/>
      <c r="V1468" s="5"/>
      <c r="W1468" s="5"/>
    </row>
    <row r="1469" spans="1:23" x14ac:dyDescent="0.3">
      <c r="A1469" s="5"/>
      <c r="B1469" s="5"/>
      <c r="C1469" s="5"/>
      <c r="D1469" s="5"/>
      <c r="E1469" s="12"/>
      <c r="F1469" s="5"/>
      <c r="G1469" s="5"/>
      <c r="H1469" s="5"/>
      <c r="I1469" s="5"/>
      <c r="J1469" s="5"/>
      <c r="L1469" s="5"/>
      <c r="M1469" s="5"/>
      <c r="P1469" s="5"/>
      <c r="Q1469" s="5"/>
      <c r="R1469" s="5"/>
      <c r="S1469" s="5"/>
      <c r="T1469" s="5"/>
      <c r="U1469" s="5"/>
      <c r="V1469" s="5"/>
      <c r="W1469" s="5"/>
    </row>
    <row r="1470" spans="1:23" x14ac:dyDescent="0.3">
      <c r="A1470" s="5"/>
      <c r="B1470" s="5"/>
      <c r="C1470" s="5"/>
      <c r="D1470" s="5"/>
      <c r="E1470" s="12"/>
      <c r="F1470" s="5"/>
      <c r="G1470" s="5"/>
      <c r="H1470" s="5"/>
      <c r="I1470" s="5"/>
      <c r="J1470" s="5"/>
      <c r="L1470" s="5"/>
      <c r="M1470" s="5"/>
      <c r="P1470" s="5"/>
      <c r="Q1470" s="5"/>
      <c r="R1470" s="5"/>
      <c r="S1470" s="5"/>
      <c r="T1470" s="5"/>
      <c r="U1470" s="5"/>
      <c r="V1470" s="5"/>
      <c r="W1470" s="5"/>
    </row>
    <row r="1471" spans="1:23" x14ac:dyDescent="0.3">
      <c r="A1471" s="5"/>
      <c r="B1471" s="5"/>
      <c r="C1471" s="5"/>
      <c r="D1471" s="5"/>
      <c r="E1471" s="12"/>
      <c r="F1471" s="5"/>
      <c r="G1471" s="5"/>
      <c r="H1471" s="5"/>
      <c r="I1471" s="5"/>
      <c r="J1471" s="5"/>
      <c r="L1471" s="5"/>
      <c r="M1471" s="5"/>
      <c r="P1471" s="5"/>
      <c r="Q1471" s="5"/>
      <c r="R1471" s="5"/>
      <c r="S1471" s="5"/>
      <c r="T1471" s="5"/>
      <c r="U1471" s="5"/>
      <c r="V1471" s="5"/>
      <c r="W1471" s="5"/>
    </row>
    <row r="1472" spans="1:23" x14ac:dyDescent="0.3">
      <c r="A1472" s="5"/>
      <c r="B1472" s="5"/>
      <c r="C1472" s="5"/>
      <c r="D1472" s="5"/>
      <c r="E1472" s="12"/>
      <c r="F1472" s="5"/>
      <c r="G1472" s="5"/>
      <c r="H1472" s="5"/>
      <c r="I1472" s="5"/>
      <c r="J1472" s="5"/>
      <c r="L1472" s="5"/>
      <c r="M1472" s="5"/>
      <c r="P1472" s="5"/>
      <c r="Q1472" s="5"/>
      <c r="R1472" s="5"/>
      <c r="S1472" s="5"/>
      <c r="T1472" s="5"/>
      <c r="U1472" s="5"/>
      <c r="V1472" s="5"/>
      <c r="W1472" s="5"/>
    </row>
    <row r="1473" spans="1:23" x14ac:dyDescent="0.3">
      <c r="A1473" s="5"/>
      <c r="B1473" s="5"/>
      <c r="C1473" s="5"/>
      <c r="D1473" s="5"/>
      <c r="E1473" s="12"/>
      <c r="F1473" s="5"/>
      <c r="G1473" s="5"/>
      <c r="H1473" s="5"/>
      <c r="I1473" s="5"/>
      <c r="J1473" s="5"/>
      <c r="L1473" s="5"/>
      <c r="M1473" s="5"/>
      <c r="P1473" s="5"/>
      <c r="Q1473" s="5"/>
      <c r="R1473" s="5"/>
      <c r="S1473" s="5"/>
      <c r="T1473" s="5"/>
      <c r="U1473" s="5"/>
      <c r="V1473" s="5"/>
      <c r="W1473" s="5"/>
    </row>
    <row r="1474" spans="1:23" x14ac:dyDescent="0.3">
      <c r="A1474" s="5"/>
      <c r="B1474" s="5"/>
      <c r="C1474" s="5"/>
      <c r="D1474" s="5"/>
      <c r="E1474" s="12"/>
      <c r="F1474" s="5"/>
      <c r="G1474" s="5"/>
      <c r="H1474" s="5"/>
      <c r="I1474" s="5"/>
      <c r="J1474" s="5"/>
      <c r="L1474" s="5"/>
      <c r="M1474" s="5"/>
      <c r="P1474" s="5"/>
      <c r="Q1474" s="5"/>
      <c r="R1474" s="5"/>
      <c r="S1474" s="5"/>
      <c r="T1474" s="5"/>
      <c r="U1474" s="5"/>
      <c r="V1474" s="5"/>
      <c r="W1474" s="5"/>
    </row>
    <row r="1475" spans="1:23" x14ac:dyDescent="0.3">
      <c r="A1475" s="5"/>
      <c r="B1475" s="5"/>
      <c r="C1475" s="5"/>
      <c r="D1475" s="5"/>
      <c r="E1475" s="12"/>
      <c r="F1475" s="5"/>
      <c r="G1475" s="5"/>
      <c r="H1475" s="5"/>
      <c r="I1475" s="5"/>
      <c r="J1475" s="5"/>
      <c r="L1475" s="5"/>
      <c r="M1475" s="5"/>
      <c r="P1475" s="5"/>
      <c r="Q1475" s="5"/>
      <c r="R1475" s="5"/>
      <c r="S1475" s="5"/>
      <c r="T1475" s="5"/>
      <c r="U1475" s="5"/>
      <c r="V1475" s="5"/>
      <c r="W1475" s="5"/>
    </row>
    <row r="1476" spans="1:23" x14ac:dyDescent="0.3">
      <c r="A1476" s="5"/>
      <c r="B1476" s="5"/>
      <c r="C1476" s="5"/>
      <c r="D1476" s="5"/>
      <c r="E1476" s="12"/>
      <c r="F1476" s="5"/>
      <c r="G1476" s="5"/>
      <c r="H1476" s="5"/>
      <c r="I1476" s="5"/>
      <c r="J1476" s="5"/>
      <c r="L1476" s="5"/>
      <c r="M1476" s="5"/>
      <c r="P1476" s="5"/>
      <c r="Q1476" s="5"/>
      <c r="R1476" s="5"/>
      <c r="S1476" s="5"/>
      <c r="T1476" s="5"/>
      <c r="U1476" s="5"/>
      <c r="V1476" s="5"/>
      <c r="W1476" s="5"/>
    </row>
    <row r="1477" spans="1:23" x14ac:dyDescent="0.3">
      <c r="A1477" s="5"/>
      <c r="B1477" s="5"/>
      <c r="C1477" s="5"/>
      <c r="D1477" s="5"/>
      <c r="E1477" s="12"/>
      <c r="F1477" s="5"/>
      <c r="G1477" s="5"/>
      <c r="H1477" s="5"/>
      <c r="I1477" s="5"/>
      <c r="J1477" s="5"/>
      <c r="L1477" s="5"/>
      <c r="M1477" s="5"/>
      <c r="P1477" s="5"/>
      <c r="Q1477" s="5"/>
      <c r="R1477" s="5"/>
      <c r="S1477" s="5"/>
      <c r="T1477" s="5"/>
      <c r="U1477" s="5"/>
      <c r="V1477" s="5"/>
      <c r="W1477" s="5"/>
    </row>
    <row r="1478" spans="1:23" x14ac:dyDescent="0.3">
      <c r="A1478" s="5"/>
      <c r="B1478" s="5"/>
      <c r="C1478" s="5"/>
      <c r="D1478" s="5"/>
      <c r="E1478" s="12"/>
      <c r="F1478" s="5"/>
      <c r="G1478" s="5"/>
      <c r="H1478" s="5"/>
      <c r="I1478" s="5"/>
      <c r="J1478" s="5"/>
      <c r="L1478" s="5"/>
      <c r="M1478" s="5"/>
      <c r="P1478" s="5"/>
      <c r="Q1478" s="5"/>
      <c r="R1478" s="5"/>
      <c r="S1478" s="5"/>
      <c r="T1478" s="5"/>
      <c r="U1478" s="5"/>
      <c r="V1478" s="5"/>
      <c r="W1478" s="5"/>
    </row>
    <row r="1479" spans="1:23" x14ac:dyDescent="0.3">
      <c r="A1479" s="5"/>
      <c r="B1479" s="5"/>
      <c r="C1479" s="5"/>
      <c r="D1479" s="5"/>
      <c r="E1479" s="12"/>
      <c r="F1479" s="5"/>
      <c r="G1479" s="5"/>
      <c r="H1479" s="5"/>
      <c r="I1479" s="5"/>
      <c r="J1479" s="5"/>
      <c r="L1479" s="5"/>
      <c r="M1479" s="5"/>
      <c r="P1479" s="5"/>
      <c r="Q1479" s="5"/>
      <c r="R1479" s="5"/>
      <c r="S1479" s="5"/>
      <c r="T1479" s="5"/>
      <c r="U1479" s="5"/>
      <c r="V1479" s="5"/>
      <c r="W1479" s="5"/>
    </row>
    <row r="1480" spans="1:23" x14ac:dyDescent="0.3">
      <c r="A1480" s="5"/>
      <c r="B1480" s="5"/>
      <c r="C1480" s="5"/>
      <c r="D1480" s="5"/>
      <c r="E1480" s="12"/>
      <c r="F1480" s="5"/>
      <c r="G1480" s="5"/>
      <c r="H1480" s="5"/>
      <c r="I1480" s="5"/>
      <c r="J1480" s="5"/>
      <c r="L1480" s="5"/>
      <c r="M1480" s="5"/>
      <c r="P1480" s="5"/>
      <c r="Q1480" s="5"/>
      <c r="R1480" s="5"/>
      <c r="S1480" s="5"/>
      <c r="T1480" s="5"/>
      <c r="U1480" s="5"/>
      <c r="V1480" s="5"/>
      <c r="W1480" s="5"/>
    </row>
    <row r="1481" spans="1:23" x14ac:dyDescent="0.3">
      <c r="A1481" s="5"/>
      <c r="B1481" s="5"/>
      <c r="C1481" s="5"/>
      <c r="D1481" s="5"/>
      <c r="E1481" s="12"/>
      <c r="F1481" s="5"/>
      <c r="G1481" s="5"/>
      <c r="H1481" s="5"/>
      <c r="I1481" s="5"/>
      <c r="J1481" s="5"/>
      <c r="L1481" s="5"/>
      <c r="M1481" s="5"/>
      <c r="P1481" s="5"/>
      <c r="Q1481" s="5"/>
      <c r="R1481" s="5"/>
      <c r="S1481" s="5"/>
      <c r="T1481" s="5"/>
      <c r="U1481" s="5"/>
      <c r="V1481" s="5"/>
      <c r="W1481" s="5"/>
    </row>
    <row r="1482" spans="1:23" x14ac:dyDescent="0.3">
      <c r="A1482" s="5"/>
      <c r="B1482" s="5"/>
      <c r="C1482" s="5"/>
      <c r="D1482" s="5"/>
      <c r="E1482" s="12"/>
      <c r="F1482" s="5"/>
      <c r="G1482" s="5"/>
      <c r="H1482" s="5"/>
      <c r="I1482" s="5"/>
      <c r="J1482" s="5"/>
      <c r="L1482" s="5"/>
      <c r="M1482" s="5"/>
      <c r="P1482" s="5"/>
      <c r="Q1482" s="5"/>
      <c r="R1482" s="5"/>
      <c r="S1482" s="5"/>
      <c r="T1482" s="5"/>
      <c r="U1482" s="5"/>
      <c r="V1482" s="5"/>
      <c r="W1482" s="5"/>
    </row>
    <row r="1483" spans="1:23" x14ac:dyDescent="0.3">
      <c r="A1483" s="5"/>
      <c r="B1483" s="5"/>
      <c r="C1483" s="5"/>
      <c r="D1483" s="5"/>
      <c r="E1483" s="12"/>
      <c r="F1483" s="5"/>
      <c r="G1483" s="5"/>
      <c r="H1483" s="5"/>
      <c r="I1483" s="5"/>
      <c r="J1483" s="5"/>
      <c r="L1483" s="5"/>
      <c r="M1483" s="5"/>
      <c r="P1483" s="5"/>
      <c r="Q1483" s="5"/>
      <c r="R1483" s="5"/>
      <c r="S1483" s="5"/>
      <c r="T1483" s="5"/>
      <c r="U1483" s="5"/>
      <c r="V1483" s="5"/>
      <c r="W1483" s="5"/>
    </row>
    <row r="1484" spans="1:23" x14ac:dyDescent="0.3">
      <c r="A1484" s="5"/>
      <c r="B1484" s="5"/>
      <c r="C1484" s="5"/>
      <c r="D1484" s="5"/>
      <c r="E1484" s="12"/>
      <c r="F1484" s="5"/>
      <c r="G1484" s="5"/>
      <c r="H1484" s="5"/>
      <c r="I1484" s="5"/>
      <c r="J1484" s="5"/>
      <c r="L1484" s="5"/>
      <c r="M1484" s="5"/>
      <c r="P1484" s="5"/>
      <c r="Q1484" s="5"/>
      <c r="R1484" s="5"/>
      <c r="S1484" s="5"/>
      <c r="T1484" s="5"/>
      <c r="U1484" s="5"/>
      <c r="V1484" s="5"/>
      <c r="W1484" s="5"/>
    </row>
    <row r="1485" spans="1:23" x14ac:dyDescent="0.3">
      <c r="A1485" s="5"/>
      <c r="B1485" s="5"/>
      <c r="C1485" s="5"/>
      <c r="D1485" s="5"/>
      <c r="E1485" s="12"/>
      <c r="F1485" s="5"/>
      <c r="G1485" s="5"/>
      <c r="H1485" s="5"/>
      <c r="I1485" s="5"/>
      <c r="J1485" s="5"/>
      <c r="L1485" s="5"/>
      <c r="M1485" s="5"/>
      <c r="P1485" s="5"/>
      <c r="Q1485" s="5"/>
      <c r="R1485" s="5"/>
      <c r="S1485" s="5"/>
      <c r="T1485" s="5"/>
      <c r="U1485" s="5"/>
      <c r="V1485" s="5"/>
      <c r="W1485" s="5"/>
    </row>
    <row r="1486" spans="1:23" x14ac:dyDescent="0.3">
      <c r="A1486" s="5"/>
      <c r="B1486" s="5"/>
      <c r="C1486" s="5"/>
      <c r="D1486" s="5"/>
      <c r="E1486" s="12"/>
      <c r="F1486" s="5"/>
      <c r="G1486" s="5"/>
      <c r="H1486" s="5"/>
      <c r="I1486" s="5"/>
      <c r="J1486" s="5"/>
      <c r="L1486" s="5"/>
      <c r="M1486" s="5"/>
      <c r="P1486" s="5"/>
      <c r="Q1486" s="5"/>
      <c r="R1486" s="5"/>
      <c r="S1486" s="5"/>
      <c r="T1486" s="5"/>
      <c r="U1486" s="5"/>
      <c r="V1486" s="5"/>
      <c r="W1486" s="5"/>
    </row>
    <row r="1487" spans="1:23" x14ac:dyDescent="0.3">
      <c r="A1487" s="5"/>
      <c r="B1487" s="5"/>
      <c r="C1487" s="5"/>
      <c r="D1487" s="5"/>
      <c r="E1487" s="12"/>
      <c r="F1487" s="5"/>
      <c r="G1487" s="5"/>
      <c r="H1487" s="5"/>
      <c r="I1487" s="5"/>
      <c r="J1487" s="5"/>
      <c r="L1487" s="5"/>
      <c r="M1487" s="5"/>
      <c r="P1487" s="5"/>
      <c r="Q1487" s="5"/>
      <c r="R1487" s="5"/>
      <c r="S1487" s="5"/>
      <c r="T1487" s="5"/>
      <c r="U1487" s="5"/>
      <c r="V1487" s="5"/>
      <c r="W1487" s="5"/>
    </row>
    <row r="1488" spans="1:23" x14ac:dyDescent="0.3">
      <c r="A1488" s="5"/>
      <c r="B1488" s="5"/>
      <c r="C1488" s="5"/>
      <c r="D1488" s="5"/>
      <c r="E1488" s="12"/>
      <c r="F1488" s="5"/>
      <c r="G1488" s="5"/>
      <c r="H1488" s="5"/>
      <c r="I1488" s="5"/>
      <c r="J1488" s="5"/>
      <c r="L1488" s="5"/>
      <c r="M1488" s="5"/>
      <c r="P1488" s="5"/>
      <c r="Q1488" s="5"/>
      <c r="R1488" s="5"/>
      <c r="S1488" s="5"/>
      <c r="T1488" s="5"/>
      <c r="U1488" s="5"/>
      <c r="V1488" s="5"/>
      <c r="W1488" s="5"/>
    </row>
    <row r="1489" spans="1:23" x14ac:dyDescent="0.3">
      <c r="A1489" s="5"/>
      <c r="B1489" s="5"/>
      <c r="C1489" s="5"/>
      <c r="D1489" s="5"/>
      <c r="E1489" s="12"/>
      <c r="F1489" s="5"/>
      <c r="G1489" s="5"/>
      <c r="H1489" s="5"/>
      <c r="I1489" s="5"/>
      <c r="J1489" s="5"/>
      <c r="L1489" s="5"/>
      <c r="M1489" s="5"/>
      <c r="P1489" s="5"/>
      <c r="Q1489" s="5"/>
      <c r="R1489" s="5"/>
      <c r="S1489" s="5"/>
      <c r="T1489" s="5"/>
      <c r="U1489" s="5"/>
      <c r="V1489" s="5"/>
      <c r="W1489" s="5"/>
    </row>
    <row r="1490" spans="1:23" x14ac:dyDescent="0.3">
      <c r="A1490" s="5"/>
      <c r="B1490" s="5"/>
      <c r="C1490" s="5"/>
      <c r="D1490" s="5"/>
      <c r="E1490" s="12"/>
      <c r="F1490" s="5"/>
      <c r="G1490" s="5"/>
      <c r="H1490" s="5"/>
      <c r="I1490" s="5"/>
      <c r="J1490" s="5"/>
      <c r="L1490" s="5"/>
      <c r="M1490" s="5"/>
      <c r="P1490" s="5"/>
      <c r="Q1490" s="5"/>
      <c r="R1490" s="5"/>
      <c r="S1490" s="5"/>
      <c r="T1490" s="5"/>
      <c r="U1490" s="5"/>
      <c r="V1490" s="5"/>
      <c r="W1490" s="5"/>
    </row>
    <row r="1491" spans="1:23" x14ac:dyDescent="0.3">
      <c r="A1491" s="5"/>
      <c r="B1491" s="5"/>
      <c r="C1491" s="5"/>
      <c r="D1491" s="5"/>
      <c r="E1491" s="12"/>
      <c r="F1491" s="5"/>
      <c r="G1491" s="5"/>
      <c r="H1491" s="5"/>
      <c r="I1491" s="5"/>
      <c r="J1491" s="5"/>
      <c r="L1491" s="5"/>
      <c r="M1491" s="5"/>
      <c r="P1491" s="5"/>
      <c r="Q1491" s="5"/>
      <c r="R1491" s="5"/>
      <c r="S1491" s="5"/>
      <c r="T1491" s="5"/>
      <c r="U1491" s="5"/>
      <c r="V1491" s="5"/>
      <c r="W1491" s="5"/>
    </row>
    <row r="1492" spans="1:23" x14ac:dyDescent="0.3">
      <c r="A1492" s="5"/>
      <c r="B1492" s="5"/>
      <c r="C1492" s="5"/>
      <c r="D1492" s="5"/>
      <c r="E1492" s="12"/>
      <c r="F1492" s="5"/>
      <c r="G1492" s="5"/>
      <c r="H1492" s="5"/>
      <c r="I1492" s="5"/>
      <c r="J1492" s="5"/>
      <c r="L1492" s="5"/>
      <c r="M1492" s="5"/>
      <c r="P1492" s="5"/>
      <c r="Q1492" s="5"/>
      <c r="R1492" s="5"/>
      <c r="S1492" s="5"/>
      <c r="T1492" s="5"/>
      <c r="U1492" s="5"/>
      <c r="V1492" s="5"/>
      <c r="W1492" s="5"/>
    </row>
    <row r="1493" spans="1:23" x14ac:dyDescent="0.3">
      <c r="A1493" s="5"/>
      <c r="B1493" s="5"/>
      <c r="C1493" s="5"/>
      <c r="D1493" s="5"/>
      <c r="E1493" s="12"/>
      <c r="F1493" s="5"/>
      <c r="G1493" s="5"/>
      <c r="H1493" s="5"/>
      <c r="I1493" s="5"/>
      <c r="J1493" s="5"/>
      <c r="L1493" s="5"/>
      <c r="M1493" s="5"/>
      <c r="P1493" s="5"/>
      <c r="Q1493" s="5"/>
      <c r="R1493" s="5"/>
      <c r="S1493" s="5"/>
      <c r="T1493" s="5"/>
      <c r="U1493" s="5"/>
      <c r="V1493" s="5"/>
      <c r="W1493" s="5"/>
    </row>
    <row r="1494" spans="1:23" x14ac:dyDescent="0.3">
      <c r="A1494" s="5"/>
      <c r="B1494" s="5"/>
      <c r="C1494" s="5"/>
      <c r="D1494" s="5"/>
      <c r="E1494" s="12"/>
      <c r="F1494" s="5"/>
      <c r="G1494" s="5"/>
      <c r="H1494" s="5"/>
      <c r="I1494" s="5"/>
      <c r="J1494" s="5"/>
      <c r="L1494" s="5"/>
      <c r="M1494" s="5"/>
      <c r="P1494" s="5"/>
      <c r="Q1494" s="5"/>
      <c r="R1494" s="5"/>
      <c r="S1494" s="5"/>
      <c r="T1494" s="5"/>
      <c r="U1494" s="5"/>
      <c r="V1494" s="5"/>
      <c r="W1494" s="5"/>
    </row>
    <row r="1495" spans="1:23" x14ac:dyDescent="0.3">
      <c r="A1495" s="5"/>
      <c r="B1495" s="5"/>
      <c r="C1495" s="5"/>
      <c r="D1495" s="5"/>
      <c r="E1495" s="12"/>
      <c r="F1495" s="5"/>
      <c r="G1495" s="5"/>
      <c r="H1495" s="5"/>
      <c r="I1495" s="5"/>
      <c r="J1495" s="5"/>
      <c r="L1495" s="5"/>
      <c r="M1495" s="5"/>
      <c r="P1495" s="5"/>
      <c r="Q1495" s="5"/>
      <c r="R1495" s="5"/>
      <c r="S1495" s="5"/>
      <c r="T1495" s="5"/>
      <c r="U1495" s="5"/>
      <c r="V1495" s="5"/>
      <c r="W1495" s="5"/>
    </row>
    <row r="1496" spans="1:23" x14ac:dyDescent="0.3">
      <c r="A1496" s="5"/>
      <c r="B1496" s="5"/>
      <c r="C1496" s="5"/>
      <c r="D1496" s="5"/>
      <c r="E1496" s="12"/>
      <c r="F1496" s="5"/>
      <c r="G1496" s="5"/>
      <c r="H1496" s="5"/>
      <c r="I1496" s="5"/>
      <c r="J1496" s="5"/>
      <c r="L1496" s="5"/>
      <c r="M1496" s="5"/>
      <c r="P1496" s="5"/>
      <c r="Q1496" s="5"/>
      <c r="R1496" s="5"/>
      <c r="S1496" s="5"/>
      <c r="T1496" s="5"/>
      <c r="U1496" s="5"/>
      <c r="V1496" s="5"/>
      <c r="W1496" s="5"/>
    </row>
    <row r="1497" spans="1:23" x14ac:dyDescent="0.3">
      <c r="A1497" s="5"/>
      <c r="B1497" s="5"/>
      <c r="C1497" s="5"/>
      <c r="D1497" s="5"/>
      <c r="E1497" s="12"/>
      <c r="F1497" s="5"/>
      <c r="G1497" s="5"/>
      <c r="H1497" s="5"/>
      <c r="I1497" s="5"/>
      <c r="J1497" s="5"/>
      <c r="L1497" s="5"/>
      <c r="M1497" s="5"/>
      <c r="P1497" s="5"/>
      <c r="Q1497" s="5"/>
      <c r="R1497" s="5"/>
      <c r="S1497" s="5"/>
      <c r="T1497" s="5"/>
      <c r="U1497" s="5"/>
      <c r="V1497" s="5"/>
      <c r="W1497" s="5"/>
    </row>
    <row r="1498" spans="1:23" x14ac:dyDescent="0.3">
      <c r="A1498" s="5"/>
      <c r="B1498" s="5"/>
      <c r="C1498" s="5"/>
      <c r="D1498" s="5"/>
      <c r="E1498" s="12"/>
      <c r="F1498" s="5"/>
      <c r="G1498" s="5"/>
      <c r="H1498" s="5"/>
      <c r="I1498" s="5"/>
      <c r="J1498" s="5"/>
      <c r="L1498" s="5"/>
      <c r="M1498" s="5"/>
      <c r="P1498" s="5"/>
      <c r="Q1498" s="5"/>
      <c r="R1498" s="5"/>
      <c r="S1498" s="5"/>
      <c r="T1498" s="5"/>
      <c r="U1498" s="5"/>
      <c r="V1498" s="5"/>
      <c r="W1498" s="5"/>
    </row>
    <row r="1499" spans="1:23" x14ac:dyDescent="0.3">
      <c r="A1499" s="5"/>
      <c r="B1499" s="5"/>
      <c r="C1499" s="5"/>
      <c r="D1499" s="5"/>
      <c r="E1499" s="12"/>
      <c r="F1499" s="5"/>
      <c r="G1499" s="5"/>
      <c r="H1499" s="5"/>
      <c r="I1499" s="5"/>
      <c r="J1499" s="5"/>
      <c r="L1499" s="5"/>
      <c r="M1499" s="5"/>
      <c r="P1499" s="5"/>
      <c r="Q1499" s="5"/>
      <c r="R1499" s="5"/>
      <c r="S1499" s="5"/>
      <c r="T1499" s="5"/>
      <c r="U1499" s="5"/>
      <c r="V1499" s="5"/>
      <c r="W1499" s="5"/>
    </row>
    <row r="1500" spans="1:23" x14ac:dyDescent="0.3">
      <c r="A1500" s="5"/>
      <c r="B1500" s="5"/>
      <c r="C1500" s="5"/>
      <c r="D1500" s="5"/>
      <c r="E1500" s="12"/>
      <c r="F1500" s="5"/>
      <c r="G1500" s="5"/>
      <c r="H1500" s="5"/>
      <c r="I1500" s="5"/>
      <c r="J1500" s="5"/>
      <c r="L1500" s="5"/>
      <c r="M1500" s="5"/>
      <c r="P1500" s="5"/>
      <c r="Q1500" s="5"/>
      <c r="R1500" s="5"/>
      <c r="S1500" s="5"/>
      <c r="T1500" s="5"/>
      <c r="U1500" s="5"/>
      <c r="V1500" s="5"/>
      <c r="W1500" s="5"/>
    </row>
    <row r="1501" spans="1:23" x14ac:dyDescent="0.3">
      <c r="A1501" s="5"/>
      <c r="B1501" s="5"/>
      <c r="C1501" s="5"/>
      <c r="D1501" s="5"/>
      <c r="E1501" s="12"/>
      <c r="F1501" s="5"/>
      <c r="G1501" s="5"/>
      <c r="H1501" s="5"/>
      <c r="I1501" s="5"/>
      <c r="J1501" s="5"/>
      <c r="L1501" s="5"/>
      <c r="M1501" s="5"/>
      <c r="P1501" s="5"/>
      <c r="Q1501" s="5"/>
      <c r="R1501" s="5"/>
      <c r="S1501" s="5"/>
      <c r="T1501" s="5"/>
      <c r="U1501" s="5"/>
      <c r="V1501" s="5"/>
      <c r="W1501" s="5"/>
    </row>
    <row r="1502" spans="1:23" x14ac:dyDescent="0.3">
      <c r="A1502" s="5"/>
      <c r="B1502" s="5"/>
      <c r="C1502" s="5"/>
      <c r="D1502" s="5"/>
      <c r="E1502" s="12"/>
      <c r="F1502" s="5"/>
      <c r="G1502" s="5"/>
      <c r="H1502" s="5"/>
      <c r="I1502" s="5"/>
      <c r="J1502" s="5"/>
      <c r="L1502" s="5"/>
      <c r="M1502" s="5"/>
      <c r="P1502" s="5"/>
      <c r="Q1502" s="5"/>
      <c r="R1502" s="5"/>
      <c r="S1502" s="5"/>
      <c r="T1502" s="5"/>
      <c r="U1502" s="5"/>
      <c r="V1502" s="5"/>
      <c r="W1502" s="5"/>
    </row>
    <row r="1503" spans="1:23" x14ac:dyDescent="0.3">
      <c r="A1503" s="5"/>
      <c r="B1503" s="5"/>
      <c r="C1503" s="5"/>
      <c r="D1503" s="5"/>
      <c r="E1503" s="12"/>
      <c r="F1503" s="5"/>
      <c r="G1503" s="5"/>
      <c r="H1503" s="5"/>
      <c r="I1503" s="5"/>
      <c r="J1503" s="5"/>
      <c r="L1503" s="5"/>
      <c r="M1503" s="5"/>
      <c r="P1503" s="5"/>
      <c r="Q1503" s="5"/>
      <c r="R1503" s="5"/>
      <c r="S1503" s="5"/>
      <c r="T1503" s="5"/>
      <c r="U1503" s="5"/>
      <c r="V1503" s="5"/>
      <c r="W1503" s="5"/>
    </row>
    <row r="1504" spans="1:23" x14ac:dyDescent="0.3">
      <c r="A1504" s="5"/>
      <c r="B1504" s="5"/>
      <c r="C1504" s="5"/>
      <c r="D1504" s="5"/>
      <c r="E1504" s="12"/>
      <c r="F1504" s="5"/>
      <c r="G1504" s="5"/>
      <c r="H1504" s="5"/>
      <c r="I1504" s="5"/>
      <c r="J1504" s="5"/>
      <c r="L1504" s="5"/>
      <c r="M1504" s="5"/>
      <c r="P1504" s="5"/>
      <c r="Q1504" s="5"/>
      <c r="R1504" s="5"/>
      <c r="S1504" s="5"/>
      <c r="T1504" s="5"/>
      <c r="U1504" s="5"/>
      <c r="V1504" s="5"/>
      <c r="W1504" s="5"/>
    </row>
    <row r="1505" spans="1:28" x14ac:dyDescent="0.3">
      <c r="A1505" s="5"/>
      <c r="B1505" s="5"/>
      <c r="C1505" s="5"/>
      <c r="D1505" s="5"/>
      <c r="E1505" s="12"/>
      <c r="F1505" s="5"/>
      <c r="G1505" s="5"/>
      <c r="H1505" s="5"/>
      <c r="I1505" s="5"/>
      <c r="J1505" s="5"/>
      <c r="L1505" s="5"/>
      <c r="M1505" s="5"/>
      <c r="P1505" s="5"/>
      <c r="Q1505" s="5"/>
      <c r="R1505" s="5"/>
      <c r="S1505" s="5"/>
      <c r="T1505" s="5"/>
      <c r="U1505" s="5"/>
      <c r="V1505" s="5"/>
      <c r="W1505" s="5"/>
    </row>
    <row r="1506" spans="1:28" x14ac:dyDescent="0.3">
      <c r="A1506" s="5"/>
      <c r="B1506" s="5"/>
      <c r="C1506" s="5"/>
      <c r="D1506" s="5"/>
      <c r="E1506" s="12"/>
      <c r="F1506" s="5"/>
      <c r="G1506" s="5"/>
      <c r="H1506" s="5"/>
      <c r="I1506" s="5"/>
      <c r="J1506" s="5"/>
      <c r="L1506" s="5"/>
      <c r="M1506" s="5"/>
      <c r="P1506" s="5"/>
      <c r="Q1506" s="5"/>
      <c r="R1506" s="5"/>
      <c r="S1506" s="5"/>
      <c r="T1506" s="5"/>
      <c r="U1506" s="5"/>
      <c r="V1506" s="5"/>
      <c r="W1506" s="5"/>
    </row>
    <row r="1507" spans="1:28" x14ac:dyDescent="0.3">
      <c r="A1507" s="5"/>
      <c r="B1507" s="5"/>
      <c r="C1507" s="5"/>
      <c r="D1507" s="5"/>
      <c r="E1507" s="12"/>
      <c r="F1507" s="5"/>
      <c r="G1507" s="5"/>
      <c r="H1507" s="5"/>
      <c r="I1507" s="5"/>
      <c r="J1507" s="5"/>
      <c r="L1507" s="5"/>
      <c r="M1507" s="5"/>
      <c r="P1507" s="5"/>
      <c r="Q1507" s="5"/>
      <c r="R1507" s="5"/>
      <c r="S1507" s="5"/>
      <c r="T1507" s="5"/>
      <c r="U1507" s="5"/>
      <c r="V1507" s="5"/>
      <c r="W1507" s="5"/>
    </row>
    <row r="1508" spans="1:28" x14ac:dyDescent="0.3">
      <c r="A1508" s="5"/>
      <c r="B1508" s="5"/>
      <c r="C1508" s="5"/>
      <c r="D1508" s="5"/>
      <c r="E1508" s="12"/>
      <c r="F1508" s="5"/>
      <c r="G1508" s="5"/>
      <c r="H1508" s="5"/>
      <c r="I1508" s="5"/>
      <c r="J1508" s="5"/>
      <c r="L1508" s="5"/>
      <c r="M1508" s="5"/>
      <c r="P1508" s="5"/>
      <c r="Q1508" s="5"/>
      <c r="R1508" s="5"/>
      <c r="S1508" s="5"/>
      <c r="T1508" s="5"/>
      <c r="U1508" s="5"/>
      <c r="V1508" s="5"/>
      <c r="W1508" s="5"/>
    </row>
    <row r="1509" spans="1:28" x14ac:dyDescent="0.3">
      <c r="A1509" s="5"/>
      <c r="B1509" s="5"/>
      <c r="C1509" s="5"/>
      <c r="D1509" s="5"/>
      <c r="E1509" s="12"/>
      <c r="F1509" s="5"/>
      <c r="G1509" s="5"/>
      <c r="H1509" s="5"/>
      <c r="I1509" s="5"/>
      <c r="J1509" s="5"/>
      <c r="L1509" s="5"/>
      <c r="M1509" s="5"/>
      <c r="P1509" s="5"/>
      <c r="Q1509" s="5"/>
      <c r="R1509" s="5"/>
      <c r="S1509" s="5"/>
      <c r="T1509" s="5"/>
      <c r="U1509" s="5"/>
      <c r="V1509" s="5"/>
      <c r="W1509" s="5"/>
    </row>
    <row r="1510" spans="1:28" x14ac:dyDescent="0.3">
      <c r="A1510" s="5"/>
      <c r="B1510" s="5"/>
      <c r="C1510" s="5"/>
      <c r="D1510" s="5"/>
      <c r="E1510" s="12"/>
      <c r="F1510" s="5"/>
      <c r="G1510" s="5"/>
      <c r="H1510" s="5"/>
      <c r="I1510" s="5"/>
      <c r="J1510" s="5"/>
      <c r="L1510" s="5"/>
      <c r="M1510" s="5"/>
      <c r="P1510" s="5"/>
      <c r="Q1510" s="5"/>
      <c r="R1510" s="5"/>
      <c r="S1510" s="5"/>
      <c r="T1510" s="5"/>
      <c r="U1510" s="5"/>
      <c r="V1510" s="5"/>
      <c r="W1510" s="5"/>
    </row>
    <row r="1511" spans="1:28" x14ac:dyDescent="0.3">
      <c r="A1511" s="5"/>
      <c r="B1511" s="5"/>
      <c r="C1511" s="5"/>
      <c r="D1511" s="5"/>
      <c r="E1511" s="12"/>
      <c r="F1511" s="5"/>
      <c r="G1511" s="5"/>
      <c r="H1511" s="5"/>
      <c r="I1511" s="5"/>
      <c r="J1511" s="5"/>
      <c r="L1511" s="5"/>
      <c r="M1511" s="5"/>
      <c r="P1511" s="5"/>
      <c r="Q1511" s="5"/>
      <c r="R1511" s="5"/>
      <c r="S1511" s="5"/>
      <c r="T1511" s="5"/>
      <c r="U1511" s="5"/>
      <c r="V1511" s="5"/>
      <c r="W1511" s="5"/>
    </row>
    <row r="1512" spans="1:28" x14ac:dyDescent="0.3">
      <c r="A1512" s="5"/>
      <c r="B1512" s="5"/>
      <c r="C1512" s="5"/>
      <c r="D1512" s="5"/>
      <c r="E1512" s="12"/>
      <c r="F1512" s="5"/>
      <c r="G1512" s="5"/>
      <c r="H1512" s="5"/>
      <c r="I1512" s="5"/>
      <c r="J1512" s="5"/>
      <c r="L1512" s="5"/>
      <c r="M1512" s="5"/>
      <c r="P1512" s="5"/>
      <c r="Q1512" s="5"/>
      <c r="R1512" s="5"/>
      <c r="S1512" s="5"/>
      <c r="T1512" s="5"/>
      <c r="U1512" s="5"/>
      <c r="V1512" s="5"/>
      <c r="W1512" s="5"/>
      <c r="AA1512" s="13"/>
      <c r="AB1512" s="13"/>
    </row>
    <row r="1513" spans="1:28" x14ac:dyDescent="0.3">
      <c r="A1513" s="5"/>
      <c r="B1513" s="5"/>
      <c r="C1513" s="5"/>
      <c r="D1513" s="5"/>
      <c r="E1513" s="12"/>
      <c r="F1513" s="5"/>
      <c r="G1513" s="5"/>
      <c r="H1513" s="5"/>
      <c r="I1513" s="5"/>
      <c r="J1513" s="5"/>
      <c r="L1513" s="5"/>
      <c r="M1513" s="5"/>
      <c r="P1513" s="5"/>
      <c r="Q1513" s="5"/>
      <c r="R1513" s="5"/>
      <c r="S1513" s="5"/>
      <c r="T1513" s="5"/>
      <c r="U1513" s="5"/>
      <c r="V1513" s="5"/>
      <c r="W1513" s="5"/>
      <c r="AA1513" s="13"/>
      <c r="AB1513" s="13"/>
    </row>
    <row r="1514" spans="1:28" x14ac:dyDescent="0.3">
      <c r="A1514" s="5"/>
      <c r="B1514" s="5"/>
      <c r="C1514" s="5"/>
      <c r="D1514" s="5"/>
      <c r="E1514" s="12"/>
      <c r="F1514" s="5"/>
      <c r="G1514" s="5"/>
      <c r="H1514" s="5"/>
      <c r="I1514" s="5"/>
      <c r="J1514" s="5"/>
      <c r="L1514" s="5"/>
      <c r="M1514" s="5"/>
      <c r="P1514" s="5"/>
      <c r="Q1514" s="5"/>
      <c r="R1514" s="5"/>
      <c r="S1514" s="5"/>
      <c r="T1514" s="5"/>
      <c r="U1514" s="5"/>
      <c r="V1514" s="5"/>
      <c r="W1514" s="5"/>
      <c r="AA1514" s="13"/>
      <c r="AB1514" s="13"/>
    </row>
    <row r="1515" spans="1:28" x14ac:dyDescent="0.3">
      <c r="A1515" s="5"/>
      <c r="B1515" s="5"/>
      <c r="C1515" s="5"/>
      <c r="D1515" s="5"/>
      <c r="E1515" s="12"/>
      <c r="F1515" s="5"/>
      <c r="G1515" s="5"/>
      <c r="H1515" s="5"/>
      <c r="I1515" s="5"/>
      <c r="J1515" s="5"/>
      <c r="L1515" s="5"/>
      <c r="M1515" s="5"/>
      <c r="P1515" s="5"/>
      <c r="Q1515" s="5"/>
      <c r="R1515" s="5"/>
      <c r="S1515" s="5"/>
      <c r="T1515" s="5"/>
      <c r="U1515" s="5"/>
      <c r="V1515" s="5"/>
      <c r="W1515" s="5"/>
      <c r="AA1515" s="13"/>
      <c r="AB1515" s="13"/>
    </row>
    <row r="1516" spans="1:28" x14ac:dyDescent="0.3">
      <c r="A1516" s="5"/>
      <c r="B1516" s="5"/>
      <c r="C1516" s="5"/>
      <c r="D1516" s="5"/>
      <c r="E1516" s="12"/>
      <c r="F1516" s="5"/>
      <c r="G1516" s="5"/>
      <c r="H1516" s="5"/>
      <c r="I1516" s="5"/>
      <c r="J1516" s="5"/>
      <c r="L1516" s="5"/>
      <c r="M1516" s="5"/>
      <c r="P1516" s="5"/>
      <c r="Q1516" s="5"/>
      <c r="R1516" s="5"/>
      <c r="S1516" s="5"/>
      <c r="T1516" s="5"/>
      <c r="U1516" s="5"/>
      <c r="V1516" s="5"/>
      <c r="W1516" s="5"/>
      <c r="AA1516" s="13"/>
      <c r="AB1516" s="13"/>
    </row>
    <row r="1517" spans="1:28" x14ac:dyDescent="0.3">
      <c r="A1517" s="5"/>
      <c r="B1517" s="5"/>
      <c r="C1517" s="5"/>
      <c r="D1517" s="5"/>
      <c r="E1517" s="12"/>
      <c r="F1517" s="5"/>
      <c r="G1517" s="5"/>
      <c r="H1517" s="5"/>
      <c r="I1517" s="5"/>
      <c r="J1517" s="5"/>
      <c r="L1517" s="5"/>
      <c r="M1517" s="5"/>
      <c r="P1517" s="5"/>
      <c r="Q1517" s="5"/>
      <c r="R1517" s="5"/>
      <c r="S1517" s="5"/>
      <c r="T1517" s="5"/>
      <c r="U1517" s="5"/>
      <c r="V1517" s="5"/>
      <c r="W1517" s="5"/>
      <c r="AA1517" s="13"/>
      <c r="AB1517" s="13"/>
    </row>
    <row r="1518" spans="1:28" x14ac:dyDescent="0.3">
      <c r="A1518" s="5"/>
      <c r="B1518" s="5"/>
      <c r="C1518" s="5"/>
      <c r="D1518" s="5"/>
      <c r="E1518" s="12"/>
      <c r="F1518" s="5"/>
      <c r="G1518" s="5"/>
      <c r="H1518" s="5"/>
      <c r="I1518" s="5"/>
      <c r="J1518" s="5"/>
      <c r="L1518" s="5"/>
      <c r="M1518" s="5"/>
      <c r="P1518" s="5"/>
      <c r="Q1518" s="5"/>
      <c r="R1518" s="5"/>
      <c r="S1518" s="5"/>
      <c r="T1518" s="5"/>
      <c r="U1518" s="5"/>
      <c r="V1518" s="5"/>
      <c r="W1518" s="5"/>
      <c r="AA1518" s="13"/>
      <c r="AB1518" s="13"/>
    </row>
    <row r="1519" spans="1:28" x14ac:dyDescent="0.3">
      <c r="A1519" s="5"/>
      <c r="B1519" s="5"/>
      <c r="C1519" s="5"/>
      <c r="D1519" s="5"/>
      <c r="E1519" s="12"/>
      <c r="F1519" s="5"/>
      <c r="G1519" s="5"/>
      <c r="H1519" s="5"/>
      <c r="I1519" s="5"/>
      <c r="J1519" s="5"/>
      <c r="L1519" s="5"/>
      <c r="M1519" s="5"/>
      <c r="P1519" s="5"/>
      <c r="Q1519" s="5"/>
      <c r="R1519" s="5"/>
      <c r="S1519" s="5"/>
      <c r="T1519" s="5"/>
      <c r="U1519" s="5"/>
      <c r="V1519" s="5"/>
      <c r="W1519" s="5"/>
      <c r="AA1519" s="13"/>
      <c r="AB1519" s="13"/>
    </row>
    <row r="1520" spans="1:28" x14ac:dyDescent="0.3">
      <c r="A1520" s="5"/>
      <c r="B1520" s="5"/>
      <c r="C1520" s="5"/>
      <c r="D1520" s="5"/>
      <c r="E1520" s="12"/>
      <c r="F1520" s="5"/>
      <c r="G1520" s="5"/>
      <c r="H1520" s="5"/>
      <c r="I1520" s="5"/>
      <c r="J1520" s="5"/>
      <c r="L1520" s="5"/>
      <c r="M1520" s="5"/>
      <c r="P1520" s="5"/>
      <c r="Q1520" s="5"/>
      <c r="R1520" s="5"/>
      <c r="S1520" s="5"/>
      <c r="T1520" s="5"/>
      <c r="U1520" s="5"/>
      <c r="V1520" s="5"/>
      <c r="W1520" s="5"/>
      <c r="AA1520" s="13"/>
      <c r="AB1520" s="13"/>
    </row>
    <row r="1521" spans="1:28" x14ac:dyDescent="0.3">
      <c r="A1521" s="5"/>
      <c r="B1521" s="5"/>
      <c r="C1521" s="5"/>
      <c r="D1521" s="5"/>
      <c r="E1521" s="12"/>
      <c r="F1521" s="5"/>
      <c r="G1521" s="5"/>
      <c r="H1521" s="5"/>
      <c r="I1521" s="5"/>
      <c r="J1521" s="5"/>
      <c r="L1521" s="5"/>
      <c r="M1521" s="5"/>
      <c r="P1521" s="5"/>
      <c r="Q1521" s="5"/>
      <c r="R1521" s="5"/>
      <c r="S1521" s="5"/>
      <c r="T1521" s="5"/>
      <c r="U1521" s="5"/>
      <c r="V1521" s="5"/>
      <c r="W1521" s="5"/>
      <c r="AA1521" s="13"/>
      <c r="AB1521" s="13"/>
    </row>
    <row r="1522" spans="1:28" x14ac:dyDescent="0.3">
      <c r="A1522" s="5"/>
      <c r="B1522" s="5"/>
      <c r="C1522" s="5"/>
      <c r="D1522" s="5"/>
      <c r="E1522" s="12"/>
      <c r="F1522" s="5"/>
      <c r="G1522" s="5"/>
      <c r="H1522" s="5"/>
      <c r="I1522" s="5"/>
      <c r="J1522" s="5"/>
      <c r="L1522" s="5"/>
      <c r="M1522" s="5"/>
      <c r="P1522" s="5"/>
      <c r="Q1522" s="5"/>
      <c r="R1522" s="5"/>
      <c r="S1522" s="5"/>
      <c r="T1522" s="5"/>
      <c r="U1522" s="5"/>
      <c r="V1522" s="5"/>
      <c r="W1522" s="5"/>
      <c r="AA1522" s="13"/>
      <c r="AB1522" s="13"/>
    </row>
    <row r="1523" spans="1:28" x14ac:dyDescent="0.3">
      <c r="A1523" s="5"/>
      <c r="B1523" s="5"/>
      <c r="C1523" s="5"/>
      <c r="D1523" s="5"/>
      <c r="E1523" s="12"/>
      <c r="F1523" s="5"/>
      <c r="G1523" s="5"/>
      <c r="H1523" s="5"/>
      <c r="I1523" s="5"/>
      <c r="J1523" s="5"/>
      <c r="L1523" s="5"/>
      <c r="M1523" s="5"/>
      <c r="P1523" s="5"/>
      <c r="Q1523" s="5"/>
      <c r="R1523" s="5"/>
      <c r="S1523" s="5"/>
      <c r="T1523" s="5"/>
      <c r="U1523" s="5"/>
      <c r="V1523" s="5"/>
      <c r="W1523" s="5"/>
      <c r="AA1523" s="13"/>
      <c r="AB1523" s="13"/>
    </row>
    <row r="1524" spans="1:28" x14ac:dyDescent="0.3">
      <c r="A1524" s="5"/>
      <c r="B1524" s="5"/>
      <c r="C1524" s="5"/>
      <c r="D1524" s="5"/>
      <c r="E1524" s="12"/>
      <c r="F1524" s="5"/>
      <c r="G1524" s="5"/>
      <c r="H1524" s="5"/>
      <c r="I1524" s="5"/>
      <c r="J1524" s="5"/>
      <c r="L1524" s="5"/>
      <c r="M1524" s="5"/>
      <c r="P1524" s="5"/>
      <c r="Q1524" s="5"/>
      <c r="R1524" s="5"/>
      <c r="S1524" s="5"/>
      <c r="T1524" s="5"/>
      <c r="U1524" s="5"/>
      <c r="V1524" s="5"/>
      <c r="W1524" s="5"/>
      <c r="AA1524" s="13"/>
      <c r="AB1524" s="13"/>
    </row>
    <row r="1525" spans="1:28" x14ac:dyDescent="0.3">
      <c r="A1525" s="5"/>
      <c r="B1525" s="5"/>
      <c r="C1525" s="5"/>
      <c r="D1525" s="5"/>
      <c r="E1525" s="12"/>
      <c r="F1525" s="5"/>
      <c r="G1525" s="5"/>
      <c r="H1525" s="5"/>
      <c r="I1525" s="5"/>
      <c r="J1525" s="5"/>
      <c r="L1525" s="5"/>
      <c r="M1525" s="5"/>
      <c r="P1525" s="5"/>
      <c r="Q1525" s="5"/>
      <c r="R1525" s="5"/>
      <c r="S1525" s="5"/>
      <c r="T1525" s="5"/>
      <c r="U1525" s="5"/>
      <c r="V1525" s="5"/>
      <c r="W1525" s="5"/>
      <c r="AA1525" s="13"/>
      <c r="AB1525" s="13"/>
    </row>
    <row r="1526" spans="1:28" x14ac:dyDescent="0.3">
      <c r="A1526" s="5"/>
      <c r="B1526" s="5"/>
      <c r="C1526" s="5"/>
      <c r="D1526" s="5"/>
      <c r="E1526" s="12"/>
      <c r="F1526" s="5"/>
      <c r="G1526" s="5"/>
      <c r="H1526" s="5"/>
      <c r="I1526" s="5"/>
      <c r="J1526" s="5"/>
      <c r="L1526" s="5"/>
      <c r="M1526" s="5"/>
      <c r="P1526" s="5"/>
      <c r="Q1526" s="5"/>
      <c r="R1526" s="5"/>
      <c r="S1526" s="5"/>
      <c r="T1526" s="5"/>
      <c r="U1526" s="5"/>
      <c r="V1526" s="5"/>
      <c r="W1526" s="5"/>
      <c r="AA1526" s="13"/>
      <c r="AB1526" s="13"/>
    </row>
    <row r="1527" spans="1:28" x14ac:dyDescent="0.3">
      <c r="A1527" s="5"/>
      <c r="B1527" s="5"/>
      <c r="C1527" s="5"/>
      <c r="D1527" s="5"/>
      <c r="E1527" s="12"/>
      <c r="F1527" s="5"/>
      <c r="G1527" s="5"/>
      <c r="H1527" s="5"/>
      <c r="I1527" s="5"/>
      <c r="J1527" s="5"/>
      <c r="L1527" s="5"/>
      <c r="M1527" s="5"/>
      <c r="P1527" s="5"/>
      <c r="Q1527" s="5"/>
      <c r="R1527" s="5"/>
      <c r="S1527" s="5"/>
      <c r="T1527" s="5"/>
      <c r="U1527" s="5"/>
      <c r="V1527" s="5"/>
      <c r="W1527" s="5"/>
      <c r="AA1527" s="13"/>
      <c r="AB1527" s="13"/>
    </row>
    <row r="1528" spans="1:28" x14ac:dyDescent="0.3">
      <c r="A1528" s="5"/>
      <c r="B1528" s="5"/>
      <c r="C1528" s="5"/>
      <c r="D1528" s="5"/>
      <c r="E1528" s="12"/>
      <c r="F1528" s="5"/>
      <c r="G1528" s="5"/>
      <c r="H1528" s="5"/>
      <c r="I1528" s="5"/>
      <c r="J1528" s="5"/>
      <c r="L1528" s="5"/>
      <c r="M1528" s="5"/>
      <c r="P1528" s="5"/>
      <c r="Q1528" s="5"/>
      <c r="R1528" s="5"/>
      <c r="S1528" s="5"/>
      <c r="T1528" s="5"/>
      <c r="U1528" s="5"/>
      <c r="V1528" s="5"/>
      <c r="W1528" s="5"/>
      <c r="AA1528" s="13"/>
      <c r="AB1528" s="13"/>
    </row>
    <row r="1529" spans="1:28" x14ac:dyDescent="0.3">
      <c r="A1529" s="5"/>
      <c r="B1529" s="5"/>
      <c r="C1529" s="5"/>
      <c r="D1529" s="5"/>
      <c r="E1529" s="12"/>
      <c r="F1529" s="5"/>
      <c r="G1529" s="5"/>
      <c r="H1529" s="5"/>
      <c r="I1529" s="5"/>
      <c r="J1529" s="5"/>
      <c r="L1529" s="5"/>
      <c r="M1529" s="5"/>
      <c r="P1529" s="5"/>
      <c r="Q1529" s="5"/>
      <c r="R1529" s="5"/>
      <c r="S1529" s="5"/>
      <c r="T1529" s="5"/>
      <c r="U1529" s="5"/>
      <c r="V1529" s="5"/>
      <c r="W1529" s="5"/>
      <c r="AA1529" s="13"/>
      <c r="AB1529" s="13"/>
    </row>
    <row r="1530" spans="1:28" x14ac:dyDescent="0.3">
      <c r="A1530" s="5"/>
      <c r="B1530" s="5"/>
      <c r="C1530" s="5"/>
      <c r="D1530" s="5"/>
      <c r="E1530" s="12"/>
      <c r="F1530" s="5"/>
      <c r="G1530" s="5"/>
      <c r="H1530" s="5"/>
      <c r="I1530" s="5"/>
      <c r="J1530" s="5"/>
      <c r="L1530" s="5"/>
      <c r="M1530" s="5"/>
      <c r="P1530" s="5"/>
      <c r="Q1530" s="5"/>
      <c r="R1530" s="5"/>
      <c r="S1530" s="5"/>
      <c r="T1530" s="5"/>
      <c r="U1530" s="5"/>
      <c r="V1530" s="5"/>
      <c r="W1530" s="5"/>
      <c r="AA1530" s="13"/>
      <c r="AB1530" s="13"/>
    </row>
    <row r="1531" spans="1:28" x14ac:dyDescent="0.3">
      <c r="A1531" s="5"/>
      <c r="B1531" s="5"/>
      <c r="C1531" s="5"/>
      <c r="D1531" s="5"/>
      <c r="E1531" s="12"/>
      <c r="F1531" s="5"/>
      <c r="G1531" s="5"/>
      <c r="H1531" s="5"/>
      <c r="I1531" s="5"/>
      <c r="J1531" s="5"/>
      <c r="L1531" s="5"/>
      <c r="M1531" s="5"/>
      <c r="P1531" s="5"/>
      <c r="Q1531" s="5"/>
      <c r="R1531" s="5"/>
      <c r="S1531" s="5"/>
      <c r="T1531" s="5"/>
      <c r="U1531" s="5"/>
      <c r="V1531" s="5"/>
      <c r="W1531" s="5"/>
      <c r="AA1531" s="13"/>
      <c r="AB1531" s="13"/>
    </row>
    <row r="1532" spans="1:28" x14ac:dyDescent="0.3">
      <c r="A1532" s="5"/>
      <c r="B1532" s="5"/>
      <c r="C1532" s="5"/>
      <c r="D1532" s="5"/>
      <c r="E1532" s="12"/>
      <c r="F1532" s="5"/>
      <c r="G1532" s="5"/>
      <c r="H1532" s="5"/>
      <c r="I1532" s="5"/>
      <c r="J1532" s="5"/>
      <c r="L1532" s="5"/>
      <c r="M1532" s="5"/>
      <c r="P1532" s="5"/>
      <c r="Q1532" s="5"/>
      <c r="R1532" s="5"/>
      <c r="S1532" s="5"/>
      <c r="T1532" s="5"/>
      <c r="U1532" s="5"/>
      <c r="V1532" s="5"/>
      <c r="W1532" s="5"/>
      <c r="AA1532" s="13"/>
      <c r="AB1532" s="13"/>
    </row>
    <row r="1533" spans="1:28" x14ac:dyDescent="0.3">
      <c r="A1533" s="5"/>
      <c r="B1533" s="5"/>
      <c r="C1533" s="5"/>
      <c r="D1533" s="5"/>
      <c r="E1533" s="12"/>
      <c r="F1533" s="5"/>
      <c r="G1533" s="5"/>
      <c r="H1533" s="5"/>
      <c r="I1533" s="5"/>
      <c r="J1533" s="5"/>
      <c r="L1533" s="5"/>
      <c r="M1533" s="5"/>
      <c r="P1533" s="5"/>
      <c r="Q1533" s="5"/>
      <c r="R1533" s="5"/>
      <c r="S1533" s="5"/>
      <c r="T1533" s="5"/>
      <c r="U1533" s="5"/>
      <c r="V1533" s="5"/>
      <c r="W1533" s="5"/>
      <c r="AA1533" s="13"/>
      <c r="AB1533" s="13"/>
    </row>
    <row r="1534" spans="1:28" x14ac:dyDescent="0.3">
      <c r="A1534" s="5"/>
      <c r="B1534" s="5"/>
      <c r="C1534" s="5"/>
      <c r="D1534" s="5"/>
      <c r="E1534" s="12"/>
      <c r="F1534" s="5"/>
      <c r="G1534" s="5"/>
      <c r="H1534" s="5"/>
      <c r="I1534" s="5"/>
      <c r="J1534" s="5"/>
      <c r="L1534" s="5"/>
      <c r="M1534" s="5"/>
      <c r="P1534" s="5"/>
      <c r="Q1534" s="5"/>
      <c r="R1534" s="5"/>
      <c r="S1534" s="5"/>
      <c r="T1534" s="5"/>
      <c r="U1534" s="5"/>
      <c r="V1534" s="5"/>
      <c r="W1534" s="5"/>
      <c r="AA1534" s="13"/>
      <c r="AB1534" s="13"/>
    </row>
    <row r="1535" spans="1:28" x14ac:dyDescent="0.3">
      <c r="A1535" s="5"/>
      <c r="B1535" s="5"/>
      <c r="C1535" s="5"/>
      <c r="D1535" s="5"/>
      <c r="E1535" s="12"/>
      <c r="F1535" s="5"/>
      <c r="G1535" s="5"/>
      <c r="H1535" s="5"/>
      <c r="I1535" s="5"/>
      <c r="J1535" s="5"/>
      <c r="L1535" s="5"/>
      <c r="M1535" s="5"/>
      <c r="P1535" s="5"/>
      <c r="Q1535" s="5"/>
      <c r="R1535" s="5"/>
      <c r="S1535" s="5"/>
      <c r="T1535" s="5"/>
      <c r="U1535" s="5"/>
      <c r="V1535" s="5"/>
      <c r="W1535" s="5"/>
      <c r="AA1535" s="13"/>
      <c r="AB1535" s="13"/>
    </row>
    <row r="1536" spans="1:28" x14ac:dyDescent="0.3">
      <c r="A1536" s="5"/>
      <c r="B1536" s="5"/>
      <c r="C1536" s="5"/>
      <c r="D1536" s="5"/>
      <c r="E1536" s="12"/>
      <c r="F1536" s="5"/>
      <c r="G1536" s="5"/>
      <c r="H1536" s="5"/>
      <c r="I1536" s="5"/>
      <c r="J1536" s="5"/>
      <c r="L1536" s="5"/>
      <c r="M1536" s="5"/>
      <c r="P1536" s="5"/>
      <c r="Q1536" s="5"/>
      <c r="R1536" s="5"/>
      <c r="S1536" s="5"/>
      <c r="T1536" s="5"/>
      <c r="U1536" s="5"/>
      <c r="V1536" s="5"/>
      <c r="W1536" s="5"/>
      <c r="AA1536" s="13"/>
      <c r="AB1536" s="13"/>
    </row>
    <row r="1537" spans="1:28" x14ac:dyDescent="0.3">
      <c r="A1537" s="5"/>
      <c r="B1537" s="5"/>
      <c r="C1537" s="5"/>
      <c r="D1537" s="5"/>
      <c r="E1537" s="12"/>
      <c r="F1537" s="5"/>
      <c r="G1537" s="5"/>
      <c r="H1537" s="5"/>
      <c r="I1537" s="5"/>
      <c r="J1537" s="5"/>
      <c r="L1537" s="5"/>
      <c r="M1537" s="5"/>
      <c r="P1537" s="5"/>
      <c r="Q1537" s="5"/>
      <c r="R1537" s="5"/>
      <c r="S1537" s="5"/>
      <c r="T1537" s="5"/>
      <c r="U1537" s="5"/>
      <c r="V1537" s="5"/>
      <c r="W1537" s="5"/>
      <c r="AA1537" s="13"/>
      <c r="AB1537" s="13"/>
    </row>
    <row r="1538" spans="1:28" x14ac:dyDescent="0.3">
      <c r="A1538" s="5"/>
      <c r="B1538" s="5"/>
      <c r="C1538" s="5"/>
      <c r="D1538" s="5"/>
      <c r="E1538" s="12"/>
      <c r="F1538" s="5"/>
      <c r="G1538" s="5"/>
      <c r="H1538" s="5"/>
      <c r="I1538" s="5"/>
      <c r="J1538" s="5"/>
      <c r="L1538" s="5"/>
      <c r="M1538" s="5"/>
      <c r="P1538" s="5"/>
      <c r="Q1538" s="5"/>
      <c r="R1538" s="5"/>
      <c r="S1538" s="5"/>
      <c r="T1538" s="5"/>
      <c r="U1538" s="5"/>
      <c r="V1538" s="5"/>
      <c r="W1538" s="5"/>
      <c r="AA1538" s="13"/>
      <c r="AB1538" s="13"/>
    </row>
    <row r="1539" spans="1:28" x14ac:dyDescent="0.3">
      <c r="A1539" s="5"/>
      <c r="B1539" s="5"/>
      <c r="C1539" s="5"/>
      <c r="D1539" s="5"/>
      <c r="E1539" s="12"/>
      <c r="F1539" s="5"/>
      <c r="G1539" s="5"/>
      <c r="H1539" s="5"/>
      <c r="I1539" s="5"/>
      <c r="J1539" s="5"/>
      <c r="L1539" s="5"/>
      <c r="M1539" s="5"/>
      <c r="P1539" s="5"/>
      <c r="Q1539" s="5"/>
      <c r="R1539" s="5"/>
      <c r="S1539" s="5"/>
      <c r="T1539" s="5"/>
      <c r="U1539" s="5"/>
      <c r="V1539" s="5"/>
      <c r="W1539" s="5"/>
      <c r="AA1539" s="13"/>
      <c r="AB1539" s="13"/>
    </row>
    <row r="1540" spans="1:28" x14ac:dyDescent="0.3">
      <c r="A1540" s="5"/>
      <c r="B1540" s="5"/>
      <c r="C1540" s="5"/>
      <c r="D1540" s="5"/>
      <c r="E1540" s="12"/>
      <c r="F1540" s="5"/>
      <c r="G1540" s="5"/>
      <c r="H1540" s="5"/>
      <c r="I1540" s="5"/>
      <c r="J1540" s="5"/>
      <c r="L1540" s="5"/>
      <c r="M1540" s="5"/>
      <c r="P1540" s="5"/>
      <c r="Q1540" s="5"/>
      <c r="R1540" s="5"/>
      <c r="S1540" s="5"/>
      <c r="T1540" s="5"/>
      <c r="U1540" s="5"/>
      <c r="V1540" s="5"/>
      <c r="W1540" s="5"/>
      <c r="AA1540" s="13"/>
      <c r="AB1540" s="13"/>
    </row>
    <row r="1541" spans="1:28" x14ac:dyDescent="0.3">
      <c r="A1541" s="5"/>
      <c r="B1541" s="5"/>
      <c r="C1541" s="5"/>
      <c r="D1541" s="5"/>
      <c r="E1541" s="12"/>
      <c r="F1541" s="5"/>
      <c r="G1541" s="5"/>
      <c r="H1541" s="5"/>
      <c r="I1541" s="5"/>
      <c r="J1541" s="5"/>
      <c r="L1541" s="5"/>
      <c r="M1541" s="5"/>
      <c r="P1541" s="5"/>
      <c r="Q1541" s="5"/>
      <c r="R1541" s="5"/>
      <c r="S1541" s="5"/>
      <c r="T1541" s="5"/>
      <c r="U1541" s="5"/>
      <c r="V1541" s="5"/>
      <c r="W1541" s="5"/>
      <c r="AA1541" s="13"/>
      <c r="AB1541" s="13"/>
    </row>
    <row r="1542" spans="1:28" x14ac:dyDescent="0.3">
      <c r="A1542" s="5"/>
      <c r="B1542" s="5"/>
      <c r="C1542" s="5"/>
      <c r="D1542" s="5"/>
      <c r="E1542" s="12"/>
      <c r="F1542" s="5"/>
      <c r="G1542" s="5"/>
      <c r="H1542" s="5"/>
      <c r="I1542" s="5"/>
      <c r="J1542" s="5"/>
      <c r="L1542" s="5"/>
      <c r="M1542" s="5"/>
      <c r="P1542" s="5"/>
      <c r="Q1542" s="5"/>
      <c r="R1542" s="5"/>
      <c r="S1542" s="5"/>
      <c r="T1542" s="5"/>
      <c r="U1542" s="5"/>
      <c r="V1542" s="5"/>
      <c r="W1542" s="5"/>
      <c r="AA1542" s="13"/>
      <c r="AB1542" s="13"/>
    </row>
    <row r="1543" spans="1:28" x14ac:dyDescent="0.3">
      <c r="A1543" s="5"/>
      <c r="B1543" s="5"/>
      <c r="C1543" s="5"/>
      <c r="D1543" s="5"/>
      <c r="E1543" s="12"/>
      <c r="F1543" s="5"/>
      <c r="G1543" s="5"/>
      <c r="H1543" s="5"/>
      <c r="I1543" s="5"/>
      <c r="J1543" s="5"/>
      <c r="L1543" s="5"/>
      <c r="M1543" s="5"/>
      <c r="P1543" s="5"/>
      <c r="Q1543" s="5"/>
      <c r="R1543" s="5"/>
      <c r="S1543" s="5"/>
      <c r="T1543" s="5"/>
      <c r="U1543" s="5"/>
      <c r="V1543" s="5"/>
      <c r="W1543" s="5"/>
    </row>
    <row r="1544" spans="1:28" x14ac:dyDescent="0.3">
      <c r="A1544" s="5"/>
      <c r="B1544" s="5"/>
      <c r="C1544" s="5"/>
      <c r="D1544" s="5"/>
      <c r="E1544" s="12"/>
      <c r="F1544" s="5"/>
      <c r="G1544" s="5"/>
      <c r="H1544" s="5"/>
      <c r="I1544" s="5"/>
      <c r="J1544" s="5"/>
      <c r="L1544" s="5"/>
      <c r="M1544" s="5"/>
      <c r="P1544" s="5"/>
      <c r="Q1544" s="5"/>
      <c r="R1544" s="5"/>
      <c r="S1544" s="5"/>
      <c r="T1544" s="5"/>
      <c r="U1544" s="5"/>
      <c r="V1544" s="5"/>
      <c r="W1544" s="5"/>
    </row>
    <row r="1545" spans="1:28" x14ac:dyDescent="0.3">
      <c r="A1545" s="5"/>
      <c r="B1545" s="5"/>
      <c r="C1545" s="5"/>
      <c r="D1545" s="5"/>
      <c r="E1545" s="12"/>
      <c r="F1545" s="5"/>
      <c r="G1545" s="5"/>
      <c r="H1545" s="5"/>
      <c r="I1545" s="5"/>
      <c r="J1545" s="5"/>
      <c r="L1545" s="5"/>
      <c r="M1545" s="5"/>
      <c r="P1545" s="5"/>
      <c r="Q1545" s="5"/>
      <c r="R1545" s="5"/>
      <c r="S1545" s="5"/>
      <c r="T1545" s="5"/>
      <c r="U1545" s="5"/>
      <c r="V1545" s="5"/>
      <c r="W1545" s="5"/>
    </row>
    <row r="1546" spans="1:28" x14ac:dyDescent="0.3">
      <c r="A1546" s="5"/>
      <c r="B1546" s="5"/>
      <c r="C1546" s="5"/>
      <c r="D1546" s="5"/>
      <c r="E1546" s="12"/>
      <c r="F1546" s="5"/>
      <c r="G1546" s="5"/>
      <c r="H1546" s="5"/>
      <c r="I1546" s="5"/>
      <c r="J1546" s="5"/>
      <c r="L1546" s="5"/>
      <c r="M1546" s="5"/>
      <c r="P1546" s="5"/>
      <c r="Q1546" s="5"/>
      <c r="R1546" s="5"/>
      <c r="S1546" s="5"/>
      <c r="T1546" s="5"/>
      <c r="U1546" s="5"/>
      <c r="V1546" s="5"/>
      <c r="W1546" s="5"/>
    </row>
    <row r="1547" spans="1:28" x14ac:dyDescent="0.3">
      <c r="A1547" s="5"/>
      <c r="B1547" s="5"/>
      <c r="C1547" s="5"/>
      <c r="D1547" s="5"/>
      <c r="E1547" s="12"/>
      <c r="F1547" s="5"/>
      <c r="G1547" s="5"/>
      <c r="H1547" s="5"/>
      <c r="I1547" s="5"/>
      <c r="J1547" s="5"/>
      <c r="L1547" s="5"/>
      <c r="M1547" s="5"/>
      <c r="P1547" s="5"/>
      <c r="Q1547" s="5"/>
      <c r="R1547" s="5"/>
      <c r="S1547" s="5"/>
      <c r="T1547" s="5"/>
      <c r="U1547" s="5"/>
      <c r="V1547" s="5"/>
      <c r="W1547" s="5"/>
    </row>
    <row r="1548" spans="1:28" x14ac:dyDescent="0.3">
      <c r="A1548" s="5"/>
      <c r="B1548" s="5"/>
      <c r="C1548" s="5"/>
      <c r="D1548" s="5"/>
      <c r="E1548" s="12"/>
      <c r="F1548" s="5"/>
      <c r="G1548" s="5"/>
      <c r="H1548" s="5"/>
      <c r="I1548" s="5"/>
      <c r="J1548" s="5"/>
      <c r="L1548" s="5"/>
      <c r="M1548" s="5"/>
      <c r="P1548" s="5"/>
      <c r="Q1548" s="5"/>
      <c r="R1548" s="5"/>
      <c r="S1548" s="5"/>
      <c r="T1548" s="5"/>
      <c r="U1548" s="5"/>
      <c r="V1548" s="5"/>
      <c r="W1548" s="5"/>
    </row>
    <row r="1549" spans="1:28" x14ac:dyDescent="0.3">
      <c r="A1549" s="5"/>
      <c r="B1549" s="5"/>
      <c r="C1549" s="5"/>
      <c r="D1549" s="5"/>
      <c r="E1549" s="12"/>
      <c r="F1549" s="5"/>
      <c r="G1549" s="5"/>
      <c r="H1549" s="5"/>
      <c r="I1549" s="5"/>
      <c r="J1549" s="5"/>
      <c r="L1549" s="5"/>
      <c r="M1549" s="5"/>
      <c r="P1549" s="5"/>
      <c r="Q1549" s="5"/>
      <c r="R1549" s="5"/>
      <c r="S1549" s="5"/>
      <c r="T1549" s="5"/>
      <c r="U1549" s="5"/>
      <c r="V1549" s="5"/>
      <c r="W1549" s="5"/>
    </row>
    <row r="1550" spans="1:28" x14ac:dyDescent="0.3">
      <c r="A1550" s="5"/>
      <c r="B1550" s="5"/>
      <c r="C1550" s="5"/>
      <c r="D1550" s="5"/>
      <c r="E1550" s="12"/>
      <c r="F1550" s="5"/>
      <c r="G1550" s="5"/>
      <c r="H1550" s="5"/>
      <c r="I1550" s="5"/>
      <c r="J1550" s="5"/>
      <c r="L1550" s="5"/>
      <c r="M1550" s="5"/>
      <c r="P1550" s="5"/>
      <c r="Q1550" s="5"/>
      <c r="R1550" s="5"/>
      <c r="S1550" s="5"/>
      <c r="T1550" s="5"/>
      <c r="U1550" s="5"/>
      <c r="V1550" s="5"/>
      <c r="W1550" s="5"/>
    </row>
    <row r="1551" spans="1:28" x14ac:dyDescent="0.3">
      <c r="A1551" s="5"/>
      <c r="B1551" s="5"/>
      <c r="C1551" s="5"/>
      <c r="D1551" s="5"/>
      <c r="E1551" s="12"/>
      <c r="F1551" s="5"/>
      <c r="G1551" s="5"/>
      <c r="H1551" s="5"/>
      <c r="I1551" s="5"/>
      <c r="J1551" s="5"/>
      <c r="L1551" s="5"/>
      <c r="M1551" s="5"/>
      <c r="P1551" s="5"/>
      <c r="Q1551" s="5"/>
      <c r="R1551" s="5"/>
      <c r="S1551" s="5"/>
      <c r="T1551" s="5"/>
      <c r="U1551" s="5"/>
      <c r="V1551" s="5"/>
      <c r="W1551" s="5"/>
    </row>
    <row r="1552" spans="1:28" x14ac:dyDescent="0.3">
      <c r="A1552" s="5"/>
      <c r="B1552" s="5"/>
      <c r="C1552" s="5"/>
      <c r="D1552" s="5"/>
      <c r="E1552" s="12"/>
      <c r="F1552" s="5"/>
      <c r="G1552" s="5"/>
      <c r="H1552" s="5"/>
      <c r="I1552" s="5"/>
      <c r="J1552" s="5"/>
      <c r="L1552" s="5"/>
      <c r="M1552" s="5"/>
      <c r="P1552" s="5"/>
      <c r="Q1552" s="5"/>
      <c r="R1552" s="5"/>
      <c r="S1552" s="5"/>
      <c r="T1552" s="5"/>
      <c r="U1552" s="5"/>
      <c r="V1552" s="5"/>
      <c r="W1552" s="5"/>
    </row>
    <row r="1553" spans="1:23" x14ac:dyDescent="0.3">
      <c r="A1553" s="5"/>
      <c r="B1553" s="5"/>
      <c r="C1553" s="5"/>
      <c r="D1553" s="5"/>
      <c r="E1553" s="12"/>
      <c r="F1553" s="5"/>
      <c r="G1553" s="5"/>
      <c r="H1553" s="5"/>
      <c r="I1553" s="5"/>
      <c r="J1553" s="5"/>
      <c r="L1553" s="5"/>
      <c r="M1553" s="5"/>
      <c r="P1553" s="5"/>
      <c r="Q1553" s="5"/>
      <c r="R1553" s="5"/>
      <c r="S1553" s="5"/>
      <c r="T1553" s="5"/>
      <c r="U1553" s="5"/>
      <c r="V1553" s="5"/>
      <c r="W1553" s="5"/>
    </row>
    <row r="1554" spans="1:23" x14ac:dyDescent="0.3">
      <c r="A1554" s="5"/>
      <c r="B1554" s="5"/>
      <c r="C1554" s="5"/>
      <c r="D1554" s="5"/>
      <c r="E1554" s="12"/>
      <c r="F1554" s="5"/>
      <c r="G1554" s="5"/>
      <c r="H1554" s="5"/>
      <c r="I1554" s="5"/>
      <c r="J1554" s="5"/>
      <c r="L1554" s="5"/>
      <c r="M1554" s="5"/>
      <c r="P1554" s="5"/>
      <c r="Q1554" s="5"/>
      <c r="R1554" s="5"/>
      <c r="S1554" s="5"/>
      <c r="T1554" s="5"/>
      <c r="U1554" s="5"/>
      <c r="V1554" s="5"/>
      <c r="W1554" s="5"/>
    </row>
    <row r="1555" spans="1:23" x14ac:dyDescent="0.3">
      <c r="A1555" s="5"/>
      <c r="B1555" s="5"/>
      <c r="C1555" s="5"/>
      <c r="D1555" s="5"/>
      <c r="E1555" s="12"/>
      <c r="F1555" s="5"/>
      <c r="G1555" s="5"/>
      <c r="H1555" s="5"/>
      <c r="I1555" s="5"/>
      <c r="J1555" s="5"/>
      <c r="L1555" s="5"/>
      <c r="M1555" s="5"/>
      <c r="P1555" s="5"/>
      <c r="Q1555" s="5"/>
      <c r="R1555" s="5"/>
      <c r="S1555" s="5"/>
      <c r="T1555" s="5"/>
      <c r="U1555" s="5"/>
      <c r="V1555" s="5"/>
      <c r="W1555" s="5"/>
    </row>
    <row r="1556" spans="1:23" x14ac:dyDescent="0.3">
      <c r="A1556" s="5"/>
      <c r="B1556" s="5"/>
      <c r="C1556" s="5"/>
      <c r="D1556" s="5"/>
      <c r="E1556" s="12"/>
      <c r="F1556" s="5"/>
      <c r="G1556" s="5"/>
      <c r="H1556" s="5"/>
      <c r="I1556" s="5"/>
      <c r="J1556" s="5"/>
      <c r="L1556" s="5"/>
      <c r="M1556" s="5"/>
      <c r="P1556" s="5"/>
      <c r="Q1556" s="5"/>
      <c r="R1556" s="5"/>
      <c r="S1556" s="5"/>
      <c r="T1556" s="5"/>
      <c r="U1556" s="5"/>
      <c r="V1556" s="5"/>
      <c r="W1556" s="5"/>
    </row>
    <row r="1557" spans="1:23" x14ac:dyDescent="0.3">
      <c r="A1557" s="5"/>
      <c r="B1557" s="5"/>
      <c r="C1557" s="5"/>
      <c r="D1557" s="5"/>
      <c r="E1557" s="12"/>
      <c r="F1557" s="5"/>
      <c r="G1557" s="5"/>
      <c r="H1557" s="5"/>
      <c r="I1557" s="5"/>
      <c r="J1557" s="5"/>
      <c r="L1557" s="5"/>
      <c r="M1557" s="5"/>
      <c r="P1557" s="5"/>
      <c r="Q1557" s="5"/>
      <c r="R1557" s="5"/>
      <c r="S1557" s="5"/>
      <c r="T1557" s="5"/>
      <c r="U1557" s="5"/>
      <c r="V1557" s="5"/>
      <c r="W1557" s="5"/>
    </row>
    <row r="1558" spans="1:23" x14ac:dyDescent="0.3">
      <c r="A1558" s="5"/>
      <c r="B1558" s="5"/>
      <c r="C1558" s="5"/>
      <c r="D1558" s="5"/>
      <c r="E1558" s="12"/>
      <c r="F1558" s="5"/>
      <c r="G1558" s="5"/>
      <c r="H1558" s="5"/>
      <c r="I1558" s="5"/>
      <c r="J1558" s="5"/>
      <c r="L1558" s="5"/>
      <c r="M1558" s="5"/>
      <c r="P1558" s="5"/>
      <c r="Q1558" s="5"/>
      <c r="R1558" s="5"/>
      <c r="S1558" s="5"/>
      <c r="T1558" s="5"/>
      <c r="U1558" s="5"/>
      <c r="V1558" s="5"/>
      <c r="W1558" s="5"/>
    </row>
    <row r="1559" spans="1:23" x14ac:dyDescent="0.3">
      <c r="A1559" s="5"/>
      <c r="B1559" s="5"/>
      <c r="C1559" s="5"/>
      <c r="D1559" s="5"/>
      <c r="E1559" s="12"/>
      <c r="F1559" s="5"/>
      <c r="G1559" s="5"/>
      <c r="H1559" s="5"/>
      <c r="I1559" s="5"/>
      <c r="J1559" s="5"/>
      <c r="L1559" s="5"/>
      <c r="M1559" s="5"/>
      <c r="P1559" s="5"/>
      <c r="Q1559" s="5"/>
      <c r="R1559" s="5"/>
      <c r="S1559" s="5"/>
      <c r="T1559" s="5"/>
      <c r="U1559" s="5"/>
      <c r="V1559" s="5"/>
      <c r="W1559" s="5"/>
    </row>
    <row r="1560" spans="1:23" x14ac:dyDescent="0.3">
      <c r="A1560" s="5"/>
      <c r="B1560" s="5"/>
      <c r="C1560" s="5"/>
      <c r="D1560" s="5"/>
      <c r="E1560" s="12"/>
      <c r="F1560" s="5"/>
      <c r="G1560" s="5"/>
      <c r="H1560" s="5"/>
      <c r="I1560" s="5"/>
      <c r="J1560" s="5"/>
      <c r="L1560" s="5"/>
      <c r="M1560" s="5"/>
      <c r="P1560" s="5"/>
      <c r="Q1560" s="5"/>
      <c r="R1560" s="5"/>
      <c r="S1560" s="5"/>
      <c r="T1560" s="5"/>
      <c r="U1560" s="5"/>
      <c r="V1560" s="5"/>
      <c r="W1560" s="5"/>
    </row>
    <row r="1561" spans="1:23" x14ac:dyDescent="0.3">
      <c r="A1561" s="5"/>
      <c r="B1561" s="5"/>
      <c r="C1561" s="5"/>
      <c r="D1561" s="5"/>
      <c r="E1561" s="12"/>
      <c r="F1561" s="5"/>
      <c r="G1561" s="5"/>
      <c r="H1561" s="5"/>
      <c r="I1561" s="5"/>
      <c r="J1561" s="5"/>
      <c r="L1561" s="5"/>
      <c r="M1561" s="5"/>
      <c r="P1561" s="5"/>
      <c r="Q1561" s="5"/>
      <c r="R1561" s="5"/>
      <c r="S1561" s="5"/>
      <c r="T1561" s="5"/>
      <c r="U1561" s="5"/>
      <c r="V1561" s="5"/>
      <c r="W1561" s="5"/>
    </row>
    <row r="1562" spans="1:23" x14ac:dyDescent="0.3">
      <c r="A1562" s="5"/>
      <c r="B1562" s="5"/>
      <c r="C1562" s="5"/>
      <c r="D1562" s="5"/>
      <c r="E1562" s="12"/>
      <c r="F1562" s="5"/>
      <c r="G1562" s="5"/>
      <c r="H1562" s="5"/>
      <c r="I1562" s="5"/>
      <c r="J1562" s="5"/>
      <c r="L1562" s="5"/>
      <c r="M1562" s="5"/>
      <c r="P1562" s="5"/>
      <c r="Q1562" s="5"/>
      <c r="R1562" s="5"/>
      <c r="S1562" s="5"/>
      <c r="T1562" s="5"/>
      <c r="U1562" s="5"/>
      <c r="V1562" s="5"/>
      <c r="W1562" s="5"/>
    </row>
    <row r="1563" spans="1:23" x14ac:dyDescent="0.3">
      <c r="A1563" s="5"/>
      <c r="B1563" s="5"/>
      <c r="C1563" s="5"/>
      <c r="D1563" s="5"/>
      <c r="E1563" s="12"/>
      <c r="F1563" s="5"/>
      <c r="G1563" s="5"/>
      <c r="H1563" s="5"/>
      <c r="I1563" s="5"/>
      <c r="J1563" s="5"/>
      <c r="L1563" s="5"/>
      <c r="M1563" s="5"/>
      <c r="P1563" s="5"/>
      <c r="Q1563" s="5"/>
      <c r="R1563" s="5"/>
      <c r="S1563" s="5"/>
      <c r="T1563" s="5"/>
      <c r="U1563" s="5"/>
      <c r="V1563" s="5"/>
      <c r="W1563" s="5"/>
    </row>
    <row r="1564" spans="1:23" x14ac:dyDescent="0.3">
      <c r="A1564" s="5"/>
      <c r="B1564" s="5"/>
      <c r="C1564" s="5"/>
      <c r="D1564" s="5"/>
      <c r="E1564" s="12"/>
      <c r="F1564" s="5"/>
      <c r="G1564" s="5"/>
      <c r="H1564" s="5"/>
      <c r="I1564" s="5"/>
      <c r="J1564" s="5"/>
      <c r="L1564" s="5"/>
      <c r="M1564" s="5"/>
      <c r="P1564" s="5"/>
      <c r="Q1564" s="5"/>
      <c r="R1564" s="5"/>
      <c r="S1564" s="5"/>
      <c r="T1564" s="5"/>
      <c r="U1564" s="5"/>
      <c r="V1564" s="5"/>
      <c r="W1564" s="5"/>
    </row>
    <row r="1565" spans="1:23" x14ac:dyDescent="0.3">
      <c r="A1565" s="5"/>
      <c r="B1565" s="5"/>
      <c r="C1565" s="5"/>
      <c r="D1565" s="5"/>
      <c r="E1565" s="12"/>
      <c r="F1565" s="5"/>
      <c r="G1565" s="5"/>
      <c r="H1565" s="5"/>
      <c r="I1565" s="5"/>
      <c r="J1565" s="5"/>
      <c r="L1565" s="5"/>
      <c r="M1565" s="5"/>
      <c r="P1565" s="5"/>
      <c r="Q1565" s="5"/>
      <c r="R1565" s="5"/>
      <c r="S1565" s="5"/>
      <c r="T1565" s="5"/>
      <c r="U1565" s="5"/>
      <c r="V1565" s="5"/>
      <c r="W1565" s="5"/>
    </row>
    <row r="1566" spans="1:23" x14ac:dyDescent="0.3">
      <c r="A1566" s="5"/>
      <c r="B1566" s="5"/>
      <c r="C1566" s="5"/>
      <c r="D1566" s="5"/>
      <c r="E1566" s="12"/>
      <c r="F1566" s="5"/>
      <c r="G1566" s="5"/>
      <c r="H1566" s="5"/>
      <c r="I1566" s="5"/>
      <c r="J1566" s="5"/>
      <c r="L1566" s="5"/>
      <c r="M1566" s="5"/>
      <c r="P1566" s="5"/>
      <c r="Q1566" s="5"/>
      <c r="R1566" s="5"/>
      <c r="S1566" s="5"/>
      <c r="T1566" s="5"/>
      <c r="U1566" s="5"/>
      <c r="V1566" s="5"/>
      <c r="W1566" s="5"/>
    </row>
    <row r="1567" spans="1:23" x14ac:dyDescent="0.3">
      <c r="A1567" s="5"/>
      <c r="B1567" s="5"/>
      <c r="C1567" s="5"/>
      <c r="D1567" s="5"/>
      <c r="E1567" s="12"/>
      <c r="F1567" s="5"/>
      <c r="G1567" s="5"/>
      <c r="H1567" s="5"/>
      <c r="I1567" s="5"/>
      <c r="J1567" s="5"/>
      <c r="L1567" s="5"/>
      <c r="M1567" s="5"/>
      <c r="P1567" s="5"/>
      <c r="Q1567" s="5"/>
      <c r="R1567" s="5"/>
      <c r="S1567" s="5"/>
      <c r="T1567" s="5"/>
      <c r="U1567" s="5"/>
      <c r="V1567" s="5"/>
      <c r="W1567" s="5"/>
    </row>
    <row r="1568" spans="1:23" x14ac:dyDescent="0.3">
      <c r="A1568" s="5"/>
      <c r="B1568" s="5"/>
      <c r="C1568" s="5"/>
      <c r="D1568" s="5"/>
      <c r="E1568" s="12"/>
      <c r="F1568" s="5"/>
      <c r="G1568" s="5"/>
      <c r="H1568" s="5"/>
      <c r="I1568" s="5"/>
      <c r="J1568" s="5"/>
      <c r="L1568" s="5"/>
      <c r="M1568" s="5"/>
      <c r="P1568" s="5"/>
      <c r="Q1568" s="5"/>
      <c r="R1568" s="5"/>
      <c r="S1568" s="5"/>
      <c r="T1568" s="5"/>
      <c r="U1568" s="5"/>
      <c r="V1568" s="5"/>
      <c r="W1568" s="5"/>
    </row>
    <row r="1569" spans="1:23" x14ac:dyDescent="0.3">
      <c r="A1569" s="5"/>
      <c r="B1569" s="5"/>
      <c r="C1569" s="5"/>
      <c r="D1569" s="5"/>
      <c r="E1569" s="12"/>
      <c r="F1569" s="5"/>
      <c r="G1569" s="5"/>
      <c r="H1569" s="5"/>
      <c r="I1569" s="5"/>
      <c r="J1569" s="5"/>
      <c r="L1569" s="5"/>
      <c r="M1569" s="5"/>
      <c r="P1569" s="5"/>
      <c r="Q1569" s="5"/>
      <c r="R1569" s="5"/>
      <c r="S1569" s="5"/>
      <c r="T1569" s="5"/>
      <c r="U1569" s="5"/>
      <c r="V1569" s="5"/>
      <c r="W1569" s="5"/>
    </row>
    <row r="1570" spans="1:23" x14ac:dyDescent="0.3">
      <c r="A1570" s="5"/>
      <c r="B1570" s="5"/>
      <c r="C1570" s="5"/>
      <c r="D1570" s="5"/>
      <c r="E1570" s="12"/>
      <c r="F1570" s="5"/>
      <c r="G1570" s="5"/>
      <c r="H1570" s="5"/>
      <c r="I1570" s="5"/>
      <c r="J1570" s="5"/>
      <c r="L1570" s="5"/>
      <c r="M1570" s="5"/>
      <c r="P1570" s="5"/>
      <c r="Q1570" s="5"/>
      <c r="R1570" s="5"/>
      <c r="S1570" s="5"/>
      <c r="T1570" s="5"/>
      <c r="U1570" s="5"/>
      <c r="V1570" s="5"/>
      <c r="W1570" s="5"/>
    </row>
    <row r="1571" spans="1:23" x14ac:dyDescent="0.3">
      <c r="A1571" s="5"/>
      <c r="B1571" s="5"/>
      <c r="C1571" s="5"/>
      <c r="D1571" s="5"/>
      <c r="E1571" s="12"/>
      <c r="F1571" s="5"/>
      <c r="G1571" s="5"/>
      <c r="H1571" s="5"/>
      <c r="I1571" s="5"/>
      <c r="J1571" s="5"/>
      <c r="L1571" s="5"/>
      <c r="M1571" s="5"/>
      <c r="P1571" s="5"/>
      <c r="Q1571" s="5"/>
      <c r="R1571" s="5"/>
      <c r="S1571" s="5"/>
      <c r="T1571" s="5"/>
      <c r="U1571" s="5"/>
      <c r="V1571" s="5"/>
      <c r="W1571" s="5"/>
    </row>
    <row r="1572" spans="1:23" x14ac:dyDescent="0.3">
      <c r="A1572" s="5"/>
      <c r="B1572" s="5"/>
      <c r="C1572" s="5"/>
      <c r="D1572" s="5"/>
      <c r="E1572" s="12"/>
      <c r="F1572" s="5"/>
      <c r="G1572" s="5"/>
      <c r="H1572" s="5"/>
      <c r="I1572" s="5"/>
      <c r="J1572" s="5"/>
      <c r="L1572" s="5"/>
      <c r="M1572" s="5"/>
      <c r="P1572" s="5"/>
      <c r="Q1572" s="5"/>
      <c r="R1572" s="5"/>
      <c r="S1572" s="5"/>
      <c r="T1572" s="5"/>
      <c r="U1572" s="5"/>
      <c r="V1572" s="5"/>
      <c r="W1572" s="5"/>
    </row>
    <row r="1573" spans="1:23" x14ac:dyDescent="0.3">
      <c r="A1573" s="5"/>
      <c r="B1573" s="5"/>
      <c r="C1573" s="5"/>
      <c r="D1573" s="5"/>
      <c r="E1573" s="12"/>
      <c r="F1573" s="5"/>
      <c r="G1573" s="5"/>
      <c r="H1573" s="5"/>
      <c r="I1573" s="5"/>
      <c r="J1573" s="5"/>
      <c r="L1573" s="5"/>
      <c r="M1573" s="5"/>
      <c r="P1573" s="5"/>
      <c r="Q1573" s="5"/>
      <c r="R1573" s="5"/>
      <c r="S1573" s="5"/>
      <c r="T1573" s="5"/>
      <c r="U1573" s="5"/>
      <c r="V1573" s="5"/>
      <c r="W1573" s="5"/>
    </row>
    <row r="1574" spans="1:23" x14ac:dyDescent="0.3">
      <c r="A1574" s="5"/>
      <c r="B1574" s="5"/>
      <c r="C1574" s="5"/>
      <c r="D1574" s="5"/>
      <c r="E1574" s="12"/>
      <c r="F1574" s="5"/>
      <c r="G1574" s="5"/>
      <c r="H1574" s="5"/>
      <c r="I1574" s="5"/>
      <c r="J1574" s="5"/>
      <c r="L1574" s="5"/>
      <c r="M1574" s="5"/>
      <c r="P1574" s="5"/>
      <c r="Q1574" s="5"/>
      <c r="R1574" s="5"/>
      <c r="S1574" s="5"/>
      <c r="T1574" s="5"/>
      <c r="U1574" s="5"/>
      <c r="V1574" s="5"/>
      <c r="W1574" s="5"/>
    </row>
    <row r="1575" spans="1:23" x14ac:dyDescent="0.3">
      <c r="A1575" s="5"/>
      <c r="B1575" s="5"/>
      <c r="C1575" s="5"/>
      <c r="D1575" s="5"/>
      <c r="E1575" s="12"/>
      <c r="F1575" s="5"/>
      <c r="G1575" s="5"/>
      <c r="H1575" s="5"/>
      <c r="I1575" s="5"/>
      <c r="J1575" s="5"/>
      <c r="L1575" s="5"/>
      <c r="M1575" s="5"/>
      <c r="P1575" s="5"/>
      <c r="Q1575" s="5"/>
      <c r="R1575" s="5"/>
      <c r="S1575" s="5"/>
      <c r="T1575" s="5"/>
      <c r="U1575" s="5"/>
      <c r="V1575" s="5"/>
      <c r="W1575" s="5"/>
    </row>
    <row r="1576" spans="1:23" x14ac:dyDescent="0.3">
      <c r="A1576" s="5"/>
      <c r="B1576" s="5"/>
      <c r="C1576" s="5"/>
      <c r="D1576" s="5"/>
      <c r="E1576" s="12"/>
      <c r="F1576" s="5"/>
      <c r="G1576" s="5"/>
      <c r="H1576" s="5"/>
      <c r="I1576" s="5"/>
      <c r="J1576" s="5"/>
      <c r="L1576" s="5"/>
      <c r="M1576" s="5"/>
      <c r="P1576" s="5"/>
      <c r="Q1576" s="5"/>
      <c r="R1576" s="5"/>
      <c r="S1576" s="5"/>
      <c r="T1576" s="5"/>
      <c r="U1576" s="5"/>
      <c r="V1576" s="5"/>
      <c r="W1576" s="5"/>
    </row>
    <row r="1577" spans="1:23" x14ac:dyDescent="0.3">
      <c r="A1577" s="5"/>
      <c r="B1577" s="5"/>
      <c r="C1577" s="5"/>
      <c r="D1577" s="5"/>
      <c r="E1577" s="12"/>
      <c r="F1577" s="5"/>
      <c r="G1577" s="5"/>
      <c r="H1577" s="5"/>
      <c r="I1577" s="5"/>
      <c r="J1577" s="5"/>
      <c r="L1577" s="5"/>
      <c r="M1577" s="5"/>
      <c r="P1577" s="5"/>
      <c r="Q1577" s="5"/>
      <c r="R1577" s="5"/>
      <c r="S1577" s="5"/>
      <c r="T1577" s="5"/>
      <c r="U1577" s="5"/>
      <c r="V1577" s="5"/>
      <c r="W1577" s="5"/>
    </row>
    <row r="1578" spans="1:23" x14ac:dyDescent="0.3">
      <c r="A1578" s="5"/>
      <c r="B1578" s="5"/>
      <c r="C1578" s="5"/>
      <c r="D1578" s="5"/>
      <c r="E1578" s="12"/>
      <c r="F1578" s="5"/>
      <c r="G1578" s="5"/>
      <c r="H1578" s="5"/>
      <c r="I1578" s="5"/>
      <c r="J1578" s="5"/>
      <c r="L1578" s="5"/>
      <c r="M1578" s="5"/>
      <c r="P1578" s="5"/>
      <c r="Q1578" s="5"/>
      <c r="R1578" s="5"/>
      <c r="S1578" s="5"/>
      <c r="T1578" s="5"/>
      <c r="U1578" s="5"/>
      <c r="V1578" s="5"/>
      <c r="W1578" s="5"/>
    </row>
    <row r="1579" spans="1:23" x14ac:dyDescent="0.3">
      <c r="A1579" s="5"/>
      <c r="B1579" s="5"/>
      <c r="C1579" s="5"/>
      <c r="D1579" s="5"/>
      <c r="E1579" s="12"/>
      <c r="F1579" s="5"/>
      <c r="G1579" s="5"/>
      <c r="H1579" s="5"/>
      <c r="I1579" s="5"/>
      <c r="J1579" s="5"/>
      <c r="L1579" s="5"/>
      <c r="M1579" s="5"/>
      <c r="P1579" s="5"/>
      <c r="Q1579" s="5"/>
      <c r="R1579" s="5"/>
      <c r="S1579" s="5"/>
      <c r="T1579" s="5"/>
      <c r="U1579" s="5"/>
      <c r="V1579" s="5"/>
      <c r="W1579" s="5"/>
    </row>
    <row r="1580" spans="1:23" x14ac:dyDescent="0.3">
      <c r="A1580" s="5"/>
      <c r="B1580" s="5"/>
      <c r="C1580" s="5"/>
      <c r="D1580" s="5"/>
      <c r="E1580" s="12"/>
      <c r="F1580" s="5"/>
      <c r="G1580" s="5"/>
      <c r="H1580" s="5"/>
      <c r="I1580" s="5"/>
      <c r="J1580" s="5"/>
      <c r="L1580" s="5"/>
      <c r="M1580" s="5"/>
      <c r="P1580" s="5"/>
      <c r="Q1580" s="5"/>
      <c r="R1580" s="5"/>
      <c r="S1580" s="5"/>
      <c r="T1580" s="5"/>
      <c r="U1580" s="5"/>
      <c r="V1580" s="5"/>
      <c r="W1580" s="5"/>
    </row>
    <row r="1581" spans="1:23" x14ac:dyDescent="0.3">
      <c r="A1581" s="5"/>
      <c r="B1581" s="5"/>
      <c r="C1581" s="5"/>
      <c r="D1581" s="5"/>
      <c r="E1581" s="12"/>
      <c r="F1581" s="5"/>
      <c r="G1581" s="5"/>
      <c r="H1581" s="5"/>
      <c r="I1581" s="5"/>
      <c r="J1581" s="5"/>
      <c r="L1581" s="5"/>
      <c r="M1581" s="5"/>
      <c r="P1581" s="5"/>
      <c r="Q1581" s="5"/>
      <c r="R1581" s="5"/>
      <c r="S1581" s="5"/>
      <c r="T1581" s="5"/>
      <c r="U1581" s="5"/>
      <c r="V1581" s="5"/>
      <c r="W1581" s="5"/>
    </row>
    <row r="1582" spans="1:23" x14ac:dyDescent="0.3">
      <c r="A1582" s="5"/>
      <c r="B1582" s="5"/>
      <c r="C1582" s="5"/>
      <c r="D1582" s="5"/>
      <c r="E1582" s="12"/>
      <c r="F1582" s="5"/>
      <c r="G1582" s="5"/>
      <c r="H1582" s="5"/>
      <c r="I1582" s="5"/>
      <c r="J1582" s="5"/>
      <c r="L1582" s="5"/>
      <c r="M1582" s="5"/>
      <c r="P1582" s="5"/>
      <c r="Q1582" s="5"/>
      <c r="R1582" s="5"/>
      <c r="S1582" s="5"/>
      <c r="T1582" s="5"/>
      <c r="U1582" s="5"/>
      <c r="V1582" s="5"/>
      <c r="W1582" s="5"/>
    </row>
    <row r="1583" spans="1:23" x14ac:dyDescent="0.3">
      <c r="A1583" s="5"/>
      <c r="B1583" s="5"/>
      <c r="C1583" s="5"/>
      <c r="D1583" s="5"/>
      <c r="E1583" s="12"/>
      <c r="F1583" s="5"/>
      <c r="G1583" s="5"/>
      <c r="H1583" s="5"/>
      <c r="I1583" s="5"/>
      <c r="J1583" s="5"/>
      <c r="L1583" s="5"/>
      <c r="M1583" s="5"/>
      <c r="P1583" s="5"/>
      <c r="Q1583" s="5"/>
      <c r="R1583" s="5"/>
      <c r="S1583" s="5"/>
      <c r="T1583" s="5"/>
      <c r="U1583" s="5"/>
      <c r="V1583" s="5"/>
      <c r="W1583" s="5"/>
    </row>
    <row r="1584" spans="1:23" x14ac:dyDescent="0.3">
      <c r="A1584" s="5"/>
      <c r="B1584" s="5"/>
      <c r="C1584" s="5"/>
      <c r="D1584" s="5"/>
      <c r="E1584" s="12"/>
      <c r="F1584" s="5"/>
      <c r="G1584" s="5"/>
      <c r="H1584" s="5"/>
      <c r="I1584" s="5"/>
      <c r="J1584" s="5"/>
      <c r="L1584" s="5"/>
      <c r="M1584" s="5"/>
      <c r="P1584" s="5"/>
      <c r="Q1584" s="5"/>
      <c r="R1584" s="5"/>
      <c r="S1584" s="5"/>
      <c r="T1584" s="5"/>
      <c r="U1584" s="5"/>
      <c r="V1584" s="5"/>
      <c r="W1584" s="5"/>
    </row>
    <row r="1585" spans="1:23" x14ac:dyDescent="0.3">
      <c r="A1585" s="5"/>
      <c r="B1585" s="5"/>
      <c r="C1585" s="5"/>
      <c r="D1585" s="5"/>
      <c r="E1585" s="12"/>
      <c r="F1585" s="5"/>
      <c r="G1585" s="5"/>
      <c r="H1585" s="5"/>
      <c r="I1585" s="5"/>
      <c r="J1585" s="5"/>
      <c r="L1585" s="5"/>
      <c r="M1585" s="5"/>
      <c r="P1585" s="5"/>
      <c r="Q1585" s="5"/>
      <c r="R1585" s="5"/>
      <c r="S1585" s="5"/>
      <c r="T1585" s="5"/>
      <c r="U1585" s="5"/>
      <c r="V1585" s="5"/>
      <c r="W1585" s="5"/>
    </row>
    <row r="1586" spans="1:23" x14ac:dyDescent="0.3">
      <c r="A1586" s="5"/>
      <c r="B1586" s="5"/>
      <c r="C1586" s="5"/>
      <c r="D1586" s="5"/>
      <c r="E1586" s="12"/>
      <c r="F1586" s="5"/>
      <c r="G1586" s="5"/>
      <c r="H1586" s="5"/>
      <c r="I1586" s="5"/>
      <c r="J1586" s="5"/>
      <c r="L1586" s="5"/>
      <c r="M1586" s="5"/>
      <c r="P1586" s="5"/>
      <c r="Q1586" s="5"/>
      <c r="R1586" s="5"/>
      <c r="S1586" s="5"/>
      <c r="T1586" s="5"/>
      <c r="U1586" s="5"/>
      <c r="V1586" s="5"/>
      <c r="W1586" s="5"/>
    </row>
    <row r="1587" spans="1:23" x14ac:dyDescent="0.3">
      <c r="A1587" s="5"/>
      <c r="B1587" s="5"/>
      <c r="C1587" s="5"/>
      <c r="D1587" s="5"/>
      <c r="E1587" s="12"/>
      <c r="F1587" s="5"/>
      <c r="G1587" s="5"/>
      <c r="H1587" s="5"/>
      <c r="I1587" s="5"/>
      <c r="J1587" s="5"/>
      <c r="L1587" s="5"/>
      <c r="M1587" s="5"/>
      <c r="P1587" s="5"/>
      <c r="Q1587" s="5"/>
      <c r="R1587" s="5"/>
      <c r="S1587" s="5"/>
      <c r="T1587" s="5"/>
      <c r="U1587" s="5"/>
      <c r="V1587" s="5"/>
      <c r="W1587" s="5"/>
    </row>
    <row r="1588" spans="1:23" x14ac:dyDescent="0.3">
      <c r="A1588" s="5"/>
      <c r="B1588" s="5"/>
      <c r="C1588" s="5"/>
      <c r="D1588" s="5"/>
      <c r="E1588" s="12"/>
      <c r="F1588" s="5"/>
      <c r="G1588" s="5"/>
      <c r="H1588" s="5"/>
      <c r="I1588" s="5"/>
      <c r="J1588" s="5"/>
      <c r="L1588" s="5"/>
      <c r="M1588" s="5"/>
      <c r="P1588" s="5"/>
      <c r="Q1588" s="5"/>
      <c r="R1588" s="5"/>
      <c r="S1588" s="5"/>
      <c r="T1588" s="5"/>
      <c r="U1588" s="5"/>
      <c r="V1588" s="5"/>
      <c r="W1588" s="5"/>
    </row>
    <row r="1589" spans="1:23" x14ac:dyDescent="0.3">
      <c r="A1589" s="5"/>
      <c r="B1589" s="5"/>
      <c r="C1589" s="5"/>
      <c r="D1589" s="5"/>
      <c r="E1589" s="12"/>
      <c r="F1589" s="5"/>
      <c r="G1589" s="5"/>
      <c r="H1589" s="5"/>
      <c r="I1589" s="5"/>
      <c r="J1589" s="5"/>
      <c r="L1589" s="5"/>
      <c r="M1589" s="5"/>
      <c r="P1589" s="5"/>
      <c r="Q1589" s="5"/>
      <c r="R1589" s="5"/>
      <c r="S1589" s="5"/>
      <c r="T1589" s="5"/>
      <c r="U1589" s="5"/>
      <c r="V1589" s="5"/>
      <c r="W1589" s="5"/>
    </row>
    <row r="1590" spans="1:23" x14ac:dyDescent="0.3">
      <c r="A1590" s="5"/>
      <c r="B1590" s="5"/>
      <c r="C1590" s="5"/>
      <c r="D1590" s="5"/>
      <c r="E1590" s="12"/>
      <c r="F1590" s="5"/>
      <c r="G1590" s="5"/>
      <c r="H1590" s="5"/>
      <c r="I1590" s="5"/>
      <c r="J1590" s="5"/>
      <c r="L1590" s="5"/>
      <c r="M1590" s="5"/>
      <c r="P1590" s="5"/>
      <c r="Q1590" s="5"/>
      <c r="R1590" s="5"/>
      <c r="S1590" s="5"/>
      <c r="T1590" s="5"/>
      <c r="U1590" s="5"/>
      <c r="V1590" s="5"/>
      <c r="W1590" s="5"/>
    </row>
    <row r="1591" spans="1:23" x14ac:dyDescent="0.3">
      <c r="A1591" s="5"/>
      <c r="B1591" s="5"/>
      <c r="C1591" s="5"/>
      <c r="D1591" s="5"/>
      <c r="E1591" s="12"/>
      <c r="F1591" s="5"/>
      <c r="G1591" s="5"/>
      <c r="H1591" s="5"/>
      <c r="I1591" s="5"/>
      <c r="J1591" s="5"/>
      <c r="L1591" s="5"/>
      <c r="M1591" s="5"/>
      <c r="P1591" s="5"/>
      <c r="Q1591" s="5"/>
      <c r="R1591" s="5"/>
      <c r="S1591" s="5"/>
      <c r="T1591" s="5"/>
      <c r="U1591" s="5"/>
      <c r="V1591" s="5"/>
      <c r="W1591" s="5"/>
    </row>
    <row r="1592" spans="1:23" x14ac:dyDescent="0.3">
      <c r="A1592" s="5"/>
      <c r="B1592" s="5"/>
      <c r="C1592" s="5"/>
      <c r="D1592" s="5"/>
      <c r="E1592" s="12"/>
      <c r="F1592" s="5"/>
      <c r="G1592" s="5"/>
      <c r="H1592" s="5"/>
      <c r="I1592" s="5"/>
      <c r="J1592" s="5"/>
      <c r="L1592" s="5"/>
      <c r="M1592" s="5"/>
      <c r="P1592" s="5"/>
      <c r="Q1592" s="5"/>
      <c r="R1592" s="5"/>
      <c r="S1592" s="5"/>
      <c r="T1592" s="5"/>
      <c r="U1592" s="5"/>
      <c r="V1592" s="5"/>
      <c r="W1592" s="5"/>
    </row>
    <row r="1593" spans="1:23" x14ac:dyDescent="0.3">
      <c r="A1593" s="5"/>
      <c r="B1593" s="5"/>
      <c r="C1593" s="5"/>
      <c r="D1593" s="5"/>
      <c r="E1593" s="12"/>
      <c r="F1593" s="5"/>
      <c r="G1593" s="5"/>
      <c r="H1593" s="5"/>
      <c r="I1593" s="5"/>
      <c r="J1593" s="5"/>
      <c r="L1593" s="5"/>
      <c r="M1593" s="5"/>
      <c r="P1593" s="5"/>
      <c r="Q1593" s="5"/>
      <c r="R1593" s="5"/>
      <c r="S1593" s="5"/>
      <c r="T1593" s="5"/>
      <c r="U1593" s="5"/>
      <c r="V1593" s="5"/>
      <c r="W1593" s="5"/>
    </row>
    <row r="1594" spans="1:23" x14ac:dyDescent="0.3">
      <c r="A1594" s="5"/>
      <c r="B1594" s="5"/>
      <c r="C1594" s="5"/>
      <c r="D1594" s="5"/>
      <c r="E1594" s="12"/>
      <c r="F1594" s="5"/>
      <c r="G1594" s="5"/>
      <c r="H1594" s="5"/>
      <c r="I1594" s="5"/>
      <c r="J1594" s="5"/>
      <c r="L1594" s="5"/>
      <c r="M1594" s="5"/>
      <c r="P1594" s="5"/>
      <c r="Q1594" s="5"/>
      <c r="R1594" s="5"/>
      <c r="S1594" s="5"/>
      <c r="T1594" s="5"/>
      <c r="U1594" s="5"/>
      <c r="V1594" s="5"/>
      <c r="W1594" s="5"/>
    </row>
    <row r="1595" spans="1:23" x14ac:dyDescent="0.3">
      <c r="A1595" s="5"/>
      <c r="B1595" s="5"/>
      <c r="C1595" s="5"/>
      <c r="D1595" s="5"/>
      <c r="E1595" s="12"/>
      <c r="F1595" s="5"/>
      <c r="G1595" s="5"/>
      <c r="H1595" s="5"/>
      <c r="I1595" s="5"/>
      <c r="J1595" s="5"/>
      <c r="L1595" s="5"/>
      <c r="M1595" s="5"/>
      <c r="P1595" s="5"/>
      <c r="Q1595" s="5"/>
      <c r="R1595" s="5"/>
      <c r="S1595" s="5"/>
      <c r="T1595" s="5"/>
      <c r="U1595" s="5"/>
      <c r="V1595" s="5"/>
      <c r="W1595" s="5"/>
    </row>
    <row r="1596" spans="1:23" x14ac:dyDescent="0.3">
      <c r="A1596" s="5"/>
      <c r="B1596" s="5"/>
      <c r="C1596" s="5"/>
      <c r="D1596" s="5"/>
      <c r="E1596" s="12"/>
      <c r="F1596" s="5"/>
      <c r="G1596" s="5"/>
      <c r="H1596" s="5"/>
      <c r="I1596" s="5"/>
      <c r="J1596" s="5"/>
      <c r="L1596" s="5"/>
      <c r="M1596" s="5"/>
      <c r="P1596" s="5"/>
      <c r="Q1596" s="5"/>
      <c r="R1596" s="5"/>
      <c r="S1596" s="5"/>
      <c r="T1596" s="5"/>
      <c r="U1596" s="5"/>
      <c r="V1596" s="5"/>
      <c r="W1596" s="5"/>
    </row>
    <row r="1597" spans="1:23" x14ac:dyDescent="0.3">
      <c r="A1597" s="5"/>
      <c r="B1597" s="5"/>
      <c r="C1597" s="5"/>
      <c r="D1597" s="5"/>
      <c r="E1597" s="12"/>
      <c r="F1597" s="5"/>
      <c r="G1597" s="5"/>
      <c r="H1597" s="5"/>
      <c r="I1597" s="5"/>
      <c r="J1597" s="5"/>
      <c r="L1597" s="5"/>
      <c r="M1597" s="5"/>
      <c r="P1597" s="5"/>
      <c r="Q1597" s="5"/>
      <c r="R1597" s="5"/>
      <c r="S1597" s="5"/>
      <c r="T1597" s="5"/>
      <c r="U1597" s="5"/>
      <c r="V1597" s="5"/>
      <c r="W1597" s="5"/>
    </row>
    <row r="1598" spans="1:23" x14ac:dyDescent="0.3">
      <c r="A1598" s="5"/>
      <c r="B1598" s="5"/>
      <c r="C1598" s="5"/>
      <c r="D1598" s="5"/>
      <c r="E1598" s="12"/>
      <c r="F1598" s="5"/>
      <c r="G1598" s="5"/>
      <c r="H1598" s="5"/>
      <c r="I1598" s="5"/>
      <c r="J1598" s="5"/>
      <c r="L1598" s="5"/>
      <c r="M1598" s="5"/>
      <c r="P1598" s="5"/>
      <c r="Q1598" s="5"/>
      <c r="R1598" s="5"/>
      <c r="S1598" s="5"/>
      <c r="T1598" s="5"/>
      <c r="U1598" s="5"/>
      <c r="V1598" s="5"/>
      <c r="W1598" s="5"/>
    </row>
    <row r="1599" spans="1:23" x14ac:dyDescent="0.3">
      <c r="A1599" s="5"/>
      <c r="B1599" s="5"/>
      <c r="C1599" s="5"/>
      <c r="D1599" s="5"/>
      <c r="E1599" s="12"/>
      <c r="F1599" s="5"/>
      <c r="G1599" s="5"/>
      <c r="H1599" s="5"/>
      <c r="I1599" s="5"/>
      <c r="J1599" s="5"/>
      <c r="L1599" s="5"/>
      <c r="M1599" s="5"/>
      <c r="P1599" s="5"/>
      <c r="Q1599" s="5"/>
      <c r="R1599" s="5"/>
      <c r="S1599" s="5"/>
      <c r="T1599" s="5"/>
      <c r="U1599" s="5"/>
      <c r="V1599" s="5"/>
      <c r="W1599" s="5"/>
    </row>
    <row r="1600" spans="1:23" x14ac:dyDescent="0.3">
      <c r="A1600" s="5"/>
      <c r="B1600" s="5"/>
      <c r="C1600" s="5"/>
      <c r="D1600" s="5"/>
      <c r="E1600" s="12"/>
      <c r="F1600" s="5"/>
      <c r="G1600" s="5"/>
      <c r="H1600" s="5"/>
      <c r="I1600" s="5"/>
      <c r="J1600" s="5"/>
      <c r="L1600" s="5"/>
      <c r="M1600" s="5"/>
      <c r="P1600" s="5"/>
      <c r="Q1600" s="5"/>
      <c r="R1600" s="5"/>
      <c r="S1600" s="5"/>
      <c r="T1600" s="5"/>
      <c r="U1600" s="5"/>
      <c r="V1600" s="5"/>
      <c r="W1600" s="5"/>
    </row>
    <row r="1601" spans="1:23" x14ac:dyDescent="0.3">
      <c r="A1601" s="5"/>
      <c r="B1601" s="5"/>
      <c r="C1601" s="5"/>
      <c r="D1601" s="5"/>
      <c r="E1601" s="12"/>
      <c r="F1601" s="5"/>
      <c r="G1601" s="5"/>
      <c r="H1601" s="5"/>
      <c r="I1601" s="5"/>
      <c r="J1601" s="5"/>
      <c r="L1601" s="5"/>
      <c r="M1601" s="5"/>
      <c r="P1601" s="5"/>
      <c r="Q1601" s="5"/>
      <c r="R1601" s="5"/>
      <c r="S1601" s="5"/>
      <c r="T1601" s="5"/>
      <c r="U1601" s="5"/>
      <c r="V1601" s="5"/>
      <c r="W1601" s="5"/>
    </row>
    <row r="1602" spans="1:23" x14ac:dyDescent="0.3">
      <c r="A1602" s="5"/>
      <c r="B1602" s="5"/>
      <c r="C1602" s="5"/>
      <c r="D1602" s="5"/>
      <c r="E1602" s="12"/>
      <c r="F1602" s="5"/>
      <c r="G1602" s="5"/>
      <c r="H1602" s="5"/>
      <c r="I1602" s="5"/>
      <c r="J1602" s="5"/>
      <c r="L1602" s="5"/>
      <c r="M1602" s="5"/>
      <c r="P1602" s="5"/>
      <c r="Q1602" s="5"/>
      <c r="R1602" s="5"/>
      <c r="S1602" s="5"/>
      <c r="T1602" s="5"/>
      <c r="U1602" s="5"/>
      <c r="V1602" s="5"/>
      <c r="W1602" s="5"/>
    </row>
    <row r="1603" spans="1:23" x14ac:dyDescent="0.3">
      <c r="A1603" s="5"/>
      <c r="B1603" s="5"/>
      <c r="C1603" s="5"/>
      <c r="D1603" s="5"/>
      <c r="E1603" s="12"/>
      <c r="F1603" s="5"/>
      <c r="G1603" s="5"/>
      <c r="H1603" s="5"/>
      <c r="I1603" s="5"/>
      <c r="J1603" s="5"/>
      <c r="L1603" s="5"/>
      <c r="M1603" s="5"/>
      <c r="P1603" s="5"/>
      <c r="Q1603" s="5"/>
      <c r="R1603" s="5"/>
      <c r="S1603" s="5"/>
      <c r="T1603" s="5"/>
      <c r="U1603" s="5"/>
      <c r="V1603" s="5"/>
      <c r="W1603" s="5"/>
    </row>
    <row r="1604" spans="1:23" x14ac:dyDescent="0.3">
      <c r="A1604" s="5"/>
      <c r="B1604" s="5"/>
      <c r="C1604" s="5"/>
      <c r="D1604" s="5"/>
      <c r="E1604" s="12"/>
      <c r="F1604" s="5"/>
      <c r="G1604" s="5"/>
      <c r="H1604" s="5"/>
      <c r="I1604" s="5"/>
      <c r="J1604" s="5"/>
      <c r="L1604" s="5"/>
      <c r="M1604" s="5"/>
      <c r="P1604" s="5"/>
      <c r="Q1604" s="5"/>
      <c r="R1604" s="5"/>
      <c r="S1604" s="5"/>
      <c r="T1604" s="5"/>
      <c r="U1604" s="5"/>
      <c r="V1604" s="5"/>
      <c r="W1604" s="5"/>
    </row>
    <row r="1605" spans="1:23" x14ac:dyDescent="0.3">
      <c r="A1605" s="5"/>
      <c r="B1605" s="5"/>
      <c r="C1605" s="5"/>
      <c r="D1605" s="5"/>
      <c r="E1605" s="12"/>
      <c r="F1605" s="5"/>
      <c r="G1605" s="5"/>
      <c r="H1605" s="5"/>
      <c r="I1605" s="5"/>
      <c r="J1605" s="5"/>
      <c r="L1605" s="5"/>
      <c r="M1605" s="5"/>
      <c r="P1605" s="5"/>
      <c r="Q1605" s="5"/>
      <c r="R1605" s="5"/>
      <c r="S1605" s="5"/>
      <c r="T1605" s="5"/>
      <c r="U1605" s="5"/>
      <c r="V1605" s="5"/>
      <c r="W1605" s="5"/>
    </row>
    <row r="1606" spans="1:23" x14ac:dyDescent="0.3">
      <c r="A1606" s="5"/>
      <c r="B1606" s="5"/>
      <c r="C1606" s="5"/>
      <c r="D1606" s="5"/>
      <c r="E1606" s="12"/>
      <c r="F1606" s="5"/>
      <c r="G1606" s="5"/>
      <c r="H1606" s="5"/>
      <c r="I1606" s="5"/>
      <c r="J1606" s="5"/>
      <c r="L1606" s="5"/>
      <c r="M1606" s="5"/>
      <c r="P1606" s="5"/>
      <c r="Q1606" s="5"/>
      <c r="R1606" s="5"/>
      <c r="S1606" s="5"/>
      <c r="T1606" s="5"/>
      <c r="U1606" s="5"/>
      <c r="V1606" s="5"/>
      <c r="W1606" s="5"/>
    </row>
    <row r="1607" spans="1:23" x14ac:dyDescent="0.3">
      <c r="A1607" s="5"/>
      <c r="B1607" s="5"/>
      <c r="C1607" s="5"/>
      <c r="D1607" s="5"/>
      <c r="E1607" s="12"/>
      <c r="F1607" s="5"/>
      <c r="G1607" s="5"/>
      <c r="H1607" s="5"/>
      <c r="I1607" s="5"/>
      <c r="J1607" s="5"/>
      <c r="L1607" s="5"/>
      <c r="M1607" s="5"/>
      <c r="P1607" s="5"/>
      <c r="Q1607" s="5"/>
      <c r="R1607" s="5"/>
      <c r="S1607" s="5"/>
      <c r="T1607" s="5"/>
      <c r="U1607" s="5"/>
      <c r="V1607" s="5"/>
      <c r="W1607" s="5"/>
    </row>
    <row r="1608" spans="1:23" x14ac:dyDescent="0.3">
      <c r="A1608" s="5"/>
      <c r="B1608" s="5"/>
      <c r="C1608" s="5"/>
      <c r="D1608" s="5"/>
      <c r="E1608" s="12"/>
      <c r="F1608" s="5"/>
      <c r="G1608" s="5"/>
      <c r="H1608" s="5"/>
      <c r="I1608" s="5"/>
      <c r="J1608" s="5"/>
      <c r="L1608" s="5"/>
      <c r="M1608" s="5"/>
      <c r="P1608" s="5"/>
      <c r="Q1608" s="5"/>
      <c r="R1608" s="5"/>
      <c r="S1608" s="5"/>
      <c r="T1608" s="5"/>
      <c r="U1608" s="5"/>
      <c r="V1608" s="5"/>
      <c r="W1608" s="5"/>
    </row>
    <row r="1609" spans="1:23" x14ac:dyDescent="0.3">
      <c r="A1609" s="5"/>
      <c r="B1609" s="5"/>
      <c r="C1609" s="5"/>
      <c r="D1609" s="5"/>
      <c r="E1609" s="12"/>
      <c r="F1609" s="5"/>
      <c r="G1609" s="5"/>
      <c r="H1609" s="5"/>
      <c r="I1609" s="5"/>
      <c r="J1609" s="5"/>
      <c r="L1609" s="5"/>
      <c r="M1609" s="5"/>
      <c r="P1609" s="5"/>
      <c r="Q1609" s="5"/>
      <c r="R1609" s="5"/>
      <c r="S1609" s="5"/>
      <c r="T1609" s="5"/>
      <c r="U1609" s="5"/>
      <c r="V1609" s="5"/>
      <c r="W1609" s="5"/>
    </row>
    <row r="1610" spans="1:23" x14ac:dyDescent="0.3">
      <c r="A1610" s="5"/>
      <c r="B1610" s="5"/>
      <c r="C1610" s="5"/>
      <c r="D1610" s="5"/>
      <c r="E1610" s="12"/>
      <c r="F1610" s="5"/>
      <c r="G1610" s="5"/>
      <c r="H1610" s="5"/>
      <c r="I1610" s="5"/>
      <c r="J1610" s="5"/>
      <c r="L1610" s="5"/>
      <c r="M1610" s="5"/>
      <c r="P1610" s="5"/>
      <c r="Q1610" s="5"/>
      <c r="R1610" s="5"/>
      <c r="S1610" s="5"/>
      <c r="T1610" s="5"/>
      <c r="U1610" s="5"/>
      <c r="V1610" s="5"/>
      <c r="W1610" s="5"/>
    </row>
    <row r="1611" spans="1:23" x14ac:dyDescent="0.3">
      <c r="A1611" s="5"/>
      <c r="B1611" s="5"/>
      <c r="C1611" s="5"/>
      <c r="D1611" s="5"/>
      <c r="E1611" s="12"/>
      <c r="F1611" s="5"/>
      <c r="G1611" s="5"/>
      <c r="H1611" s="5"/>
      <c r="I1611" s="5"/>
      <c r="J1611" s="5"/>
      <c r="L1611" s="5"/>
      <c r="M1611" s="5"/>
      <c r="P1611" s="5"/>
      <c r="Q1611" s="5"/>
      <c r="R1611" s="5"/>
      <c r="S1611" s="5"/>
      <c r="T1611" s="5"/>
      <c r="U1611" s="5"/>
      <c r="V1611" s="5"/>
      <c r="W1611" s="5"/>
    </row>
    <row r="1612" spans="1:23" x14ac:dyDescent="0.3">
      <c r="A1612" s="5"/>
      <c r="B1612" s="5"/>
      <c r="C1612" s="5"/>
      <c r="D1612" s="5"/>
      <c r="E1612" s="12"/>
      <c r="F1612" s="5"/>
      <c r="G1612" s="5"/>
      <c r="H1612" s="5"/>
      <c r="I1612" s="5"/>
      <c r="J1612" s="5"/>
      <c r="L1612" s="5"/>
      <c r="M1612" s="5"/>
      <c r="P1612" s="5"/>
      <c r="Q1612" s="5"/>
      <c r="R1612" s="5"/>
      <c r="S1612" s="5"/>
      <c r="T1612" s="5"/>
      <c r="U1612" s="5"/>
      <c r="V1612" s="5"/>
      <c r="W1612" s="5"/>
    </row>
    <row r="1613" spans="1:23" x14ac:dyDescent="0.3">
      <c r="A1613" s="5"/>
      <c r="B1613" s="5"/>
      <c r="C1613" s="5"/>
      <c r="D1613" s="5"/>
      <c r="E1613" s="12"/>
      <c r="F1613" s="5"/>
      <c r="G1613" s="5"/>
      <c r="H1613" s="5"/>
      <c r="I1613" s="5"/>
      <c r="J1613" s="5"/>
      <c r="L1613" s="5"/>
      <c r="M1613" s="5"/>
      <c r="P1613" s="5"/>
      <c r="Q1613" s="5"/>
      <c r="R1613" s="5"/>
      <c r="S1613" s="5"/>
      <c r="T1613" s="5"/>
      <c r="U1613" s="5"/>
      <c r="V1613" s="5"/>
      <c r="W1613" s="5"/>
    </row>
    <row r="1614" spans="1:23" x14ac:dyDescent="0.3">
      <c r="A1614" s="5"/>
      <c r="B1614" s="5"/>
      <c r="C1614" s="5"/>
      <c r="D1614" s="5"/>
      <c r="E1614" s="12"/>
      <c r="F1614" s="5"/>
      <c r="G1614" s="5"/>
      <c r="H1614" s="5"/>
      <c r="I1614" s="5"/>
      <c r="J1614" s="5"/>
      <c r="L1614" s="5"/>
      <c r="M1614" s="5"/>
      <c r="P1614" s="5"/>
      <c r="Q1614" s="5"/>
      <c r="R1614" s="5"/>
      <c r="S1614" s="5"/>
      <c r="T1614" s="5"/>
      <c r="U1614" s="5"/>
      <c r="V1614" s="5"/>
      <c r="W1614" s="5"/>
    </row>
    <row r="1615" spans="1:23" x14ac:dyDescent="0.3">
      <c r="A1615" s="5"/>
      <c r="B1615" s="5"/>
      <c r="C1615" s="5"/>
      <c r="D1615" s="5"/>
      <c r="E1615" s="12"/>
      <c r="F1615" s="5"/>
      <c r="G1615" s="5"/>
      <c r="H1615" s="5"/>
      <c r="I1615" s="5"/>
      <c r="J1615" s="5"/>
      <c r="L1615" s="5"/>
      <c r="M1615" s="5"/>
      <c r="P1615" s="5"/>
      <c r="Q1615" s="5"/>
      <c r="R1615" s="5"/>
      <c r="S1615" s="5"/>
      <c r="T1615" s="5"/>
      <c r="U1615" s="5"/>
      <c r="V1615" s="5"/>
      <c r="W1615" s="5"/>
    </row>
    <row r="1616" spans="1:23" x14ac:dyDescent="0.3">
      <c r="A1616" s="5"/>
      <c r="B1616" s="5"/>
      <c r="C1616" s="5"/>
      <c r="D1616" s="5"/>
      <c r="E1616" s="12"/>
      <c r="F1616" s="5"/>
      <c r="G1616" s="5"/>
      <c r="H1616" s="5"/>
      <c r="I1616" s="5"/>
      <c r="J1616" s="5"/>
      <c r="L1616" s="5"/>
      <c r="M1616" s="5"/>
      <c r="P1616" s="5"/>
      <c r="Q1616" s="5"/>
      <c r="R1616" s="5"/>
      <c r="S1616" s="5"/>
      <c r="T1616" s="5"/>
      <c r="U1616" s="5"/>
      <c r="V1616" s="5"/>
      <c r="W1616" s="5"/>
    </row>
    <row r="1617" spans="1:28" x14ac:dyDescent="0.3">
      <c r="A1617" s="5"/>
      <c r="B1617" s="5"/>
      <c r="C1617" s="5"/>
      <c r="D1617" s="5"/>
      <c r="E1617" s="12"/>
      <c r="F1617" s="5"/>
      <c r="G1617" s="5"/>
      <c r="H1617" s="5"/>
      <c r="I1617" s="5"/>
      <c r="J1617" s="5"/>
      <c r="L1617" s="5"/>
      <c r="M1617" s="5"/>
      <c r="P1617" s="5"/>
      <c r="Q1617" s="5"/>
      <c r="R1617" s="5"/>
      <c r="S1617" s="5"/>
      <c r="T1617" s="5"/>
      <c r="U1617" s="5"/>
      <c r="V1617" s="5"/>
      <c r="W1617" s="5"/>
    </row>
    <row r="1618" spans="1:28" x14ac:dyDescent="0.3">
      <c r="A1618" s="5"/>
      <c r="B1618" s="5"/>
      <c r="C1618" s="5"/>
      <c r="D1618" s="5"/>
      <c r="E1618" s="12"/>
      <c r="F1618" s="5"/>
      <c r="G1618" s="5"/>
      <c r="H1618" s="5"/>
      <c r="I1618" s="5"/>
      <c r="J1618" s="5"/>
      <c r="L1618" s="5"/>
      <c r="M1618" s="5"/>
      <c r="P1618" s="5"/>
      <c r="Q1618" s="5"/>
      <c r="R1618" s="5"/>
      <c r="S1618" s="5"/>
      <c r="T1618" s="5"/>
      <c r="U1618" s="5"/>
      <c r="V1618" s="5"/>
      <c r="W1618" s="5"/>
    </row>
    <row r="1619" spans="1:28" x14ac:dyDescent="0.3">
      <c r="A1619" s="5"/>
      <c r="B1619" s="5"/>
      <c r="C1619" s="5"/>
      <c r="D1619" s="5"/>
      <c r="E1619" s="12"/>
      <c r="F1619" s="5"/>
      <c r="G1619" s="5"/>
      <c r="H1619" s="5"/>
      <c r="I1619" s="5"/>
      <c r="J1619" s="5"/>
      <c r="L1619" s="5"/>
      <c r="M1619" s="5"/>
      <c r="P1619" s="5"/>
      <c r="Q1619" s="5"/>
      <c r="R1619" s="5"/>
      <c r="S1619" s="5"/>
      <c r="T1619" s="5"/>
      <c r="U1619" s="5"/>
      <c r="V1619" s="5"/>
      <c r="W1619" s="5"/>
    </row>
    <row r="1620" spans="1:28" x14ac:dyDescent="0.3">
      <c r="A1620" s="5"/>
      <c r="B1620" s="5"/>
      <c r="C1620" s="5"/>
      <c r="D1620" s="5"/>
      <c r="E1620" s="12"/>
      <c r="F1620" s="5"/>
      <c r="G1620" s="5"/>
      <c r="H1620" s="5"/>
      <c r="I1620" s="5"/>
      <c r="J1620" s="5"/>
      <c r="L1620" s="5"/>
      <c r="M1620" s="5"/>
      <c r="P1620" s="5"/>
      <c r="Q1620" s="5"/>
      <c r="R1620" s="5"/>
      <c r="S1620" s="5"/>
      <c r="T1620" s="5"/>
      <c r="U1620" s="5"/>
      <c r="V1620" s="5"/>
      <c r="W1620" s="5"/>
    </row>
    <row r="1621" spans="1:28" x14ac:dyDescent="0.3">
      <c r="A1621" s="5"/>
      <c r="B1621" s="5"/>
      <c r="C1621" s="5"/>
      <c r="D1621" s="5"/>
      <c r="E1621" s="12"/>
      <c r="F1621" s="5"/>
      <c r="G1621" s="5"/>
      <c r="H1621" s="5"/>
      <c r="I1621" s="5"/>
      <c r="J1621" s="5"/>
      <c r="L1621" s="5"/>
      <c r="M1621" s="5"/>
      <c r="P1621" s="5"/>
      <c r="Q1621" s="5"/>
      <c r="R1621" s="5"/>
      <c r="S1621" s="5"/>
      <c r="T1621" s="5"/>
      <c r="U1621" s="5"/>
      <c r="V1621" s="5"/>
      <c r="W1621" s="5"/>
    </row>
    <row r="1622" spans="1:28" x14ac:dyDescent="0.3">
      <c r="A1622" s="5"/>
      <c r="B1622" s="5"/>
      <c r="C1622" s="5"/>
      <c r="D1622" s="5"/>
      <c r="E1622" s="12"/>
      <c r="F1622" s="5"/>
      <c r="G1622" s="5"/>
      <c r="H1622" s="5"/>
      <c r="I1622" s="5"/>
      <c r="J1622" s="5"/>
      <c r="L1622" s="5"/>
      <c r="M1622" s="5"/>
      <c r="P1622" s="5"/>
      <c r="Q1622" s="5"/>
      <c r="R1622" s="5"/>
      <c r="S1622" s="5"/>
      <c r="T1622" s="5"/>
      <c r="U1622" s="5"/>
      <c r="V1622" s="5"/>
      <c r="W1622" s="5"/>
    </row>
    <row r="1623" spans="1:28" x14ac:dyDescent="0.3">
      <c r="A1623" s="5"/>
      <c r="B1623" s="5"/>
      <c r="C1623" s="5"/>
      <c r="D1623" s="5"/>
      <c r="E1623" s="12"/>
      <c r="F1623" s="5"/>
      <c r="G1623" s="5"/>
      <c r="H1623" s="5"/>
      <c r="I1623" s="5"/>
      <c r="J1623" s="5"/>
      <c r="L1623" s="5"/>
      <c r="M1623" s="5"/>
      <c r="P1623" s="5"/>
      <c r="Q1623" s="5"/>
      <c r="R1623" s="5"/>
      <c r="S1623" s="5"/>
      <c r="T1623" s="5"/>
      <c r="U1623" s="5"/>
      <c r="V1623" s="5"/>
      <c r="W1623" s="5"/>
    </row>
    <row r="1624" spans="1:28" x14ac:dyDescent="0.3">
      <c r="A1624" s="5"/>
      <c r="B1624" s="5"/>
      <c r="C1624" s="5"/>
      <c r="D1624" s="5"/>
      <c r="E1624" s="12"/>
      <c r="F1624" s="5"/>
      <c r="G1624" s="5"/>
      <c r="H1624" s="5"/>
      <c r="I1624" s="5"/>
      <c r="J1624" s="5"/>
      <c r="L1624" s="5"/>
      <c r="M1624" s="5"/>
      <c r="P1624" s="5"/>
      <c r="Q1624" s="5"/>
      <c r="R1624" s="5"/>
      <c r="S1624" s="5"/>
      <c r="T1624" s="5"/>
      <c r="U1624" s="5"/>
      <c r="V1624" s="5"/>
      <c r="W1624" s="5"/>
    </row>
    <row r="1625" spans="1:28" x14ac:dyDescent="0.3">
      <c r="A1625" s="5"/>
      <c r="B1625" s="5"/>
      <c r="C1625" s="5"/>
      <c r="D1625" s="5"/>
      <c r="E1625" s="12"/>
      <c r="F1625" s="5"/>
      <c r="G1625" s="5"/>
      <c r="H1625" s="5"/>
      <c r="I1625" s="5"/>
      <c r="J1625" s="5"/>
      <c r="L1625" s="5"/>
      <c r="M1625" s="5"/>
      <c r="P1625" s="5"/>
      <c r="Q1625" s="5"/>
      <c r="R1625" s="5"/>
      <c r="S1625" s="5"/>
      <c r="T1625" s="5"/>
      <c r="U1625" s="5"/>
      <c r="V1625" s="5"/>
      <c r="W1625" s="5"/>
      <c r="AA1625" s="2"/>
      <c r="AB1625" s="2"/>
    </row>
    <row r="1626" spans="1:28" x14ac:dyDescent="0.3">
      <c r="A1626" s="5"/>
      <c r="B1626" s="5"/>
      <c r="C1626" s="5"/>
      <c r="D1626" s="5"/>
      <c r="E1626" s="12"/>
      <c r="F1626" s="5"/>
      <c r="G1626" s="5"/>
      <c r="H1626" s="5"/>
      <c r="I1626" s="5"/>
      <c r="J1626" s="5"/>
      <c r="L1626" s="5"/>
      <c r="M1626" s="5"/>
      <c r="P1626" s="5"/>
      <c r="Q1626" s="5"/>
      <c r="R1626" s="5"/>
      <c r="S1626" s="5"/>
      <c r="T1626" s="5"/>
      <c r="U1626" s="5"/>
      <c r="V1626" s="5"/>
      <c r="W1626" s="5"/>
      <c r="AA1626" s="2"/>
      <c r="AB1626" s="2"/>
    </row>
    <row r="1627" spans="1:28" x14ac:dyDescent="0.3">
      <c r="A1627" s="5"/>
      <c r="B1627" s="5"/>
      <c r="C1627" s="5"/>
      <c r="D1627" s="5"/>
      <c r="E1627" s="12"/>
      <c r="F1627" s="5"/>
      <c r="G1627" s="5"/>
      <c r="H1627" s="5"/>
      <c r="I1627" s="5"/>
      <c r="J1627" s="5"/>
      <c r="L1627" s="5"/>
      <c r="M1627" s="5"/>
      <c r="P1627" s="5"/>
      <c r="Q1627" s="5"/>
      <c r="R1627" s="5"/>
      <c r="S1627" s="5"/>
      <c r="T1627" s="5"/>
      <c r="U1627" s="5"/>
      <c r="V1627" s="5"/>
      <c r="W1627" s="5"/>
    </row>
    <row r="1628" spans="1:28" x14ac:dyDescent="0.3">
      <c r="A1628" s="5"/>
      <c r="B1628" s="5"/>
      <c r="C1628" s="5"/>
      <c r="D1628" s="5"/>
      <c r="E1628" s="12"/>
      <c r="F1628" s="5"/>
      <c r="G1628" s="5"/>
      <c r="H1628" s="5"/>
      <c r="I1628" s="5"/>
      <c r="J1628" s="5"/>
      <c r="L1628" s="5"/>
      <c r="M1628" s="5"/>
      <c r="P1628" s="5"/>
      <c r="Q1628" s="5"/>
      <c r="R1628" s="5"/>
      <c r="S1628" s="5"/>
      <c r="T1628" s="5"/>
      <c r="U1628" s="5"/>
      <c r="V1628" s="5"/>
      <c r="W1628" s="5"/>
    </row>
    <row r="1629" spans="1:28" x14ac:dyDescent="0.3">
      <c r="A1629" s="5"/>
      <c r="B1629" s="5"/>
      <c r="C1629" s="5"/>
      <c r="D1629" s="5"/>
      <c r="E1629" s="12"/>
      <c r="F1629" s="5"/>
      <c r="G1629" s="5"/>
      <c r="H1629" s="5"/>
      <c r="I1629" s="5"/>
      <c r="J1629" s="5"/>
      <c r="L1629" s="5"/>
      <c r="M1629" s="5"/>
      <c r="P1629" s="5"/>
      <c r="Q1629" s="5"/>
      <c r="R1629" s="5"/>
      <c r="S1629" s="5"/>
      <c r="T1629" s="5"/>
      <c r="U1629" s="5"/>
      <c r="V1629" s="5"/>
      <c r="W1629" s="5"/>
    </row>
    <row r="1630" spans="1:28" x14ac:dyDescent="0.3">
      <c r="A1630" s="5"/>
      <c r="B1630" s="5"/>
      <c r="C1630" s="5"/>
      <c r="D1630" s="5"/>
      <c r="E1630" s="12"/>
      <c r="F1630" s="5"/>
      <c r="G1630" s="5"/>
      <c r="H1630" s="5"/>
      <c r="I1630" s="5"/>
      <c r="J1630" s="5"/>
      <c r="L1630" s="5"/>
      <c r="M1630" s="5"/>
      <c r="P1630" s="5"/>
      <c r="Q1630" s="5"/>
      <c r="R1630" s="5"/>
      <c r="S1630" s="5"/>
      <c r="T1630" s="5"/>
      <c r="U1630" s="5"/>
      <c r="V1630" s="5"/>
      <c r="W1630" s="5"/>
    </row>
    <row r="1631" spans="1:28" x14ac:dyDescent="0.3">
      <c r="A1631" s="5"/>
      <c r="B1631" s="5"/>
      <c r="C1631" s="5"/>
      <c r="D1631" s="5"/>
      <c r="E1631" s="12"/>
      <c r="F1631" s="5"/>
      <c r="G1631" s="5"/>
      <c r="H1631" s="5"/>
      <c r="I1631" s="5"/>
      <c r="J1631" s="5"/>
      <c r="L1631" s="5"/>
      <c r="M1631" s="5"/>
      <c r="P1631" s="5"/>
      <c r="Q1631" s="5"/>
      <c r="R1631" s="5"/>
      <c r="S1631" s="5"/>
      <c r="T1631" s="5"/>
      <c r="U1631" s="5"/>
      <c r="V1631" s="5"/>
      <c r="W1631" s="5"/>
    </row>
    <row r="1632" spans="1:28" x14ac:dyDescent="0.3">
      <c r="A1632" s="5"/>
      <c r="B1632" s="5"/>
      <c r="C1632" s="5"/>
      <c r="D1632" s="5"/>
      <c r="E1632" s="12"/>
      <c r="F1632" s="5"/>
      <c r="G1632" s="5"/>
      <c r="H1632" s="5"/>
      <c r="I1632" s="5"/>
      <c r="J1632" s="5"/>
      <c r="L1632" s="5"/>
      <c r="M1632" s="5"/>
      <c r="P1632" s="5"/>
      <c r="Q1632" s="5"/>
      <c r="R1632" s="5"/>
      <c r="S1632" s="5"/>
      <c r="T1632" s="5"/>
      <c r="U1632" s="5"/>
      <c r="V1632" s="5"/>
      <c r="W1632" s="5"/>
    </row>
    <row r="1633" spans="1:23" x14ac:dyDescent="0.3">
      <c r="A1633" s="5"/>
      <c r="B1633" s="5"/>
      <c r="C1633" s="5"/>
      <c r="D1633" s="5"/>
      <c r="E1633" s="12"/>
      <c r="F1633" s="5"/>
      <c r="G1633" s="5"/>
      <c r="H1633" s="5"/>
      <c r="I1633" s="5"/>
      <c r="J1633" s="5"/>
      <c r="L1633" s="5"/>
      <c r="M1633" s="5"/>
      <c r="P1633" s="5"/>
      <c r="Q1633" s="5"/>
      <c r="R1633" s="5"/>
      <c r="S1633" s="5"/>
      <c r="T1633" s="5"/>
      <c r="U1633" s="5"/>
      <c r="V1633" s="5"/>
      <c r="W1633" s="5"/>
    </row>
    <row r="1634" spans="1:23" x14ac:dyDescent="0.3">
      <c r="A1634" s="5"/>
      <c r="B1634" s="5"/>
      <c r="C1634" s="5"/>
      <c r="D1634" s="5"/>
      <c r="E1634" s="12"/>
      <c r="F1634" s="5"/>
      <c r="G1634" s="5"/>
      <c r="H1634" s="5"/>
      <c r="I1634" s="5"/>
      <c r="J1634" s="5"/>
      <c r="L1634" s="5"/>
      <c r="M1634" s="5"/>
      <c r="P1634" s="5"/>
      <c r="Q1634" s="5"/>
      <c r="R1634" s="5"/>
      <c r="S1634" s="5"/>
      <c r="T1634" s="5"/>
      <c r="U1634" s="5"/>
      <c r="V1634" s="5"/>
      <c r="W1634" s="5"/>
    </row>
    <row r="1635" spans="1:23" x14ac:dyDescent="0.3">
      <c r="A1635" s="5"/>
      <c r="B1635" s="5"/>
      <c r="C1635" s="5"/>
      <c r="D1635" s="5"/>
      <c r="E1635" s="12"/>
      <c r="F1635" s="5"/>
      <c r="G1635" s="5"/>
      <c r="H1635" s="5"/>
      <c r="I1635" s="5"/>
      <c r="J1635" s="5"/>
      <c r="L1635" s="5"/>
      <c r="M1635" s="5"/>
      <c r="P1635" s="5"/>
      <c r="Q1635" s="5"/>
      <c r="R1635" s="5"/>
      <c r="S1635" s="5"/>
      <c r="T1635" s="5"/>
      <c r="U1635" s="5"/>
      <c r="V1635" s="5"/>
      <c r="W1635" s="5"/>
    </row>
    <row r="1636" spans="1:23" x14ac:dyDescent="0.3">
      <c r="A1636" s="5"/>
      <c r="B1636" s="5"/>
      <c r="C1636" s="5"/>
      <c r="D1636" s="5"/>
      <c r="E1636" s="12"/>
      <c r="F1636" s="5"/>
      <c r="G1636" s="5"/>
      <c r="H1636" s="5"/>
      <c r="I1636" s="5"/>
      <c r="J1636" s="5"/>
      <c r="L1636" s="5"/>
      <c r="M1636" s="5"/>
      <c r="P1636" s="5"/>
      <c r="Q1636" s="5"/>
      <c r="R1636" s="5"/>
      <c r="S1636" s="5"/>
      <c r="T1636" s="5"/>
      <c r="U1636" s="5"/>
      <c r="V1636" s="5"/>
      <c r="W1636" s="5"/>
    </row>
    <row r="1637" spans="1:23" x14ac:dyDescent="0.3">
      <c r="A1637" s="5"/>
      <c r="B1637" s="5"/>
      <c r="C1637" s="5"/>
      <c r="D1637" s="5"/>
      <c r="E1637" s="12"/>
      <c r="F1637" s="5"/>
      <c r="G1637" s="5"/>
      <c r="H1637" s="5"/>
      <c r="I1637" s="5"/>
      <c r="J1637" s="5"/>
      <c r="L1637" s="5"/>
      <c r="M1637" s="5"/>
      <c r="P1637" s="5"/>
      <c r="Q1637" s="5"/>
      <c r="R1637" s="5"/>
      <c r="S1637" s="5"/>
      <c r="T1637" s="5"/>
      <c r="U1637" s="5"/>
      <c r="V1637" s="5"/>
      <c r="W1637" s="5"/>
    </row>
    <row r="1638" spans="1:23" x14ac:dyDescent="0.3">
      <c r="A1638" s="5"/>
      <c r="B1638" s="5"/>
      <c r="C1638" s="5"/>
      <c r="D1638" s="5"/>
      <c r="E1638" s="12"/>
      <c r="F1638" s="5"/>
      <c r="G1638" s="5"/>
      <c r="H1638" s="5"/>
      <c r="I1638" s="5"/>
      <c r="J1638" s="5"/>
      <c r="L1638" s="5"/>
      <c r="M1638" s="5"/>
      <c r="P1638" s="5"/>
      <c r="Q1638" s="5"/>
      <c r="R1638" s="5"/>
      <c r="S1638" s="5"/>
      <c r="T1638" s="5"/>
      <c r="U1638" s="5"/>
      <c r="V1638" s="5"/>
      <c r="W1638" s="5"/>
    </row>
    <row r="1639" spans="1:23" x14ac:dyDescent="0.3">
      <c r="A1639" s="5"/>
      <c r="B1639" s="5"/>
      <c r="C1639" s="5"/>
      <c r="D1639" s="5"/>
      <c r="E1639" s="12"/>
      <c r="F1639" s="5"/>
      <c r="G1639" s="5"/>
      <c r="H1639" s="5"/>
      <c r="I1639" s="5"/>
      <c r="J1639" s="5"/>
      <c r="L1639" s="5"/>
      <c r="M1639" s="5"/>
      <c r="P1639" s="5"/>
      <c r="Q1639" s="5"/>
      <c r="R1639" s="5"/>
      <c r="S1639" s="5"/>
      <c r="T1639" s="5"/>
      <c r="U1639" s="5"/>
      <c r="V1639" s="5"/>
      <c r="W1639" s="5"/>
    </row>
    <row r="1640" spans="1:23" x14ac:dyDescent="0.3">
      <c r="A1640" s="5"/>
      <c r="B1640" s="5"/>
      <c r="C1640" s="5"/>
      <c r="D1640" s="5"/>
      <c r="E1640" s="12"/>
      <c r="F1640" s="5"/>
      <c r="G1640" s="5"/>
      <c r="H1640" s="5"/>
      <c r="I1640" s="5"/>
      <c r="J1640" s="5"/>
      <c r="L1640" s="5"/>
      <c r="M1640" s="5"/>
      <c r="P1640" s="5"/>
      <c r="Q1640" s="5"/>
      <c r="R1640" s="5"/>
      <c r="S1640" s="5"/>
      <c r="T1640" s="5"/>
      <c r="U1640" s="5"/>
      <c r="V1640" s="5"/>
      <c r="W1640" s="5"/>
    </row>
    <row r="1641" spans="1:23" x14ac:dyDescent="0.3">
      <c r="A1641" s="5"/>
      <c r="B1641" s="5"/>
      <c r="C1641" s="5"/>
      <c r="D1641" s="5"/>
      <c r="E1641" s="12"/>
      <c r="F1641" s="5"/>
      <c r="G1641" s="5"/>
      <c r="H1641" s="5"/>
      <c r="I1641" s="5"/>
      <c r="J1641" s="5"/>
      <c r="L1641" s="5"/>
      <c r="M1641" s="5"/>
      <c r="P1641" s="5"/>
      <c r="Q1641" s="5"/>
      <c r="R1641" s="5"/>
      <c r="S1641" s="5"/>
      <c r="T1641" s="5"/>
      <c r="U1641" s="5"/>
      <c r="V1641" s="5"/>
      <c r="W1641" s="5"/>
    </row>
    <row r="1642" spans="1:23" x14ac:dyDescent="0.3">
      <c r="A1642" s="5"/>
      <c r="B1642" s="5"/>
      <c r="C1642" s="5"/>
      <c r="D1642" s="5"/>
      <c r="E1642" s="12"/>
      <c r="F1642" s="5"/>
      <c r="G1642" s="5"/>
      <c r="H1642" s="5"/>
      <c r="I1642" s="5"/>
      <c r="J1642" s="5"/>
      <c r="L1642" s="5"/>
      <c r="M1642" s="5"/>
      <c r="P1642" s="5"/>
      <c r="Q1642" s="5"/>
      <c r="R1642" s="5"/>
      <c r="S1642" s="5"/>
      <c r="T1642" s="5"/>
      <c r="U1642" s="5"/>
      <c r="V1642" s="5"/>
      <c r="W1642" s="5"/>
    </row>
    <row r="1643" spans="1:23" x14ac:dyDescent="0.3">
      <c r="A1643" s="5"/>
      <c r="B1643" s="5"/>
      <c r="C1643" s="5"/>
      <c r="D1643" s="5"/>
      <c r="E1643" s="12"/>
      <c r="F1643" s="5"/>
      <c r="G1643" s="5"/>
      <c r="H1643" s="5"/>
      <c r="I1643" s="5"/>
      <c r="J1643" s="5"/>
      <c r="L1643" s="5"/>
      <c r="M1643" s="5"/>
      <c r="P1643" s="5"/>
      <c r="Q1643" s="5"/>
      <c r="R1643" s="5"/>
      <c r="S1643" s="5"/>
      <c r="T1643" s="5"/>
      <c r="U1643" s="5"/>
      <c r="V1643" s="5"/>
      <c r="W1643" s="5"/>
    </row>
    <row r="1644" spans="1:23" x14ac:dyDescent="0.3">
      <c r="A1644" s="5"/>
      <c r="B1644" s="5"/>
      <c r="C1644" s="5"/>
      <c r="D1644" s="5"/>
      <c r="E1644" s="12"/>
      <c r="F1644" s="5"/>
      <c r="G1644" s="5"/>
      <c r="H1644" s="5"/>
      <c r="I1644" s="5"/>
      <c r="J1644" s="5"/>
      <c r="L1644" s="5"/>
      <c r="M1644" s="5"/>
      <c r="P1644" s="5"/>
      <c r="Q1644" s="5"/>
      <c r="R1644" s="5"/>
      <c r="S1644" s="5"/>
      <c r="T1644" s="5"/>
      <c r="U1644" s="5"/>
      <c r="V1644" s="5"/>
      <c r="W1644" s="5"/>
    </row>
    <row r="1645" spans="1:23" x14ac:dyDescent="0.3">
      <c r="A1645" s="5"/>
      <c r="B1645" s="5"/>
      <c r="C1645" s="5"/>
      <c r="D1645" s="5"/>
      <c r="E1645" s="12"/>
      <c r="F1645" s="5"/>
      <c r="G1645" s="5"/>
      <c r="H1645" s="5"/>
      <c r="I1645" s="5"/>
      <c r="J1645" s="5"/>
      <c r="L1645" s="5"/>
      <c r="M1645" s="5"/>
      <c r="P1645" s="5"/>
      <c r="Q1645" s="5"/>
      <c r="R1645" s="5"/>
      <c r="S1645" s="5"/>
      <c r="T1645" s="5"/>
      <c r="U1645" s="5"/>
      <c r="V1645" s="5"/>
      <c r="W1645" s="5"/>
    </row>
    <row r="1646" spans="1:23" x14ac:dyDescent="0.3">
      <c r="A1646" s="5"/>
      <c r="B1646" s="5"/>
      <c r="C1646" s="5"/>
      <c r="D1646" s="5"/>
      <c r="E1646" s="12"/>
      <c r="F1646" s="5"/>
      <c r="G1646" s="5"/>
      <c r="H1646" s="5"/>
      <c r="I1646" s="5"/>
      <c r="J1646" s="5"/>
      <c r="L1646" s="5"/>
      <c r="M1646" s="5"/>
      <c r="P1646" s="5"/>
      <c r="Q1646" s="5"/>
      <c r="R1646" s="5"/>
      <c r="S1646" s="5"/>
      <c r="T1646" s="5"/>
      <c r="U1646" s="5"/>
      <c r="V1646" s="5"/>
      <c r="W1646" s="5"/>
    </row>
    <row r="1647" spans="1:23" x14ac:dyDescent="0.3">
      <c r="A1647" s="5"/>
      <c r="B1647" s="5"/>
      <c r="C1647" s="5"/>
      <c r="D1647" s="5"/>
      <c r="E1647" s="12"/>
      <c r="F1647" s="5"/>
      <c r="G1647" s="5"/>
      <c r="H1647" s="5"/>
      <c r="I1647" s="5"/>
      <c r="J1647" s="5"/>
      <c r="L1647" s="5"/>
      <c r="M1647" s="5"/>
      <c r="P1647" s="5"/>
      <c r="Q1647" s="5"/>
      <c r="R1647" s="5"/>
      <c r="S1647" s="5"/>
      <c r="T1647" s="5"/>
      <c r="U1647" s="5"/>
      <c r="V1647" s="5"/>
      <c r="W1647" s="5"/>
    </row>
    <row r="1648" spans="1:23" x14ac:dyDescent="0.3">
      <c r="A1648" s="5"/>
      <c r="B1648" s="5"/>
      <c r="C1648" s="5"/>
      <c r="D1648" s="5"/>
      <c r="E1648" s="12"/>
      <c r="F1648" s="5"/>
      <c r="G1648" s="5"/>
      <c r="H1648" s="5"/>
      <c r="I1648" s="5"/>
      <c r="J1648" s="5"/>
      <c r="L1648" s="5"/>
      <c r="M1648" s="5"/>
      <c r="P1648" s="5"/>
      <c r="Q1648" s="5"/>
      <c r="R1648" s="5"/>
      <c r="S1648" s="5"/>
      <c r="T1648" s="5"/>
      <c r="U1648" s="5"/>
      <c r="V1648" s="5"/>
      <c r="W1648" s="5"/>
    </row>
    <row r="1649" spans="1:23" x14ac:dyDescent="0.3">
      <c r="A1649" s="5"/>
      <c r="B1649" s="5"/>
      <c r="C1649" s="5"/>
      <c r="D1649" s="5"/>
      <c r="E1649" s="12"/>
      <c r="F1649" s="5"/>
      <c r="G1649" s="5"/>
      <c r="H1649" s="5"/>
      <c r="I1649" s="5"/>
      <c r="J1649" s="5"/>
      <c r="L1649" s="5"/>
      <c r="M1649" s="5"/>
      <c r="P1649" s="5"/>
      <c r="Q1649" s="5"/>
      <c r="R1649" s="5"/>
      <c r="S1649" s="5"/>
      <c r="T1649" s="5"/>
      <c r="U1649" s="5"/>
      <c r="V1649" s="5"/>
      <c r="W1649" s="5"/>
    </row>
    <row r="1650" spans="1:23" x14ac:dyDescent="0.3">
      <c r="A1650" s="5"/>
      <c r="B1650" s="5"/>
      <c r="C1650" s="5"/>
      <c r="D1650" s="5"/>
      <c r="E1650" s="12"/>
      <c r="F1650" s="5"/>
      <c r="G1650" s="5"/>
      <c r="H1650" s="5"/>
      <c r="I1650" s="5"/>
      <c r="J1650" s="5"/>
      <c r="L1650" s="5"/>
      <c r="M1650" s="5"/>
      <c r="P1650" s="5"/>
      <c r="Q1650" s="5"/>
      <c r="R1650" s="5"/>
      <c r="S1650" s="5"/>
      <c r="T1650" s="5"/>
      <c r="U1650" s="5"/>
      <c r="V1650" s="5"/>
      <c r="W1650" s="5"/>
    </row>
    <row r="1651" spans="1:23" x14ac:dyDescent="0.3">
      <c r="A1651" s="5"/>
      <c r="B1651" s="5"/>
      <c r="C1651" s="5"/>
      <c r="D1651" s="5"/>
      <c r="E1651" s="12"/>
      <c r="F1651" s="5"/>
      <c r="G1651" s="5"/>
      <c r="H1651" s="5"/>
      <c r="I1651" s="5"/>
      <c r="J1651" s="5"/>
      <c r="L1651" s="5"/>
      <c r="M1651" s="5"/>
      <c r="P1651" s="5"/>
      <c r="Q1651" s="5"/>
      <c r="R1651" s="5"/>
      <c r="S1651" s="5"/>
      <c r="T1651" s="5"/>
      <c r="U1651" s="5"/>
      <c r="V1651" s="5"/>
      <c r="W1651" s="5"/>
    </row>
    <row r="1652" spans="1:23" x14ac:dyDescent="0.3">
      <c r="A1652" s="5"/>
      <c r="B1652" s="5"/>
      <c r="C1652" s="5"/>
      <c r="D1652" s="5"/>
      <c r="E1652" s="12"/>
      <c r="F1652" s="5"/>
      <c r="G1652" s="5"/>
      <c r="H1652" s="5"/>
      <c r="I1652" s="5"/>
      <c r="J1652" s="5"/>
      <c r="L1652" s="5"/>
      <c r="M1652" s="5"/>
      <c r="P1652" s="5"/>
      <c r="Q1652" s="5"/>
      <c r="R1652" s="5"/>
      <c r="S1652" s="5"/>
      <c r="T1652" s="5"/>
      <c r="U1652" s="5"/>
      <c r="V1652" s="5"/>
      <c r="W1652" s="5"/>
    </row>
    <row r="1653" spans="1:23" x14ac:dyDescent="0.3">
      <c r="A1653" s="5"/>
      <c r="B1653" s="5"/>
      <c r="C1653" s="5"/>
      <c r="D1653" s="5"/>
      <c r="E1653" s="12"/>
      <c r="F1653" s="5"/>
      <c r="G1653" s="5"/>
      <c r="H1653" s="5"/>
      <c r="I1653" s="5"/>
      <c r="J1653" s="5"/>
      <c r="L1653" s="5"/>
      <c r="M1653" s="5"/>
      <c r="P1653" s="5"/>
      <c r="Q1653" s="5"/>
      <c r="R1653" s="5"/>
      <c r="S1653" s="5"/>
      <c r="T1653" s="5"/>
      <c r="U1653" s="5"/>
      <c r="V1653" s="5"/>
      <c r="W1653" s="5"/>
    </row>
    <row r="1654" spans="1:23" x14ac:dyDescent="0.3">
      <c r="A1654" s="5"/>
      <c r="B1654" s="5"/>
      <c r="C1654" s="5"/>
      <c r="D1654" s="5"/>
      <c r="E1654" s="12"/>
      <c r="F1654" s="5"/>
      <c r="G1654" s="5"/>
      <c r="H1654" s="5"/>
      <c r="I1654" s="5"/>
      <c r="J1654" s="5"/>
      <c r="L1654" s="5"/>
      <c r="M1654" s="5"/>
      <c r="P1654" s="5"/>
      <c r="Q1654" s="5"/>
      <c r="R1654" s="5"/>
      <c r="S1654" s="5"/>
      <c r="T1654" s="5"/>
      <c r="U1654" s="5"/>
      <c r="V1654" s="5"/>
      <c r="W1654" s="5"/>
    </row>
    <row r="1655" spans="1:23" x14ac:dyDescent="0.3">
      <c r="A1655" s="5"/>
      <c r="B1655" s="5"/>
      <c r="C1655" s="5"/>
      <c r="D1655" s="5"/>
      <c r="E1655" s="12"/>
      <c r="F1655" s="5"/>
      <c r="G1655" s="5"/>
      <c r="H1655" s="5"/>
      <c r="I1655" s="5"/>
      <c r="J1655" s="5"/>
      <c r="L1655" s="5"/>
      <c r="M1655" s="5"/>
      <c r="P1655" s="5"/>
      <c r="Q1655" s="5"/>
      <c r="R1655" s="5"/>
      <c r="S1655" s="5"/>
      <c r="T1655" s="5"/>
      <c r="U1655" s="5"/>
      <c r="V1655" s="5"/>
      <c r="W1655" s="5"/>
    </row>
    <row r="1656" spans="1:23" x14ac:dyDescent="0.3">
      <c r="A1656" s="5"/>
      <c r="B1656" s="5"/>
      <c r="C1656" s="5"/>
      <c r="D1656" s="5"/>
      <c r="E1656" s="12"/>
      <c r="F1656" s="5"/>
      <c r="G1656" s="5"/>
      <c r="H1656" s="5"/>
      <c r="I1656" s="5"/>
      <c r="J1656" s="5"/>
      <c r="L1656" s="5"/>
      <c r="M1656" s="5"/>
      <c r="P1656" s="5"/>
      <c r="Q1656" s="5"/>
      <c r="R1656" s="5"/>
      <c r="S1656" s="5"/>
      <c r="T1656" s="5"/>
      <c r="U1656" s="5"/>
      <c r="V1656" s="5"/>
      <c r="W1656" s="5"/>
    </row>
    <row r="1657" spans="1:23" x14ac:dyDescent="0.3">
      <c r="A1657" s="5"/>
      <c r="B1657" s="5"/>
      <c r="C1657" s="5"/>
      <c r="D1657" s="5"/>
      <c r="E1657" s="12"/>
      <c r="F1657" s="5"/>
      <c r="G1657" s="5"/>
      <c r="H1657" s="5"/>
      <c r="I1657" s="5"/>
      <c r="J1657" s="5"/>
      <c r="L1657" s="5"/>
      <c r="M1657" s="5"/>
      <c r="P1657" s="5"/>
      <c r="Q1657" s="5"/>
      <c r="R1657" s="5"/>
      <c r="S1657" s="5"/>
      <c r="T1657" s="5"/>
      <c r="U1657" s="5"/>
      <c r="V1657" s="5"/>
      <c r="W1657" s="5"/>
    </row>
    <row r="1658" spans="1:23" x14ac:dyDescent="0.3">
      <c r="A1658" s="5"/>
      <c r="B1658" s="5"/>
      <c r="C1658" s="5"/>
      <c r="D1658" s="5"/>
      <c r="E1658" s="12"/>
      <c r="F1658" s="5"/>
      <c r="G1658" s="5"/>
      <c r="H1658" s="5"/>
      <c r="I1658" s="5"/>
      <c r="J1658" s="5"/>
      <c r="L1658" s="5"/>
      <c r="M1658" s="5"/>
      <c r="P1658" s="5"/>
      <c r="Q1658" s="5"/>
      <c r="R1658" s="5"/>
      <c r="S1658" s="5"/>
      <c r="T1658" s="5"/>
      <c r="U1658" s="5"/>
      <c r="V1658" s="5"/>
      <c r="W1658" s="5"/>
    </row>
    <row r="1659" spans="1:23" x14ac:dyDescent="0.3">
      <c r="A1659" s="5"/>
      <c r="B1659" s="5"/>
      <c r="C1659" s="5"/>
      <c r="D1659" s="5"/>
      <c r="E1659" s="12"/>
      <c r="F1659" s="5"/>
      <c r="G1659" s="5"/>
      <c r="H1659" s="5"/>
      <c r="I1659" s="5"/>
      <c r="J1659" s="5"/>
      <c r="L1659" s="5"/>
      <c r="M1659" s="5"/>
      <c r="P1659" s="5"/>
      <c r="Q1659" s="5"/>
      <c r="R1659" s="5"/>
      <c r="S1659" s="5"/>
      <c r="T1659" s="5"/>
      <c r="U1659" s="5"/>
      <c r="V1659" s="5"/>
      <c r="W1659" s="5"/>
    </row>
    <row r="1660" spans="1:23" x14ac:dyDescent="0.3">
      <c r="A1660" s="5"/>
      <c r="B1660" s="5"/>
      <c r="C1660" s="5"/>
      <c r="D1660" s="5"/>
      <c r="E1660" s="12"/>
      <c r="F1660" s="5"/>
      <c r="G1660" s="5"/>
      <c r="H1660" s="5"/>
      <c r="I1660" s="5"/>
      <c r="J1660" s="5"/>
      <c r="L1660" s="5"/>
      <c r="M1660" s="5"/>
      <c r="P1660" s="5"/>
      <c r="Q1660" s="5"/>
      <c r="R1660" s="5"/>
      <c r="S1660" s="5"/>
      <c r="T1660" s="5"/>
      <c r="U1660" s="5"/>
      <c r="V1660" s="5"/>
      <c r="W1660" s="5"/>
    </row>
    <row r="1661" spans="1:23" x14ac:dyDescent="0.3">
      <c r="A1661" s="5"/>
      <c r="B1661" s="5"/>
      <c r="C1661" s="5"/>
      <c r="D1661" s="5"/>
      <c r="E1661" s="12"/>
      <c r="F1661" s="5"/>
      <c r="G1661" s="5"/>
      <c r="H1661" s="5"/>
      <c r="I1661" s="5"/>
      <c r="J1661" s="5"/>
      <c r="L1661" s="5"/>
      <c r="M1661" s="5"/>
      <c r="P1661" s="5"/>
      <c r="Q1661" s="5"/>
      <c r="R1661" s="5"/>
      <c r="S1661" s="5"/>
      <c r="T1661" s="5"/>
      <c r="U1661" s="5"/>
      <c r="V1661" s="5"/>
      <c r="W1661" s="5"/>
    </row>
    <row r="1662" spans="1:23" x14ac:dyDescent="0.3">
      <c r="A1662" s="5"/>
      <c r="B1662" s="5"/>
      <c r="C1662" s="5"/>
      <c r="D1662" s="5"/>
      <c r="E1662" s="12"/>
      <c r="F1662" s="5"/>
      <c r="G1662" s="5"/>
      <c r="H1662" s="5"/>
      <c r="I1662" s="5"/>
      <c r="J1662" s="5"/>
      <c r="L1662" s="5"/>
      <c r="M1662" s="5"/>
      <c r="P1662" s="5"/>
      <c r="Q1662" s="5"/>
      <c r="R1662" s="5"/>
      <c r="S1662" s="5"/>
      <c r="T1662" s="5"/>
      <c r="U1662" s="5"/>
      <c r="V1662" s="5"/>
      <c r="W1662" s="5"/>
    </row>
    <row r="1663" spans="1:23" x14ac:dyDescent="0.3">
      <c r="A1663" s="5"/>
      <c r="B1663" s="5"/>
      <c r="C1663" s="5"/>
      <c r="D1663" s="5"/>
      <c r="E1663" s="12"/>
      <c r="F1663" s="5"/>
      <c r="G1663" s="5"/>
      <c r="H1663" s="5"/>
      <c r="I1663" s="5"/>
      <c r="J1663" s="5"/>
      <c r="L1663" s="5"/>
      <c r="M1663" s="5"/>
      <c r="P1663" s="5"/>
      <c r="Q1663" s="5"/>
      <c r="R1663" s="5"/>
      <c r="S1663" s="5"/>
      <c r="T1663" s="5"/>
      <c r="U1663" s="5"/>
      <c r="V1663" s="5"/>
      <c r="W1663" s="5"/>
    </row>
    <row r="1664" spans="1:23" x14ac:dyDescent="0.3">
      <c r="A1664" s="5"/>
      <c r="B1664" s="5"/>
      <c r="C1664" s="5"/>
      <c r="D1664" s="5"/>
      <c r="E1664" s="12"/>
      <c r="F1664" s="5"/>
      <c r="G1664" s="5"/>
      <c r="H1664" s="5"/>
      <c r="I1664" s="5"/>
      <c r="J1664" s="5"/>
      <c r="L1664" s="5"/>
      <c r="M1664" s="5"/>
      <c r="P1664" s="5"/>
      <c r="Q1664" s="5"/>
      <c r="R1664" s="5"/>
      <c r="S1664" s="5"/>
      <c r="T1664" s="5"/>
      <c r="U1664" s="5"/>
      <c r="V1664" s="5"/>
      <c r="W1664" s="5"/>
    </row>
    <row r="1665" spans="1:28" x14ac:dyDescent="0.3">
      <c r="A1665" s="5"/>
      <c r="B1665" s="5"/>
      <c r="C1665" s="5"/>
      <c r="D1665" s="5"/>
      <c r="E1665" s="12"/>
      <c r="F1665" s="5"/>
      <c r="G1665" s="5"/>
      <c r="H1665" s="5"/>
      <c r="I1665" s="5"/>
      <c r="J1665" s="5"/>
      <c r="L1665" s="5"/>
      <c r="M1665" s="5"/>
      <c r="P1665" s="5"/>
      <c r="Q1665" s="5"/>
      <c r="R1665" s="5"/>
      <c r="S1665" s="5"/>
      <c r="T1665" s="5"/>
      <c r="U1665" s="5"/>
      <c r="V1665" s="5"/>
      <c r="W1665" s="5"/>
      <c r="AA1665" s="13"/>
      <c r="AB1665" s="13"/>
    </row>
    <row r="1666" spans="1:28" x14ac:dyDescent="0.3">
      <c r="A1666" s="5"/>
      <c r="B1666" s="5"/>
      <c r="C1666" s="5"/>
      <c r="D1666" s="5"/>
      <c r="E1666" s="12"/>
      <c r="F1666" s="5"/>
      <c r="G1666" s="5"/>
      <c r="H1666" s="5"/>
      <c r="I1666" s="5"/>
      <c r="J1666" s="5"/>
      <c r="L1666" s="5"/>
      <c r="M1666" s="5"/>
      <c r="P1666" s="5"/>
      <c r="Q1666" s="5"/>
      <c r="R1666" s="5"/>
      <c r="S1666" s="5"/>
      <c r="T1666" s="5"/>
      <c r="U1666" s="5"/>
      <c r="V1666" s="5"/>
      <c r="W1666" s="5"/>
      <c r="AA1666" s="13"/>
      <c r="AB1666" s="13"/>
    </row>
    <row r="1667" spans="1:28" x14ac:dyDescent="0.3">
      <c r="A1667" s="5"/>
      <c r="B1667" s="5"/>
      <c r="C1667" s="5"/>
      <c r="D1667" s="5"/>
      <c r="E1667" s="12"/>
      <c r="F1667" s="5"/>
      <c r="G1667" s="5"/>
      <c r="H1667" s="5"/>
      <c r="I1667" s="5"/>
      <c r="J1667" s="5"/>
      <c r="L1667" s="5"/>
      <c r="M1667" s="5"/>
      <c r="P1667" s="5"/>
      <c r="Q1667" s="5"/>
      <c r="R1667" s="5"/>
      <c r="S1667" s="5"/>
      <c r="T1667" s="5"/>
      <c r="U1667" s="5"/>
      <c r="V1667" s="5"/>
      <c r="W1667" s="5"/>
      <c r="AA1667" s="13"/>
      <c r="AB1667" s="13"/>
    </row>
    <row r="1668" spans="1:28" x14ac:dyDescent="0.3">
      <c r="A1668" s="5"/>
      <c r="B1668" s="5"/>
      <c r="C1668" s="5"/>
      <c r="D1668" s="5"/>
      <c r="E1668" s="12"/>
      <c r="F1668" s="5"/>
      <c r="G1668" s="5"/>
      <c r="H1668" s="5"/>
      <c r="I1668" s="5"/>
      <c r="J1668" s="5"/>
      <c r="L1668" s="5"/>
      <c r="M1668" s="5"/>
      <c r="P1668" s="5"/>
      <c r="Q1668" s="5"/>
      <c r="R1668" s="5"/>
      <c r="S1668" s="5"/>
      <c r="T1668" s="5"/>
      <c r="U1668" s="5"/>
      <c r="V1668" s="5"/>
      <c r="W1668" s="5"/>
      <c r="AA1668" s="13"/>
      <c r="AB1668" s="13"/>
    </row>
    <row r="1669" spans="1:28" x14ac:dyDescent="0.3">
      <c r="A1669" s="5"/>
      <c r="B1669" s="5"/>
      <c r="C1669" s="5"/>
      <c r="D1669" s="5"/>
      <c r="E1669" s="12"/>
      <c r="F1669" s="5"/>
      <c r="G1669" s="5"/>
      <c r="H1669" s="5"/>
      <c r="I1669" s="5"/>
      <c r="J1669" s="5"/>
      <c r="L1669" s="5"/>
      <c r="M1669" s="5"/>
      <c r="P1669" s="5"/>
      <c r="Q1669" s="5"/>
      <c r="R1669" s="5"/>
      <c r="S1669" s="5"/>
      <c r="T1669" s="5"/>
      <c r="U1669" s="5"/>
      <c r="V1669" s="5"/>
      <c r="W1669" s="5"/>
    </row>
    <row r="1670" spans="1:28" x14ac:dyDescent="0.3">
      <c r="A1670" s="5"/>
      <c r="B1670" s="5"/>
      <c r="C1670" s="5"/>
      <c r="D1670" s="5"/>
      <c r="E1670" s="12"/>
      <c r="F1670" s="5"/>
      <c r="G1670" s="5"/>
      <c r="H1670" s="5"/>
      <c r="I1670" s="5"/>
      <c r="J1670" s="5"/>
      <c r="L1670" s="5"/>
      <c r="M1670" s="5"/>
      <c r="P1670" s="5"/>
      <c r="Q1670" s="5"/>
      <c r="R1670" s="5"/>
      <c r="S1670" s="5"/>
      <c r="T1670" s="5"/>
      <c r="U1670" s="5"/>
      <c r="V1670" s="5"/>
      <c r="W1670" s="5"/>
    </row>
    <row r="1671" spans="1:28" x14ac:dyDescent="0.3">
      <c r="A1671" s="5"/>
      <c r="B1671" s="5"/>
      <c r="C1671" s="5"/>
      <c r="D1671" s="5"/>
      <c r="E1671" s="12"/>
      <c r="F1671" s="5"/>
      <c r="G1671" s="5"/>
      <c r="H1671" s="5"/>
      <c r="I1671" s="5"/>
      <c r="J1671" s="5"/>
      <c r="L1671" s="5"/>
      <c r="M1671" s="5"/>
      <c r="P1671" s="5"/>
      <c r="Q1671" s="5"/>
      <c r="R1671" s="5"/>
      <c r="S1671" s="5"/>
      <c r="T1671" s="5"/>
      <c r="U1671" s="5"/>
      <c r="V1671" s="5"/>
      <c r="W1671" s="5"/>
    </row>
    <row r="1672" spans="1:28" x14ac:dyDescent="0.3">
      <c r="A1672" s="5"/>
      <c r="B1672" s="5"/>
      <c r="C1672" s="5"/>
      <c r="D1672" s="5"/>
      <c r="E1672" s="12"/>
      <c r="F1672" s="5"/>
      <c r="G1672" s="5"/>
      <c r="H1672" s="5"/>
      <c r="I1672" s="5"/>
      <c r="J1672" s="5"/>
      <c r="L1672" s="5"/>
      <c r="M1672" s="5"/>
      <c r="P1672" s="5"/>
      <c r="Q1672" s="5"/>
      <c r="R1672" s="5"/>
      <c r="S1672" s="5"/>
      <c r="T1672" s="5"/>
      <c r="U1672" s="5"/>
      <c r="V1672" s="5"/>
      <c r="W1672" s="5"/>
    </row>
    <row r="1673" spans="1:28" x14ac:dyDescent="0.3">
      <c r="A1673" s="5"/>
      <c r="B1673" s="5"/>
      <c r="C1673" s="5"/>
      <c r="D1673" s="5"/>
      <c r="E1673" s="12"/>
      <c r="F1673" s="5"/>
      <c r="G1673" s="5"/>
      <c r="H1673" s="5"/>
      <c r="I1673" s="5"/>
      <c r="J1673" s="5"/>
      <c r="L1673" s="5"/>
      <c r="M1673" s="5"/>
      <c r="P1673" s="5"/>
      <c r="Q1673" s="5"/>
      <c r="R1673" s="5"/>
      <c r="S1673" s="5"/>
      <c r="T1673" s="5"/>
      <c r="U1673" s="5"/>
      <c r="V1673" s="5"/>
      <c r="W1673" s="5"/>
    </row>
    <row r="1674" spans="1:28" x14ac:dyDescent="0.3">
      <c r="A1674" s="5"/>
      <c r="B1674" s="5"/>
      <c r="C1674" s="5"/>
      <c r="D1674" s="5"/>
      <c r="E1674" s="12"/>
      <c r="F1674" s="5"/>
      <c r="G1674" s="5"/>
      <c r="H1674" s="5"/>
      <c r="I1674" s="5"/>
      <c r="J1674" s="5"/>
      <c r="L1674" s="5"/>
      <c r="M1674" s="5"/>
      <c r="P1674" s="5"/>
      <c r="Q1674" s="5"/>
      <c r="R1674" s="5"/>
      <c r="S1674" s="5"/>
      <c r="T1674" s="5"/>
      <c r="U1674" s="5"/>
      <c r="V1674" s="5"/>
      <c r="W1674" s="5"/>
    </row>
    <row r="1675" spans="1:28" x14ac:dyDescent="0.3">
      <c r="A1675" s="5"/>
      <c r="B1675" s="5"/>
      <c r="C1675" s="5"/>
      <c r="D1675" s="5"/>
      <c r="E1675" s="12"/>
      <c r="F1675" s="5"/>
      <c r="G1675" s="5"/>
      <c r="H1675" s="5"/>
      <c r="I1675" s="5"/>
      <c r="J1675" s="5"/>
      <c r="L1675" s="5"/>
      <c r="M1675" s="5"/>
      <c r="P1675" s="5"/>
      <c r="Q1675" s="5"/>
      <c r="R1675" s="5"/>
      <c r="S1675" s="5"/>
      <c r="T1675" s="5"/>
      <c r="U1675" s="5"/>
      <c r="V1675" s="5"/>
      <c r="W1675" s="5"/>
    </row>
    <row r="1676" spans="1:28" x14ac:dyDescent="0.3">
      <c r="A1676" s="5"/>
      <c r="B1676" s="5"/>
      <c r="C1676" s="5"/>
      <c r="D1676" s="5"/>
      <c r="E1676" s="12"/>
      <c r="F1676" s="5"/>
      <c r="G1676" s="5"/>
      <c r="H1676" s="5"/>
      <c r="I1676" s="5"/>
      <c r="J1676" s="5"/>
      <c r="L1676" s="5"/>
      <c r="M1676" s="5"/>
      <c r="P1676" s="5"/>
      <c r="Q1676" s="5"/>
      <c r="R1676" s="5"/>
      <c r="S1676" s="5"/>
      <c r="T1676" s="5"/>
      <c r="U1676" s="5"/>
      <c r="V1676" s="5"/>
      <c r="W1676" s="5"/>
    </row>
    <row r="1677" spans="1:28" x14ac:dyDescent="0.3">
      <c r="A1677" s="5"/>
      <c r="B1677" s="5"/>
      <c r="C1677" s="5"/>
      <c r="D1677" s="5"/>
      <c r="E1677" s="12"/>
      <c r="F1677" s="5"/>
      <c r="G1677" s="5"/>
      <c r="H1677" s="5"/>
      <c r="I1677" s="5"/>
      <c r="J1677" s="5"/>
      <c r="L1677" s="5"/>
      <c r="M1677" s="5"/>
      <c r="P1677" s="5"/>
      <c r="Q1677" s="5"/>
      <c r="R1677" s="5"/>
      <c r="S1677" s="5"/>
      <c r="T1677" s="5"/>
      <c r="U1677" s="5"/>
      <c r="V1677" s="5"/>
      <c r="W1677" s="5"/>
    </row>
    <row r="1678" spans="1:28" x14ac:dyDescent="0.3">
      <c r="A1678" s="5"/>
      <c r="B1678" s="5"/>
      <c r="C1678" s="5"/>
      <c r="D1678" s="5"/>
      <c r="E1678" s="12"/>
      <c r="F1678" s="5"/>
      <c r="G1678" s="5"/>
      <c r="H1678" s="5"/>
      <c r="I1678" s="5"/>
      <c r="J1678" s="5"/>
      <c r="L1678" s="5"/>
      <c r="M1678" s="5"/>
      <c r="P1678" s="5"/>
      <c r="Q1678" s="5"/>
      <c r="R1678" s="5"/>
      <c r="S1678" s="5"/>
      <c r="T1678" s="5"/>
      <c r="U1678" s="5"/>
      <c r="V1678" s="5"/>
      <c r="W1678" s="5"/>
    </row>
    <row r="1679" spans="1:28" x14ac:dyDescent="0.3">
      <c r="A1679" s="5"/>
      <c r="B1679" s="5"/>
      <c r="C1679" s="5"/>
      <c r="D1679" s="5"/>
      <c r="E1679" s="12"/>
      <c r="F1679" s="5"/>
      <c r="G1679" s="5"/>
      <c r="H1679" s="5"/>
      <c r="I1679" s="5"/>
      <c r="J1679" s="5"/>
      <c r="L1679" s="5"/>
      <c r="M1679" s="5"/>
      <c r="P1679" s="5"/>
      <c r="Q1679" s="5"/>
      <c r="R1679" s="5"/>
      <c r="S1679" s="5"/>
      <c r="T1679" s="5"/>
      <c r="U1679" s="5"/>
      <c r="V1679" s="5"/>
      <c r="W1679" s="5"/>
    </row>
    <row r="1680" spans="1:28" x14ac:dyDescent="0.3">
      <c r="A1680" s="5"/>
      <c r="B1680" s="5"/>
      <c r="C1680" s="5"/>
      <c r="D1680" s="5"/>
      <c r="E1680" s="12"/>
      <c r="F1680" s="5"/>
      <c r="G1680" s="5"/>
      <c r="H1680" s="5"/>
      <c r="I1680" s="5"/>
      <c r="J1680" s="5"/>
      <c r="L1680" s="5"/>
      <c r="M1680" s="5"/>
      <c r="P1680" s="5"/>
      <c r="Q1680" s="5"/>
      <c r="R1680" s="5"/>
      <c r="S1680" s="5"/>
      <c r="T1680" s="5"/>
      <c r="U1680" s="5"/>
      <c r="V1680" s="5"/>
      <c r="W1680" s="5"/>
    </row>
    <row r="1681" spans="1:23" x14ac:dyDescent="0.3">
      <c r="A1681" s="5"/>
      <c r="B1681" s="5"/>
      <c r="C1681" s="5"/>
      <c r="D1681" s="5"/>
      <c r="E1681" s="12"/>
      <c r="F1681" s="5"/>
      <c r="G1681" s="5"/>
      <c r="H1681" s="5"/>
      <c r="I1681" s="5"/>
      <c r="J1681" s="5"/>
      <c r="L1681" s="5"/>
      <c r="M1681" s="5"/>
      <c r="P1681" s="5"/>
      <c r="Q1681" s="5"/>
      <c r="R1681" s="5"/>
      <c r="S1681" s="5"/>
      <c r="T1681" s="5"/>
      <c r="U1681" s="5"/>
      <c r="V1681" s="5"/>
      <c r="W1681" s="5"/>
    </row>
    <row r="1682" spans="1:23" x14ac:dyDescent="0.3">
      <c r="A1682" s="5"/>
      <c r="B1682" s="5"/>
      <c r="C1682" s="5"/>
      <c r="D1682" s="5"/>
      <c r="E1682" s="12"/>
      <c r="F1682" s="5"/>
      <c r="G1682" s="5"/>
      <c r="H1682" s="5"/>
      <c r="I1682" s="5"/>
      <c r="J1682" s="5"/>
      <c r="L1682" s="5"/>
      <c r="M1682" s="5"/>
      <c r="P1682" s="5"/>
      <c r="Q1682" s="5"/>
      <c r="R1682" s="5"/>
      <c r="S1682" s="5"/>
      <c r="T1682" s="5"/>
      <c r="U1682" s="5"/>
      <c r="V1682" s="5"/>
      <c r="W1682" s="5"/>
    </row>
    <row r="1683" spans="1:23" x14ac:dyDescent="0.3">
      <c r="A1683" s="5"/>
      <c r="B1683" s="5"/>
      <c r="C1683" s="5"/>
      <c r="D1683" s="5"/>
      <c r="E1683" s="12"/>
      <c r="F1683" s="5"/>
      <c r="G1683" s="5"/>
      <c r="H1683" s="5"/>
      <c r="I1683" s="5"/>
      <c r="J1683" s="5"/>
      <c r="L1683" s="5"/>
      <c r="M1683" s="5"/>
      <c r="P1683" s="5"/>
      <c r="Q1683" s="5"/>
      <c r="R1683" s="5"/>
      <c r="S1683" s="5"/>
      <c r="T1683" s="5"/>
      <c r="U1683" s="5"/>
      <c r="V1683" s="5"/>
      <c r="W1683" s="5"/>
    </row>
    <row r="1684" spans="1:23" x14ac:dyDescent="0.3">
      <c r="A1684" s="5"/>
      <c r="B1684" s="5"/>
      <c r="C1684" s="5"/>
      <c r="D1684" s="5"/>
      <c r="E1684" s="12"/>
      <c r="F1684" s="5"/>
      <c r="G1684" s="5"/>
      <c r="H1684" s="5"/>
      <c r="I1684" s="5"/>
      <c r="J1684" s="5"/>
      <c r="L1684" s="5"/>
      <c r="M1684" s="5"/>
      <c r="P1684" s="5"/>
      <c r="Q1684" s="5"/>
      <c r="R1684" s="5"/>
      <c r="S1684" s="5"/>
      <c r="T1684" s="5"/>
      <c r="U1684" s="5"/>
      <c r="V1684" s="5"/>
      <c r="W1684" s="5"/>
    </row>
    <row r="1685" spans="1:23" x14ac:dyDescent="0.3">
      <c r="A1685" s="5"/>
      <c r="B1685" s="5"/>
      <c r="C1685" s="5"/>
      <c r="D1685" s="5"/>
      <c r="E1685" s="12"/>
      <c r="F1685" s="5"/>
      <c r="G1685" s="5"/>
      <c r="H1685" s="5"/>
      <c r="I1685" s="5"/>
      <c r="J1685" s="5"/>
      <c r="L1685" s="5"/>
      <c r="M1685" s="5"/>
      <c r="P1685" s="5"/>
      <c r="Q1685" s="5"/>
      <c r="R1685" s="5"/>
      <c r="S1685" s="5"/>
      <c r="T1685" s="5"/>
      <c r="U1685" s="5"/>
      <c r="V1685" s="5"/>
      <c r="W1685" s="5"/>
    </row>
    <row r="1686" spans="1:23" x14ac:dyDescent="0.3">
      <c r="A1686" s="5"/>
      <c r="B1686" s="5"/>
      <c r="C1686" s="5"/>
      <c r="D1686" s="5"/>
      <c r="E1686" s="12"/>
      <c r="F1686" s="5"/>
      <c r="G1686" s="5"/>
      <c r="H1686" s="5"/>
      <c r="I1686" s="5"/>
      <c r="J1686" s="5"/>
      <c r="L1686" s="5"/>
      <c r="M1686" s="5"/>
      <c r="P1686" s="5"/>
      <c r="Q1686" s="5"/>
      <c r="R1686" s="5"/>
      <c r="S1686" s="5"/>
      <c r="T1686" s="5"/>
      <c r="U1686" s="5"/>
      <c r="V1686" s="5"/>
      <c r="W1686" s="5"/>
    </row>
    <row r="1687" spans="1:23" x14ac:dyDescent="0.3">
      <c r="A1687" s="5"/>
      <c r="B1687" s="5"/>
      <c r="C1687" s="5"/>
      <c r="D1687" s="5"/>
      <c r="E1687" s="12"/>
      <c r="F1687" s="5"/>
      <c r="G1687" s="5"/>
      <c r="H1687" s="5"/>
      <c r="I1687" s="5"/>
      <c r="J1687" s="5"/>
      <c r="L1687" s="5"/>
      <c r="M1687" s="5"/>
      <c r="P1687" s="5"/>
      <c r="Q1687" s="5"/>
      <c r="R1687" s="5"/>
      <c r="S1687" s="5"/>
      <c r="T1687" s="5"/>
      <c r="U1687" s="5"/>
      <c r="V1687" s="5"/>
      <c r="W1687" s="5"/>
    </row>
    <row r="1688" spans="1:23" x14ac:dyDescent="0.3">
      <c r="A1688" s="5"/>
      <c r="B1688" s="5"/>
      <c r="C1688" s="5"/>
      <c r="D1688" s="5"/>
      <c r="E1688" s="12"/>
      <c r="F1688" s="5"/>
      <c r="G1688" s="5"/>
      <c r="H1688" s="5"/>
      <c r="I1688" s="5"/>
      <c r="J1688" s="5"/>
      <c r="L1688" s="5"/>
      <c r="M1688" s="5"/>
      <c r="P1688" s="5"/>
      <c r="Q1688" s="5"/>
      <c r="R1688" s="5"/>
      <c r="S1688" s="5"/>
      <c r="T1688" s="5"/>
      <c r="U1688" s="5"/>
      <c r="V1688" s="5"/>
      <c r="W1688" s="5"/>
    </row>
    <row r="1689" spans="1:23" x14ac:dyDescent="0.3">
      <c r="A1689" s="5"/>
      <c r="B1689" s="5"/>
      <c r="C1689" s="5"/>
      <c r="D1689" s="5"/>
      <c r="E1689" s="12"/>
      <c r="F1689" s="5"/>
      <c r="G1689" s="5"/>
      <c r="H1689" s="5"/>
      <c r="I1689" s="5"/>
      <c r="J1689" s="5"/>
      <c r="L1689" s="5"/>
      <c r="M1689" s="5"/>
      <c r="P1689" s="5"/>
      <c r="Q1689" s="5"/>
      <c r="R1689" s="5"/>
      <c r="S1689" s="5"/>
      <c r="T1689" s="5"/>
      <c r="U1689" s="5"/>
      <c r="V1689" s="5"/>
      <c r="W1689" s="5"/>
    </row>
    <row r="1690" spans="1:23" x14ac:dyDescent="0.3">
      <c r="A1690" s="5"/>
      <c r="B1690" s="5"/>
      <c r="C1690" s="5"/>
      <c r="D1690" s="5"/>
      <c r="E1690" s="12"/>
      <c r="F1690" s="5"/>
      <c r="G1690" s="5"/>
      <c r="H1690" s="5"/>
      <c r="I1690" s="5"/>
      <c r="J1690" s="5"/>
      <c r="L1690" s="5"/>
      <c r="M1690" s="5"/>
      <c r="P1690" s="5"/>
      <c r="Q1690" s="5"/>
      <c r="R1690" s="5"/>
      <c r="S1690" s="5"/>
      <c r="T1690" s="5"/>
      <c r="U1690" s="5"/>
      <c r="V1690" s="5"/>
      <c r="W1690" s="5"/>
    </row>
    <row r="1691" spans="1:23" x14ac:dyDescent="0.3">
      <c r="A1691" s="5"/>
      <c r="B1691" s="5"/>
      <c r="C1691" s="5"/>
      <c r="D1691" s="5"/>
      <c r="E1691" s="12"/>
      <c r="F1691" s="5"/>
      <c r="G1691" s="5"/>
      <c r="H1691" s="5"/>
      <c r="I1691" s="5"/>
      <c r="J1691" s="5"/>
      <c r="L1691" s="5"/>
      <c r="M1691" s="5"/>
      <c r="P1691" s="5"/>
      <c r="Q1691" s="5"/>
      <c r="R1691" s="5"/>
      <c r="S1691" s="5"/>
      <c r="T1691" s="5"/>
      <c r="U1691" s="5"/>
      <c r="V1691" s="5"/>
      <c r="W1691" s="5"/>
    </row>
    <row r="1692" spans="1:23" x14ac:dyDescent="0.3">
      <c r="A1692" s="5"/>
      <c r="B1692" s="5"/>
      <c r="C1692" s="5"/>
      <c r="D1692" s="5"/>
      <c r="E1692" s="12"/>
      <c r="F1692" s="5"/>
      <c r="G1692" s="5"/>
      <c r="H1692" s="5"/>
      <c r="I1692" s="5"/>
      <c r="J1692" s="5"/>
      <c r="L1692" s="5"/>
      <c r="M1692" s="5"/>
      <c r="P1692" s="5"/>
      <c r="Q1692" s="5"/>
      <c r="R1692" s="5"/>
      <c r="S1692" s="5"/>
      <c r="T1692" s="5"/>
      <c r="U1692" s="5"/>
      <c r="V1692" s="5"/>
      <c r="W1692" s="5"/>
    </row>
    <row r="1693" spans="1:23" x14ac:dyDescent="0.3">
      <c r="A1693" s="5"/>
      <c r="B1693" s="5"/>
      <c r="C1693" s="5"/>
      <c r="D1693" s="5"/>
      <c r="E1693" s="12"/>
      <c r="F1693" s="5"/>
      <c r="G1693" s="5"/>
      <c r="H1693" s="5"/>
      <c r="I1693" s="5"/>
      <c r="J1693" s="5"/>
      <c r="L1693" s="5"/>
      <c r="M1693" s="5"/>
      <c r="P1693" s="5"/>
      <c r="Q1693" s="5"/>
      <c r="R1693" s="5"/>
      <c r="S1693" s="5"/>
      <c r="T1693" s="5"/>
      <c r="U1693" s="5"/>
      <c r="V1693" s="5"/>
      <c r="W1693" s="5"/>
    </row>
    <row r="1694" spans="1:23" x14ac:dyDescent="0.3">
      <c r="A1694" s="5"/>
      <c r="B1694" s="5"/>
      <c r="C1694" s="5"/>
      <c r="D1694" s="5"/>
      <c r="E1694" s="12"/>
      <c r="F1694" s="5"/>
      <c r="G1694" s="5"/>
      <c r="H1694" s="5"/>
      <c r="I1694" s="5"/>
      <c r="J1694" s="5"/>
      <c r="L1694" s="5"/>
      <c r="M1694" s="5"/>
      <c r="P1694" s="5"/>
      <c r="Q1694" s="5"/>
      <c r="R1694" s="5"/>
      <c r="S1694" s="5"/>
      <c r="T1694" s="5"/>
      <c r="U1694" s="5"/>
      <c r="V1694" s="5"/>
      <c r="W1694" s="5"/>
    </row>
    <row r="1695" spans="1:23" x14ac:dyDescent="0.3">
      <c r="A1695" s="5"/>
      <c r="B1695" s="5"/>
      <c r="C1695" s="5"/>
      <c r="D1695" s="5"/>
      <c r="E1695" s="12"/>
      <c r="F1695" s="5"/>
      <c r="G1695" s="5"/>
      <c r="H1695" s="5"/>
      <c r="I1695" s="5"/>
      <c r="J1695" s="5"/>
      <c r="L1695" s="5"/>
      <c r="M1695" s="5"/>
      <c r="P1695" s="5"/>
      <c r="Q1695" s="5"/>
      <c r="R1695" s="5"/>
      <c r="S1695" s="5"/>
      <c r="T1695" s="5"/>
      <c r="U1695" s="5"/>
      <c r="V1695" s="5"/>
      <c r="W1695" s="5"/>
    </row>
    <row r="1696" spans="1:23" x14ac:dyDescent="0.3">
      <c r="A1696" s="5"/>
      <c r="B1696" s="5"/>
      <c r="C1696" s="5"/>
      <c r="D1696" s="5"/>
      <c r="E1696" s="12"/>
      <c r="F1696" s="5"/>
      <c r="G1696" s="5"/>
      <c r="H1696" s="5"/>
      <c r="I1696" s="5"/>
      <c r="J1696" s="5"/>
      <c r="L1696" s="5"/>
      <c r="M1696" s="5"/>
      <c r="P1696" s="5"/>
      <c r="Q1696" s="5"/>
      <c r="R1696" s="5"/>
      <c r="S1696" s="5"/>
      <c r="T1696" s="5"/>
      <c r="U1696" s="5"/>
      <c r="V1696" s="5"/>
      <c r="W1696" s="5"/>
    </row>
    <row r="1697" spans="1:23" x14ac:dyDescent="0.3">
      <c r="A1697" s="5"/>
      <c r="B1697" s="5"/>
      <c r="C1697" s="5"/>
      <c r="D1697" s="5"/>
      <c r="E1697" s="12"/>
      <c r="F1697" s="5"/>
      <c r="G1697" s="5"/>
      <c r="H1697" s="5"/>
      <c r="I1697" s="5"/>
      <c r="J1697" s="5"/>
      <c r="L1697" s="5"/>
      <c r="M1697" s="5"/>
      <c r="P1697" s="5"/>
      <c r="Q1697" s="5"/>
      <c r="R1697" s="5"/>
      <c r="S1697" s="5"/>
      <c r="T1697" s="5"/>
      <c r="U1697" s="5"/>
      <c r="V1697" s="5"/>
      <c r="W1697" s="5"/>
    </row>
    <row r="1698" spans="1:23" x14ac:dyDescent="0.3">
      <c r="A1698" s="5"/>
      <c r="B1698" s="5"/>
      <c r="C1698" s="5"/>
      <c r="D1698" s="5"/>
      <c r="E1698" s="12"/>
      <c r="F1698" s="5"/>
      <c r="G1698" s="5"/>
      <c r="H1698" s="5"/>
      <c r="I1698" s="5"/>
      <c r="J1698" s="5"/>
      <c r="L1698" s="5"/>
      <c r="M1698" s="5"/>
      <c r="P1698" s="5"/>
      <c r="Q1698" s="5"/>
      <c r="R1698" s="5"/>
      <c r="S1698" s="5"/>
      <c r="T1698" s="5"/>
      <c r="U1698" s="5"/>
      <c r="V1698" s="5"/>
      <c r="W1698" s="5"/>
    </row>
    <row r="1699" spans="1:23" x14ac:dyDescent="0.3">
      <c r="A1699" s="5"/>
      <c r="B1699" s="5"/>
      <c r="C1699" s="5"/>
      <c r="D1699" s="5"/>
      <c r="E1699" s="12"/>
      <c r="F1699" s="5"/>
      <c r="G1699" s="5"/>
      <c r="H1699" s="5"/>
      <c r="I1699" s="5"/>
      <c r="J1699" s="5"/>
      <c r="L1699" s="5"/>
      <c r="M1699" s="5"/>
      <c r="P1699" s="5"/>
      <c r="Q1699" s="5"/>
      <c r="R1699" s="5"/>
      <c r="S1699" s="5"/>
      <c r="T1699" s="5"/>
      <c r="U1699" s="5"/>
      <c r="V1699" s="5"/>
      <c r="W1699" s="5"/>
    </row>
    <row r="1700" spans="1:23" x14ac:dyDescent="0.3">
      <c r="A1700" s="5"/>
      <c r="B1700" s="5"/>
      <c r="C1700" s="5"/>
      <c r="D1700" s="5"/>
      <c r="E1700" s="12"/>
      <c r="F1700" s="5"/>
      <c r="G1700" s="5"/>
      <c r="H1700" s="5"/>
      <c r="I1700" s="5"/>
      <c r="J1700" s="5"/>
      <c r="L1700" s="5"/>
      <c r="M1700" s="5"/>
      <c r="P1700" s="5"/>
      <c r="Q1700" s="5"/>
      <c r="R1700" s="5"/>
      <c r="S1700" s="5"/>
      <c r="T1700" s="5"/>
      <c r="U1700" s="5"/>
      <c r="V1700" s="5"/>
      <c r="W1700" s="5"/>
    </row>
    <row r="1701" spans="1:23" x14ac:dyDescent="0.3">
      <c r="A1701" s="5"/>
      <c r="B1701" s="5"/>
      <c r="C1701" s="5"/>
      <c r="D1701" s="5"/>
      <c r="E1701" s="12"/>
      <c r="F1701" s="5"/>
      <c r="G1701" s="5"/>
      <c r="H1701" s="5"/>
      <c r="I1701" s="5"/>
      <c r="J1701" s="5"/>
      <c r="L1701" s="5"/>
      <c r="M1701" s="5"/>
      <c r="P1701" s="5"/>
      <c r="Q1701" s="5"/>
      <c r="R1701" s="5"/>
      <c r="S1701" s="5"/>
      <c r="T1701" s="5"/>
      <c r="U1701" s="5"/>
      <c r="V1701" s="5"/>
      <c r="W1701" s="5"/>
    </row>
    <row r="1702" spans="1:23" x14ac:dyDescent="0.3">
      <c r="A1702" s="5"/>
      <c r="B1702" s="5"/>
      <c r="C1702" s="5"/>
      <c r="D1702" s="5"/>
      <c r="E1702" s="12"/>
      <c r="F1702" s="5"/>
      <c r="G1702" s="5"/>
      <c r="H1702" s="5"/>
      <c r="I1702" s="5"/>
      <c r="J1702" s="5"/>
      <c r="L1702" s="5"/>
      <c r="M1702" s="5"/>
      <c r="P1702" s="5"/>
      <c r="Q1702" s="5"/>
      <c r="R1702" s="5"/>
      <c r="S1702" s="5"/>
      <c r="T1702" s="5"/>
      <c r="U1702" s="5"/>
      <c r="V1702" s="5"/>
      <c r="W1702" s="5"/>
    </row>
    <row r="1703" spans="1:23" x14ac:dyDescent="0.3">
      <c r="A1703" s="5"/>
      <c r="B1703" s="5"/>
      <c r="C1703" s="5"/>
      <c r="D1703" s="5"/>
      <c r="E1703" s="12"/>
      <c r="F1703" s="5"/>
      <c r="G1703" s="5"/>
      <c r="H1703" s="5"/>
      <c r="I1703" s="5"/>
      <c r="J1703" s="5"/>
      <c r="L1703" s="5"/>
      <c r="M1703" s="5"/>
      <c r="P1703" s="5"/>
      <c r="Q1703" s="5"/>
      <c r="R1703" s="5"/>
      <c r="S1703" s="5"/>
      <c r="T1703" s="5"/>
      <c r="U1703" s="5"/>
      <c r="V1703" s="5"/>
      <c r="W1703" s="5"/>
    </row>
    <row r="1704" spans="1:23" x14ac:dyDescent="0.3">
      <c r="A1704" s="5"/>
      <c r="B1704" s="5"/>
      <c r="C1704" s="5"/>
      <c r="D1704" s="5"/>
      <c r="E1704" s="12"/>
      <c r="F1704" s="5"/>
      <c r="G1704" s="5"/>
      <c r="H1704" s="5"/>
      <c r="I1704" s="5"/>
      <c r="J1704" s="5"/>
      <c r="L1704" s="5"/>
      <c r="M1704" s="5"/>
      <c r="P1704" s="5"/>
      <c r="Q1704" s="5"/>
      <c r="R1704" s="5"/>
      <c r="S1704" s="5"/>
      <c r="T1704" s="5"/>
      <c r="U1704" s="5"/>
      <c r="V1704" s="5"/>
      <c r="W1704" s="5"/>
    </row>
    <row r="1705" spans="1:23" x14ac:dyDescent="0.3">
      <c r="A1705" s="5"/>
      <c r="B1705" s="5"/>
      <c r="C1705" s="5"/>
      <c r="D1705" s="5"/>
      <c r="E1705" s="12"/>
      <c r="F1705" s="5"/>
      <c r="G1705" s="5"/>
      <c r="H1705" s="5"/>
      <c r="I1705" s="5"/>
      <c r="J1705" s="5"/>
      <c r="L1705" s="5"/>
      <c r="M1705" s="5"/>
      <c r="P1705" s="5"/>
      <c r="Q1705" s="5"/>
      <c r="R1705" s="5"/>
      <c r="S1705" s="5"/>
      <c r="T1705" s="5"/>
      <c r="U1705" s="5"/>
      <c r="V1705" s="5"/>
      <c r="W1705" s="5"/>
    </row>
    <row r="1706" spans="1:23" x14ac:dyDescent="0.3">
      <c r="A1706" s="5"/>
      <c r="B1706" s="5"/>
      <c r="C1706" s="5"/>
      <c r="D1706" s="5"/>
      <c r="E1706" s="12"/>
      <c r="F1706" s="5"/>
      <c r="G1706" s="5"/>
      <c r="H1706" s="5"/>
      <c r="I1706" s="5"/>
      <c r="J1706" s="5"/>
      <c r="L1706" s="5"/>
      <c r="M1706" s="5"/>
      <c r="P1706" s="5"/>
      <c r="Q1706" s="5"/>
      <c r="R1706" s="5"/>
      <c r="S1706" s="5"/>
      <c r="T1706" s="5"/>
      <c r="U1706" s="5"/>
      <c r="V1706" s="5"/>
      <c r="W1706" s="5"/>
    </row>
    <row r="1707" spans="1:23" x14ac:dyDescent="0.3">
      <c r="A1707" s="5"/>
      <c r="B1707" s="5"/>
      <c r="C1707" s="5"/>
      <c r="D1707" s="5"/>
      <c r="E1707" s="12"/>
      <c r="F1707" s="5"/>
      <c r="G1707" s="5"/>
      <c r="H1707" s="5"/>
      <c r="I1707" s="5"/>
      <c r="J1707" s="5"/>
      <c r="L1707" s="5"/>
      <c r="M1707" s="5"/>
      <c r="P1707" s="5"/>
      <c r="Q1707" s="5"/>
      <c r="R1707" s="5"/>
      <c r="S1707" s="5"/>
      <c r="T1707" s="5"/>
      <c r="U1707" s="5"/>
      <c r="V1707" s="5"/>
      <c r="W1707" s="5"/>
    </row>
    <row r="1708" spans="1:23" x14ac:dyDescent="0.3">
      <c r="A1708" s="5"/>
      <c r="B1708" s="5"/>
      <c r="C1708" s="5"/>
      <c r="D1708" s="5"/>
      <c r="E1708" s="12"/>
      <c r="F1708" s="5"/>
      <c r="G1708" s="5"/>
      <c r="H1708" s="5"/>
      <c r="I1708" s="5"/>
      <c r="J1708" s="5"/>
      <c r="L1708" s="5"/>
      <c r="M1708" s="5"/>
      <c r="P1708" s="5"/>
      <c r="Q1708" s="5"/>
      <c r="R1708" s="5"/>
      <c r="S1708" s="5"/>
      <c r="T1708" s="5"/>
      <c r="U1708" s="5"/>
      <c r="V1708" s="5"/>
      <c r="W1708" s="5"/>
    </row>
    <row r="1709" spans="1:23" x14ac:dyDescent="0.3">
      <c r="A1709" s="5"/>
      <c r="B1709" s="5"/>
      <c r="C1709" s="5"/>
      <c r="D1709" s="5"/>
      <c r="E1709" s="12"/>
      <c r="F1709" s="5"/>
      <c r="G1709" s="5"/>
      <c r="H1709" s="5"/>
      <c r="I1709" s="5"/>
      <c r="J1709" s="5"/>
      <c r="L1709" s="5"/>
      <c r="M1709" s="5"/>
      <c r="P1709" s="5"/>
      <c r="Q1709" s="5"/>
      <c r="R1709" s="5"/>
      <c r="S1709" s="5"/>
      <c r="T1709" s="5"/>
      <c r="U1709" s="5"/>
      <c r="V1709" s="5"/>
      <c r="W1709" s="5"/>
    </row>
    <row r="1710" spans="1:23" x14ac:dyDescent="0.3">
      <c r="A1710" s="5"/>
      <c r="B1710" s="5"/>
      <c r="C1710" s="5"/>
      <c r="D1710" s="5"/>
      <c r="E1710" s="12"/>
      <c r="F1710" s="5"/>
      <c r="G1710" s="5"/>
      <c r="H1710" s="5"/>
      <c r="I1710" s="5"/>
      <c r="J1710" s="5"/>
      <c r="L1710" s="5"/>
      <c r="M1710" s="5"/>
      <c r="P1710" s="5"/>
      <c r="Q1710" s="5"/>
      <c r="R1710" s="5"/>
      <c r="S1710" s="5"/>
      <c r="T1710" s="5"/>
      <c r="U1710" s="5"/>
      <c r="V1710" s="5"/>
      <c r="W1710" s="5"/>
    </row>
    <row r="1711" spans="1:23" x14ac:dyDescent="0.3">
      <c r="A1711" s="5"/>
      <c r="B1711" s="5"/>
      <c r="C1711" s="5"/>
      <c r="D1711" s="5"/>
      <c r="E1711" s="12"/>
      <c r="F1711" s="5"/>
      <c r="G1711" s="5"/>
      <c r="H1711" s="5"/>
      <c r="I1711" s="5"/>
      <c r="J1711" s="5"/>
      <c r="L1711" s="5"/>
      <c r="M1711" s="5"/>
      <c r="P1711" s="5"/>
      <c r="Q1711" s="5"/>
      <c r="R1711" s="5"/>
      <c r="S1711" s="5"/>
      <c r="T1711" s="5"/>
      <c r="U1711" s="5"/>
      <c r="V1711" s="5"/>
      <c r="W1711" s="5"/>
    </row>
    <row r="1712" spans="1:23" x14ac:dyDescent="0.3">
      <c r="A1712" s="5"/>
      <c r="B1712" s="5"/>
      <c r="C1712" s="5"/>
      <c r="D1712" s="5"/>
      <c r="E1712" s="12"/>
      <c r="F1712" s="5"/>
      <c r="G1712" s="5"/>
      <c r="H1712" s="5"/>
      <c r="I1712" s="5"/>
      <c r="J1712" s="5"/>
      <c r="L1712" s="5"/>
      <c r="M1712" s="5"/>
      <c r="P1712" s="5"/>
      <c r="Q1712" s="5"/>
      <c r="R1712" s="5"/>
      <c r="S1712" s="5"/>
      <c r="T1712" s="5"/>
      <c r="U1712" s="5"/>
      <c r="V1712" s="5"/>
      <c r="W1712" s="5"/>
    </row>
    <row r="1713" spans="1:23" x14ac:dyDescent="0.3">
      <c r="A1713" s="5"/>
      <c r="B1713" s="5"/>
      <c r="C1713" s="5"/>
      <c r="D1713" s="5"/>
      <c r="E1713" s="12"/>
      <c r="F1713" s="5"/>
      <c r="G1713" s="5"/>
      <c r="H1713" s="5"/>
      <c r="I1713" s="5"/>
      <c r="J1713" s="5"/>
      <c r="L1713" s="5"/>
      <c r="M1713" s="5"/>
      <c r="P1713" s="5"/>
      <c r="Q1713" s="5"/>
      <c r="R1713" s="5"/>
      <c r="S1713" s="5"/>
      <c r="T1713" s="5"/>
      <c r="U1713" s="5"/>
      <c r="V1713" s="5"/>
      <c r="W1713" s="5"/>
    </row>
    <row r="1714" spans="1:23" x14ac:dyDescent="0.3">
      <c r="A1714" s="5"/>
      <c r="B1714" s="5"/>
      <c r="C1714" s="5"/>
      <c r="D1714" s="5"/>
      <c r="E1714" s="12"/>
      <c r="F1714" s="5"/>
      <c r="G1714" s="5"/>
      <c r="H1714" s="5"/>
      <c r="I1714" s="5"/>
      <c r="J1714" s="5"/>
      <c r="L1714" s="5"/>
      <c r="M1714" s="5"/>
      <c r="P1714" s="5"/>
      <c r="Q1714" s="5"/>
      <c r="R1714" s="5"/>
      <c r="S1714" s="5"/>
      <c r="T1714" s="5"/>
      <c r="U1714" s="5"/>
      <c r="V1714" s="5"/>
      <c r="W1714" s="5"/>
    </row>
    <row r="1715" spans="1:23" x14ac:dyDescent="0.3">
      <c r="A1715" s="5"/>
      <c r="B1715" s="5"/>
      <c r="C1715" s="5"/>
      <c r="D1715" s="5"/>
      <c r="E1715" s="12"/>
      <c r="F1715" s="5"/>
      <c r="G1715" s="5"/>
      <c r="H1715" s="5"/>
      <c r="I1715" s="5"/>
      <c r="J1715" s="5"/>
      <c r="L1715" s="5"/>
      <c r="M1715" s="5"/>
      <c r="P1715" s="5"/>
      <c r="Q1715" s="5"/>
      <c r="R1715" s="5"/>
      <c r="S1715" s="5"/>
      <c r="T1715" s="5"/>
      <c r="U1715" s="5"/>
      <c r="V1715" s="5"/>
      <c r="W1715" s="5"/>
    </row>
    <row r="1716" spans="1:23" x14ac:dyDescent="0.3">
      <c r="A1716" s="5"/>
      <c r="B1716" s="5"/>
      <c r="C1716" s="5"/>
      <c r="D1716" s="5"/>
      <c r="E1716" s="12"/>
      <c r="F1716" s="5"/>
      <c r="G1716" s="5"/>
      <c r="H1716" s="5"/>
      <c r="I1716" s="5"/>
      <c r="J1716" s="5"/>
      <c r="L1716" s="5"/>
      <c r="M1716" s="5"/>
      <c r="P1716" s="5"/>
      <c r="Q1716" s="5"/>
      <c r="R1716" s="5"/>
      <c r="S1716" s="5"/>
      <c r="T1716" s="5"/>
      <c r="U1716" s="5"/>
      <c r="V1716" s="5"/>
      <c r="W1716" s="5"/>
    </row>
    <row r="1717" spans="1:23" x14ac:dyDescent="0.3">
      <c r="A1717" s="5"/>
      <c r="B1717" s="5"/>
      <c r="C1717" s="5"/>
      <c r="D1717" s="5"/>
      <c r="E1717" s="12"/>
      <c r="F1717" s="5"/>
      <c r="G1717" s="5"/>
      <c r="H1717" s="5"/>
      <c r="I1717" s="5"/>
      <c r="J1717" s="5"/>
      <c r="L1717" s="5"/>
      <c r="M1717" s="5"/>
      <c r="P1717" s="5"/>
      <c r="Q1717" s="5"/>
      <c r="R1717" s="5"/>
      <c r="S1717" s="5"/>
      <c r="T1717" s="5"/>
      <c r="U1717" s="5"/>
      <c r="V1717" s="5"/>
      <c r="W1717" s="5"/>
    </row>
    <row r="1718" spans="1:23" x14ac:dyDescent="0.3">
      <c r="A1718" s="5"/>
      <c r="B1718" s="5"/>
      <c r="C1718" s="5"/>
      <c r="D1718" s="5"/>
      <c r="E1718" s="12"/>
      <c r="F1718" s="5"/>
      <c r="G1718" s="5"/>
      <c r="H1718" s="5"/>
      <c r="I1718" s="5"/>
      <c r="J1718" s="5"/>
      <c r="L1718" s="5"/>
      <c r="M1718" s="5"/>
      <c r="P1718" s="5"/>
      <c r="Q1718" s="5"/>
      <c r="R1718" s="5"/>
      <c r="S1718" s="5"/>
      <c r="T1718" s="5"/>
      <c r="U1718" s="5"/>
      <c r="V1718" s="5"/>
      <c r="W1718" s="5"/>
    </row>
    <row r="1719" spans="1:23" x14ac:dyDescent="0.3">
      <c r="A1719" s="5"/>
      <c r="B1719" s="5"/>
      <c r="C1719" s="5"/>
      <c r="D1719" s="5"/>
      <c r="E1719" s="12"/>
      <c r="F1719" s="5"/>
      <c r="G1719" s="5"/>
      <c r="H1719" s="5"/>
      <c r="I1719" s="5"/>
      <c r="J1719" s="5"/>
      <c r="L1719" s="5"/>
      <c r="M1719" s="5"/>
      <c r="P1719" s="5"/>
      <c r="Q1719" s="5"/>
      <c r="R1719" s="5"/>
      <c r="S1719" s="5"/>
      <c r="T1719" s="5"/>
      <c r="U1719" s="5"/>
      <c r="V1719" s="5"/>
      <c r="W1719" s="5"/>
    </row>
    <row r="1720" spans="1:23" x14ac:dyDescent="0.3">
      <c r="A1720" s="5"/>
      <c r="B1720" s="5"/>
      <c r="C1720" s="5"/>
      <c r="D1720" s="5"/>
      <c r="E1720" s="12"/>
      <c r="F1720" s="5"/>
      <c r="G1720" s="5"/>
      <c r="H1720" s="5"/>
      <c r="I1720" s="5"/>
      <c r="J1720" s="5"/>
      <c r="L1720" s="5"/>
      <c r="M1720" s="5"/>
      <c r="P1720" s="5"/>
      <c r="Q1720" s="5"/>
      <c r="R1720" s="5"/>
      <c r="S1720" s="5"/>
      <c r="T1720" s="5"/>
      <c r="U1720" s="5"/>
      <c r="V1720" s="5"/>
      <c r="W1720" s="5"/>
    </row>
    <row r="1721" spans="1:23" x14ac:dyDescent="0.3">
      <c r="A1721" s="5"/>
      <c r="B1721" s="5"/>
      <c r="C1721" s="5"/>
      <c r="D1721" s="5"/>
      <c r="E1721" s="12"/>
      <c r="F1721" s="5"/>
      <c r="G1721" s="5"/>
      <c r="H1721" s="5"/>
      <c r="I1721" s="5"/>
      <c r="J1721" s="5"/>
      <c r="L1721" s="5"/>
      <c r="M1721" s="5"/>
      <c r="P1721" s="5"/>
      <c r="Q1721" s="5"/>
      <c r="R1721" s="5"/>
      <c r="S1721" s="5"/>
      <c r="T1721" s="5"/>
      <c r="U1721" s="5"/>
      <c r="V1721" s="5"/>
      <c r="W1721" s="5"/>
    </row>
    <row r="1722" spans="1:23" x14ac:dyDescent="0.3">
      <c r="A1722" s="5"/>
      <c r="B1722" s="5"/>
      <c r="C1722" s="5"/>
      <c r="D1722" s="5"/>
      <c r="E1722" s="12"/>
      <c r="F1722" s="5"/>
      <c r="G1722" s="5"/>
      <c r="H1722" s="5"/>
      <c r="I1722" s="5"/>
      <c r="J1722" s="5"/>
      <c r="L1722" s="5"/>
      <c r="M1722" s="5"/>
      <c r="P1722" s="5"/>
      <c r="Q1722" s="5"/>
      <c r="R1722" s="5"/>
      <c r="S1722" s="5"/>
      <c r="T1722" s="5"/>
      <c r="U1722" s="5"/>
      <c r="V1722" s="5"/>
      <c r="W1722" s="5"/>
    </row>
    <row r="1723" spans="1:23" x14ac:dyDescent="0.3">
      <c r="A1723" s="5"/>
      <c r="B1723" s="5"/>
      <c r="C1723" s="5"/>
      <c r="D1723" s="5"/>
      <c r="E1723" s="12"/>
      <c r="F1723" s="5"/>
      <c r="G1723" s="5"/>
      <c r="H1723" s="5"/>
      <c r="I1723" s="5"/>
      <c r="J1723" s="5"/>
      <c r="L1723" s="5"/>
      <c r="M1723" s="5"/>
      <c r="P1723" s="5"/>
      <c r="Q1723" s="5"/>
      <c r="R1723" s="5"/>
      <c r="S1723" s="5"/>
      <c r="T1723" s="5"/>
      <c r="U1723" s="5"/>
      <c r="V1723" s="5"/>
      <c r="W1723" s="5"/>
    </row>
    <row r="1724" spans="1:23" x14ac:dyDescent="0.3">
      <c r="A1724" s="5"/>
      <c r="B1724" s="5"/>
      <c r="C1724" s="5"/>
      <c r="D1724" s="5"/>
      <c r="E1724" s="12"/>
      <c r="F1724" s="5"/>
      <c r="G1724" s="5"/>
      <c r="H1724" s="5"/>
      <c r="I1724" s="5"/>
      <c r="J1724" s="5"/>
      <c r="L1724" s="5"/>
      <c r="M1724" s="5"/>
      <c r="P1724" s="5"/>
      <c r="Q1724" s="5"/>
      <c r="R1724" s="5"/>
      <c r="S1724" s="5"/>
      <c r="T1724" s="5"/>
      <c r="U1724" s="5"/>
      <c r="V1724" s="5"/>
      <c r="W1724" s="5"/>
    </row>
    <row r="1725" spans="1:23" x14ac:dyDescent="0.3">
      <c r="A1725" s="5"/>
      <c r="B1725" s="5"/>
      <c r="C1725" s="5"/>
      <c r="D1725" s="5"/>
      <c r="E1725" s="12"/>
      <c r="F1725" s="5"/>
      <c r="G1725" s="5"/>
      <c r="H1725" s="5"/>
      <c r="I1725" s="5"/>
      <c r="J1725" s="5"/>
      <c r="L1725" s="5"/>
      <c r="M1725" s="5"/>
      <c r="P1725" s="5"/>
      <c r="Q1725" s="5"/>
      <c r="R1725" s="5"/>
      <c r="S1725" s="5"/>
      <c r="T1725" s="5"/>
      <c r="U1725" s="5"/>
      <c r="V1725" s="5"/>
      <c r="W1725" s="5"/>
    </row>
    <row r="1726" spans="1:23" x14ac:dyDescent="0.3">
      <c r="A1726" s="5"/>
      <c r="B1726" s="5"/>
      <c r="C1726" s="5"/>
      <c r="D1726" s="5"/>
      <c r="E1726" s="12"/>
      <c r="F1726" s="5"/>
      <c r="G1726" s="5"/>
      <c r="H1726" s="5"/>
      <c r="I1726" s="5"/>
      <c r="J1726" s="5"/>
      <c r="L1726" s="5"/>
      <c r="M1726" s="5"/>
      <c r="P1726" s="5"/>
      <c r="Q1726" s="5"/>
      <c r="R1726" s="5"/>
      <c r="S1726" s="5"/>
      <c r="T1726" s="5"/>
      <c r="U1726" s="5"/>
      <c r="V1726" s="5"/>
      <c r="W1726" s="5"/>
    </row>
    <row r="1727" spans="1:23" x14ac:dyDescent="0.3">
      <c r="A1727" s="5"/>
      <c r="B1727" s="5"/>
      <c r="C1727" s="5"/>
      <c r="D1727" s="5"/>
      <c r="E1727" s="12"/>
      <c r="F1727" s="5"/>
      <c r="G1727" s="5"/>
      <c r="H1727" s="5"/>
      <c r="I1727" s="5"/>
      <c r="J1727" s="5"/>
      <c r="L1727" s="5"/>
      <c r="M1727" s="5"/>
      <c r="P1727" s="5"/>
      <c r="Q1727" s="5"/>
      <c r="R1727" s="5"/>
      <c r="S1727" s="5"/>
      <c r="T1727" s="5"/>
      <c r="U1727" s="5"/>
      <c r="V1727" s="5"/>
      <c r="W1727" s="5"/>
    </row>
    <row r="1728" spans="1:23" x14ac:dyDescent="0.3">
      <c r="A1728" s="5"/>
      <c r="B1728" s="5"/>
      <c r="C1728" s="5"/>
      <c r="D1728" s="5"/>
      <c r="E1728" s="12"/>
      <c r="F1728" s="5"/>
      <c r="G1728" s="5"/>
      <c r="H1728" s="5"/>
      <c r="I1728" s="5"/>
      <c r="J1728" s="5"/>
      <c r="L1728" s="5"/>
      <c r="M1728" s="5"/>
      <c r="P1728" s="5"/>
      <c r="Q1728" s="5"/>
      <c r="R1728" s="5"/>
      <c r="S1728" s="5"/>
      <c r="T1728" s="5"/>
      <c r="U1728" s="5"/>
      <c r="V1728" s="5"/>
      <c r="W1728" s="5"/>
    </row>
    <row r="1729" spans="1:23" x14ac:dyDescent="0.3">
      <c r="A1729" s="5"/>
      <c r="B1729" s="5"/>
      <c r="C1729" s="5"/>
      <c r="D1729" s="5"/>
      <c r="E1729" s="12"/>
      <c r="F1729" s="5"/>
      <c r="G1729" s="5"/>
      <c r="H1729" s="5"/>
      <c r="I1729" s="5"/>
      <c r="J1729" s="5"/>
      <c r="L1729" s="5"/>
      <c r="M1729" s="5"/>
      <c r="P1729" s="5"/>
      <c r="Q1729" s="5"/>
      <c r="R1729" s="5"/>
      <c r="S1729" s="5"/>
      <c r="T1729" s="5"/>
      <c r="U1729" s="5"/>
      <c r="V1729" s="5"/>
      <c r="W1729" s="5"/>
    </row>
    <row r="1730" spans="1:23" x14ac:dyDescent="0.3">
      <c r="A1730" s="5"/>
      <c r="B1730" s="5"/>
      <c r="C1730" s="5"/>
      <c r="D1730" s="5"/>
      <c r="E1730" s="12"/>
      <c r="F1730" s="5"/>
      <c r="G1730" s="5"/>
      <c r="H1730" s="5"/>
      <c r="I1730" s="5"/>
      <c r="J1730" s="5"/>
      <c r="L1730" s="5"/>
      <c r="M1730" s="5"/>
      <c r="P1730" s="5"/>
      <c r="Q1730" s="5"/>
      <c r="R1730" s="5"/>
      <c r="S1730" s="5"/>
      <c r="T1730" s="5"/>
      <c r="U1730" s="5"/>
      <c r="V1730" s="5"/>
      <c r="W1730" s="5"/>
    </row>
    <row r="1731" spans="1:23" x14ac:dyDescent="0.3">
      <c r="A1731" s="5"/>
      <c r="B1731" s="5"/>
      <c r="C1731" s="5"/>
      <c r="D1731" s="5"/>
      <c r="E1731" s="12"/>
      <c r="F1731" s="5"/>
      <c r="G1731" s="5"/>
      <c r="H1731" s="5"/>
      <c r="I1731" s="5"/>
      <c r="J1731" s="5"/>
      <c r="L1731" s="5"/>
      <c r="M1731" s="5"/>
      <c r="P1731" s="5"/>
      <c r="Q1731" s="5"/>
      <c r="R1731" s="5"/>
      <c r="S1731" s="5"/>
      <c r="T1731" s="5"/>
      <c r="U1731" s="5"/>
      <c r="V1731" s="5"/>
      <c r="W1731" s="5"/>
    </row>
    <row r="1732" spans="1:23" x14ac:dyDescent="0.3">
      <c r="A1732" s="5"/>
      <c r="B1732" s="5"/>
      <c r="C1732" s="5"/>
      <c r="D1732" s="5"/>
      <c r="E1732" s="12"/>
      <c r="F1732" s="5"/>
      <c r="G1732" s="5"/>
      <c r="H1732" s="5"/>
      <c r="I1732" s="5"/>
      <c r="J1732" s="5"/>
      <c r="L1732" s="5"/>
      <c r="M1732" s="5"/>
      <c r="P1732" s="5"/>
      <c r="Q1732" s="5"/>
      <c r="R1732" s="5"/>
      <c r="S1732" s="5"/>
      <c r="T1732" s="5"/>
      <c r="U1732" s="5"/>
      <c r="V1732" s="5"/>
      <c r="W1732" s="5"/>
    </row>
    <row r="1733" spans="1:23" x14ac:dyDescent="0.3">
      <c r="A1733" s="5"/>
      <c r="B1733" s="5"/>
      <c r="C1733" s="5"/>
      <c r="D1733" s="5"/>
      <c r="E1733" s="12"/>
      <c r="F1733" s="5"/>
      <c r="G1733" s="5"/>
      <c r="H1733" s="5"/>
      <c r="I1733" s="5"/>
      <c r="J1733" s="5"/>
      <c r="L1733" s="5"/>
      <c r="M1733" s="5"/>
      <c r="P1733" s="5"/>
      <c r="Q1733" s="5"/>
      <c r="R1733" s="5"/>
      <c r="S1733" s="5"/>
      <c r="T1733" s="5"/>
      <c r="U1733" s="5"/>
      <c r="V1733" s="5"/>
      <c r="W1733" s="5"/>
    </row>
    <row r="1734" spans="1:23" x14ac:dyDescent="0.3">
      <c r="A1734" s="5"/>
      <c r="B1734" s="5"/>
      <c r="C1734" s="5"/>
      <c r="D1734" s="5"/>
      <c r="E1734" s="12"/>
      <c r="F1734" s="5"/>
      <c r="G1734" s="5"/>
      <c r="H1734" s="5"/>
      <c r="I1734" s="5"/>
      <c r="J1734" s="5"/>
      <c r="L1734" s="5"/>
      <c r="M1734" s="5"/>
      <c r="P1734" s="5"/>
      <c r="Q1734" s="5"/>
      <c r="R1734" s="5"/>
      <c r="S1734" s="5"/>
      <c r="T1734" s="5"/>
      <c r="U1734" s="5"/>
      <c r="V1734" s="5"/>
      <c r="W1734" s="5"/>
    </row>
    <row r="1735" spans="1:23" x14ac:dyDescent="0.3">
      <c r="A1735" s="5"/>
      <c r="B1735" s="5"/>
      <c r="C1735" s="5"/>
      <c r="D1735" s="5"/>
      <c r="E1735" s="12"/>
      <c r="F1735" s="5"/>
      <c r="G1735" s="5"/>
      <c r="H1735" s="5"/>
      <c r="I1735" s="5"/>
      <c r="J1735" s="5"/>
      <c r="L1735" s="5"/>
      <c r="M1735" s="5"/>
      <c r="P1735" s="5"/>
      <c r="Q1735" s="5"/>
      <c r="R1735" s="5"/>
      <c r="S1735" s="5"/>
      <c r="T1735" s="5"/>
      <c r="U1735" s="5"/>
      <c r="V1735" s="5"/>
      <c r="W1735" s="5"/>
    </row>
    <row r="1736" spans="1:23" x14ac:dyDescent="0.3">
      <c r="A1736" s="5"/>
      <c r="B1736" s="5"/>
      <c r="C1736" s="5"/>
      <c r="D1736" s="5"/>
      <c r="E1736" s="12"/>
      <c r="F1736" s="5"/>
      <c r="G1736" s="5"/>
      <c r="H1736" s="5"/>
      <c r="I1736" s="5"/>
      <c r="J1736" s="5"/>
      <c r="L1736" s="5"/>
      <c r="M1736" s="5"/>
      <c r="P1736" s="5"/>
      <c r="Q1736" s="5"/>
      <c r="R1736" s="5"/>
      <c r="S1736" s="5"/>
      <c r="T1736" s="5"/>
      <c r="U1736" s="5"/>
      <c r="V1736" s="5"/>
      <c r="W1736" s="5"/>
    </row>
    <row r="1737" spans="1:23" x14ac:dyDescent="0.3">
      <c r="A1737" s="5"/>
      <c r="B1737" s="5"/>
      <c r="C1737" s="5"/>
      <c r="D1737" s="5"/>
      <c r="E1737" s="12"/>
      <c r="F1737" s="5"/>
      <c r="G1737" s="5"/>
      <c r="H1737" s="5"/>
      <c r="I1737" s="5"/>
      <c r="J1737" s="5"/>
      <c r="L1737" s="5"/>
      <c r="M1737" s="5"/>
      <c r="P1737" s="5"/>
      <c r="Q1737" s="5"/>
      <c r="R1737" s="5"/>
      <c r="S1737" s="5"/>
      <c r="T1737" s="5"/>
      <c r="U1737" s="5"/>
      <c r="V1737" s="5"/>
      <c r="W1737" s="5"/>
    </row>
    <row r="1738" spans="1:23" x14ac:dyDescent="0.3">
      <c r="A1738" s="5"/>
      <c r="B1738" s="5"/>
      <c r="C1738" s="5"/>
      <c r="D1738" s="5"/>
      <c r="E1738" s="12"/>
      <c r="F1738" s="5"/>
      <c r="G1738" s="5"/>
      <c r="H1738" s="5"/>
      <c r="I1738" s="5"/>
      <c r="J1738" s="5"/>
      <c r="L1738" s="5"/>
      <c r="M1738" s="5"/>
      <c r="P1738" s="5"/>
      <c r="Q1738" s="5"/>
      <c r="R1738" s="5"/>
      <c r="S1738" s="5"/>
      <c r="T1738" s="5"/>
      <c r="U1738" s="5"/>
      <c r="V1738" s="5"/>
      <c r="W1738" s="5"/>
    </row>
    <row r="1739" spans="1:23" x14ac:dyDescent="0.3">
      <c r="A1739" s="5"/>
      <c r="B1739" s="5"/>
      <c r="C1739" s="5"/>
      <c r="D1739" s="5"/>
      <c r="E1739" s="12"/>
      <c r="F1739" s="5"/>
      <c r="G1739" s="5"/>
      <c r="H1739" s="5"/>
      <c r="I1739" s="5"/>
      <c r="J1739" s="5"/>
      <c r="L1739" s="5"/>
      <c r="M1739" s="5"/>
      <c r="P1739" s="5"/>
      <c r="Q1739" s="5"/>
      <c r="R1739" s="5"/>
      <c r="S1739" s="5"/>
      <c r="T1739" s="5"/>
      <c r="U1739" s="5"/>
      <c r="V1739" s="5"/>
      <c r="W1739" s="5"/>
    </row>
    <row r="1740" spans="1:23" x14ac:dyDescent="0.3">
      <c r="A1740" s="5"/>
      <c r="B1740" s="5"/>
      <c r="C1740" s="5"/>
      <c r="D1740" s="5"/>
      <c r="E1740" s="12"/>
      <c r="F1740" s="5"/>
      <c r="G1740" s="5"/>
      <c r="H1740" s="5"/>
      <c r="I1740" s="5"/>
      <c r="J1740" s="5"/>
      <c r="L1740" s="5"/>
      <c r="M1740" s="5"/>
      <c r="P1740" s="5"/>
      <c r="Q1740" s="5"/>
      <c r="R1740" s="5"/>
      <c r="S1740" s="5"/>
      <c r="T1740" s="5"/>
      <c r="U1740" s="5"/>
      <c r="V1740" s="5"/>
      <c r="W1740" s="5"/>
    </row>
    <row r="1741" spans="1:23" x14ac:dyDescent="0.3">
      <c r="A1741" s="5"/>
      <c r="B1741" s="5"/>
      <c r="C1741" s="5"/>
      <c r="D1741" s="5"/>
      <c r="E1741" s="12"/>
      <c r="F1741" s="5"/>
      <c r="G1741" s="5"/>
      <c r="H1741" s="5"/>
      <c r="I1741" s="5"/>
      <c r="J1741" s="5"/>
      <c r="L1741" s="5"/>
      <c r="M1741" s="5"/>
      <c r="P1741" s="5"/>
      <c r="Q1741" s="5"/>
      <c r="R1741" s="5"/>
      <c r="S1741" s="5"/>
      <c r="T1741" s="5"/>
      <c r="U1741" s="5"/>
      <c r="V1741" s="5"/>
      <c r="W1741" s="5"/>
    </row>
    <row r="1742" spans="1:23" x14ac:dyDescent="0.3">
      <c r="A1742" s="5"/>
      <c r="B1742" s="5"/>
      <c r="C1742" s="5"/>
      <c r="D1742" s="5"/>
      <c r="E1742" s="12"/>
      <c r="F1742" s="5"/>
      <c r="G1742" s="5"/>
      <c r="H1742" s="5"/>
      <c r="I1742" s="5"/>
      <c r="J1742" s="5"/>
      <c r="L1742" s="5"/>
      <c r="M1742" s="5"/>
      <c r="P1742" s="5"/>
      <c r="Q1742" s="5"/>
      <c r="R1742" s="5"/>
      <c r="S1742" s="5"/>
      <c r="T1742" s="5"/>
      <c r="U1742" s="5"/>
      <c r="V1742" s="5"/>
      <c r="W1742" s="5"/>
    </row>
    <row r="1743" spans="1:23" x14ac:dyDescent="0.3">
      <c r="A1743" s="5"/>
      <c r="B1743" s="5"/>
      <c r="C1743" s="5"/>
      <c r="D1743" s="5"/>
      <c r="E1743" s="12"/>
      <c r="F1743" s="5"/>
      <c r="G1743" s="5"/>
      <c r="H1743" s="5"/>
      <c r="I1743" s="5"/>
      <c r="J1743" s="5"/>
      <c r="L1743" s="5"/>
      <c r="M1743" s="5"/>
      <c r="P1743" s="5"/>
      <c r="Q1743" s="5"/>
      <c r="R1743" s="5"/>
      <c r="S1743" s="5"/>
      <c r="T1743" s="5"/>
      <c r="U1743" s="5"/>
      <c r="V1743" s="5"/>
      <c r="W1743" s="5"/>
    </row>
    <row r="1744" spans="1:23" x14ac:dyDescent="0.3">
      <c r="A1744" s="5"/>
      <c r="B1744" s="5"/>
      <c r="C1744" s="5"/>
      <c r="D1744" s="5"/>
      <c r="E1744" s="12"/>
      <c r="F1744" s="5"/>
      <c r="G1744" s="5"/>
      <c r="H1744" s="5"/>
      <c r="I1744" s="5"/>
      <c r="J1744" s="5"/>
      <c r="L1744" s="5"/>
      <c r="M1744" s="5"/>
      <c r="P1744" s="5"/>
      <c r="Q1744" s="5"/>
      <c r="R1744" s="5"/>
      <c r="S1744" s="5"/>
      <c r="T1744" s="5"/>
      <c r="U1744" s="5"/>
      <c r="V1744" s="5"/>
      <c r="W1744" s="5"/>
    </row>
    <row r="1745" spans="1:23" x14ac:dyDescent="0.3">
      <c r="A1745" s="5"/>
      <c r="B1745" s="5"/>
      <c r="C1745" s="5"/>
      <c r="D1745" s="5"/>
      <c r="E1745" s="12"/>
      <c r="F1745" s="5"/>
      <c r="G1745" s="5"/>
      <c r="H1745" s="5"/>
      <c r="I1745" s="5"/>
      <c r="J1745" s="5"/>
      <c r="L1745" s="5"/>
      <c r="M1745" s="5"/>
      <c r="P1745" s="5"/>
      <c r="Q1745" s="5"/>
      <c r="R1745" s="5"/>
      <c r="S1745" s="5"/>
      <c r="T1745" s="5"/>
      <c r="U1745" s="5"/>
      <c r="V1745" s="5"/>
      <c r="W1745" s="5"/>
    </row>
    <row r="1746" spans="1:23" x14ac:dyDescent="0.3">
      <c r="A1746" s="5"/>
      <c r="B1746" s="5"/>
      <c r="C1746" s="5"/>
      <c r="D1746" s="5"/>
      <c r="E1746" s="12"/>
      <c r="F1746" s="5"/>
      <c r="G1746" s="5"/>
      <c r="H1746" s="5"/>
      <c r="I1746" s="5"/>
      <c r="J1746" s="5"/>
      <c r="L1746" s="5"/>
      <c r="M1746" s="5"/>
      <c r="P1746" s="5"/>
      <c r="Q1746" s="5"/>
      <c r="R1746" s="5"/>
      <c r="S1746" s="5"/>
      <c r="T1746" s="5"/>
      <c r="U1746" s="5"/>
      <c r="V1746" s="5"/>
      <c r="W1746" s="5"/>
    </row>
    <row r="1747" spans="1:23" x14ac:dyDescent="0.3">
      <c r="A1747" s="5"/>
      <c r="B1747" s="5"/>
      <c r="C1747" s="5"/>
      <c r="D1747" s="5"/>
      <c r="E1747" s="12"/>
      <c r="F1747" s="5"/>
      <c r="G1747" s="5"/>
      <c r="H1747" s="5"/>
      <c r="I1747" s="5"/>
      <c r="J1747" s="5"/>
      <c r="L1747" s="5"/>
      <c r="M1747" s="5"/>
      <c r="P1747" s="5"/>
      <c r="Q1747" s="5"/>
      <c r="R1747" s="5"/>
      <c r="S1747" s="5"/>
      <c r="T1747" s="5"/>
      <c r="U1747" s="5"/>
      <c r="V1747" s="5"/>
      <c r="W1747" s="5"/>
    </row>
    <row r="1748" spans="1:23" x14ac:dyDescent="0.3">
      <c r="A1748" s="5"/>
      <c r="B1748" s="5"/>
      <c r="C1748" s="5"/>
      <c r="D1748" s="5"/>
      <c r="E1748" s="12"/>
      <c r="F1748" s="5"/>
      <c r="G1748" s="5"/>
      <c r="H1748" s="5"/>
      <c r="I1748" s="5"/>
      <c r="J1748" s="5"/>
      <c r="L1748" s="5"/>
      <c r="M1748" s="5"/>
      <c r="P1748" s="5"/>
      <c r="Q1748" s="5"/>
      <c r="R1748" s="5"/>
      <c r="S1748" s="5"/>
      <c r="T1748" s="5"/>
      <c r="U1748" s="5"/>
      <c r="V1748" s="5"/>
      <c r="W1748" s="5"/>
    </row>
    <row r="1749" spans="1:23" x14ac:dyDescent="0.3">
      <c r="A1749" s="5"/>
      <c r="B1749" s="5"/>
      <c r="C1749" s="5"/>
      <c r="D1749" s="5"/>
      <c r="E1749" s="12"/>
      <c r="F1749" s="5"/>
      <c r="G1749" s="5"/>
      <c r="H1749" s="5"/>
      <c r="I1749" s="5"/>
      <c r="J1749" s="5"/>
      <c r="L1749" s="5"/>
      <c r="M1749" s="5"/>
      <c r="P1749" s="5"/>
      <c r="Q1749" s="5"/>
      <c r="R1749" s="5"/>
      <c r="S1749" s="5"/>
      <c r="T1749" s="5"/>
      <c r="U1749" s="5"/>
      <c r="V1749" s="5"/>
      <c r="W1749" s="5"/>
    </row>
    <row r="1750" spans="1:23" x14ac:dyDescent="0.3">
      <c r="A1750" s="5"/>
      <c r="B1750" s="5"/>
      <c r="C1750" s="5"/>
      <c r="D1750" s="5"/>
      <c r="E1750" s="12"/>
      <c r="F1750" s="5"/>
      <c r="G1750" s="5"/>
      <c r="H1750" s="5"/>
      <c r="I1750" s="5"/>
      <c r="J1750" s="5"/>
      <c r="L1750" s="5"/>
      <c r="M1750" s="5"/>
      <c r="P1750" s="5"/>
      <c r="Q1750" s="5"/>
      <c r="R1750" s="5"/>
      <c r="S1750" s="5"/>
      <c r="T1750" s="5"/>
      <c r="U1750" s="5"/>
      <c r="V1750" s="5"/>
      <c r="W1750" s="5"/>
    </row>
    <row r="1751" spans="1:23" x14ac:dyDescent="0.3">
      <c r="A1751" s="5"/>
      <c r="B1751" s="5"/>
      <c r="C1751" s="5"/>
      <c r="D1751" s="5"/>
      <c r="E1751" s="12"/>
      <c r="F1751" s="5"/>
      <c r="G1751" s="5"/>
      <c r="H1751" s="5"/>
      <c r="I1751" s="5"/>
      <c r="J1751" s="5"/>
      <c r="L1751" s="5"/>
      <c r="M1751" s="5"/>
      <c r="P1751" s="5"/>
      <c r="Q1751" s="5"/>
      <c r="R1751" s="5"/>
      <c r="S1751" s="5"/>
      <c r="T1751" s="5"/>
      <c r="U1751" s="5"/>
      <c r="V1751" s="5"/>
      <c r="W1751" s="5"/>
    </row>
    <row r="1752" spans="1:23" x14ac:dyDescent="0.3">
      <c r="A1752" s="5"/>
      <c r="B1752" s="5"/>
      <c r="C1752" s="5"/>
      <c r="D1752" s="5"/>
      <c r="E1752" s="12"/>
      <c r="F1752" s="5"/>
      <c r="G1752" s="5"/>
      <c r="H1752" s="5"/>
      <c r="I1752" s="5"/>
      <c r="J1752" s="5"/>
      <c r="L1752" s="5"/>
      <c r="M1752" s="5"/>
      <c r="P1752" s="5"/>
      <c r="Q1752" s="5"/>
      <c r="R1752" s="5"/>
      <c r="S1752" s="5"/>
      <c r="T1752" s="5"/>
      <c r="U1752" s="5"/>
      <c r="V1752" s="5"/>
      <c r="W1752" s="5"/>
    </row>
    <row r="1753" spans="1:23" x14ac:dyDescent="0.3">
      <c r="A1753" s="5"/>
      <c r="B1753" s="5"/>
      <c r="C1753" s="5"/>
      <c r="D1753" s="5"/>
      <c r="E1753" s="12"/>
      <c r="F1753" s="5"/>
      <c r="G1753" s="5"/>
      <c r="H1753" s="5"/>
      <c r="I1753" s="5"/>
      <c r="J1753" s="5"/>
      <c r="L1753" s="5"/>
      <c r="M1753" s="5"/>
      <c r="P1753" s="5"/>
      <c r="Q1753" s="5"/>
      <c r="R1753" s="5"/>
      <c r="S1753" s="5"/>
      <c r="T1753" s="5"/>
      <c r="U1753" s="5"/>
      <c r="V1753" s="5"/>
      <c r="W1753" s="5"/>
    </row>
    <row r="1754" spans="1:23" x14ac:dyDescent="0.3">
      <c r="A1754" s="5"/>
      <c r="B1754" s="5"/>
      <c r="C1754" s="5"/>
      <c r="D1754" s="5"/>
      <c r="E1754" s="12"/>
      <c r="F1754" s="5"/>
      <c r="G1754" s="5"/>
      <c r="H1754" s="5"/>
      <c r="I1754" s="5"/>
      <c r="J1754" s="5"/>
      <c r="L1754" s="5"/>
      <c r="M1754" s="5"/>
      <c r="P1754" s="5"/>
      <c r="Q1754" s="5"/>
      <c r="R1754" s="5"/>
      <c r="S1754" s="5"/>
      <c r="T1754" s="5"/>
      <c r="U1754" s="5"/>
      <c r="V1754" s="5"/>
      <c r="W1754" s="5"/>
    </row>
    <row r="1755" spans="1:23" x14ac:dyDescent="0.3">
      <c r="A1755" s="5"/>
      <c r="B1755" s="5"/>
      <c r="C1755" s="5"/>
      <c r="D1755" s="5"/>
      <c r="E1755" s="12"/>
      <c r="F1755" s="5"/>
      <c r="G1755" s="5"/>
      <c r="H1755" s="5"/>
      <c r="I1755" s="5"/>
      <c r="J1755" s="5"/>
      <c r="L1755" s="5"/>
      <c r="M1755" s="5"/>
      <c r="P1755" s="5"/>
      <c r="Q1755" s="5"/>
      <c r="R1755" s="5"/>
      <c r="S1755" s="5"/>
      <c r="T1755" s="5"/>
      <c r="U1755" s="5"/>
      <c r="V1755" s="5"/>
      <c r="W1755" s="5"/>
    </row>
    <row r="1756" spans="1:23" x14ac:dyDescent="0.3">
      <c r="A1756" s="5"/>
      <c r="B1756" s="5"/>
      <c r="C1756" s="5"/>
      <c r="D1756" s="5"/>
      <c r="E1756" s="12"/>
      <c r="F1756" s="5"/>
      <c r="G1756" s="5"/>
      <c r="H1756" s="5"/>
      <c r="I1756" s="5"/>
      <c r="J1756" s="5"/>
      <c r="L1756" s="5"/>
      <c r="M1756" s="5"/>
      <c r="P1756" s="5"/>
      <c r="Q1756" s="5"/>
      <c r="R1756" s="5"/>
      <c r="S1756" s="5"/>
      <c r="T1756" s="5"/>
      <c r="U1756" s="5"/>
      <c r="V1756" s="5"/>
      <c r="W1756" s="5"/>
    </row>
    <row r="1757" spans="1:23" x14ac:dyDescent="0.3">
      <c r="A1757" s="5"/>
      <c r="B1757" s="5"/>
      <c r="C1757" s="5"/>
      <c r="D1757" s="5"/>
      <c r="E1757" s="12"/>
      <c r="F1757" s="5"/>
      <c r="G1757" s="5"/>
      <c r="H1757" s="5"/>
      <c r="I1757" s="5"/>
      <c r="J1757" s="5"/>
      <c r="L1757" s="5"/>
      <c r="M1757" s="5"/>
      <c r="P1757" s="5"/>
      <c r="Q1757" s="5"/>
      <c r="R1757" s="5"/>
      <c r="S1757" s="5"/>
      <c r="T1757" s="5"/>
      <c r="U1757" s="5"/>
      <c r="V1757" s="5"/>
      <c r="W1757" s="5"/>
    </row>
    <row r="1758" spans="1:23" x14ac:dyDescent="0.3">
      <c r="A1758" s="5"/>
      <c r="B1758" s="5"/>
      <c r="C1758" s="5"/>
      <c r="D1758" s="5"/>
      <c r="E1758" s="12"/>
      <c r="F1758" s="5"/>
      <c r="G1758" s="5"/>
      <c r="H1758" s="5"/>
      <c r="I1758" s="5"/>
      <c r="J1758" s="5"/>
      <c r="L1758" s="5"/>
      <c r="M1758" s="5"/>
      <c r="P1758" s="5"/>
      <c r="Q1758" s="5"/>
      <c r="R1758" s="5"/>
      <c r="S1758" s="5"/>
      <c r="T1758" s="5"/>
      <c r="U1758" s="5"/>
      <c r="V1758" s="5"/>
      <c r="W1758" s="5"/>
    </row>
    <row r="1759" spans="1:23" x14ac:dyDescent="0.3">
      <c r="A1759" s="5"/>
      <c r="B1759" s="5"/>
      <c r="C1759" s="5"/>
      <c r="D1759" s="5"/>
      <c r="E1759" s="12"/>
      <c r="F1759" s="5"/>
      <c r="G1759" s="5"/>
      <c r="H1759" s="5"/>
      <c r="I1759" s="5"/>
      <c r="J1759" s="5"/>
      <c r="L1759" s="5"/>
      <c r="M1759" s="5"/>
      <c r="P1759" s="5"/>
      <c r="Q1759" s="5"/>
      <c r="R1759" s="5"/>
      <c r="S1759" s="5"/>
      <c r="T1759" s="5"/>
      <c r="U1759" s="5"/>
      <c r="V1759" s="5"/>
      <c r="W1759" s="5"/>
    </row>
    <row r="1760" spans="1:23" x14ac:dyDescent="0.3">
      <c r="A1760" s="5"/>
      <c r="B1760" s="5"/>
      <c r="C1760" s="5"/>
      <c r="D1760" s="5"/>
      <c r="E1760" s="12"/>
      <c r="F1760" s="5"/>
      <c r="G1760" s="5"/>
      <c r="H1760" s="5"/>
      <c r="I1760" s="5"/>
      <c r="J1760" s="5"/>
      <c r="L1760" s="5"/>
      <c r="M1760" s="5"/>
      <c r="P1760" s="5"/>
      <c r="Q1760" s="5"/>
      <c r="R1760" s="5"/>
      <c r="S1760" s="5"/>
      <c r="T1760" s="5"/>
      <c r="U1760" s="5"/>
      <c r="V1760" s="5"/>
      <c r="W1760" s="5"/>
    </row>
    <row r="1761" spans="1:23" x14ac:dyDescent="0.3">
      <c r="A1761" s="5"/>
      <c r="B1761" s="5"/>
      <c r="C1761" s="5"/>
      <c r="D1761" s="5"/>
      <c r="E1761" s="12"/>
      <c r="F1761" s="5"/>
      <c r="G1761" s="5"/>
      <c r="H1761" s="5"/>
      <c r="I1761" s="5"/>
      <c r="J1761" s="5"/>
      <c r="L1761" s="5"/>
      <c r="M1761" s="5"/>
      <c r="P1761" s="5"/>
      <c r="Q1761" s="5"/>
      <c r="R1761" s="5"/>
      <c r="S1761" s="5"/>
      <c r="T1761" s="5"/>
      <c r="U1761" s="5"/>
      <c r="V1761" s="5"/>
      <c r="W1761" s="5"/>
    </row>
    <row r="1762" spans="1:23" x14ac:dyDescent="0.3">
      <c r="A1762" s="5"/>
      <c r="B1762" s="5"/>
      <c r="C1762" s="5"/>
      <c r="D1762" s="5"/>
      <c r="E1762" s="12"/>
      <c r="F1762" s="5"/>
      <c r="G1762" s="5"/>
      <c r="H1762" s="5"/>
      <c r="I1762" s="5"/>
      <c r="J1762" s="5"/>
      <c r="L1762" s="5"/>
      <c r="M1762" s="5"/>
      <c r="P1762" s="5"/>
      <c r="Q1762" s="5"/>
      <c r="R1762" s="5"/>
      <c r="S1762" s="5"/>
      <c r="T1762" s="5"/>
      <c r="U1762" s="5"/>
      <c r="V1762" s="5"/>
      <c r="W1762" s="5"/>
    </row>
    <row r="1763" spans="1:23" x14ac:dyDescent="0.3">
      <c r="A1763" s="5"/>
      <c r="B1763" s="5"/>
      <c r="C1763" s="5"/>
      <c r="D1763" s="5"/>
      <c r="E1763" s="12"/>
      <c r="F1763" s="5"/>
      <c r="G1763" s="5"/>
      <c r="H1763" s="5"/>
      <c r="I1763" s="5"/>
      <c r="J1763" s="5"/>
      <c r="L1763" s="5"/>
      <c r="M1763" s="5"/>
      <c r="P1763" s="5"/>
      <c r="Q1763" s="5"/>
      <c r="R1763" s="5"/>
      <c r="S1763" s="5"/>
      <c r="T1763" s="5"/>
      <c r="U1763" s="5"/>
      <c r="V1763" s="5"/>
      <c r="W1763" s="5"/>
    </row>
    <row r="1764" spans="1:23" x14ac:dyDescent="0.3">
      <c r="A1764" s="5"/>
      <c r="B1764" s="5"/>
      <c r="C1764" s="5"/>
      <c r="D1764" s="5"/>
      <c r="E1764" s="12"/>
      <c r="F1764" s="5"/>
      <c r="G1764" s="5"/>
      <c r="H1764" s="5"/>
      <c r="I1764" s="5"/>
      <c r="J1764" s="5"/>
      <c r="L1764" s="5"/>
      <c r="M1764" s="5"/>
      <c r="P1764" s="5"/>
      <c r="Q1764" s="5"/>
      <c r="R1764" s="5"/>
      <c r="S1764" s="5"/>
      <c r="T1764" s="5"/>
      <c r="U1764" s="5"/>
      <c r="V1764" s="5"/>
      <c r="W1764" s="5"/>
    </row>
    <row r="1765" spans="1:23" x14ac:dyDescent="0.3">
      <c r="A1765" s="5"/>
      <c r="B1765" s="5"/>
      <c r="C1765" s="5"/>
      <c r="D1765" s="5"/>
      <c r="E1765" s="12"/>
      <c r="F1765" s="5"/>
      <c r="G1765" s="5"/>
      <c r="H1765" s="5"/>
      <c r="I1765" s="5"/>
      <c r="J1765" s="5"/>
      <c r="L1765" s="5"/>
      <c r="M1765" s="5"/>
      <c r="P1765" s="5"/>
      <c r="Q1765" s="5"/>
      <c r="R1765" s="5"/>
      <c r="S1765" s="5"/>
      <c r="T1765" s="5"/>
      <c r="U1765" s="5"/>
      <c r="V1765" s="5"/>
      <c r="W1765" s="5"/>
    </row>
    <row r="1766" spans="1:23" x14ac:dyDescent="0.3">
      <c r="A1766" s="5"/>
      <c r="B1766" s="5"/>
      <c r="C1766" s="5"/>
      <c r="D1766" s="5"/>
      <c r="E1766" s="12"/>
      <c r="F1766" s="5"/>
      <c r="G1766" s="5"/>
      <c r="H1766" s="5"/>
      <c r="I1766" s="5"/>
      <c r="J1766" s="5"/>
      <c r="L1766" s="5"/>
      <c r="M1766" s="5"/>
      <c r="P1766" s="5"/>
      <c r="Q1766" s="5"/>
      <c r="R1766" s="5"/>
      <c r="S1766" s="5"/>
      <c r="T1766" s="5"/>
      <c r="U1766" s="5"/>
      <c r="V1766" s="5"/>
      <c r="W1766" s="5"/>
    </row>
    <row r="1767" spans="1:23" x14ac:dyDescent="0.3">
      <c r="A1767" s="5"/>
      <c r="B1767" s="5"/>
      <c r="C1767" s="5"/>
      <c r="D1767" s="5"/>
      <c r="E1767" s="12"/>
      <c r="F1767" s="5"/>
      <c r="G1767" s="5"/>
      <c r="H1767" s="5"/>
      <c r="I1767" s="5"/>
      <c r="J1767" s="5"/>
      <c r="L1767" s="5"/>
      <c r="M1767" s="5"/>
      <c r="P1767" s="5"/>
      <c r="Q1767" s="5"/>
      <c r="R1767" s="5"/>
      <c r="S1767" s="5"/>
      <c r="T1767" s="5"/>
      <c r="U1767" s="5"/>
      <c r="V1767" s="5"/>
      <c r="W1767" s="5"/>
    </row>
    <row r="1768" spans="1:23" x14ac:dyDescent="0.3">
      <c r="A1768" s="5"/>
      <c r="B1768" s="5"/>
      <c r="C1768" s="5"/>
      <c r="D1768" s="5"/>
      <c r="E1768" s="12"/>
      <c r="F1768" s="5"/>
      <c r="G1768" s="5"/>
      <c r="H1768" s="5"/>
      <c r="I1768" s="5"/>
      <c r="J1768" s="5"/>
      <c r="L1768" s="5"/>
      <c r="M1768" s="5"/>
      <c r="P1768" s="5"/>
      <c r="Q1768" s="5"/>
      <c r="R1768" s="5"/>
      <c r="S1768" s="5"/>
      <c r="T1768" s="5"/>
      <c r="U1768" s="5"/>
      <c r="V1768" s="5"/>
      <c r="W1768" s="5"/>
    </row>
    <row r="1769" spans="1:23" x14ac:dyDescent="0.3">
      <c r="A1769" s="5"/>
      <c r="B1769" s="5"/>
      <c r="C1769" s="5"/>
      <c r="D1769" s="5"/>
      <c r="E1769" s="12"/>
      <c r="F1769" s="5"/>
      <c r="G1769" s="5"/>
      <c r="H1769" s="5"/>
      <c r="I1769" s="5"/>
      <c r="J1769" s="5"/>
      <c r="L1769" s="5"/>
      <c r="M1769" s="5"/>
      <c r="P1769" s="5"/>
      <c r="Q1769" s="5"/>
      <c r="R1769" s="5"/>
      <c r="S1769" s="5"/>
      <c r="T1769" s="5"/>
      <c r="U1769" s="5"/>
      <c r="V1769" s="5"/>
      <c r="W1769" s="5"/>
    </row>
    <row r="1770" spans="1:23" x14ac:dyDescent="0.3">
      <c r="A1770" s="5"/>
      <c r="B1770" s="5"/>
      <c r="C1770" s="5"/>
      <c r="D1770" s="5"/>
      <c r="E1770" s="12"/>
      <c r="F1770" s="5"/>
      <c r="G1770" s="5"/>
      <c r="H1770" s="5"/>
      <c r="I1770" s="5"/>
      <c r="J1770" s="5"/>
      <c r="L1770" s="5"/>
      <c r="M1770" s="5"/>
      <c r="P1770" s="5"/>
      <c r="Q1770" s="5"/>
      <c r="R1770" s="5"/>
      <c r="S1770" s="5"/>
      <c r="T1770" s="5"/>
      <c r="U1770" s="5"/>
      <c r="V1770" s="5"/>
      <c r="W1770" s="5"/>
    </row>
    <row r="1771" spans="1:23" x14ac:dyDescent="0.3">
      <c r="A1771" s="5"/>
      <c r="B1771" s="5"/>
      <c r="C1771" s="5"/>
      <c r="D1771" s="5"/>
      <c r="E1771" s="12"/>
      <c r="F1771" s="5"/>
      <c r="G1771" s="5"/>
      <c r="H1771" s="5"/>
      <c r="I1771" s="5"/>
      <c r="J1771" s="5"/>
      <c r="L1771" s="5"/>
      <c r="M1771" s="5"/>
      <c r="P1771" s="5"/>
      <c r="Q1771" s="5"/>
      <c r="R1771" s="5"/>
      <c r="S1771" s="5"/>
      <c r="T1771" s="5"/>
      <c r="U1771" s="5"/>
      <c r="V1771" s="5"/>
      <c r="W1771" s="5"/>
    </row>
    <row r="1772" spans="1:23" x14ac:dyDescent="0.3">
      <c r="A1772" s="5"/>
      <c r="B1772" s="5"/>
      <c r="C1772" s="5"/>
      <c r="D1772" s="5"/>
      <c r="E1772" s="12"/>
      <c r="F1772" s="5"/>
      <c r="G1772" s="5"/>
      <c r="H1772" s="5"/>
      <c r="I1772" s="5"/>
      <c r="J1772" s="5"/>
      <c r="L1772" s="5"/>
      <c r="M1772" s="5"/>
      <c r="P1772" s="5"/>
      <c r="Q1772" s="5"/>
      <c r="R1772" s="5"/>
      <c r="S1772" s="5"/>
      <c r="T1772" s="5"/>
      <c r="U1772" s="5"/>
      <c r="V1772" s="5"/>
      <c r="W1772" s="5"/>
    </row>
    <row r="1773" spans="1:23" x14ac:dyDescent="0.3">
      <c r="A1773" s="5"/>
      <c r="B1773" s="5"/>
      <c r="C1773" s="5"/>
      <c r="D1773" s="5"/>
      <c r="E1773" s="12"/>
      <c r="F1773" s="5"/>
      <c r="G1773" s="5"/>
      <c r="H1773" s="5"/>
      <c r="I1773" s="5"/>
      <c r="J1773" s="5"/>
      <c r="L1773" s="5"/>
      <c r="M1773" s="5"/>
      <c r="P1773" s="5"/>
      <c r="Q1773" s="5"/>
      <c r="R1773" s="5"/>
      <c r="S1773" s="5"/>
      <c r="T1773" s="5"/>
      <c r="U1773" s="5"/>
      <c r="V1773" s="5"/>
      <c r="W1773" s="5"/>
    </row>
    <row r="1774" spans="1:23" x14ac:dyDescent="0.3">
      <c r="A1774" s="5"/>
      <c r="B1774" s="5"/>
      <c r="C1774" s="5"/>
      <c r="D1774" s="5"/>
      <c r="E1774" s="12"/>
      <c r="F1774" s="5"/>
      <c r="G1774" s="5"/>
      <c r="H1774" s="5"/>
      <c r="I1774" s="5"/>
      <c r="J1774" s="5"/>
      <c r="L1774" s="5"/>
      <c r="M1774" s="5"/>
      <c r="P1774" s="5"/>
      <c r="Q1774" s="5"/>
      <c r="R1774" s="5"/>
      <c r="S1774" s="5"/>
      <c r="T1774" s="5"/>
      <c r="U1774" s="5"/>
      <c r="V1774" s="5"/>
      <c r="W1774" s="5"/>
    </row>
    <row r="1775" spans="1:23" x14ac:dyDescent="0.3">
      <c r="A1775" s="5"/>
      <c r="B1775" s="5"/>
      <c r="C1775" s="5"/>
      <c r="D1775" s="5"/>
      <c r="E1775" s="12"/>
      <c r="F1775" s="5"/>
      <c r="G1775" s="5"/>
      <c r="H1775" s="5"/>
      <c r="I1775" s="5"/>
      <c r="J1775" s="5"/>
      <c r="L1775" s="5"/>
      <c r="M1775" s="5"/>
      <c r="P1775" s="5"/>
      <c r="Q1775" s="5"/>
      <c r="R1775" s="5"/>
      <c r="S1775" s="5"/>
      <c r="T1775" s="5"/>
      <c r="U1775" s="5"/>
      <c r="V1775" s="5"/>
      <c r="W1775" s="5"/>
    </row>
    <row r="1776" spans="1:23" x14ac:dyDescent="0.3">
      <c r="A1776" s="5"/>
      <c r="B1776" s="5"/>
      <c r="C1776" s="5"/>
      <c r="D1776" s="5"/>
      <c r="E1776" s="12"/>
      <c r="F1776" s="5"/>
      <c r="G1776" s="5"/>
      <c r="H1776" s="5"/>
      <c r="I1776" s="5"/>
      <c r="J1776" s="5"/>
      <c r="L1776" s="5"/>
      <c r="M1776" s="5"/>
      <c r="P1776" s="5"/>
      <c r="Q1776" s="5"/>
      <c r="R1776" s="5"/>
      <c r="S1776" s="5"/>
      <c r="T1776" s="5"/>
      <c r="U1776" s="5"/>
      <c r="V1776" s="5"/>
      <c r="W1776" s="5"/>
    </row>
    <row r="1777" spans="1:23" x14ac:dyDescent="0.3">
      <c r="A1777" s="5"/>
      <c r="B1777" s="5"/>
      <c r="C1777" s="5"/>
      <c r="D1777" s="5"/>
      <c r="E1777" s="12"/>
      <c r="F1777" s="5"/>
      <c r="G1777" s="5"/>
      <c r="H1777" s="5"/>
      <c r="I1777" s="5"/>
      <c r="J1777" s="5"/>
      <c r="L1777" s="5"/>
      <c r="M1777" s="5"/>
      <c r="P1777" s="5"/>
      <c r="Q1777" s="5"/>
      <c r="R1777" s="5"/>
      <c r="S1777" s="5"/>
      <c r="T1777" s="5"/>
      <c r="U1777" s="5"/>
      <c r="V1777" s="5"/>
      <c r="W1777" s="5"/>
    </row>
    <row r="1778" spans="1:23" x14ac:dyDescent="0.3">
      <c r="A1778" s="5"/>
      <c r="B1778" s="5"/>
      <c r="C1778" s="5"/>
      <c r="D1778" s="5"/>
      <c r="E1778" s="12"/>
      <c r="F1778" s="5"/>
      <c r="G1778" s="5"/>
      <c r="H1778" s="5"/>
      <c r="I1778" s="5"/>
      <c r="J1778" s="5"/>
      <c r="L1778" s="5"/>
      <c r="M1778" s="5"/>
      <c r="P1778" s="5"/>
      <c r="Q1778" s="5"/>
      <c r="R1778" s="5"/>
      <c r="S1778" s="5"/>
      <c r="T1778" s="5"/>
      <c r="U1778" s="5"/>
      <c r="V1778" s="5"/>
      <c r="W1778" s="5"/>
    </row>
    <row r="1779" spans="1:23" x14ac:dyDescent="0.3">
      <c r="A1779" s="5"/>
      <c r="B1779" s="5"/>
      <c r="C1779" s="5"/>
      <c r="D1779" s="5"/>
      <c r="E1779" s="12"/>
      <c r="F1779" s="5"/>
      <c r="G1779" s="5"/>
      <c r="H1779" s="5"/>
      <c r="I1779" s="5"/>
      <c r="J1779" s="5"/>
      <c r="L1779" s="5"/>
      <c r="M1779" s="5"/>
      <c r="P1779" s="5"/>
      <c r="Q1779" s="5"/>
      <c r="R1779" s="5"/>
      <c r="S1779" s="5"/>
      <c r="T1779" s="5"/>
      <c r="U1779" s="5"/>
      <c r="V1779" s="5"/>
      <c r="W1779" s="5"/>
    </row>
    <row r="1780" spans="1:23" x14ac:dyDescent="0.3">
      <c r="A1780" s="5"/>
      <c r="B1780" s="5"/>
      <c r="C1780" s="5"/>
      <c r="D1780" s="5"/>
      <c r="E1780" s="12"/>
      <c r="F1780" s="5"/>
      <c r="G1780" s="5"/>
      <c r="H1780" s="5"/>
      <c r="I1780" s="5"/>
      <c r="J1780" s="5"/>
      <c r="L1780" s="5"/>
      <c r="M1780" s="5"/>
      <c r="P1780" s="5"/>
      <c r="Q1780" s="5"/>
      <c r="R1780" s="5"/>
      <c r="S1780" s="5"/>
      <c r="T1780" s="5"/>
      <c r="U1780" s="5"/>
      <c r="V1780" s="5"/>
      <c r="W1780" s="5"/>
    </row>
    <row r="1781" spans="1:23" x14ac:dyDescent="0.3">
      <c r="A1781" s="5"/>
      <c r="B1781" s="5"/>
      <c r="C1781" s="5"/>
      <c r="D1781" s="5"/>
      <c r="E1781" s="12"/>
      <c r="F1781" s="5"/>
      <c r="G1781" s="5"/>
      <c r="H1781" s="5"/>
      <c r="I1781" s="5"/>
      <c r="J1781" s="5"/>
      <c r="L1781" s="5"/>
      <c r="M1781" s="5"/>
      <c r="P1781" s="5"/>
      <c r="Q1781" s="5"/>
      <c r="R1781" s="5"/>
      <c r="S1781" s="5"/>
      <c r="T1781" s="5"/>
      <c r="U1781" s="5"/>
      <c r="V1781" s="5"/>
      <c r="W1781" s="5"/>
    </row>
    <row r="1782" spans="1:23" x14ac:dyDescent="0.3">
      <c r="A1782" s="5"/>
      <c r="B1782" s="5"/>
      <c r="C1782" s="5"/>
      <c r="D1782" s="5"/>
      <c r="E1782" s="12"/>
      <c r="F1782" s="5"/>
      <c r="G1782" s="5"/>
      <c r="H1782" s="5"/>
      <c r="I1782" s="5"/>
      <c r="J1782" s="5"/>
      <c r="L1782" s="5"/>
      <c r="M1782" s="5"/>
      <c r="P1782" s="5"/>
      <c r="Q1782" s="5"/>
      <c r="R1782" s="5"/>
      <c r="S1782" s="5"/>
      <c r="T1782" s="5"/>
      <c r="U1782" s="5"/>
      <c r="V1782" s="5"/>
      <c r="W1782" s="5"/>
    </row>
    <row r="1783" spans="1:23" x14ac:dyDescent="0.3">
      <c r="A1783" s="5"/>
      <c r="B1783" s="5"/>
      <c r="C1783" s="5"/>
      <c r="D1783" s="5"/>
      <c r="E1783" s="12"/>
      <c r="F1783" s="5"/>
      <c r="G1783" s="5"/>
      <c r="H1783" s="5"/>
      <c r="I1783" s="5"/>
      <c r="J1783" s="5"/>
      <c r="L1783" s="5"/>
      <c r="M1783" s="5"/>
      <c r="P1783" s="5"/>
      <c r="Q1783" s="5"/>
      <c r="R1783" s="5"/>
      <c r="S1783" s="5"/>
      <c r="T1783" s="5"/>
      <c r="U1783" s="5"/>
      <c r="V1783" s="5"/>
      <c r="W1783" s="5"/>
    </row>
    <row r="1784" spans="1:23" x14ac:dyDescent="0.3">
      <c r="A1784" s="5"/>
      <c r="B1784" s="5"/>
      <c r="C1784" s="5"/>
      <c r="D1784" s="5"/>
      <c r="E1784" s="12"/>
      <c r="F1784" s="5"/>
      <c r="G1784" s="5"/>
      <c r="H1784" s="5"/>
      <c r="I1784" s="5"/>
      <c r="J1784" s="5"/>
      <c r="L1784" s="5"/>
      <c r="M1784" s="5"/>
      <c r="P1784" s="5"/>
      <c r="Q1784" s="5"/>
      <c r="R1784" s="5"/>
      <c r="S1784" s="5"/>
      <c r="T1784" s="5"/>
      <c r="U1784" s="5"/>
      <c r="V1784" s="5"/>
      <c r="W1784" s="5"/>
    </row>
    <row r="1785" spans="1:23" x14ac:dyDescent="0.3">
      <c r="A1785" s="5"/>
      <c r="B1785" s="5"/>
      <c r="C1785" s="5"/>
      <c r="D1785" s="5"/>
      <c r="E1785" s="12"/>
      <c r="F1785" s="5"/>
      <c r="G1785" s="5"/>
      <c r="H1785" s="5"/>
      <c r="I1785" s="5"/>
      <c r="J1785" s="5"/>
      <c r="L1785" s="5"/>
      <c r="M1785" s="5"/>
      <c r="P1785" s="5"/>
      <c r="Q1785" s="5"/>
      <c r="R1785" s="5"/>
      <c r="S1785" s="5"/>
      <c r="T1785" s="5"/>
      <c r="U1785" s="5"/>
      <c r="V1785" s="5"/>
      <c r="W1785" s="5"/>
    </row>
    <row r="1786" spans="1:23" x14ac:dyDescent="0.3">
      <c r="A1786" s="5"/>
      <c r="B1786" s="5"/>
      <c r="C1786" s="5"/>
      <c r="D1786" s="5"/>
      <c r="E1786" s="12"/>
      <c r="F1786" s="5"/>
      <c r="G1786" s="5"/>
      <c r="H1786" s="5"/>
      <c r="I1786" s="5"/>
      <c r="J1786" s="5"/>
      <c r="L1786" s="5"/>
      <c r="M1786" s="5"/>
      <c r="P1786" s="5"/>
      <c r="Q1786" s="5"/>
      <c r="R1786" s="5"/>
      <c r="S1786" s="5"/>
      <c r="T1786" s="5"/>
      <c r="U1786" s="5"/>
      <c r="V1786" s="5"/>
      <c r="W1786" s="5"/>
    </row>
    <row r="1787" spans="1:23" x14ac:dyDescent="0.3">
      <c r="A1787" s="5"/>
      <c r="B1787" s="5"/>
      <c r="C1787" s="5"/>
      <c r="D1787" s="5"/>
      <c r="E1787" s="12"/>
      <c r="F1787" s="5"/>
      <c r="G1787" s="5"/>
      <c r="H1787" s="5"/>
      <c r="I1787" s="5"/>
      <c r="J1787" s="5"/>
      <c r="L1787" s="5"/>
      <c r="M1787" s="5"/>
      <c r="P1787" s="5"/>
      <c r="Q1787" s="5"/>
      <c r="R1787" s="5"/>
      <c r="S1787" s="5"/>
      <c r="T1787" s="5"/>
      <c r="U1787" s="5"/>
      <c r="V1787" s="5"/>
      <c r="W1787" s="5"/>
    </row>
    <row r="1788" spans="1:23" x14ac:dyDescent="0.3">
      <c r="A1788" s="5"/>
      <c r="B1788" s="5"/>
      <c r="C1788" s="5"/>
      <c r="D1788" s="5"/>
      <c r="E1788" s="12"/>
      <c r="F1788" s="5"/>
      <c r="G1788" s="5"/>
      <c r="H1788" s="5"/>
      <c r="I1788" s="5"/>
      <c r="J1788" s="5"/>
      <c r="L1788" s="5"/>
      <c r="M1788" s="5"/>
      <c r="P1788" s="5"/>
      <c r="Q1788" s="5"/>
      <c r="R1788" s="5"/>
      <c r="S1788" s="5"/>
      <c r="T1788" s="5"/>
      <c r="U1788" s="5"/>
      <c r="V1788" s="5"/>
      <c r="W1788" s="5"/>
    </row>
    <row r="1789" spans="1:23" x14ac:dyDescent="0.3">
      <c r="A1789" s="5"/>
      <c r="B1789" s="5"/>
      <c r="C1789" s="5"/>
      <c r="D1789" s="5"/>
      <c r="E1789" s="12"/>
      <c r="F1789" s="5"/>
      <c r="G1789" s="5"/>
      <c r="H1789" s="5"/>
      <c r="I1789" s="5"/>
      <c r="J1789" s="5"/>
      <c r="L1789" s="5"/>
      <c r="M1789" s="5"/>
      <c r="P1789" s="5"/>
      <c r="Q1789" s="5"/>
      <c r="R1789" s="5"/>
      <c r="S1789" s="5"/>
      <c r="T1789" s="5"/>
      <c r="U1789" s="5"/>
      <c r="V1789" s="5"/>
      <c r="W1789" s="5"/>
    </row>
    <row r="1790" spans="1:23" x14ac:dyDescent="0.3">
      <c r="A1790" s="5"/>
      <c r="B1790" s="5"/>
      <c r="C1790" s="5"/>
      <c r="D1790" s="5"/>
      <c r="E1790" s="12"/>
      <c r="F1790" s="5"/>
      <c r="G1790" s="5"/>
      <c r="H1790" s="5"/>
      <c r="I1790" s="5"/>
      <c r="J1790" s="5"/>
      <c r="L1790" s="5"/>
      <c r="M1790" s="5"/>
      <c r="P1790" s="5"/>
      <c r="Q1790" s="5"/>
      <c r="R1790" s="5"/>
      <c r="S1790" s="5"/>
      <c r="T1790" s="5"/>
      <c r="U1790" s="5"/>
      <c r="V1790" s="5"/>
      <c r="W1790" s="5"/>
    </row>
    <row r="1791" spans="1:23" x14ac:dyDescent="0.3">
      <c r="A1791" s="5"/>
      <c r="B1791" s="5"/>
      <c r="C1791" s="5"/>
      <c r="D1791" s="5"/>
      <c r="E1791" s="12"/>
      <c r="F1791" s="5"/>
      <c r="G1791" s="5"/>
      <c r="H1791" s="5"/>
      <c r="I1791" s="5"/>
      <c r="J1791" s="5"/>
      <c r="L1791" s="5"/>
      <c r="M1791" s="5"/>
      <c r="P1791" s="5"/>
      <c r="Q1791" s="5"/>
      <c r="R1791" s="5"/>
      <c r="S1791" s="5"/>
      <c r="T1791" s="5"/>
      <c r="U1791" s="5"/>
      <c r="V1791" s="5"/>
      <c r="W1791" s="5"/>
    </row>
    <row r="1792" spans="1:23" x14ac:dyDescent="0.3">
      <c r="A1792" s="5"/>
      <c r="B1792" s="5"/>
      <c r="C1792" s="5"/>
      <c r="D1792" s="5"/>
      <c r="E1792" s="12"/>
      <c r="F1792" s="5"/>
      <c r="G1792" s="5"/>
      <c r="H1792" s="5"/>
      <c r="I1792" s="5"/>
      <c r="J1792" s="5"/>
      <c r="L1792" s="5"/>
      <c r="M1792" s="5"/>
      <c r="P1792" s="5"/>
      <c r="Q1792" s="5"/>
      <c r="R1792" s="5"/>
      <c r="S1792" s="5"/>
      <c r="T1792" s="5"/>
      <c r="U1792" s="5"/>
      <c r="V1792" s="5"/>
      <c r="W1792" s="5"/>
    </row>
    <row r="1793" spans="1:23" x14ac:dyDescent="0.3">
      <c r="A1793" s="5"/>
      <c r="B1793" s="5"/>
      <c r="C1793" s="5"/>
      <c r="D1793" s="5"/>
      <c r="E1793" s="12"/>
      <c r="F1793" s="5"/>
      <c r="G1793" s="5"/>
      <c r="H1793" s="5"/>
      <c r="I1793" s="5"/>
      <c r="J1793" s="5"/>
      <c r="L1793" s="5"/>
      <c r="M1793" s="5"/>
      <c r="P1793" s="5"/>
      <c r="Q1793" s="5"/>
      <c r="R1793" s="5"/>
      <c r="S1793" s="5"/>
      <c r="T1793" s="5"/>
      <c r="U1793" s="5"/>
      <c r="V1793" s="5"/>
      <c r="W1793" s="5"/>
    </row>
    <row r="1794" spans="1:23" x14ac:dyDescent="0.3">
      <c r="A1794" s="5"/>
      <c r="B1794" s="5"/>
      <c r="C1794" s="5"/>
      <c r="D1794" s="5"/>
      <c r="E1794" s="12"/>
      <c r="F1794" s="5"/>
      <c r="G1794" s="5"/>
      <c r="H1794" s="5"/>
      <c r="I1794" s="5"/>
      <c r="J1794" s="5"/>
      <c r="L1794" s="5"/>
      <c r="M1794" s="5"/>
      <c r="P1794" s="5"/>
      <c r="Q1794" s="5"/>
      <c r="R1794" s="5"/>
      <c r="S1794" s="5"/>
      <c r="T1794" s="5"/>
      <c r="U1794" s="5"/>
      <c r="V1794" s="5"/>
      <c r="W1794" s="5"/>
    </row>
    <row r="1795" spans="1:23" x14ac:dyDescent="0.3">
      <c r="A1795" s="5"/>
      <c r="B1795" s="5"/>
      <c r="C1795" s="5"/>
      <c r="D1795" s="5"/>
      <c r="E1795" s="12"/>
      <c r="F1795" s="5"/>
      <c r="G1795" s="5"/>
      <c r="H1795" s="5"/>
      <c r="I1795" s="5"/>
      <c r="J1795" s="5"/>
      <c r="L1795" s="5"/>
      <c r="M1795" s="5"/>
      <c r="P1795" s="5"/>
      <c r="Q1795" s="5"/>
      <c r="R1795" s="5"/>
      <c r="S1795" s="5"/>
      <c r="T1795" s="5"/>
      <c r="U1795" s="5"/>
      <c r="V1795" s="5"/>
      <c r="W1795" s="5"/>
    </row>
    <row r="1796" spans="1:23" x14ac:dyDescent="0.3">
      <c r="A1796" s="5"/>
      <c r="B1796" s="5"/>
      <c r="C1796" s="5"/>
      <c r="D1796" s="5"/>
      <c r="E1796" s="12"/>
      <c r="F1796" s="5"/>
      <c r="G1796" s="5"/>
      <c r="H1796" s="5"/>
      <c r="I1796" s="5"/>
      <c r="J1796" s="5"/>
      <c r="L1796" s="5"/>
      <c r="M1796" s="5"/>
      <c r="P1796" s="5"/>
      <c r="Q1796" s="5"/>
      <c r="R1796" s="5"/>
      <c r="S1796" s="5"/>
      <c r="T1796" s="5"/>
      <c r="U1796" s="5"/>
      <c r="V1796" s="5"/>
      <c r="W1796" s="5"/>
    </row>
    <row r="1797" spans="1:23" x14ac:dyDescent="0.3">
      <c r="A1797" s="5"/>
      <c r="B1797" s="5"/>
      <c r="C1797" s="5"/>
      <c r="D1797" s="5"/>
      <c r="E1797" s="12"/>
      <c r="F1797" s="5"/>
      <c r="G1797" s="5"/>
      <c r="H1797" s="5"/>
      <c r="I1797" s="5"/>
      <c r="J1797" s="5"/>
      <c r="L1797" s="5"/>
      <c r="M1797" s="5"/>
      <c r="P1797" s="5"/>
      <c r="Q1797" s="5"/>
      <c r="R1797" s="5"/>
      <c r="S1797" s="5"/>
      <c r="T1797" s="5"/>
      <c r="U1797" s="5"/>
      <c r="V1797" s="5"/>
      <c r="W1797" s="5"/>
    </row>
    <row r="1798" spans="1:23" x14ac:dyDescent="0.3">
      <c r="A1798" s="5"/>
      <c r="B1798" s="5"/>
      <c r="C1798" s="5"/>
      <c r="D1798" s="5"/>
      <c r="E1798" s="12"/>
      <c r="F1798" s="5"/>
      <c r="G1798" s="5"/>
      <c r="H1798" s="5"/>
      <c r="I1798" s="5"/>
      <c r="J1798" s="5"/>
      <c r="L1798" s="5"/>
      <c r="M1798" s="5"/>
      <c r="P1798" s="5"/>
      <c r="Q1798" s="5"/>
      <c r="R1798" s="5"/>
      <c r="S1798" s="5"/>
      <c r="T1798" s="5"/>
      <c r="U1798" s="5"/>
      <c r="V1798" s="5"/>
      <c r="W1798" s="5"/>
    </row>
    <row r="1799" spans="1:23" x14ac:dyDescent="0.3">
      <c r="A1799" s="5"/>
      <c r="B1799" s="5"/>
      <c r="C1799" s="5"/>
      <c r="D1799" s="5"/>
      <c r="E1799" s="12"/>
      <c r="F1799" s="5"/>
      <c r="G1799" s="5"/>
      <c r="H1799" s="5"/>
      <c r="I1799" s="5"/>
      <c r="J1799" s="5"/>
      <c r="L1799" s="5"/>
      <c r="M1799" s="5"/>
      <c r="P1799" s="5"/>
      <c r="Q1799" s="5"/>
      <c r="R1799" s="5"/>
      <c r="S1799" s="5"/>
      <c r="T1799" s="5"/>
      <c r="U1799" s="5"/>
      <c r="V1799" s="5"/>
      <c r="W1799" s="5"/>
    </row>
    <row r="1800" spans="1:23" x14ac:dyDescent="0.3">
      <c r="A1800" s="5"/>
      <c r="B1800" s="5"/>
      <c r="C1800" s="5"/>
      <c r="D1800" s="5"/>
      <c r="E1800" s="12"/>
      <c r="F1800" s="5"/>
      <c r="G1800" s="5"/>
      <c r="H1800" s="5"/>
      <c r="I1800" s="5"/>
      <c r="J1800" s="5"/>
      <c r="L1800" s="5"/>
      <c r="M1800" s="5"/>
      <c r="P1800" s="5"/>
      <c r="Q1800" s="5"/>
      <c r="R1800" s="5"/>
      <c r="S1800" s="5"/>
      <c r="T1800" s="5"/>
      <c r="U1800" s="5"/>
      <c r="V1800" s="5"/>
      <c r="W1800" s="5"/>
    </row>
    <row r="1801" spans="1:23" x14ac:dyDescent="0.3">
      <c r="A1801" s="5"/>
      <c r="B1801" s="5"/>
      <c r="C1801" s="5"/>
      <c r="D1801" s="5"/>
      <c r="E1801" s="12"/>
      <c r="F1801" s="5"/>
      <c r="G1801" s="5"/>
      <c r="H1801" s="5"/>
      <c r="I1801" s="5"/>
      <c r="J1801" s="5"/>
      <c r="L1801" s="5"/>
      <c r="M1801" s="5"/>
      <c r="P1801" s="5"/>
      <c r="Q1801" s="5"/>
      <c r="R1801" s="5"/>
      <c r="S1801" s="5"/>
      <c r="T1801" s="5"/>
      <c r="U1801" s="5"/>
      <c r="V1801" s="5"/>
      <c r="W1801" s="5"/>
    </row>
    <row r="1802" spans="1:23" x14ac:dyDescent="0.3">
      <c r="A1802" s="5"/>
      <c r="B1802" s="5"/>
      <c r="C1802" s="5"/>
      <c r="D1802" s="5"/>
      <c r="E1802" s="12"/>
      <c r="F1802" s="5"/>
      <c r="G1802" s="5"/>
      <c r="H1802" s="5"/>
      <c r="I1802" s="5"/>
      <c r="J1802" s="5"/>
      <c r="L1802" s="5"/>
      <c r="M1802" s="5"/>
      <c r="P1802" s="5"/>
      <c r="Q1802" s="5"/>
      <c r="R1802" s="5"/>
      <c r="S1802" s="5"/>
      <c r="T1802" s="5"/>
      <c r="U1802" s="5"/>
      <c r="V1802" s="5"/>
      <c r="W1802" s="5"/>
    </row>
    <row r="1803" spans="1:23" x14ac:dyDescent="0.3">
      <c r="A1803" s="5"/>
      <c r="B1803" s="5"/>
      <c r="C1803" s="5"/>
      <c r="D1803" s="5"/>
      <c r="E1803" s="12"/>
      <c r="F1803" s="5"/>
      <c r="G1803" s="5"/>
      <c r="H1803" s="5"/>
      <c r="I1803" s="5"/>
      <c r="J1803" s="5"/>
      <c r="L1803" s="5"/>
      <c r="M1803" s="5"/>
      <c r="P1803" s="5"/>
      <c r="Q1803" s="5"/>
      <c r="R1803" s="5"/>
      <c r="S1803" s="5"/>
      <c r="T1803" s="5"/>
      <c r="U1803" s="5"/>
      <c r="V1803" s="5"/>
      <c r="W1803" s="5"/>
    </row>
    <row r="1804" spans="1:23" x14ac:dyDescent="0.3">
      <c r="A1804" s="5"/>
      <c r="B1804" s="5"/>
      <c r="C1804" s="5"/>
      <c r="D1804" s="5"/>
      <c r="E1804" s="12"/>
      <c r="F1804" s="5"/>
      <c r="G1804" s="5"/>
      <c r="H1804" s="5"/>
      <c r="I1804" s="5"/>
      <c r="J1804" s="5"/>
      <c r="L1804" s="5"/>
      <c r="M1804" s="5"/>
      <c r="P1804" s="5"/>
      <c r="Q1804" s="5"/>
      <c r="R1804" s="5"/>
      <c r="S1804" s="5"/>
      <c r="T1804" s="5"/>
      <c r="U1804" s="5"/>
      <c r="V1804" s="5"/>
      <c r="W1804" s="5"/>
    </row>
    <row r="1805" spans="1:23" x14ac:dyDescent="0.3">
      <c r="A1805" s="5"/>
      <c r="B1805" s="5"/>
      <c r="C1805" s="5"/>
      <c r="D1805" s="5"/>
      <c r="E1805" s="12"/>
      <c r="F1805" s="5"/>
      <c r="G1805" s="5"/>
      <c r="H1805" s="5"/>
      <c r="I1805" s="5"/>
      <c r="J1805" s="5"/>
      <c r="L1805" s="5"/>
      <c r="M1805" s="5"/>
      <c r="P1805" s="5"/>
      <c r="Q1805" s="5"/>
      <c r="R1805" s="5"/>
      <c r="S1805" s="5"/>
      <c r="T1805" s="5"/>
      <c r="U1805" s="5"/>
      <c r="V1805" s="5"/>
      <c r="W1805" s="5"/>
    </row>
    <row r="1806" spans="1:23" x14ac:dyDescent="0.3">
      <c r="A1806" s="5"/>
      <c r="B1806" s="5"/>
      <c r="C1806" s="5"/>
      <c r="D1806" s="5"/>
      <c r="E1806" s="12"/>
      <c r="F1806" s="5"/>
      <c r="G1806" s="5"/>
      <c r="H1806" s="5"/>
      <c r="I1806" s="5"/>
      <c r="J1806" s="5"/>
      <c r="L1806" s="5"/>
      <c r="M1806" s="5"/>
      <c r="P1806" s="5"/>
      <c r="Q1806" s="5"/>
      <c r="R1806" s="5"/>
      <c r="S1806" s="5"/>
      <c r="T1806" s="5"/>
      <c r="U1806" s="5"/>
      <c r="V1806" s="5"/>
      <c r="W1806" s="5"/>
    </row>
    <row r="1807" spans="1:23" x14ac:dyDescent="0.3">
      <c r="A1807" s="5"/>
      <c r="B1807" s="5"/>
      <c r="C1807" s="5"/>
      <c r="D1807" s="5"/>
      <c r="E1807" s="12"/>
      <c r="F1807" s="5"/>
      <c r="G1807" s="5"/>
      <c r="H1807" s="5"/>
      <c r="I1807" s="5"/>
      <c r="J1807" s="5"/>
      <c r="L1807" s="5"/>
      <c r="M1807" s="5"/>
      <c r="P1807" s="5"/>
      <c r="Q1807" s="5"/>
      <c r="R1807" s="5"/>
      <c r="S1807" s="5"/>
      <c r="T1807" s="5"/>
      <c r="U1807" s="5"/>
      <c r="V1807" s="5"/>
      <c r="W1807" s="5"/>
    </row>
    <row r="1808" spans="1:23" x14ac:dyDescent="0.3">
      <c r="A1808" s="5"/>
      <c r="B1808" s="5"/>
      <c r="C1808" s="5"/>
      <c r="D1808" s="5"/>
      <c r="E1808" s="12"/>
      <c r="F1808" s="5"/>
      <c r="G1808" s="5"/>
      <c r="H1808" s="5"/>
      <c r="I1808" s="5"/>
      <c r="J1808" s="5"/>
      <c r="L1808" s="5"/>
      <c r="M1808" s="5"/>
      <c r="P1808" s="5"/>
      <c r="Q1808" s="5"/>
      <c r="R1808" s="5"/>
      <c r="S1808" s="5"/>
      <c r="T1808" s="5"/>
      <c r="U1808" s="5"/>
      <c r="V1808" s="5"/>
      <c r="W1808" s="5"/>
    </row>
    <row r="1809" spans="1:23" x14ac:dyDescent="0.3">
      <c r="A1809" s="5"/>
      <c r="B1809" s="5"/>
      <c r="C1809" s="5"/>
      <c r="D1809" s="5"/>
      <c r="E1809" s="12"/>
      <c r="F1809" s="5"/>
      <c r="G1809" s="5"/>
      <c r="H1809" s="5"/>
      <c r="I1809" s="5"/>
      <c r="J1809" s="5"/>
      <c r="L1809" s="5"/>
      <c r="M1809" s="5"/>
      <c r="P1809" s="5"/>
      <c r="Q1809" s="5"/>
      <c r="R1809" s="5"/>
      <c r="S1809" s="5"/>
      <c r="T1809" s="5"/>
      <c r="U1809" s="5"/>
      <c r="V1809" s="5"/>
      <c r="W1809" s="5"/>
    </row>
    <row r="1810" spans="1:23" x14ac:dyDescent="0.3">
      <c r="A1810" s="5"/>
      <c r="B1810" s="5"/>
      <c r="C1810" s="5"/>
      <c r="D1810" s="5"/>
      <c r="E1810" s="12"/>
      <c r="F1810" s="5"/>
      <c r="G1810" s="5"/>
      <c r="H1810" s="5"/>
      <c r="I1810" s="5"/>
      <c r="J1810" s="5"/>
      <c r="L1810" s="5"/>
      <c r="M1810" s="5"/>
      <c r="P1810" s="5"/>
      <c r="Q1810" s="5"/>
      <c r="R1810" s="5"/>
      <c r="S1810" s="5"/>
      <c r="T1810" s="5"/>
      <c r="U1810" s="5"/>
      <c r="V1810" s="5"/>
      <c r="W1810" s="5"/>
    </row>
    <row r="1811" spans="1:23" x14ac:dyDescent="0.3">
      <c r="A1811" s="5"/>
      <c r="B1811" s="5"/>
      <c r="C1811" s="5"/>
      <c r="D1811" s="5"/>
      <c r="E1811" s="12"/>
      <c r="F1811" s="5"/>
      <c r="G1811" s="5"/>
      <c r="H1811" s="5"/>
      <c r="I1811" s="5"/>
      <c r="J1811" s="5"/>
      <c r="L1811" s="5"/>
      <c r="M1811" s="5"/>
      <c r="P1811" s="5"/>
      <c r="Q1811" s="5"/>
      <c r="R1811" s="5"/>
      <c r="S1811" s="5"/>
      <c r="T1811" s="5"/>
      <c r="U1811" s="5"/>
      <c r="V1811" s="5"/>
      <c r="W1811" s="5"/>
    </row>
    <row r="1812" spans="1:23" x14ac:dyDescent="0.3">
      <c r="A1812" s="5"/>
      <c r="B1812" s="5"/>
      <c r="C1812" s="5"/>
      <c r="D1812" s="5"/>
      <c r="E1812" s="12"/>
      <c r="F1812" s="5"/>
      <c r="G1812" s="5"/>
      <c r="H1812" s="5"/>
      <c r="I1812" s="5"/>
      <c r="J1812" s="5"/>
      <c r="L1812" s="5"/>
      <c r="M1812" s="5"/>
      <c r="P1812" s="5"/>
      <c r="Q1812" s="5"/>
      <c r="R1812" s="5"/>
      <c r="S1812" s="5"/>
      <c r="T1812" s="5"/>
      <c r="U1812" s="5"/>
      <c r="V1812" s="5"/>
      <c r="W1812" s="5"/>
    </row>
    <row r="1813" spans="1:23" x14ac:dyDescent="0.3">
      <c r="A1813" s="5"/>
      <c r="B1813" s="5"/>
      <c r="C1813" s="5"/>
      <c r="D1813" s="5"/>
      <c r="E1813" s="12"/>
      <c r="F1813" s="5"/>
      <c r="G1813" s="5"/>
      <c r="H1813" s="5"/>
      <c r="I1813" s="5"/>
      <c r="J1813" s="5"/>
      <c r="L1813" s="5"/>
      <c r="M1813" s="5"/>
      <c r="P1813" s="5"/>
      <c r="Q1813" s="5"/>
      <c r="R1813" s="5"/>
      <c r="S1813" s="5"/>
      <c r="T1813" s="5"/>
      <c r="U1813" s="5"/>
      <c r="V1813" s="5"/>
      <c r="W1813" s="5"/>
    </row>
    <row r="1814" spans="1:23" x14ac:dyDescent="0.3">
      <c r="A1814" s="5"/>
      <c r="B1814" s="5"/>
      <c r="C1814" s="5"/>
      <c r="D1814" s="5"/>
      <c r="E1814" s="12"/>
      <c r="F1814" s="5"/>
      <c r="G1814" s="5"/>
      <c r="H1814" s="5"/>
      <c r="I1814" s="5"/>
      <c r="J1814" s="5"/>
      <c r="L1814" s="5"/>
      <c r="M1814" s="5"/>
      <c r="P1814" s="5"/>
      <c r="Q1814" s="5"/>
      <c r="R1814" s="5"/>
      <c r="S1814" s="5"/>
      <c r="T1814" s="5"/>
      <c r="U1814" s="5"/>
      <c r="V1814" s="5"/>
      <c r="W1814" s="5"/>
    </row>
    <row r="1815" spans="1:23" x14ac:dyDescent="0.3">
      <c r="A1815" s="5"/>
      <c r="B1815" s="5"/>
      <c r="C1815" s="5"/>
      <c r="D1815" s="5"/>
      <c r="E1815" s="12"/>
      <c r="F1815" s="5"/>
      <c r="G1815" s="5"/>
      <c r="H1815" s="5"/>
      <c r="I1815" s="5"/>
      <c r="J1815" s="5"/>
      <c r="L1815" s="5"/>
      <c r="M1815" s="5"/>
      <c r="P1815" s="5"/>
      <c r="Q1815" s="5"/>
      <c r="R1815" s="5"/>
      <c r="S1815" s="5"/>
      <c r="T1815" s="5"/>
      <c r="U1815" s="5"/>
      <c r="V1815" s="5"/>
      <c r="W1815" s="5"/>
    </row>
    <row r="1816" spans="1:23" x14ac:dyDescent="0.3">
      <c r="A1816" s="5"/>
      <c r="B1816" s="5"/>
      <c r="C1816" s="5"/>
      <c r="D1816" s="5"/>
      <c r="E1816" s="12"/>
      <c r="F1816" s="5"/>
      <c r="G1816" s="5"/>
      <c r="H1816" s="5"/>
      <c r="I1816" s="5"/>
      <c r="J1816" s="5"/>
      <c r="L1816" s="5"/>
      <c r="M1816" s="5"/>
      <c r="P1816" s="5"/>
      <c r="Q1816" s="5"/>
      <c r="R1816" s="5"/>
      <c r="S1816" s="5"/>
      <c r="T1816" s="5"/>
      <c r="U1816" s="5"/>
      <c r="V1816" s="5"/>
      <c r="W1816" s="5"/>
    </row>
    <row r="1817" spans="1:23" x14ac:dyDescent="0.3">
      <c r="A1817" s="5"/>
      <c r="B1817" s="5"/>
      <c r="C1817" s="5"/>
      <c r="D1817" s="5"/>
      <c r="E1817" s="12"/>
      <c r="F1817" s="5"/>
      <c r="G1817" s="5"/>
      <c r="H1817" s="5"/>
      <c r="I1817" s="5"/>
      <c r="J1817" s="5"/>
      <c r="L1817" s="5"/>
      <c r="M1817" s="5"/>
      <c r="P1817" s="5"/>
      <c r="Q1817" s="5"/>
      <c r="R1817" s="5"/>
      <c r="S1817" s="5"/>
      <c r="T1817" s="5"/>
      <c r="U1817" s="5"/>
      <c r="V1817" s="5"/>
      <c r="W1817" s="5"/>
    </row>
    <row r="1818" spans="1:23" x14ac:dyDescent="0.3">
      <c r="A1818" s="5"/>
      <c r="B1818" s="5"/>
      <c r="C1818" s="5"/>
      <c r="D1818" s="5"/>
      <c r="E1818" s="12"/>
      <c r="F1818" s="5"/>
      <c r="G1818" s="5"/>
      <c r="H1818" s="5"/>
      <c r="I1818" s="5"/>
      <c r="J1818" s="5"/>
      <c r="L1818" s="5"/>
      <c r="M1818" s="5"/>
      <c r="P1818" s="5"/>
      <c r="Q1818" s="5"/>
      <c r="R1818" s="5"/>
      <c r="S1818" s="5"/>
      <c r="T1818" s="5"/>
      <c r="U1818" s="5"/>
      <c r="V1818" s="5"/>
      <c r="W1818" s="5"/>
    </row>
    <row r="1819" spans="1:23" x14ac:dyDescent="0.3">
      <c r="A1819" s="5"/>
      <c r="B1819" s="5"/>
      <c r="C1819" s="5"/>
      <c r="D1819" s="5"/>
      <c r="E1819" s="12"/>
      <c r="F1819" s="5"/>
      <c r="G1819" s="5"/>
      <c r="H1819" s="5"/>
      <c r="I1819" s="5"/>
      <c r="J1819" s="5"/>
      <c r="L1819" s="5"/>
      <c r="M1819" s="5"/>
      <c r="P1819" s="5"/>
      <c r="Q1819" s="5"/>
      <c r="R1819" s="5"/>
      <c r="S1819" s="5"/>
      <c r="T1819" s="5"/>
      <c r="U1819" s="5"/>
      <c r="V1819" s="5"/>
      <c r="W1819" s="5"/>
    </row>
    <row r="1820" spans="1:23" x14ac:dyDescent="0.3">
      <c r="A1820" s="5"/>
      <c r="B1820" s="5"/>
      <c r="C1820" s="5"/>
      <c r="D1820" s="5"/>
      <c r="E1820" s="12"/>
      <c r="F1820" s="5"/>
      <c r="G1820" s="5"/>
      <c r="H1820" s="5"/>
      <c r="I1820" s="5"/>
      <c r="J1820" s="5"/>
      <c r="L1820" s="5"/>
      <c r="M1820" s="5"/>
      <c r="P1820" s="5"/>
      <c r="Q1820" s="5"/>
      <c r="R1820" s="5"/>
      <c r="S1820" s="5"/>
      <c r="T1820" s="5"/>
      <c r="U1820" s="5"/>
      <c r="V1820" s="5"/>
      <c r="W1820" s="5"/>
    </row>
    <row r="1821" spans="1:23" x14ac:dyDescent="0.3">
      <c r="A1821" s="5"/>
      <c r="B1821" s="5"/>
      <c r="C1821" s="5"/>
      <c r="D1821" s="5"/>
      <c r="E1821" s="12"/>
      <c r="F1821" s="5"/>
      <c r="G1821" s="5"/>
      <c r="H1821" s="5"/>
      <c r="I1821" s="5"/>
      <c r="J1821" s="5"/>
      <c r="L1821" s="5"/>
      <c r="M1821" s="5"/>
      <c r="P1821" s="5"/>
      <c r="Q1821" s="5"/>
      <c r="R1821" s="5"/>
      <c r="S1821" s="5"/>
      <c r="T1821" s="5"/>
      <c r="U1821" s="5"/>
      <c r="V1821" s="5"/>
      <c r="W1821" s="5"/>
    </row>
    <row r="1822" spans="1:23" x14ac:dyDescent="0.3">
      <c r="A1822" s="5"/>
      <c r="B1822" s="5"/>
      <c r="C1822" s="5"/>
      <c r="D1822" s="5"/>
      <c r="E1822" s="12"/>
      <c r="F1822" s="5"/>
      <c r="G1822" s="5"/>
      <c r="H1822" s="5"/>
      <c r="I1822" s="5"/>
      <c r="J1822" s="5"/>
      <c r="L1822" s="5"/>
      <c r="M1822" s="5"/>
      <c r="P1822" s="5"/>
      <c r="Q1822" s="5"/>
      <c r="R1822" s="5"/>
      <c r="S1822" s="5"/>
      <c r="T1822" s="5"/>
      <c r="U1822" s="5"/>
      <c r="V1822" s="5"/>
      <c r="W1822" s="5"/>
    </row>
    <row r="1823" spans="1:23" x14ac:dyDescent="0.3">
      <c r="A1823" s="5"/>
      <c r="B1823" s="5"/>
      <c r="C1823" s="5"/>
      <c r="D1823" s="5"/>
      <c r="E1823" s="12"/>
      <c r="F1823" s="5"/>
      <c r="G1823" s="5"/>
      <c r="H1823" s="5"/>
      <c r="I1823" s="5"/>
      <c r="J1823" s="5"/>
      <c r="L1823" s="5"/>
      <c r="M1823" s="5"/>
      <c r="P1823" s="5"/>
      <c r="Q1823" s="5"/>
      <c r="R1823" s="5"/>
      <c r="S1823" s="5"/>
      <c r="T1823" s="5"/>
      <c r="U1823" s="5"/>
      <c r="V1823" s="5"/>
      <c r="W1823" s="5"/>
    </row>
    <row r="1824" spans="1:23" x14ac:dyDescent="0.3">
      <c r="A1824" s="5"/>
      <c r="B1824" s="5"/>
      <c r="C1824" s="5"/>
      <c r="D1824" s="5"/>
      <c r="E1824" s="12"/>
      <c r="F1824" s="5"/>
      <c r="G1824" s="5"/>
      <c r="H1824" s="5"/>
      <c r="I1824" s="5"/>
      <c r="J1824" s="5"/>
      <c r="L1824" s="5"/>
      <c r="M1824" s="5"/>
      <c r="P1824" s="5"/>
      <c r="Q1824" s="5"/>
      <c r="R1824" s="5"/>
      <c r="S1824" s="5"/>
      <c r="T1824" s="5"/>
      <c r="U1824" s="5"/>
      <c r="V1824" s="5"/>
      <c r="W1824" s="5"/>
    </row>
    <row r="1825" spans="1:23" x14ac:dyDescent="0.3">
      <c r="A1825" s="5"/>
      <c r="B1825" s="5"/>
      <c r="C1825" s="5"/>
      <c r="D1825" s="5"/>
      <c r="E1825" s="12"/>
      <c r="F1825" s="5"/>
      <c r="G1825" s="5"/>
      <c r="H1825" s="5"/>
      <c r="I1825" s="5"/>
      <c r="J1825" s="5"/>
      <c r="L1825" s="5"/>
      <c r="M1825" s="5"/>
      <c r="P1825" s="5"/>
      <c r="Q1825" s="5"/>
      <c r="R1825" s="5"/>
      <c r="S1825" s="5"/>
      <c r="T1825" s="5"/>
      <c r="U1825" s="5"/>
      <c r="V1825" s="5"/>
      <c r="W1825" s="5"/>
    </row>
    <row r="1826" spans="1:23" x14ac:dyDescent="0.3">
      <c r="A1826" s="5"/>
      <c r="B1826" s="5"/>
      <c r="C1826" s="5"/>
      <c r="D1826" s="5"/>
      <c r="E1826" s="12"/>
      <c r="F1826" s="5"/>
      <c r="G1826" s="5"/>
      <c r="H1826" s="5"/>
      <c r="I1826" s="5"/>
      <c r="J1826" s="5"/>
      <c r="L1826" s="5"/>
      <c r="M1826" s="5"/>
      <c r="P1826" s="5"/>
      <c r="Q1826" s="5"/>
      <c r="R1826" s="5"/>
      <c r="S1826" s="5"/>
      <c r="T1826" s="5"/>
      <c r="U1826" s="5"/>
      <c r="V1826" s="5"/>
      <c r="W1826" s="5"/>
    </row>
    <row r="1827" spans="1:23" x14ac:dyDescent="0.3">
      <c r="A1827" s="5"/>
      <c r="B1827" s="5"/>
      <c r="C1827" s="5"/>
      <c r="D1827" s="5"/>
      <c r="E1827" s="12"/>
      <c r="F1827" s="5"/>
      <c r="G1827" s="5"/>
      <c r="H1827" s="5"/>
      <c r="I1827" s="5"/>
      <c r="J1827" s="5"/>
      <c r="L1827" s="5"/>
      <c r="M1827" s="5"/>
      <c r="P1827" s="5"/>
      <c r="Q1827" s="5"/>
      <c r="R1827" s="5"/>
      <c r="S1827" s="5"/>
      <c r="T1827" s="5"/>
      <c r="U1827" s="5"/>
      <c r="V1827" s="5"/>
      <c r="W1827" s="5"/>
    </row>
    <row r="1828" spans="1:23" x14ac:dyDescent="0.3">
      <c r="A1828" s="5"/>
      <c r="B1828" s="5"/>
      <c r="C1828" s="5"/>
      <c r="D1828" s="5"/>
      <c r="E1828" s="12"/>
      <c r="F1828" s="5"/>
      <c r="G1828" s="5"/>
      <c r="H1828" s="5"/>
      <c r="I1828" s="5"/>
      <c r="J1828" s="5"/>
      <c r="L1828" s="5"/>
      <c r="M1828" s="5"/>
      <c r="P1828" s="5"/>
      <c r="Q1828" s="5"/>
      <c r="R1828" s="5"/>
      <c r="S1828" s="5"/>
      <c r="T1828" s="5"/>
      <c r="U1828" s="5"/>
      <c r="V1828" s="5"/>
      <c r="W1828" s="5"/>
    </row>
    <row r="1829" spans="1:23" x14ac:dyDescent="0.3">
      <c r="A1829" s="5"/>
      <c r="B1829" s="5"/>
      <c r="C1829" s="5"/>
      <c r="D1829" s="5"/>
      <c r="E1829" s="12"/>
      <c r="F1829" s="5"/>
      <c r="G1829" s="5"/>
      <c r="H1829" s="5"/>
      <c r="I1829" s="5"/>
      <c r="J1829" s="5"/>
      <c r="L1829" s="5"/>
      <c r="M1829" s="5"/>
      <c r="P1829" s="5"/>
      <c r="Q1829" s="5"/>
      <c r="R1829" s="5"/>
      <c r="S1829" s="5"/>
      <c r="T1829" s="5"/>
      <c r="U1829" s="5"/>
      <c r="V1829" s="5"/>
      <c r="W1829" s="5"/>
    </row>
    <row r="1830" spans="1:23" x14ac:dyDescent="0.3">
      <c r="A1830" s="5"/>
      <c r="B1830" s="5"/>
      <c r="C1830" s="5"/>
      <c r="D1830" s="5"/>
      <c r="E1830" s="12"/>
      <c r="F1830" s="5"/>
      <c r="G1830" s="5"/>
      <c r="H1830" s="5"/>
      <c r="I1830" s="5"/>
      <c r="J1830" s="5"/>
      <c r="L1830" s="5"/>
      <c r="M1830" s="5"/>
      <c r="P1830" s="5"/>
      <c r="Q1830" s="5"/>
      <c r="R1830" s="5"/>
      <c r="S1830" s="5"/>
      <c r="T1830" s="5"/>
      <c r="U1830" s="5"/>
      <c r="V1830" s="5"/>
      <c r="W1830" s="5"/>
    </row>
    <row r="1831" spans="1:23" x14ac:dyDescent="0.3">
      <c r="A1831" s="5"/>
      <c r="B1831" s="5"/>
      <c r="C1831" s="5"/>
      <c r="D1831" s="5"/>
      <c r="E1831" s="12"/>
      <c r="F1831" s="5"/>
      <c r="G1831" s="5"/>
      <c r="H1831" s="5"/>
      <c r="I1831" s="5"/>
      <c r="J1831" s="5"/>
      <c r="L1831" s="5"/>
      <c r="M1831" s="5"/>
      <c r="P1831" s="5"/>
      <c r="Q1831" s="5"/>
      <c r="R1831" s="5"/>
      <c r="S1831" s="5"/>
      <c r="T1831" s="5"/>
      <c r="U1831" s="5"/>
      <c r="V1831" s="5"/>
      <c r="W1831" s="5"/>
    </row>
    <row r="1832" spans="1:23" x14ac:dyDescent="0.3">
      <c r="A1832" s="5"/>
      <c r="B1832" s="5"/>
      <c r="C1832" s="5"/>
      <c r="D1832" s="5"/>
      <c r="E1832" s="12"/>
      <c r="F1832" s="5"/>
      <c r="G1832" s="5"/>
      <c r="H1832" s="5"/>
      <c r="I1832" s="5"/>
      <c r="J1832" s="5"/>
      <c r="L1832" s="5"/>
      <c r="M1832" s="5"/>
      <c r="P1832" s="5"/>
      <c r="Q1832" s="5"/>
      <c r="R1832" s="5"/>
      <c r="S1832" s="5"/>
      <c r="T1832" s="5"/>
      <c r="U1832" s="5"/>
      <c r="V1832" s="5"/>
      <c r="W1832" s="5"/>
    </row>
  </sheetData>
  <autoFilter ref="A1:AH1832" xr:uid="{00000000-0001-0000-0A00-000000000000}"/>
  <mergeCells count="29">
    <mergeCell ref="I11:J11"/>
    <mergeCell ref="I12:J12"/>
    <mergeCell ref="I13:J13"/>
    <mergeCell ref="I14:J14"/>
    <mergeCell ref="I15:J15"/>
    <mergeCell ref="I17:J17"/>
    <mergeCell ref="I5:J5"/>
    <mergeCell ref="I6:J6"/>
    <mergeCell ref="I7:J7"/>
    <mergeCell ref="I8:J8"/>
    <mergeCell ref="I9:J9"/>
    <mergeCell ref="I10:J10"/>
    <mergeCell ref="O122:O130"/>
    <mergeCell ref="O132:O137"/>
    <mergeCell ref="O138:O144"/>
    <mergeCell ref="I961:J961"/>
    <mergeCell ref="I962:J962"/>
    <mergeCell ref="I16:J16"/>
    <mergeCell ref="I18:J18"/>
    <mergeCell ref="I23:J23"/>
    <mergeCell ref="I24:J24"/>
    <mergeCell ref="I25:J25"/>
    <mergeCell ref="AM1029:AM1037"/>
    <mergeCell ref="AM1038:AM1042"/>
    <mergeCell ref="I987:J987"/>
    <mergeCell ref="I988:J988"/>
    <mergeCell ref="AM1017:AM1018"/>
    <mergeCell ref="AM1019:AM1026"/>
    <mergeCell ref="AM1027:AM1028"/>
  </mergeCells>
  <conditionalFormatting sqref="K1:K2 K1051:K1048576">
    <cfRule type="expression" dxfId="343" priority="76">
      <formula>AND(IF(COUNTIF($K1, "BME*"),TRUE,FALSE), OR($H1=2,$H1=8, $H1=10, $H1=11))</formula>
    </cfRule>
  </conditionalFormatting>
  <conditionalFormatting sqref="K19:K24 K995:K1008 K635 K730:K731 K901 K26:K335 K586 K597 K711:K727 K957:K959 K969:K986 K4:K17">
    <cfRule type="expression" dxfId="342" priority="70">
      <formula>AND(IF(COUNTIF($K4, "BME*"),TRUE,FALSE), OR($H4=2,$H4=8, $H4=10, $H4=11))</formula>
    </cfRule>
  </conditionalFormatting>
  <conditionalFormatting sqref="K348">
    <cfRule type="expression" dxfId="341" priority="69">
      <formula>AND(IF(COUNTIF($K348, "BME*"),TRUE,FALSE), OR($H348=2,$H348=8, $H348=10, $H348=11))</formula>
    </cfRule>
  </conditionalFormatting>
  <conditionalFormatting sqref="K337">
    <cfRule type="expression" dxfId="340" priority="68">
      <formula>AND(IF(COUNTIF($K337, "BME*"),TRUE,FALSE), OR($H337=2,$H337=8, $H337=10, $H337=11))</formula>
    </cfRule>
  </conditionalFormatting>
  <conditionalFormatting sqref="K1009">
    <cfRule type="expression" dxfId="339" priority="67">
      <formula>AND(IF(COUNTIF($K1009, "BME*"),TRUE,FALSE), OR($H1009=2,$H1009=8, $H1009=10, $H1009=11))</formula>
    </cfRule>
  </conditionalFormatting>
  <conditionalFormatting sqref="K18">
    <cfRule type="expression" dxfId="338" priority="66">
      <formula>AND(IF(COUNTIF($K18, "BME*"),TRUE,FALSE), OR($H18=2,$H18=8, $H18=10, $H18=11))</formula>
    </cfRule>
  </conditionalFormatting>
  <conditionalFormatting sqref="K25">
    <cfRule type="expression" dxfId="337" priority="65">
      <formula>AND(IF(COUNTIF($K25, "BME*"),TRUE,FALSE), OR($H25=2,$H25=8, $H25=10, $H25=11))</formula>
    </cfRule>
  </conditionalFormatting>
  <conditionalFormatting sqref="K338:K347">
    <cfRule type="expression" dxfId="336" priority="64">
      <formula>AND(IF(COUNTIF($K338, "BME*"),TRUE,FALSE), OR($H338=2,$H338=8, $H338=10, $H338=11))</formula>
    </cfRule>
  </conditionalFormatting>
  <conditionalFormatting sqref="K585">
    <cfRule type="expression" dxfId="335" priority="63">
      <formula>AND(IF(COUNTIF($K585, "BME*"),TRUE,FALSE), OR($H585=2,$H585=8, $H585=10, $H585=11))</formula>
    </cfRule>
  </conditionalFormatting>
  <conditionalFormatting sqref="K962 K988">
    <cfRule type="expression" dxfId="334" priority="71">
      <formula>AND(IF(COUNTIF($K962, "BME*"),TRUE,FALSE), OR($H966=2,$H966=8, $H966=10, $H966=11))</formula>
    </cfRule>
  </conditionalFormatting>
  <conditionalFormatting sqref="K961">
    <cfRule type="expression" dxfId="333" priority="62">
      <formula>AND(IF(COUNTIF($K961, "BME*"),TRUE,FALSE), OR($H961=2,$H961=8, $H961=10, $H961=11))</formula>
    </cfRule>
  </conditionalFormatting>
  <conditionalFormatting sqref="K967 K993 K728">
    <cfRule type="expression" dxfId="332" priority="72">
      <formula>AND(IF(COUNTIF($K728, "BME*"),TRUE,FALSE), OR($H729=2,$H729=8, $H729=10, $H729=11))</formula>
    </cfRule>
  </conditionalFormatting>
  <conditionalFormatting sqref="K598 K601:K618 K639:K656 K677:K694">
    <cfRule type="expression" dxfId="331" priority="61">
      <formula>AND(IF(COUNTIF($U598, "BME*"),TRUE,FALSE), OR($R598=2,$R598=8, $R598=10, $R598=11))</formula>
    </cfRule>
  </conditionalFormatting>
  <conditionalFormatting sqref="K766:K778 K745:K764 K787:K789 K732 K734:K743">
    <cfRule type="expression" dxfId="330" priority="59">
      <formula>AND(IF(COUNTIF($K732, "BME*"),TRUE,FALSE), OR($H732=2,$H732=8, $H732=10, $H732=11))</formula>
    </cfRule>
  </conditionalFormatting>
  <conditionalFormatting sqref="K779:K786">
    <cfRule type="expression" dxfId="329" priority="58">
      <formula>AND(IF(COUNTIF($K779, "BME*"),TRUE,FALSE), OR($H779=2,$H779=8, $H779=10, $H779=11))</formula>
    </cfRule>
  </conditionalFormatting>
  <conditionalFormatting sqref="K765">
    <cfRule type="expression" dxfId="328" priority="60">
      <formula>AND(IF(COUNTIF($K765, "BME*"),TRUE,FALSE), OR($H744=2,$H744=8, $H744=10, $H744=11))</formula>
    </cfRule>
  </conditionalFormatting>
  <conditionalFormatting sqref="K824:K836 K803:K822 K790 K792:K801">
    <cfRule type="expression" dxfId="327" priority="56">
      <formula>AND(IF(COUNTIF($K790, "BME*"),TRUE,FALSE), OR($H790=2,$H790=8, $H790=10, $H790=11))</formula>
    </cfRule>
  </conditionalFormatting>
  <conditionalFormatting sqref="K837:K845">
    <cfRule type="expression" dxfId="326" priority="55">
      <formula>AND(IF(COUNTIF($K837, "BME*"),TRUE,FALSE), OR($H837=2,$H837=8, $H837=10, $H837=11))</formula>
    </cfRule>
  </conditionalFormatting>
  <conditionalFormatting sqref="K823">
    <cfRule type="expression" dxfId="325" priority="57">
      <formula>AND(IF(COUNTIF($K823, "BME*"),TRUE,FALSE), OR($H802=2,$H802=8, $H802=10, $H802=11))</formula>
    </cfRule>
  </conditionalFormatting>
  <conditionalFormatting sqref="K880:K892 K859:K878 K846 K848:K857">
    <cfRule type="expression" dxfId="324" priority="53">
      <formula>AND(IF(COUNTIF($K846, "BME*"),TRUE,FALSE), OR($H846=2,$H846=8, $H846=10, $H846=11))</formula>
    </cfRule>
  </conditionalFormatting>
  <conditionalFormatting sqref="K893:K900">
    <cfRule type="expression" dxfId="323" priority="52">
      <formula>AND(IF(COUNTIF($K893, "BME*"),TRUE,FALSE), OR($H893=2,$H893=8, $H893=10, $H893=11))</formula>
    </cfRule>
  </conditionalFormatting>
  <conditionalFormatting sqref="K879">
    <cfRule type="expression" dxfId="322" priority="54">
      <formula>AND(IF(COUNTIF($K879, "BME*"),TRUE,FALSE), OR($H858=2,$H858=8, $H858=10, $H858=11))</formula>
    </cfRule>
  </conditionalFormatting>
  <conditionalFormatting sqref="K636">
    <cfRule type="expression" dxfId="321" priority="51">
      <formula>AND(IF(COUNTIF($U636, "BME*"),TRUE,FALSE), OR($R636=2,$R636=8, $R636=10, $R636=11))</formula>
    </cfRule>
  </conditionalFormatting>
  <conditionalFormatting sqref="L25">
    <cfRule type="expression" dxfId="320" priority="50">
      <formula>AND(IF(COUNTIF($K25, "BME*"),TRUE,FALSE), OR($H25=2,$H25=8, $H25=10, $H25=11))</formula>
    </cfRule>
  </conditionalFormatting>
  <conditionalFormatting sqref="L7">
    <cfRule type="expression" dxfId="319" priority="49">
      <formula>AND(IF(COUNTIF($K7, "BME*"),TRUE,FALSE), OR($H7=2,$H7=8, $H7=10, $H7=11))</formula>
    </cfRule>
  </conditionalFormatting>
  <conditionalFormatting sqref="K600">
    <cfRule type="expression" dxfId="318" priority="48">
      <formula>AND(IF(COUNTIF($K600, "BME*"),TRUE,FALSE), OR($H600=2,$H600=8, $H600=10, $H600=11))</formula>
    </cfRule>
  </conditionalFormatting>
  <conditionalFormatting sqref="K638">
    <cfRule type="expression" dxfId="317" priority="47">
      <formula>AND(IF(COUNTIF($K638, "BME*"),TRUE,FALSE), OR($H638=2,$H638=8, $H638=10, $H638=11))</formula>
    </cfRule>
  </conditionalFormatting>
  <conditionalFormatting sqref="K637">
    <cfRule type="expression" dxfId="316" priority="46">
      <formula>AND(IF(COUNTIF($K637, "BME*"),TRUE,FALSE), OR($H637=2,$H637=8, $H637=10, $H637=11))</formula>
    </cfRule>
  </conditionalFormatting>
  <conditionalFormatting sqref="K599">
    <cfRule type="expression" dxfId="315" priority="45">
      <formula>AND(IF(COUNTIF($K599, "BME*"),TRUE,FALSE), OR($H599=2,$H599=8, $H599=10, $H599=11))</formula>
    </cfRule>
  </conditionalFormatting>
  <conditionalFormatting sqref="K960">
    <cfRule type="expression" dxfId="314" priority="73">
      <formula>AND(IF(COUNTIF($K960, "BME*"),TRUE,FALSE), OR($H962=2,$H962=8, $H962=10, $H962=11))</formula>
    </cfRule>
  </conditionalFormatting>
  <conditionalFormatting sqref="K965 K991">
    <cfRule type="expression" dxfId="313" priority="74">
      <formula>AND(IF(COUNTIF($K965, "BME*"),TRUE,FALSE), OR($H963=2,$H963=8, $H963=10, $H963=11))</formula>
    </cfRule>
  </conditionalFormatting>
  <conditionalFormatting sqref="K987">
    <cfRule type="expression" dxfId="312" priority="44">
      <formula>AND(IF(COUNTIF($K987, "BME*"),TRUE,FALSE), OR($H987=2,$H987=8, $H987=10, $H987=11))</formula>
    </cfRule>
  </conditionalFormatting>
  <conditionalFormatting sqref="K561">
    <cfRule type="expression" dxfId="311" priority="43">
      <formula>AND(IF(COUNTIF($K561, "BME*"),TRUE,FALSE), OR($H561=2,$H561=8, $H561=10, $H561=11))</formula>
    </cfRule>
  </conditionalFormatting>
  <conditionalFormatting sqref="K562">
    <cfRule type="expression" dxfId="310" priority="42">
      <formula>AND(IF(COUNTIF($K562, "BME*"),TRUE,FALSE), OR($H562=2,$H562=8, $H562=10, $H562=11))</formula>
    </cfRule>
  </conditionalFormatting>
  <conditionalFormatting sqref="K584">
    <cfRule type="expression" dxfId="309" priority="41">
      <formula>AND(IF(COUNTIF($K584, "BME*"),TRUE,FALSE), OR($H584=2,$H584=8, $H584=10, $H584=11))</formula>
    </cfRule>
  </conditionalFormatting>
  <conditionalFormatting sqref="K674">
    <cfRule type="expression" dxfId="308" priority="40">
      <formula>AND(IF(COUNTIF($U674, "BME*"),TRUE,FALSE), OR($R674=2,$R674=8, $R674=10, $R674=11))</formula>
    </cfRule>
  </conditionalFormatting>
  <conditionalFormatting sqref="K675">
    <cfRule type="expression" dxfId="307" priority="39">
      <formula>AND(IF(COUNTIF($K675, "BME*"),TRUE,FALSE), OR($H675=2,$H675=8, $H675=10, $H675=11))</formula>
    </cfRule>
  </conditionalFormatting>
  <conditionalFormatting sqref="K676">
    <cfRule type="expression" dxfId="306" priority="38">
      <formula>AND(IF(COUNTIF($K676, "BME*"),TRUE,FALSE), OR($H676=2,$H676=8, $H676=10, $H676=11))</formula>
    </cfRule>
  </conditionalFormatting>
  <conditionalFormatting sqref="K966 K992">
    <cfRule type="expression" dxfId="305" priority="75">
      <formula>AND(IF(COUNTIF($K966, "BME*"),TRUE,FALSE), OR($H962=2,$H962=8, $H962=10, $H962=11))</formula>
    </cfRule>
  </conditionalFormatting>
  <conditionalFormatting sqref="K963">
    <cfRule type="expression" dxfId="304" priority="37">
      <formula>AND(IF(COUNTIF($K963, "BME*"),TRUE,FALSE), OR($H963=2,$H963=8, $H963=10, $H963=11))</formula>
    </cfRule>
  </conditionalFormatting>
  <conditionalFormatting sqref="K989">
    <cfRule type="expression" dxfId="303" priority="36">
      <formula>AND(IF(COUNTIF($K989, "BME*"),TRUE,FALSE), OR($H989=2,$H989=8, $H989=10, $H989=11))</formula>
    </cfRule>
  </conditionalFormatting>
  <conditionalFormatting sqref="L12">
    <cfRule type="expression" dxfId="302" priority="35">
      <formula>AND(IF(COUNTIF($K12, "BME*"),TRUE,FALSE), OR($H12=2,$H12=8, $H12=10, $H12=11))</formula>
    </cfRule>
  </conditionalFormatting>
  <conditionalFormatting sqref="K349:K358">
    <cfRule type="expression" dxfId="301" priority="34">
      <formula>AND(IF(COUNTIF($K349, "BME*"),TRUE,FALSE), OR($H349=2,$H349=8, $H349=10, $H349=11))</formula>
    </cfRule>
  </conditionalFormatting>
  <conditionalFormatting sqref="K360:K369">
    <cfRule type="expression" dxfId="300" priority="33">
      <formula>AND(IF(COUNTIF($K360, "BME*"),TRUE,FALSE), OR($H360=2,$H360=8, $H360=10, $H360=11))</formula>
    </cfRule>
  </conditionalFormatting>
  <conditionalFormatting sqref="K386:K395">
    <cfRule type="expression" dxfId="299" priority="32">
      <formula>AND(IF(COUNTIF($K386, "BME*"),TRUE,FALSE), OR($H386=2,$H386=8, $H386=10, $H386=11))</formula>
    </cfRule>
  </conditionalFormatting>
  <conditionalFormatting sqref="K397:K406">
    <cfRule type="expression" dxfId="298" priority="31">
      <formula>AND(IF(COUNTIF($K397, "BME*"),TRUE,FALSE), OR($H397=2,$H397=8, $H397=10, $H397=11))</formula>
    </cfRule>
  </conditionalFormatting>
  <conditionalFormatting sqref="K408:K417">
    <cfRule type="expression" dxfId="297" priority="30">
      <formula>AND(IF(COUNTIF($K408, "BME*"),TRUE,FALSE), OR($H408=2,$H408=8, $H408=10, $H408=11))</formula>
    </cfRule>
  </conditionalFormatting>
  <conditionalFormatting sqref="K419:K428">
    <cfRule type="expression" dxfId="296" priority="29">
      <formula>AND(IF(COUNTIF($K419, "BME*"),TRUE,FALSE), OR($H419=2,$H419=8, $H419=10, $H419=11))</formula>
    </cfRule>
  </conditionalFormatting>
  <conditionalFormatting sqref="K430:K439">
    <cfRule type="expression" dxfId="295" priority="28">
      <formula>AND(IF(COUNTIF($K430, "BME*"),TRUE,FALSE), OR($H430=2,$H430=8, $H430=10, $H430=11))</formula>
    </cfRule>
  </conditionalFormatting>
  <conditionalFormatting sqref="K441:K450">
    <cfRule type="expression" dxfId="294" priority="27">
      <formula>AND(IF(COUNTIF($K441, "BME*"),TRUE,FALSE), OR($H441=2,$H441=8, $H441=10, $H441=11))</formula>
    </cfRule>
  </conditionalFormatting>
  <conditionalFormatting sqref="K452:K461">
    <cfRule type="expression" dxfId="293" priority="26">
      <formula>AND(IF(COUNTIF($K452, "BME*"),TRUE,FALSE), OR($H452=2,$H452=8, $H452=10, $H452=11))</formula>
    </cfRule>
  </conditionalFormatting>
  <conditionalFormatting sqref="K463:K472">
    <cfRule type="expression" dxfId="292" priority="25">
      <formula>AND(IF(COUNTIF($K463, "BME*"),TRUE,FALSE), OR($H463=2,$H463=8, $H463=10, $H463=11))</formula>
    </cfRule>
  </conditionalFormatting>
  <conditionalFormatting sqref="K474:K483">
    <cfRule type="expression" dxfId="291" priority="24">
      <formula>AND(IF(COUNTIF($K474, "BME*"),TRUE,FALSE), OR($H474=2,$H474=8, $H474=10, $H474=11))</formula>
    </cfRule>
  </conditionalFormatting>
  <conditionalFormatting sqref="K485:K494">
    <cfRule type="expression" dxfId="290" priority="23">
      <formula>AND(IF(COUNTIF($K485, "BME*"),TRUE,FALSE), OR($H485=2,$H485=8, $H485=10, $H485=11))</formula>
    </cfRule>
  </conditionalFormatting>
  <conditionalFormatting sqref="K496:K505">
    <cfRule type="expression" dxfId="289" priority="22">
      <formula>AND(IF(COUNTIF($K496, "BME*"),TRUE,FALSE), OR($H496=2,$H496=8, $H496=10, $H496=11))</formula>
    </cfRule>
  </conditionalFormatting>
  <conditionalFormatting sqref="K507:K516">
    <cfRule type="expression" dxfId="288" priority="21">
      <formula>AND(IF(COUNTIF($K507, "BME*"),TRUE,FALSE), OR($H507=2,$H507=8, $H507=10, $H507=11))</formula>
    </cfRule>
  </conditionalFormatting>
  <conditionalFormatting sqref="K518:K527">
    <cfRule type="expression" dxfId="287" priority="20">
      <formula>AND(IF(COUNTIF($K518, "BME*"),TRUE,FALSE), OR($H518=2,$H518=8, $H518=10, $H518=11))</formula>
    </cfRule>
  </conditionalFormatting>
  <conditionalFormatting sqref="K529:K538">
    <cfRule type="expression" dxfId="286" priority="19">
      <formula>AND(IF(COUNTIF($K529, "BME*"),TRUE,FALSE), OR($H529=2,$H529=8, $H529=10, $H529=11))</formula>
    </cfRule>
  </conditionalFormatting>
  <conditionalFormatting sqref="K540:K549">
    <cfRule type="expression" dxfId="285" priority="18">
      <formula>AND(IF(COUNTIF($K540, "BME*"),TRUE,FALSE), OR($H540=2,$H540=8, $H540=10, $H540=11))</formula>
    </cfRule>
  </conditionalFormatting>
  <conditionalFormatting sqref="K551:K560">
    <cfRule type="expression" dxfId="284" priority="17">
      <formula>AND(IF(COUNTIF($K551, "BME*"),TRUE,FALSE), OR($H551=2,$H551=8, $H551=10, $H551=11))</formula>
    </cfRule>
  </conditionalFormatting>
  <conditionalFormatting sqref="K563:K572">
    <cfRule type="expression" dxfId="283" priority="16">
      <formula>AND(IF(COUNTIF($K563, "BME*"),TRUE,FALSE), OR($H563=2,$H563=8, $H563=10, $H563=11))</formula>
    </cfRule>
  </conditionalFormatting>
  <conditionalFormatting sqref="K574:K583">
    <cfRule type="expression" dxfId="282" priority="15">
      <formula>AND(IF(COUNTIF($K574, "BME*"),TRUE,FALSE), OR($H574=2,$H574=8, $H574=10, $H574=11))</formula>
    </cfRule>
  </conditionalFormatting>
  <conditionalFormatting sqref="C586">
    <cfRule type="expression" dxfId="281" priority="14">
      <formula>AND(IF(COUNTIF($K586, "BME*"),TRUE,FALSE), OR($H586=2,$H586=8, $H586=10, $H586=11))</formula>
    </cfRule>
  </conditionalFormatting>
  <conditionalFormatting sqref="K587:K591 K593:K596">
    <cfRule type="expression" dxfId="280" priority="13">
      <formula>AND(IF(COUNTIF($K587, "BME*"),TRUE,FALSE), OR($H587=2,$H587=8, $H587=10, $H587=11))</formula>
    </cfRule>
  </conditionalFormatting>
  <conditionalFormatting sqref="K592">
    <cfRule type="expression" dxfId="279" priority="12">
      <formula>AND(IF(COUNTIF($K592, "BME*"),TRUE,FALSE), OR($H592=2,$H592=8, $H592=10, $H592=11))</formula>
    </cfRule>
  </conditionalFormatting>
  <conditionalFormatting sqref="C592">
    <cfRule type="expression" dxfId="278" priority="11">
      <formula>AND(IF(COUNTIF($K592, "BME*"),TRUE,FALSE), OR($H592=2,$H592=8, $H592=10, $H592=11))</formula>
    </cfRule>
  </conditionalFormatting>
  <conditionalFormatting sqref="H591:J591">
    <cfRule type="expression" dxfId="277" priority="10">
      <formula>AND(IF(COUNTIF($K591, "BME*"),TRUE,FALSE), OR($H591=2,$H591=8, $H591=10, $H591=11))</formula>
    </cfRule>
  </conditionalFormatting>
  <conditionalFormatting sqref="K733">
    <cfRule type="expression" dxfId="276" priority="9">
      <formula>AND(IF(COUNTIF($K733, "BME*"),TRUE,FALSE), OR($H734=2,$H734=8, $H734=10, $H734=11))</formula>
    </cfRule>
  </conditionalFormatting>
  <conditionalFormatting sqref="K791">
    <cfRule type="expression" dxfId="275" priority="8">
      <formula>AND(IF(COUNTIF($K791, "BME*"),TRUE,FALSE), OR($H792=2,$H792=8, $H792=10, $H792=11))</formula>
    </cfRule>
  </conditionalFormatting>
  <conditionalFormatting sqref="K847">
    <cfRule type="expression" dxfId="274" priority="7">
      <formula>AND(IF(COUNTIF($K847, "BME*"),TRUE,FALSE), OR($H848=2,$H848=8, $H848=10, $H848=11))</formula>
    </cfRule>
  </conditionalFormatting>
  <conditionalFormatting sqref="K936:K948 K915:K934 K902 K904:K913">
    <cfRule type="expression" dxfId="273" priority="5">
      <formula>AND(IF(COUNTIF($K902, "BME*"),TRUE,FALSE), OR($H902=2,$H902=8, $H902=10, $H902=11))</formula>
    </cfRule>
  </conditionalFormatting>
  <conditionalFormatting sqref="K949:K956">
    <cfRule type="expression" dxfId="272" priority="4">
      <formula>AND(IF(COUNTIF($K949, "BME*"),TRUE,FALSE), OR($H949=2,$H949=8, $H949=10, $H949=11))</formula>
    </cfRule>
  </conditionalFormatting>
  <conditionalFormatting sqref="K935">
    <cfRule type="expression" dxfId="271" priority="6">
      <formula>AND(IF(COUNTIF($K935, "BME*"),TRUE,FALSE), OR($H914=2,$H914=8, $H914=10, $H914=11))</formula>
    </cfRule>
  </conditionalFormatting>
  <conditionalFormatting sqref="K903">
    <cfRule type="expression" dxfId="270" priority="3">
      <formula>AND(IF(COUNTIF($K903, "BME*"),TRUE,FALSE), OR($H904=2,$H904=8, $H904=10, $H904=11))</formula>
    </cfRule>
  </conditionalFormatting>
  <conditionalFormatting sqref="S90:S119">
    <cfRule type="expression" dxfId="269" priority="2">
      <formula>$AV90="No Match"</formula>
    </cfRule>
  </conditionalFormatting>
  <conditionalFormatting sqref="K371:K384">
    <cfRule type="expression" dxfId="268" priority="1">
      <formula>AND(IF(COUNTIF($K371, "BME*"),TRUE,FALSE), OR($H371=2,$H371=8, $H371=10, $H371=11))</formula>
    </cfRule>
  </conditionalFormatting>
  <printOptions gridLines="1"/>
  <pageMargins left="0.74803149606299213" right="0.74803149606299213" top="0.98425196850393704" bottom="0.98425196850393704" header="0.51181102362204722" footer="0.51181102362204722"/>
  <pageSetup paperSize="8" scale="52" fitToHeight="0" orientation="landscape" r:id="rId1"/>
  <headerFooter alignWithMargins="0">
    <oddHeader>&amp;C&amp;F</oddHeader>
    <oddFooter>&amp;R&amp;D&amp;C&amp;"Calibri"&amp;11&amp;K000000&amp;Z&amp;F_x000D_&amp;1#&amp;"Calibri"&amp;10&amp;KFFFFFFRioTintoNonBusiness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D48E-2AD6-413F-B299-69B0C460C6D1}">
  <sheetPr codeName="Sheet1">
    <pageSetUpPr fitToPage="1"/>
  </sheetPr>
  <dimension ref="A1:AY1733"/>
  <sheetViews>
    <sheetView tabSelected="1" zoomScale="85" zoomScaleNormal="85" workbookViewId="0">
      <pane ySplit="1" topLeftCell="A2" activePane="bottomLeft" state="frozen"/>
      <selection activeCell="P32" sqref="P32"/>
      <selection pane="bottomLeft" activeCell="P32" sqref="P32"/>
    </sheetView>
  </sheetViews>
  <sheetFormatPr defaultColWidth="9.1796875" defaultRowHeight="13" x14ac:dyDescent="0.3"/>
  <cols>
    <col min="1" max="1" width="12.81640625" style="11" customWidth="1"/>
    <col min="2" max="2" width="11.54296875" style="11" customWidth="1"/>
    <col min="3" max="3" width="8.54296875" style="11" bestFit="1" customWidth="1"/>
    <col min="4" max="4" width="7.54296875" style="11" bestFit="1" customWidth="1"/>
    <col min="5" max="5" width="10" style="263" bestFit="1" customWidth="1"/>
    <col min="6" max="7" width="8.1796875" style="263" bestFit="1" customWidth="1"/>
    <col min="8" max="8" width="7.453125" style="11" bestFit="1" customWidth="1"/>
    <col min="9" max="9" width="6.453125" style="11" bestFit="1" customWidth="1"/>
    <col min="10" max="10" width="13.54296875" style="11" customWidth="1"/>
    <col min="11" max="11" width="14.1796875" style="1" bestFit="1" customWidth="1"/>
    <col min="12" max="12" width="12.453125" style="1" bestFit="1" customWidth="1"/>
    <col min="13" max="13" width="7.1796875" style="1" bestFit="1" customWidth="1"/>
    <col min="14" max="14" width="22.1796875" style="1" bestFit="1" customWidth="1"/>
    <col min="15" max="15" width="9.81640625" style="1" bestFit="1" customWidth="1"/>
    <col min="16" max="16" width="72.453125" style="1" bestFit="1" customWidth="1"/>
    <col min="17" max="17" width="57" style="1" bestFit="1" customWidth="1"/>
    <col min="18" max="18" width="18.54296875" style="1" bestFit="1" customWidth="1"/>
    <col min="19" max="19" width="11.7265625" style="1" bestFit="1" customWidth="1"/>
    <col min="20" max="20" width="25" style="1" bestFit="1" customWidth="1"/>
    <col min="21" max="21" width="11.7265625" style="1" bestFit="1" customWidth="1"/>
    <col min="22" max="22" width="11.81640625" style="1" bestFit="1" customWidth="1"/>
    <col min="23" max="23" width="22.54296875" style="1" customWidth="1"/>
    <col min="24" max="24" width="9.81640625" style="262" bestFit="1" customWidth="1"/>
    <col min="25" max="25" width="47.453125" style="1" bestFit="1" customWidth="1"/>
    <col min="26" max="26" width="7.453125" style="261" bestFit="1" customWidth="1"/>
    <col min="27" max="27" width="7.54296875" style="261" bestFit="1" customWidth="1"/>
    <col min="28" max="28" width="13.1796875" style="1" bestFit="1" customWidth="1"/>
    <col min="29" max="29" width="11.81640625" style="1" bestFit="1" customWidth="1"/>
    <col min="30" max="30" width="12.54296875" style="1" bestFit="1" customWidth="1"/>
    <col min="31" max="31" width="11.453125" style="1" bestFit="1" customWidth="1"/>
    <col min="32" max="32" width="10.453125" style="1" bestFit="1" customWidth="1"/>
    <col min="33" max="33" width="6.7265625" style="15" bestFit="1" customWidth="1"/>
    <col min="34" max="37" width="8.54296875" style="15" bestFit="1" customWidth="1"/>
    <col min="38" max="38" width="6.1796875" style="260" customWidth="1"/>
    <col min="39" max="39" width="12.1796875" style="1" customWidth="1"/>
    <col min="40" max="40" width="13.453125" style="2" bestFit="1" customWidth="1"/>
    <col min="41" max="41" width="12.7265625" style="2" bestFit="1" customWidth="1"/>
    <col min="42" max="42" width="10.453125" style="2" bestFit="1" customWidth="1"/>
    <col min="43" max="43" width="16" style="2" bestFit="1" customWidth="1"/>
    <col min="44" max="51" width="15" style="2" bestFit="1" customWidth="1"/>
    <col min="52" max="16384" width="9.1796875" style="5"/>
  </cols>
  <sheetData>
    <row r="1" spans="1:51" s="83" customFormat="1" ht="14.5" x14ac:dyDescent="0.35">
      <c r="A1" s="83" t="s">
        <v>1157</v>
      </c>
      <c r="B1" s="83" t="s">
        <v>1156</v>
      </c>
      <c r="C1" s="83" t="s">
        <v>1155</v>
      </c>
      <c r="D1" s="83" t="s">
        <v>1154</v>
      </c>
      <c r="E1" s="95" t="s">
        <v>1153</v>
      </c>
      <c r="F1" s="92" t="s">
        <v>1152</v>
      </c>
      <c r="G1" s="92" t="s">
        <v>1151</v>
      </c>
      <c r="H1" s="83" t="s">
        <v>1150</v>
      </c>
      <c r="I1" s="83" t="s">
        <v>1149</v>
      </c>
      <c r="J1" s="83" t="s">
        <v>1148</v>
      </c>
      <c r="K1" s="83" t="s">
        <v>1147</v>
      </c>
      <c r="L1" s="83" t="s">
        <v>1146</v>
      </c>
      <c r="M1" s="83" t="s">
        <v>1134</v>
      </c>
      <c r="N1" s="341" t="s">
        <v>1144</v>
      </c>
      <c r="O1" s="83" t="s">
        <v>1143</v>
      </c>
      <c r="P1" s="341" t="s">
        <v>1142</v>
      </c>
      <c r="Q1" s="83" t="s">
        <v>1141</v>
      </c>
      <c r="R1" s="83" t="s">
        <v>1140</v>
      </c>
      <c r="S1" s="17" t="s">
        <v>1139</v>
      </c>
      <c r="T1" s="17" t="s">
        <v>1138</v>
      </c>
      <c r="U1" s="17" t="s">
        <v>1137</v>
      </c>
      <c r="V1" s="83" t="s">
        <v>1136</v>
      </c>
      <c r="W1" s="83" t="s">
        <v>1135</v>
      </c>
      <c r="X1" s="253" t="s">
        <v>1134</v>
      </c>
      <c r="Y1" s="46" t="s">
        <v>1133</v>
      </c>
      <c r="Z1" s="340" t="s">
        <v>1132</v>
      </c>
      <c r="AA1" s="46" t="s">
        <v>1131</v>
      </c>
      <c r="AB1" s="46" t="s">
        <v>1130</v>
      </c>
      <c r="AC1" s="46" t="s">
        <v>1129</v>
      </c>
      <c r="AD1" s="46" t="s">
        <v>1128</v>
      </c>
      <c r="AE1" s="46" t="s">
        <v>1127</v>
      </c>
      <c r="AF1" s="46" t="s">
        <v>1126</v>
      </c>
      <c r="AG1" s="92" t="s">
        <v>2594</v>
      </c>
      <c r="AH1" s="339" t="s">
        <v>1124</v>
      </c>
      <c r="AI1" s="339" t="s">
        <v>1123</v>
      </c>
      <c r="AJ1" s="339" t="s">
        <v>1122</v>
      </c>
      <c r="AK1" s="339" t="s">
        <v>1121</v>
      </c>
      <c r="AL1" s="284"/>
      <c r="AM1" s="94"/>
      <c r="AN1" s="257" t="s">
        <v>1120</v>
      </c>
      <c r="AO1" s="257" t="s">
        <v>1119</v>
      </c>
      <c r="AP1" s="257" t="s">
        <v>1118</v>
      </c>
      <c r="AQ1" s="257" t="s">
        <v>1117</v>
      </c>
      <c r="AR1" s="257" t="s">
        <v>1116</v>
      </c>
      <c r="AS1" s="257" t="s">
        <v>1115</v>
      </c>
      <c r="AT1" s="257" t="s">
        <v>1114</v>
      </c>
      <c r="AU1" s="257" t="s">
        <v>1113</v>
      </c>
      <c r="AV1" s="257" t="s">
        <v>1112</v>
      </c>
      <c r="AW1" s="257" t="s">
        <v>1111</v>
      </c>
      <c r="AX1" s="257" t="s">
        <v>1110</v>
      </c>
      <c r="AY1" s="257" t="s">
        <v>1109</v>
      </c>
    </row>
    <row r="2" spans="1:51" s="83" customFormat="1" ht="15.5" x14ac:dyDescent="0.35">
      <c r="A2" s="256"/>
      <c r="B2" s="96" t="s">
        <v>2593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87"/>
      <c r="O2" s="256"/>
      <c r="P2" s="287"/>
      <c r="Q2" s="256"/>
      <c r="R2" s="256"/>
      <c r="S2" s="256"/>
      <c r="T2" s="256"/>
      <c r="U2" s="256"/>
      <c r="V2" s="256"/>
      <c r="W2" s="256"/>
      <c r="X2" s="256"/>
      <c r="Y2" s="256"/>
      <c r="Z2" s="46"/>
      <c r="AA2" s="46"/>
      <c r="AB2" s="46"/>
      <c r="AC2" s="46"/>
      <c r="AD2" s="46"/>
      <c r="AE2" s="46"/>
      <c r="AF2" s="46"/>
      <c r="AG2" s="92"/>
      <c r="AH2" s="92"/>
      <c r="AI2" s="92"/>
      <c r="AJ2" s="92"/>
      <c r="AK2" s="92"/>
      <c r="AL2" s="284"/>
      <c r="AM2" s="94"/>
      <c r="AN2" s="18"/>
      <c r="AO2" s="18"/>
      <c r="AP2" s="18"/>
      <c r="AQ2" s="18"/>
      <c r="AR2" s="18"/>
      <c r="AS2" s="17"/>
      <c r="AT2" s="17"/>
      <c r="AU2" s="18"/>
      <c r="AV2" s="17"/>
      <c r="AW2" s="17"/>
      <c r="AX2" s="17"/>
      <c r="AY2" s="17"/>
    </row>
    <row r="3" spans="1:51" s="83" customFormat="1" x14ac:dyDescent="0.3">
      <c r="E3" s="95"/>
      <c r="F3" s="94"/>
      <c r="G3" s="94"/>
      <c r="Y3" s="46"/>
      <c r="Z3" s="46"/>
      <c r="AA3" s="46"/>
      <c r="AB3" s="46"/>
      <c r="AC3" s="46"/>
      <c r="AD3" s="46"/>
      <c r="AE3" s="46"/>
      <c r="AF3" s="46"/>
      <c r="AG3" s="92"/>
      <c r="AH3" s="92"/>
      <c r="AI3" s="92"/>
      <c r="AJ3" s="92"/>
      <c r="AK3" s="92"/>
      <c r="AL3" s="284"/>
      <c r="AM3" s="94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spans="1:51" s="83" customFormat="1" ht="13.5" thickBot="1" x14ac:dyDescent="0.35">
      <c r="E4" s="95"/>
      <c r="F4" s="94"/>
      <c r="G4" s="94"/>
      <c r="Y4" s="46"/>
      <c r="Z4" s="46"/>
      <c r="AA4" s="46"/>
      <c r="AB4" s="46"/>
      <c r="AC4" s="46"/>
      <c r="AD4" s="46"/>
      <c r="AE4" s="46"/>
      <c r="AF4" s="46"/>
      <c r="AG4" s="92"/>
      <c r="AH4" s="92"/>
      <c r="AI4" s="92"/>
      <c r="AJ4" s="92"/>
      <c r="AK4" s="92"/>
      <c r="AL4" s="284"/>
      <c r="AM4" s="94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spans="1:51" s="33" customFormat="1" ht="13.5" thickBot="1" x14ac:dyDescent="0.35">
      <c r="A5" s="162" t="s">
        <v>2592</v>
      </c>
      <c r="B5" s="17" t="s">
        <v>2567</v>
      </c>
      <c r="C5" s="18" t="s">
        <v>723</v>
      </c>
      <c r="D5" s="18">
        <v>132</v>
      </c>
      <c r="E5" s="84">
        <v>2</v>
      </c>
      <c r="F5" s="84">
        <v>3</v>
      </c>
      <c r="G5" s="84">
        <v>0</v>
      </c>
      <c r="H5" s="214"/>
      <c r="I5" s="245"/>
      <c r="J5" s="244"/>
      <c r="K5" s="18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20"/>
      <c r="Z5" s="20"/>
      <c r="AA5" s="20"/>
      <c r="AB5" s="20"/>
      <c r="AC5" s="20"/>
      <c r="AD5" s="20"/>
      <c r="AE5" s="20"/>
      <c r="AF5" s="20"/>
      <c r="AG5" s="92"/>
      <c r="AH5" s="92"/>
      <c r="AI5" s="92"/>
      <c r="AJ5" s="92"/>
      <c r="AK5" s="92"/>
      <c r="AL5" s="284"/>
      <c r="AM5" s="17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 s="33" customFormat="1" ht="13.5" thickBot="1" x14ac:dyDescent="0.35">
      <c r="A6" s="268" t="s">
        <v>2289</v>
      </c>
      <c r="B6" s="17" t="s">
        <v>2567</v>
      </c>
      <c r="C6" s="18" t="str">
        <f>+C5</f>
        <v>DIO1</v>
      </c>
      <c r="D6" s="18">
        <v>132</v>
      </c>
      <c r="E6" s="84">
        <v>2</v>
      </c>
      <c r="F6" s="84">
        <f>+F5</f>
        <v>3</v>
      </c>
      <c r="G6" s="84">
        <v>0</v>
      </c>
      <c r="H6" s="83"/>
      <c r="I6" s="245" t="s">
        <v>1090</v>
      </c>
      <c r="J6" s="246"/>
      <c r="K6" s="17" t="s">
        <v>1089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20"/>
      <c r="Z6" s="20"/>
      <c r="AA6" s="20"/>
      <c r="AB6" s="20"/>
      <c r="AC6" s="20"/>
      <c r="AD6" s="20"/>
      <c r="AE6" s="20"/>
      <c r="AF6" s="20"/>
      <c r="AG6" s="92"/>
      <c r="AH6" s="92"/>
      <c r="AI6" s="92"/>
      <c r="AJ6" s="92"/>
      <c r="AK6" s="92"/>
      <c r="AL6" s="284"/>
      <c r="AM6" s="17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 s="33" customFormat="1" ht="13.5" thickBot="1" x14ac:dyDescent="0.35">
      <c r="A7" s="268" t="s">
        <v>2289</v>
      </c>
      <c r="B7" s="17" t="s">
        <v>2567</v>
      </c>
      <c r="C7" s="18" t="str">
        <f>+C6</f>
        <v>DIO1</v>
      </c>
      <c r="D7" s="18">
        <v>132</v>
      </c>
      <c r="E7" s="84">
        <v>2</v>
      </c>
      <c r="F7" s="84">
        <f>+F6</f>
        <v>3</v>
      </c>
      <c r="G7" s="84">
        <v>0</v>
      </c>
      <c r="H7" s="83"/>
      <c r="I7" s="245" t="s">
        <v>1088</v>
      </c>
      <c r="J7" s="246"/>
      <c r="K7" s="18" t="s">
        <v>1087</v>
      </c>
      <c r="L7" s="83"/>
      <c r="M7" s="242" t="s">
        <v>1086</v>
      </c>
      <c r="N7" s="84"/>
      <c r="O7" s="242" t="s">
        <v>1085</v>
      </c>
      <c r="P7" s="84"/>
      <c r="Q7" s="242" t="s">
        <v>1084</v>
      </c>
      <c r="R7" s="83"/>
      <c r="S7" s="83"/>
      <c r="T7" s="83"/>
      <c r="U7" s="83"/>
      <c r="V7" s="83"/>
      <c r="W7" s="83"/>
      <c r="X7" s="83"/>
      <c r="Y7" s="20"/>
      <c r="Z7" s="20"/>
      <c r="AA7" s="20"/>
      <c r="AB7" s="20"/>
      <c r="AC7" s="20"/>
      <c r="AD7" s="20"/>
      <c r="AE7" s="20"/>
      <c r="AF7" s="20"/>
      <c r="AG7" s="92"/>
      <c r="AH7" s="92"/>
      <c r="AI7" s="92"/>
      <c r="AJ7" s="92"/>
      <c r="AK7" s="92"/>
      <c r="AL7" s="284"/>
      <c r="AM7" s="17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 s="33" customFormat="1" ht="13.5" thickBot="1" x14ac:dyDescent="0.35">
      <c r="A8" s="268" t="s">
        <v>2289</v>
      </c>
      <c r="B8" s="17" t="s">
        <v>2567</v>
      </c>
      <c r="C8" s="18" t="str">
        <f>+C7</f>
        <v>DIO1</v>
      </c>
      <c r="D8" s="18">
        <v>132</v>
      </c>
      <c r="E8" s="84">
        <v>2</v>
      </c>
      <c r="F8" s="84">
        <f>+F7</f>
        <v>3</v>
      </c>
      <c r="G8" s="84">
        <v>0</v>
      </c>
      <c r="H8" s="65">
        <v>0</v>
      </c>
      <c r="I8" s="245" t="s">
        <v>1083</v>
      </c>
      <c r="J8" s="244"/>
      <c r="K8" s="17" t="s">
        <v>1082</v>
      </c>
      <c r="L8" s="99" t="s">
        <v>1314</v>
      </c>
      <c r="M8" s="242">
        <f>+COUNTA(L9:L84)</f>
        <v>40</v>
      </c>
      <c r="N8" s="84"/>
      <c r="O8" s="242">
        <f>+COUNTBLANK(O9:O84)</f>
        <v>56</v>
      </c>
      <c r="P8" s="84"/>
      <c r="Q8" s="241">
        <f>+O8/M8</f>
        <v>1.4</v>
      </c>
      <c r="R8" s="17"/>
      <c r="S8" s="17"/>
      <c r="T8" s="17"/>
      <c r="U8" s="17"/>
      <c r="V8" s="17"/>
      <c r="W8" s="17"/>
      <c r="X8" s="17"/>
      <c r="Y8" s="20"/>
      <c r="Z8" s="20"/>
      <c r="AA8" s="20"/>
      <c r="AB8" s="20"/>
      <c r="AC8" s="20"/>
      <c r="AD8" s="20"/>
      <c r="AE8" s="20"/>
      <c r="AF8" s="20"/>
      <c r="AG8" s="64"/>
      <c r="AH8" s="64"/>
      <c r="AI8" s="64"/>
      <c r="AJ8" s="64"/>
      <c r="AK8" s="64"/>
      <c r="AL8" s="264"/>
      <c r="AM8" s="17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1" s="33" customFormat="1" ht="14.5" x14ac:dyDescent="0.35">
      <c r="A9" s="268" t="s">
        <v>2289</v>
      </c>
      <c r="B9" s="17" t="s">
        <v>2567</v>
      </c>
      <c r="C9" s="18" t="str">
        <f>+C8</f>
        <v>DIO1</v>
      </c>
      <c r="D9" s="18">
        <v>132</v>
      </c>
      <c r="E9" s="84">
        <v>2</v>
      </c>
      <c r="F9" s="84">
        <f>+F8</f>
        <v>3</v>
      </c>
      <c r="G9" s="84">
        <v>0</v>
      </c>
      <c r="H9" s="214">
        <f>+H8+1</f>
        <v>1</v>
      </c>
      <c r="I9" s="188">
        <v>0</v>
      </c>
      <c r="J9" s="205" t="s">
        <v>767</v>
      </c>
      <c r="K9" s="18" t="s">
        <v>766</v>
      </c>
      <c r="L9" s="17" t="s">
        <v>323</v>
      </c>
      <c r="M9" s="18">
        <v>4</v>
      </c>
      <c r="N9" s="59"/>
      <c r="O9" s="18" t="s">
        <v>646</v>
      </c>
      <c r="P9" s="59"/>
      <c r="Q9" s="18" t="s">
        <v>2591</v>
      </c>
      <c r="R9" s="18" t="s">
        <v>247</v>
      </c>
      <c r="S9" s="97" t="s">
        <v>1312</v>
      </c>
      <c r="T9" s="17" t="s">
        <v>146</v>
      </c>
      <c r="U9" s="17"/>
      <c r="V9" s="17" t="str">
        <f>+CONCATENATE(E9,".",F9,"\",G9,".",H9,":",I9)</f>
        <v>2.3\0.1:0</v>
      </c>
      <c r="W9" s="17" t="s">
        <v>2589</v>
      </c>
      <c r="X9" s="17">
        <v>0</v>
      </c>
      <c r="Y9" s="20"/>
      <c r="Z9" s="20" t="s">
        <v>1200</v>
      </c>
      <c r="AA9" s="20"/>
      <c r="AB9" s="20"/>
      <c r="AC9" s="20"/>
      <c r="AD9" s="20"/>
      <c r="AE9" s="20"/>
      <c r="AF9" s="20"/>
      <c r="AG9" s="327" t="s">
        <v>1079</v>
      </c>
      <c r="AH9" s="327"/>
      <c r="AI9" s="327">
        <v>1</v>
      </c>
      <c r="AJ9" s="97"/>
      <c r="AK9" s="97"/>
      <c r="AL9" s="264"/>
      <c r="AM9" s="84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1" s="33" customFormat="1" ht="14.5" x14ac:dyDescent="0.35">
      <c r="A10" s="63" t="str">
        <f>A9</f>
        <v>BBD131</v>
      </c>
      <c r="B10" s="17" t="s">
        <v>2567</v>
      </c>
      <c r="C10" s="18" t="str">
        <f>+C9</f>
        <v>DIO1</v>
      </c>
      <c r="D10" s="18">
        <v>132</v>
      </c>
      <c r="E10" s="84">
        <v>2</v>
      </c>
      <c r="F10" s="84">
        <f>+F9</f>
        <v>3</v>
      </c>
      <c r="G10" s="84">
        <v>0</v>
      </c>
      <c r="H10" s="200">
        <f>H9</f>
        <v>1</v>
      </c>
      <c r="I10" s="187">
        <f>+I9+1</f>
        <v>1</v>
      </c>
      <c r="J10" s="205"/>
      <c r="K10" s="17"/>
      <c r="L10" s="17" t="s">
        <v>323</v>
      </c>
      <c r="M10" s="18">
        <v>4</v>
      </c>
      <c r="N10" s="59"/>
      <c r="O10" s="97" t="s">
        <v>770</v>
      </c>
      <c r="P10" s="59"/>
      <c r="Q10" s="283" t="s">
        <v>1311</v>
      </c>
      <c r="R10" s="97" t="s">
        <v>211</v>
      </c>
      <c r="S10" s="97" t="s">
        <v>1310</v>
      </c>
      <c r="T10" s="17" t="s">
        <v>146</v>
      </c>
      <c r="U10" s="17"/>
      <c r="V10" s="17" t="str">
        <f>+CONCATENATE(E10,".",F10,"\",G10,".",H10,":",I10)</f>
        <v>2.3\0.1:1</v>
      </c>
      <c r="W10" s="17" t="s">
        <v>2589</v>
      </c>
      <c r="X10" s="17">
        <v>0</v>
      </c>
      <c r="Y10" s="20"/>
      <c r="Z10" s="20" t="s">
        <v>1200</v>
      </c>
      <c r="AA10" s="20"/>
      <c r="AB10" s="20"/>
      <c r="AC10" s="20"/>
      <c r="AD10" s="20"/>
      <c r="AE10" s="20"/>
      <c r="AF10" s="20"/>
      <c r="AG10" s="327" t="s">
        <v>1079</v>
      </c>
      <c r="AH10" s="327"/>
      <c r="AI10" s="327">
        <v>2</v>
      </c>
      <c r="AJ10" s="97"/>
      <c r="AK10" s="97"/>
      <c r="AL10" s="282"/>
      <c r="AM10" s="84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 s="33" customFormat="1" ht="14.5" x14ac:dyDescent="0.35">
      <c r="A11" s="63" t="str">
        <f>A10</f>
        <v>BBD131</v>
      </c>
      <c r="B11" s="17" t="s">
        <v>2567</v>
      </c>
      <c r="C11" s="18" t="str">
        <f>+C10</f>
        <v>DIO1</v>
      </c>
      <c r="D11" s="18">
        <v>132</v>
      </c>
      <c r="E11" s="84">
        <v>2</v>
      </c>
      <c r="F11" s="84">
        <f>+F10</f>
        <v>3</v>
      </c>
      <c r="G11" s="84">
        <v>0</v>
      </c>
      <c r="H11" s="200">
        <f>H9</f>
        <v>1</v>
      </c>
      <c r="I11" s="187">
        <f>+I10+1</f>
        <v>2</v>
      </c>
      <c r="J11" s="205"/>
      <c r="K11" s="79"/>
      <c r="L11" s="17" t="s">
        <v>323</v>
      </c>
      <c r="M11" s="18">
        <v>4</v>
      </c>
      <c r="N11" s="59"/>
      <c r="O11" s="97" t="s">
        <v>837</v>
      </c>
      <c r="P11" s="59"/>
      <c r="Q11" s="17" t="s">
        <v>1309</v>
      </c>
      <c r="R11" s="97" t="s">
        <v>211</v>
      </c>
      <c r="S11" s="97" t="s">
        <v>1308</v>
      </c>
      <c r="T11" s="17" t="s">
        <v>146</v>
      </c>
      <c r="U11" s="17"/>
      <c r="V11" s="17" t="str">
        <f>+CONCATENATE(E11,".",F11,"\",G11,".",H11,":",I11)</f>
        <v>2.3\0.1:2</v>
      </c>
      <c r="W11" s="17" t="s">
        <v>2589</v>
      </c>
      <c r="X11" s="17">
        <v>0</v>
      </c>
      <c r="Y11" s="20"/>
      <c r="Z11" s="20" t="s">
        <v>1200</v>
      </c>
      <c r="AA11" s="20"/>
      <c r="AB11" s="20"/>
      <c r="AC11" s="20"/>
      <c r="AD11" s="20"/>
      <c r="AE11" s="20"/>
      <c r="AF11" s="20"/>
      <c r="AG11" s="327" t="s">
        <v>1079</v>
      </c>
      <c r="AH11" s="327"/>
      <c r="AI11" s="327">
        <v>3</v>
      </c>
      <c r="AJ11" s="97"/>
      <c r="AK11" s="97"/>
      <c r="AL11" s="282"/>
      <c r="AM11" s="84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 s="33" customFormat="1" ht="14.5" x14ac:dyDescent="0.35">
      <c r="A12" s="63" t="str">
        <f>A11</f>
        <v>BBD131</v>
      </c>
      <c r="B12" s="17" t="s">
        <v>2567</v>
      </c>
      <c r="C12" s="18" t="str">
        <f>+C11</f>
        <v>DIO1</v>
      </c>
      <c r="D12" s="18">
        <v>132</v>
      </c>
      <c r="E12" s="84">
        <v>2</v>
      </c>
      <c r="F12" s="84">
        <f>+F11</f>
        <v>3</v>
      </c>
      <c r="G12" s="84">
        <v>0</v>
      </c>
      <c r="H12" s="200">
        <f>H9</f>
        <v>1</v>
      </c>
      <c r="I12" s="187">
        <f>+I11+1</f>
        <v>3</v>
      </c>
      <c r="J12" s="205"/>
      <c r="K12" s="79"/>
      <c r="L12" s="17" t="s">
        <v>323</v>
      </c>
      <c r="M12" s="18">
        <v>4</v>
      </c>
      <c r="N12" s="59"/>
      <c r="O12" s="97" t="s">
        <v>832</v>
      </c>
      <c r="P12" s="59"/>
      <c r="Q12" s="17" t="s">
        <v>1307</v>
      </c>
      <c r="R12" s="97" t="s">
        <v>211</v>
      </c>
      <c r="S12" s="97" t="s">
        <v>1306</v>
      </c>
      <c r="T12" s="17" t="s">
        <v>146</v>
      </c>
      <c r="U12" s="17"/>
      <c r="V12" s="17" t="str">
        <f>+CONCATENATE(E12,".",F12,"\",G12,".",H12,":",I12)</f>
        <v>2.3\0.1:3</v>
      </c>
      <c r="W12" s="17" t="s">
        <v>2589</v>
      </c>
      <c r="X12" s="17">
        <v>0</v>
      </c>
      <c r="Y12" s="20"/>
      <c r="Z12" s="20" t="s">
        <v>1200</v>
      </c>
      <c r="AA12" s="20"/>
      <c r="AB12" s="20"/>
      <c r="AC12" s="20"/>
      <c r="AD12" s="20"/>
      <c r="AE12" s="20"/>
      <c r="AF12" s="20"/>
      <c r="AG12" s="327" t="s">
        <v>1079</v>
      </c>
      <c r="AH12" s="327"/>
      <c r="AI12" s="327">
        <v>4</v>
      </c>
      <c r="AJ12" s="97"/>
      <c r="AK12" s="97"/>
      <c r="AL12" s="282"/>
      <c r="AM12" s="84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1" s="33" customFormat="1" ht="14.5" x14ac:dyDescent="0.35">
      <c r="A13" s="63" t="str">
        <f>A12</f>
        <v>BBD131</v>
      </c>
      <c r="B13" s="17" t="s">
        <v>2567</v>
      </c>
      <c r="C13" s="18" t="str">
        <f>+C12</f>
        <v>DIO1</v>
      </c>
      <c r="D13" s="18">
        <v>132</v>
      </c>
      <c r="E13" s="84">
        <v>2</v>
      </c>
      <c r="F13" s="84">
        <f>+F12</f>
        <v>3</v>
      </c>
      <c r="G13" s="84">
        <v>0</v>
      </c>
      <c r="H13" s="200">
        <f>H10</f>
        <v>1</v>
      </c>
      <c r="I13" s="187">
        <f>+I12+1</f>
        <v>4</v>
      </c>
      <c r="J13" s="205"/>
      <c r="K13" s="79"/>
      <c r="L13" s="17" t="s">
        <v>323</v>
      </c>
      <c r="M13" s="18">
        <v>4</v>
      </c>
      <c r="N13" s="59"/>
      <c r="O13" s="97" t="s">
        <v>828</v>
      </c>
      <c r="P13" s="59"/>
      <c r="Q13" s="17" t="s">
        <v>1305</v>
      </c>
      <c r="R13" s="97" t="s">
        <v>211</v>
      </c>
      <c r="S13" s="97" t="s">
        <v>1304</v>
      </c>
      <c r="T13" s="17" t="s">
        <v>146</v>
      </c>
      <c r="U13" s="17"/>
      <c r="V13" s="17" t="str">
        <f>+CONCATENATE(E13,".",F13,"\",G13,".",H13,":",I13)</f>
        <v>2.3\0.1:4</v>
      </c>
      <c r="W13" s="17" t="s">
        <v>2589</v>
      </c>
      <c r="X13" s="17">
        <v>0</v>
      </c>
      <c r="Y13" s="20"/>
      <c r="Z13" s="20" t="s">
        <v>1200</v>
      </c>
      <c r="AA13" s="20"/>
      <c r="AB13" s="20"/>
      <c r="AC13" s="20"/>
      <c r="AD13" s="20"/>
      <c r="AE13" s="20"/>
      <c r="AF13" s="20"/>
      <c r="AG13" s="327" t="s">
        <v>1079</v>
      </c>
      <c r="AH13" s="327"/>
      <c r="AI13" s="327">
        <v>5</v>
      </c>
      <c r="AJ13" s="97"/>
      <c r="AK13" s="97"/>
      <c r="AL13" s="264"/>
      <c r="AM13" s="84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 s="33" customFormat="1" ht="14.5" x14ac:dyDescent="0.35">
      <c r="A14" s="63" t="str">
        <f>A13</f>
        <v>BBD131</v>
      </c>
      <c r="B14" s="17" t="s">
        <v>2567</v>
      </c>
      <c r="C14" s="18" t="str">
        <f>+C13</f>
        <v>DIO1</v>
      </c>
      <c r="D14" s="18">
        <v>132</v>
      </c>
      <c r="E14" s="84">
        <v>2</v>
      </c>
      <c r="F14" s="84">
        <f>+F13</f>
        <v>3</v>
      </c>
      <c r="G14" s="84">
        <v>0</v>
      </c>
      <c r="H14" s="200">
        <f>H11</f>
        <v>1</v>
      </c>
      <c r="I14" s="187">
        <f>+I13+1</f>
        <v>5</v>
      </c>
      <c r="J14" s="205"/>
      <c r="K14" s="79"/>
      <c r="L14" s="17" t="s">
        <v>323</v>
      </c>
      <c r="M14" s="18">
        <v>4</v>
      </c>
      <c r="N14" s="59"/>
      <c r="O14" s="97" t="s">
        <v>824</v>
      </c>
      <c r="P14" s="59"/>
      <c r="Q14" s="17" t="s">
        <v>2590</v>
      </c>
      <c r="R14" s="97" t="s">
        <v>211</v>
      </c>
      <c r="S14" s="97" t="s">
        <v>1302</v>
      </c>
      <c r="T14" s="17" t="s">
        <v>146</v>
      </c>
      <c r="U14" s="17"/>
      <c r="V14" s="17" t="str">
        <f>+CONCATENATE(E14,".",F14,"\",G14,".",H14,":",I14)</f>
        <v>2.3\0.1:5</v>
      </c>
      <c r="W14" s="17" t="s">
        <v>2589</v>
      </c>
      <c r="X14" s="17">
        <v>0</v>
      </c>
      <c r="Y14" s="20"/>
      <c r="Z14" s="20" t="s">
        <v>1200</v>
      </c>
      <c r="AA14" s="20"/>
      <c r="AB14" s="20"/>
      <c r="AC14" s="20"/>
      <c r="AD14" s="20"/>
      <c r="AE14" s="20"/>
      <c r="AF14" s="20"/>
      <c r="AG14" s="327" t="s">
        <v>1079</v>
      </c>
      <c r="AH14" s="327"/>
      <c r="AI14" s="327">
        <v>6</v>
      </c>
      <c r="AJ14" s="97"/>
      <c r="AK14" s="97"/>
      <c r="AL14" s="264"/>
      <c r="AM14" s="84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 s="33" customFormat="1" ht="14.5" x14ac:dyDescent="0.35">
      <c r="A15" s="63" t="str">
        <f>A14</f>
        <v>BBD131</v>
      </c>
      <c r="B15" s="17" t="s">
        <v>2567</v>
      </c>
      <c r="C15" s="18" t="str">
        <f>+C14</f>
        <v>DIO1</v>
      </c>
      <c r="D15" s="18">
        <v>132</v>
      </c>
      <c r="E15" s="84">
        <v>2</v>
      </c>
      <c r="F15" s="84">
        <f>+F14</f>
        <v>3</v>
      </c>
      <c r="G15" s="84">
        <v>0</v>
      </c>
      <c r="H15" s="200">
        <f>H12</f>
        <v>1</v>
      </c>
      <c r="I15" s="187">
        <f>+I14+1</f>
        <v>6</v>
      </c>
      <c r="J15" s="205"/>
      <c r="K15" s="79"/>
      <c r="L15" s="17" t="s">
        <v>323</v>
      </c>
      <c r="M15" s="18">
        <v>4</v>
      </c>
      <c r="N15" s="59"/>
      <c r="O15" s="97" t="s">
        <v>820</v>
      </c>
      <c r="P15" s="59"/>
      <c r="Q15" s="17" t="s">
        <v>1295</v>
      </c>
      <c r="R15" s="97" t="s">
        <v>211</v>
      </c>
      <c r="S15" s="97" t="s">
        <v>1300</v>
      </c>
      <c r="T15" s="17" t="s">
        <v>146</v>
      </c>
      <c r="U15" s="17"/>
      <c r="V15" s="17" t="str">
        <f>+CONCATENATE(E15,".",F15,"\",G15,".",H15,":",I15)</f>
        <v>2.3\0.1:6</v>
      </c>
      <c r="W15" s="17" t="s">
        <v>2589</v>
      </c>
      <c r="X15" s="17">
        <v>0</v>
      </c>
      <c r="Y15" s="20"/>
      <c r="Z15" s="20" t="s">
        <v>1200</v>
      </c>
      <c r="AA15" s="20"/>
      <c r="AB15" s="20"/>
      <c r="AC15" s="20"/>
      <c r="AD15" s="20"/>
      <c r="AE15" s="20"/>
      <c r="AF15" s="20"/>
      <c r="AG15" s="327" t="s">
        <v>1079</v>
      </c>
      <c r="AH15" s="327"/>
      <c r="AI15" s="327">
        <v>7</v>
      </c>
      <c r="AJ15" s="97"/>
      <c r="AK15" s="97"/>
      <c r="AL15" s="264"/>
      <c r="AM15" s="84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 s="33" customFormat="1" ht="14.5" x14ac:dyDescent="0.35">
      <c r="A16" s="63" t="str">
        <f>A15</f>
        <v>BBD131</v>
      </c>
      <c r="B16" s="17" t="s">
        <v>2567</v>
      </c>
      <c r="C16" s="18" t="str">
        <f>+C15</f>
        <v>DIO1</v>
      </c>
      <c r="D16" s="18">
        <v>132</v>
      </c>
      <c r="E16" s="84">
        <v>2</v>
      </c>
      <c r="F16" s="84">
        <f>+F15</f>
        <v>3</v>
      </c>
      <c r="G16" s="84">
        <v>0</v>
      </c>
      <c r="H16" s="200">
        <f>H13</f>
        <v>1</v>
      </c>
      <c r="I16" s="187">
        <f>+I15+1</f>
        <v>7</v>
      </c>
      <c r="J16" s="205"/>
      <c r="K16" s="79"/>
      <c r="L16" s="17" t="s">
        <v>323</v>
      </c>
      <c r="M16" s="18">
        <v>4</v>
      </c>
      <c r="N16" s="59"/>
      <c r="O16" s="97" t="s">
        <v>817</v>
      </c>
      <c r="P16" s="59"/>
      <c r="Q16" s="17" t="s">
        <v>1295</v>
      </c>
      <c r="R16" s="97" t="s">
        <v>211</v>
      </c>
      <c r="S16" s="97" t="s">
        <v>976</v>
      </c>
      <c r="T16" s="17" t="s">
        <v>146</v>
      </c>
      <c r="U16" s="17"/>
      <c r="V16" s="17" t="str">
        <f>+CONCATENATE(E16,".",F16,"\",G16,".",H16,":",I16)</f>
        <v>2.3\0.1:7</v>
      </c>
      <c r="W16" s="17" t="s">
        <v>2589</v>
      </c>
      <c r="X16" s="17">
        <v>0</v>
      </c>
      <c r="Y16" s="20"/>
      <c r="Z16" s="20" t="s">
        <v>1200</v>
      </c>
      <c r="AA16" s="20"/>
      <c r="AB16" s="20"/>
      <c r="AC16" s="20"/>
      <c r="AD16" s="20"/>
      <c r="AE16" s="20"/>
      <c r="AF16" s="20"/>
      <c r="AG16" s="327" t="s">
        <v>1079</v>
      </c>
      <c r="AH16" s="327"/>
      <c r="AI16" s="327">
        <v>8</v>
      </c>
      <c r="AJ16" s="97"/>
      <c r="AK16" s="97"/>
      <c r="AL16" s="264"/>
      <c r="AM16" s="84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1" s="33" customFormat="1" ht="14.5" x14ac:dyDescent="0.35">
      <c r="A17" s="63" t="str">
        <f>A16</f>
        <v>BBD131</v>
      </c>
      <c r="B17" s="17" t="s">
        <v>2567</v>
      </c>
      <c r="C17" s="18" t="str">
        <f>+C16</f>
        <v>DIO1</v>
      </c>
      <c r="D17" s="18">
        <v>132</v>
      </c>
      <c r="E17" s="84">
        <v>2</v>
      </c>
      <c r="F17" s="84">
        <f>+F16</f>
        <v>3</v>
      </c>
      <c r="G17" s="84">
        <v>0</v>
      </c>
      <c r="H17" s="200">
        <f>H14</f>
        <v>1</v>
      </c>
      <c r="I17" s="187">
        <f>+I16+1</f>
        <v>8</v>
      </c>
      <c r="J17" s="205"/>
      <c r="K17" s="79"/>
      <c r="L17" s="17" t="s">
        <v>323</v>
      </c>
      <c r="M17" s="18">
        <v>4</v>
      </c>
      <c r="N17" s="59"/>
      <c r="O17" s="97" t="s">
        <v>814</v>
      </c>
      <c r="P17" s="59"/>
      <c r="Q17" s="17" t="s">
        <v>1295</v>
      </c>
      <c r="R17" s="97" t="s">
        <v>211</v>
      </c>
      <c r="S17" s="97" t="s">
        <v>1298</v>
      </c>
      <c r="T17" s="17" t="s">
        <v>146</v>
      </c>
      <c r="U17" s="17"/>
      <c r="V17" s="17" t="str">
        <f>+CONCATENATE(E17,".",F17,"\",G17,".",H17,":",I17)</f>
        <v>2.3\0.1:8</v>
      </c>
      <c r="W17" s="17" t="s">
        <v>2589</v>
      </c>
      <c r="X17" s="17">
        <v>0</v>
      </c>
      <c r="Y17" s="20"/>
      <c r="Z17" s="20" t="s">
        <v>1200</v>
      </c>
      <c r="AA17" s="20"/>
      <c r="AB17" s="20"/>
      <c r="AC17" s="20"/>
      <c r="AD17" s="20"/>
      <c r="AE17" s="20"/>
      <c r="AF17" s="20"/>
      <c r="AG17" s="327" t="s">
        <v>1079</v>
      </c>
      <c r="AH17" s="327"/>
      <c r="AI17" s="327">
        <v>9</v>
      </c>
      <c r="AJ17" s="97"/>
      <c r="AK17" s="97"/>
      <c r="AL17" s="264"/>
      <c r="AM17" s="84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 s="33" customFormat="1" ht="14.5" x14ac:dyDescent="0.35">
      <c r="A18" s="63" t="str">
        <f>A17</f>
        <v>BBD131</v>
      </c>
      <c r="B18" s="17" t="s">
        <v>2567</v>
      </c>
      <c r="C18" s="18" t="str">
        <f>+C17</f>
        <v>DIO1</v>
      </c>
      <c r="D18" s="18">
        <v>132</v>
      </c>
      <c r="E18" s="84">
        <v>2</v>
      </c>
      <c r="F18" s="84">
        <f>+F17</f>
        <v>3</v>
      </c>
      <c r="G18" s="84">
        <v>0</v>
      </c>
      <c r="H18" s="200">
        <f>H15</f>
        <v>1</v>
      </c>
      <c r="I18" s="187">
        <f>+I17+1</f>
        <v>9</v>
      </c>
      <c r="J18" s="205"/>
      <c r="K18" s="79"/>
      <c r="L18" s="17" t="s">
        <v>323</v>
      </c>
      <c r="M18" s="18">
        <v>4</v>
      </c>
      <c r="N18" s="59"/>
      <c r="O18" s="97" t="s">
        <v>811</v>
      </c>
      <c r="P18" s="59"/>
      <c r="Q18" s="17" t="s">
        <v>1295</v>
      </c>
      <c r="R18" s="97" t="s">
        <v>211</v>
      </c>
      <c r="S18" s="97" t="s">
        <v>1297</v>
      </c>
      <c r="T18" s="17" t="s">
        <v>146</v>
      </c>
      <c r="U18" s="17"/>
      <c r="V18" s="17" t="str">
        <f>+CONCATENATE(E18,".",F18,"\",G18,".",H18,":",I18)</f>
        <v>2.3\0.1:9</v>
      </c>
      <c r="W18" s="17" t="s">
        <v>2589</v>
      </c>
      <c r="X18" s="17">
        <v>0</v>
      </c>
      <c r="Y18" s="20"/>
      <c r="Z18" s="20" t="s">
        <v>1200</v>
      </c>
      <c r="AA18" s="20"/>
      <c r="AB18" s="20"/>
      <c r="AC18" s="20"/>
      <c r="AD18" s="20"/>
      <c r="AE18" s="20"/>
      <c r="AF18" s="20"/>
      <c r="AG18" s="327" t="s">
        <v>1079</v>
      </c>
      <c r="AH18" s="327"/>
      <c r="AI18" s="327">
        <v>10</v>
      </c>
      <c r="AJ18" s="97"/>
      <c r="AK18" s="97"/>
      <c r="AL18" s="264"/>
      <c r="AM18" s="84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1:51" s="33" customFormat="1" ht="14.5" x14ac:dyDescent="0.35">
      <c r="A19" s="63" t="str">
        <f>A18</f>
        <v>BBD131</v>
      </c>
      <c r="B19" s="17" t="s">
        <v>2567</v>
      </c>
      <c r="C19" s="18" t="str">
        <f>+C18</f>
        <v>DIO1</v>
      </c>
      <c r="D19" s="18">
        <v>132</v>
      </c>
      <c r="E19" s="84">
        <v>2</v>
      </c>
      <c r="F19" s="84">
        <f>+F18</f>
        <v>3</v>
      </c>
      <c r="G19" s="84">
        <v>0</v>
      </c>
      <c r="H19" s="200">
        <f>H16</f>
        <v>1</v>
      </c>
      <c r="I19" s="187">
        <f>+I18+1</f>
        <v>10</v>
      </c>
      <c r="J19" s="205"/>
      <c r="K19" s="79"/>
      <c r="L19" s="17" t="s">
        <v>323</v>
      </c>
      <c r="M19" s="18">
        <v>4</v>
      </c>
      <c r="N19" s="59"/>
      <c r="O19" s="97" t="s">
        <v>808</v>
      </c>
      <c r="P19" s="59"/>
      <c r="Q19" s="17" t="s">
        <v>1295</v>
      </c>
      <c r="R19" s="97" t="s">
        <v>211</v>
      </c>
      <c r="S19" s="97" t="s">
        <v>1296</v>
      </c>
      <c r="T19" s="17" t="s">
        <v>146</v>
      </c>
      <c r="U19" s="17"/>
      <c r="V19" s="17" t="str">
        <f>+CONCATENATE(E19,".",F19,"\",G19,".",H19,":",I19)</f>
        <v>2.3\0.1:10</v>
      </c>
      <c r="W19" s="17" t="s">
        <v>2589</v>
      </c>
      <c r="X19" s="17">
        <v>0</v>
      </c>
      <c r="Y19" s="20"/>
      <c r="Z19" s="20" t="s">
        <v>1200</v>
      </c>
      <c r="AA19" s="20"/>
      <c r="AB19" s="20"/>
      <c r="AC19" s="20"/>
      <c r="AD19" s="20"/>
      <c r="AE19" s="20"/>
      <c r="AF19" s="20"/>
      <c r="AG19" s="327" t="s">
        <v>1079</v>
      </c>
      <c r="AH19" s="327"/>
      <c r="AI19" s="327">
        <v>11</v>
      </c>
      <c r="AJ19" s="97"/>
      <c r="AK19" s="97"/>
      <c r="AL19" s="264"/>
      <c r="AM19" s="84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 s="33" customFormat="1" ht="14.5" x14ac:dyDescent="0.35">
      <c r="A20" s="63" t="str">
        <f>A19</f>
        <v>BBD131</v>
      </c>
      <c r="B20" s="17" t="s">
        <v>2567</v>
      </c>
      <c r="C20" s="18" t="str">
        <f>+C19</f>
        <v>DIO1</v>
      </c>
      <c r="D20" s="18">
        <v>132</v>
      </c>
      <c r="E20" s="84">
        <v>2</v>
      </c>
      <c r="F20" s="84">
        <f>+F19</f>
        <v>3</v>
      </c>
      <c r="G20" s="84">
        <v>0</v>
      </c>
      <c r="H20" s="200">
        <f>H17</f>
        <v>1</v>
      </c>
      <c r="I20" s="187">
        <f>+I19+1</f>
        <v>11</v>
      </c>
      <c r="J20" s="205"/>
      <c r="K20" s="79"/>
      <c r="L20" s="17" t="s">
        <v>323</v>
      </c>
      <c r="M20" s="18">
        <v>4</v>
      </c>
      <c r="N20" s="59"/>
      <c r="O20" s="97" t="s">
        <v>805</v>
      </c>
      <c r="P20" s="59"/>
      <c r="Q20" s="281" t="s">
        <v>1295</v>
      </c>
      <c r="R20" s="97" t="s">
        <v>211</v>
      </c>
      <c r="S20" s="97" t="s">
        <v>1294</v>
      </c>
      <c r="T20" s="17" t="s">
        <v>146</v>
      </c>
      <c r="U20" s="17"/>
      <c r="V20" s="17" t="str">
        <f>+CONCATENATE(E20,".",F20,"\",G20,".",H20,":",I20)</f>
        <v>2.3\0.1:11</v>
      </c>
      <c r="W20" s="17" t="s">
        <v>2589</v>
      </c>
      <c r="X20" s="17">
        <v>0</v>
      </c>
      <c r="Y20" s="20"/>
      <c r="Z20" s="20" t="s">
        <v>1200</v>
      </c>
      <c r="AA20" s="20"/>
      <c r="AB20" s="20"/>
      <c r="AC20" s="20"/>
      <c r="AD20" s="20"/>
      <c r="AE20" s="20"/>
      <c r="AF20" s="20"/>
      <c r="AG20" s="327" t="s">
        <v>1079</v>
      </c>
      <c r="AH20" s="327"/>
      <c r="AI20" s="327">
        <v>12</v>
      </c>
      <c r="AJ20" s="97"/>
      <c r="AK20" s="97"/>
      <c r="AL20" s="264"/>
      <c r="AM20" s="84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s="33" customFormat="1" ht="14.5" x14ac:dyDescent="0.35">
      <c r="A21" s="63" t="str">
        <f>A20</f>
        <v>BBD131</v>
      </c>
      <c r="B21" s="17" t="s">
        <v>2567</v>
      </c>
      <c r="C21" s="18" t="str">
        <f>+C20</f>
        <v>DIO1</v>
      </c>
      <c r="D21" s="18">
        <v>132</v>
      </c>
      <c r="E21" s="84">
        <v>2</v>
      </c>
      <c r="F21" s="84">
        <f>+F20</f>
        <v>3</v>
      </c>
      <c r="G21" s="84">
        <v>0</v>
      </c>
      <c r="H21" s="200">
        <f>H18</f>
        <v>1</v>
      </c>
      <c r="I21" s="187">
        <f>+I20+1</f>
        <v>12</v>
      </c>
      <c r="J21" s="205"/>
      <c r="K21" s="79"/>
      <c r="L21" s="17" t="s">
        <v>323</v>
      </c>
      <c r="M21" s="18"/>
      <c r="N21" s="59"/>
      <c r="O21" s="97"/>
      <c r="P21" s="59"/>
      <c r="Q21" s="17" t="s">
        <v>127</v>
      </c>
      <c r="R21" s="97" t="s">
        <v>127</v>
      </c>
      <c r="S21" s="17"/>
      <c r="T21" s="17"/>
      <c r="U21" s="17"/>
      <c r="V21" s="17" t="str">
        <f>+CONCATENATE(E21,".",F21,"\",G21,".",H21,":",I21)</f>
        <v>2.3\0.1:12</v>
      </c>
      <c r="W21" s="17"/>
      <c r="X21" s="17"/>
      <c r="Y21" s="20"/>
      <c r="Z21" s="20" t="s">
        <v>1159</v>
      </c>
      <c r="AA21" s="20"/>
      <c r="AB21" s="20"/>
      <c r="AC21" s="20"/>
      <c r="AD21" s="20"/>
      <c r="AE21" s="20"/>
      <c r="AF21" s="20"/>
      <c r="AG21" s="327" t="s">
        <v>1079</v>
      </c>
      <c r="AH21" s="327"/>
      <c r="AI21" s="327">
        <v>13</v>
      </c>
      <c r="AJ21" s="97"/>
      <c r="AK21" s="97"/>
      <c r="AL21" s="264"/>
      <c r="AM21" s="84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s="33" customFormat="1" ht="14.5" x14ac:dyDescent="0.35">
      <c r="A22" s="63" t="str">
        <f>A21</f>
        <v>BBD131</v>
      </c>
      <c r="B22" s="17" t="s">
        <v>2567</v>
      </c>
      <c r="C22" s="18" t="str">
        <f>+C21</f>
        <v>DIO1</v>
      </c>
      <c r="D22" s="18">
        <v>132</v>
      </c>
      <c r="E22" s="84">
        <v>2</v>
      </c>
      <c r="F22" s="84">
        <f>+F21</f>
        <v>3</v>
      </c>
      <c r="G22" s="84">
        <v>0</v>
      </c>
      <c r="H22" s="200">
        <f>H19</f>
        <v>1</v>
      </c>
      <c r="I22" s="187">
        <f>+I21+1</f>
        <v>13</v>
      </c>
      <c r="J22" s="205"/>
      <c r="K22" s="79"/>
      <c r="L22" s="17" t="s">
        <v>323</v>
      </c>
      <c r="M22" s="18"/>
      <c r="N22" s="59"/>
      <c r="O22" s="97"/>
      <c r="P22" s="97"/>
      <c r="Q22" s="97"/>
      <c r="R22" s="97"/>
      <c r="S22" s="97"/>
      <c r="T22" s="97"/>
      <c r="U22" s="17"/>
      <c r="V22" s="17" t="str">
        <f>+CONCATENATE(E22,".",F22,"\",G22,".",H22,":",I22)</f>
        <v>2.3\0.1:13</v>
      </c>
      <c r="W22" s="17"/>
      <c r="X22" s="17"/>
      <c r="Y22" s="20"/>
      <c r="Z22" s="20" t="s">
        <v>1159</v>
      </c>
      <c r="AA22" s="20"/>
      <c r="AB22" s="20"/>
      <c r="AC22" s="20"/>
      <c r="AD22" s="20"/>
      <c r="AE22" s="20"/>
      <c r="AF22" s="20"/>
      <c r="AG22" s="327" t="s">
        <v>1079</v>
      </c>
      <c r="AH22" s="327"/>
      <c r="AI22" s="327">
        <v>14</v>
      </c>
      <c r="AJ22" s="97"/>
      <c r="AK22" s="97"/>
      <c r="AL22" s="264"/>
      <c r="AM22" s="84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1:51" s="33" customFormat="1" ht="14.5" x14ac:dyDescent="0.35">
      <c r="A23" s="63" t="str">
        <f>A22</f>
        <v>BBD131</v>
      </c>
      <c r="B23" s="17" t="s">
        <v>2567</v>
      </c>
      <c r="C23" s="18" t="str">
        <f>+C22</f>
        <v>DIO1</v>
      </c>
      <c r="D23" s="18">
        <v>132</v>
      </c>
      <c r="E23" s="84">
        <v>2</v>
      </c>
      <c r="F23" s="84">
        <f>+F22</f>
        <v>3</v>
      </c>
      <c r="G23" s="84">
        <v>0</v>
      </c>
      <c r="H23" s="200">
        <f>H20</f>
        <v>1</v>
      </c>
      <c r="I23" s="187">
        <f>+I22+1</f>
        <v>14</v>
      </c>
      <c r="J23" s="205"/>
      <c r="K23" s="79"/>
      <c r="L23" s="17" t="s">
        <v>323</v>
      </c>
      <c r="M23" s="18"/>
      <c r="N23" s="59"/>
      <c r="O23" s="97"/>
      <c r="P23" s="59"/>
      <c r="Q23" s="17" t="s">
        <v>127</v>
      </c>
      <c r="R23" s="97" t="s">
        <v>127</v>
      </c>
      <c r="S23" s="17"/>
      <c r="T23" s="17"/>
      <c r="U23" s="17"/>
      <c r="V23" s="17" t="str">
        <f>+CONCATENATE(E23,".",F23,"\",G23,".",H23,":",I23)</f>
        <v>2.3\0.1:14</v>
      </c>
      <c r="W23" s="17"/>
      <c r="X23" s="17"/>
      <c r="Y23" s="20"/>
      <c r="Z23" s="20" t="s">
        <v>1159</v>
      </c>
      <c r="AA23" s="20"/>
      <c r="AB23" s="20"/>
      <c r="AC23" s="20"/>
      <c r="AD23" s="20"/>
      <c r="AE23" s="20"/>
      <c r="AF23" s="20"/>
      <c r="AG23" s="327" t="s">
        <v>1079</v>
      </c>
      <c r="AH23" s="327"/>
      <c r="AI23" s="327">
        <v>15</v>
      </c>
      <c r="AJ23" s="97"/>
      <c r="AK23" s="97"/>
      <c r="AL23" s="264"/>
      <c r="AM23" s="84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 s="33" customFormat="1" ht="14.5" x14ac:dyDescent="0.35">
      <c r="A24" s="63" t="str">
        <f>A23</f>
        <v>BBD131</v>
      </c>
      <c r="B24" s="17" t="s">
        <v>2567</v>
      </c>
      <c r="C24" s="18" t="str">
        <f>+C23</f>
        <v>DIO1</v>
      </c>
      <c r="D24" s="18">
        <v>132</v>
      </c>
      <c r="E24" s="84">
        <v>2</v>
      </c>
      <c r="F24" s="84">
        <f>+F23</f>
        <v>3</v>
      </c>
      <c r="G24" s="84">
        <v>0</v>
      </c>
      <c r="H24" s="200">
        <f>H20</f>
        <v>1</v>
      </c>
      <c r="I24" s="187">
        <f>+I23+1</f>
        <v>15</v>
      </c>
      <c r="J24" s="205"/>
      <c r="K24" s="79"/>
      <c r="L24" s="17" t="s">
        <v>323</v>
      </c>
      <c r="M24" s="18"/>
      <c r="N24" s="59"/>
      <c r="O24" s="97"/>
      <c r="P24" s="59"/>
      <c r="Q24" s="17" t="s">
        <v>127</v>
      </c>
      <c r="R24" s="97" t="s">
        <v>127</v>
      </c>
      <c r="S24" s="17"/>
      <c r="T24" s="17"/>
      <c r="U24" s="17"/>
      <c r="V24" s="17" t="str">
        <f>+CONCATENATE(E24,".",F24,"\",G24,".",H24,":",I24)</f>
        <v>2.3\0.1:15</v>
      </c>
      <c r="W24" s="17"/>
      <c r="X24" s="17"/>
      <c r="Y24" s="20"/>
      <c r="Z24" s="20" t="s">
        <v>1159</v>
      </c>
      <c r="AA24" s="20"/>
      <c r="AB24" s="20"/>
      <c r="AC24" s="20"/>
      <c r="AD24" s="20"/>
      <c r="AE24" s="20"/>
      <c r="AF24" s="20"/>
      <c r="AG24" s="327" t="s">
        <v>1079</v>
      </c>
      <c r="AH24" s="327"/>
      <c r="AI24" s="327">
        <v>16</v>
      </c>
      <c r="AJ24" s="97"/>
      <c r="AK24" s="97"/>
      <c r="AL24" s="264"/>
      <c r="AM24" s="84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1:51" s="33" customFormat="1" ht="14.5" x14ac:dyDescent="0.35">
      <c r="A25" s="63" t="str">
        <f>A24</f>
        <v>BBD131</v>
      </c>
      <c r="B25" s="17" t="s">
        <v>2567</v>
      </c>
      <c r="C25" s="18" t="str">
        <f>+C24</f>
        <v>DIO1</v>
      </c>
      <c r="D25" s="18">
        <v>132</v>
      </c>
      <c r="E25" s="84">
        <v>2</v>
      </c>
      <c r="F25" s="84">
        <f>+F24</f>
        <v>3</v>
      </c>
      <c r="G25" s="84">
        <v>0</v>
      </c>
      <c r="H25" s="200">
        <f>H21</f>
        <v>1</v>
      </c>
      <c r="I25" s="187">
        <f>+I24+1</f>
        <v>16</v>
      </c>
      <c r="J25" s="205"/>
      <c r="K25" s="18"/>
      <c r="L25" s="17" t="s">
        <v>323</v>
      </c>
      <c r="M25" s="18">
        <v>4</v>
      </c>
      <c r="N25" s="59" t="s">
        <v>2570</v>
      </c>
      <c r="O25" s="68" t="s">
        <v>1246</v>
      </c>
      <c r="P25" s="59" t="s">
        <v>2588</v>
      </c>
      <c r="Q25" s="68" t="s">
        <v>2587</v>
      </c>
      <c r="R25" s="68" t="s">
        <v>211</v>
      </c>
      <c r="S25" s="68" t="s">
        <v>2568</v>
      </c>
      <c r="T25" s="17" t="s">
        <v>2563</v>
      </c>
      <c r="U25" s="17"/>
      <c r="V25" s="17" t="str">
        <f>+CONCATENATE(E25,".",F25,"\",G25,".",H25,":",I25)</f>
        <v>2.3\0.1:16</v>
      </c>
      <c r="W25" s="17" t="s">
        <v>2562</v>
      </c>
      <c r="X25" s="17">
        <v>0</v>
      </c>
      <c r="Y25" s="20"/>
      <c r="Z25" s="20" t="s">
        <v>1200</v>
      </c>
      <c r="AA25" s="20"/>
      <c r="AB25" s="20"/>
      <c r="AC25" s="20"/>
      <c r="AD25" s="20"/>
      <c r="AE25" s="20"/>
      <c r="AF25" s="20"/>
      <c r="AG25" s="327" t="s">
        <v>1079</v>
      </c>
      <c r="AH25" s="327">
        <v>17</v>
      </c>
      <c r="AI25" s="327">
        <v>18</v>
      </c>
      <c r="AJ25" s="97"/>
      <c r="AK25" s="97"/>
      <c r="AL25" s="264"/>
      <c r="AM25" s="84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s="33" customFormat="1" ht="14.5" x14ac:dyDescent="0.35">
      <c r="A26" s="63" t="str">
        <f>A25</f>
        <v>BBD131</v>
      </c>
      <c r="B26" s="17" t="s">
        <v>2567</v>
      </c>
      <c r="C26" s="18" t="str">
        <f>+C25</f>
        <v>DIO1</v>
      </c>
      <c r="D26" s="18">
        <v>132</v>
      </c>
      <c r="E26" s="84">
        <v>2</v>
      </c>
      <c r="F26" s="84">
        <f>+F25</f>
        <v>3</v>
      </c>
      <c r="G26" s="84">
        <v>0</v>
      </c>
      <c r="H26" s="200">
        <f>H22</f>
        <v>1</v>
      </c>
      <c r="I26" s="187">
        <f>+I25+1</f>
        <v>17</v>
      </c>
      <c r="J26" s="205"/>
      <c r="K26" s="79"/>
      <c r="L26" s="17" t="s">
        <v>323</v>
      </c>
      <c r="M26" s="18">
        <v>4</v>
      </c>
      <c r="N26" s="59" t="s">
        <v>2566</v>
      </c>
      <c r="O26" s="68" t="s">
        <v>2360</v>
      </c>
      <c r="P26" s="59" t="s">
        <v>2588</v>
      </c>
      <c r="Q26" s="68" t="s">
        <v>2587</v>
      </c>
      <c r="R26" s="68" t="s">
        <v>211</v>
      </c>
      <c r="S26" s="68" t="s">
        <v>2564</v>
      </c>
      <c r="T26" s="17" t="s">
        <v>2563</v>
      </c>
      <c r="U26" s="17"/>
      <c r="V26" s="17" t="str">
        <f>+CONCATENATE(E26,".",F26,"\",G26,".",H26,":",I26)</f>
        <v>2.3\0.1:17</v>
      </c>
      <c r="W26" s="17" t="s">
        <v>2562</v>
      </c>
      <c r="X26" s="17">
        <v>0</v>
      </c>
      <c r="Y26" s="20"/>
      <c r="Z26" s="20" t="s">
        <v>1200</v>
      </c>
      <c r="AA26" s="20"/>
      <c r="AB26" s="20"/>
      <c r="AC26" s="20"/>
      <c r="AD26" s="20"/>
      <c r="AE26" s="20"/>
      <c r="AF26" s="20"/>
      <c r="AG26" s="327" t="s">
        <v>1079</v>
      </c>
      <c r="AH26" s="327">
        <v>19</v>
      </c>
      <c r="AI26" s="327">
        <v>20</v>
      </c>
      <c r="AJ26" s="97"/>
      <c r="AK26" s="97"/>
      <c r="AL26" s="264"/>
      <c r="AM26" s="84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 s="33" customFormat="1" ht="14.5" x14ac:dyDescent="0.35">
      <c r="A27" s="63" t="str">
        <f>A26</f>
        <v>BBD131</v>
      </c>
      <c r="B27" s="17" t="s">
        <v>2567</v>
      </c>
      <c r="C27" s="18" t="str">
        <f>+C26</f>
        <v>DIO1</v>
      </c>
      <c r="D27" s="18">
        <v>132</v>
      </c>
      <c r="E27" s="84">
        <v>2</v>
      </c>
      <c r="F27" s="84">
        <f>+F26</f>
        <v>3</v>
      </c>
      <c r="G27" s="84">
        <v>0</v>
      </c>
      <c r="H27" s="200">
        <f>H23</f>
        <v>1</v>
      </c>
      <c r="I27" s="187">
        <f>+I26+1</f>
        <v>18</v>
      </c>
      <c r="J27" s="205"/>
      <c r="K27" s="79"/>
      <c r="L27" s="17" t="s">
        <v>323</v>
      </c>
      <c r="M27" s="18">
        <v>4</v>
      </c>
      <c r="N27" s="59" t="s">
        <v>2586</v>
      </c>
      <c r="O27" s="280" t="s">
        <v>2549</v>
      </c>
      <c r="P27" s="59" t="s">
        <v>2585</v>
      </c>
      <c r="Q27" s="206" t="s">
        <v>2584</v>
      </c>
      <c r="R27" s="280" t="s">
        <v>211</v>
      </c>
      <c r="S27" s="280"/>
      <c r="T27" s="17" t="s">
        <v>2583</v>
      </c>
      <c r="U27" s="17"/>
      <c r="V27" s="17" t="str">
        <f>+CONCATENATE(E27,".",F27,"\",G27,".",H27,":",I27)</f>
        <v>2.3\0.1:18</v>
      </c>
      <c r="W27" s="17" t="s">
        <v>2562</v>
      </c>
      <c r="X27" s="17">
        <v>0</v>
      </c>
      <c r="Y27" s="20"/>
      <c r="Z27" s="20" t="s">
        <v>1159</v>
      </c>
      <c r="AA27" s="20"/>
      <c r="AB27" s="20"/>
      <c r="AC27" s="20"/>
      <c r="AD27" s="20"/>
      <c r="AE27" s="20"/>
      <c r="AF27" s="20"/>
      <c r="AG27" s="327" t="s">
        <v>1079</v>
      </c>
      <c r="AH27" s="327">
        <v>21</v>
      </c>
      <c r="AI27" s="327">
        <v>22</v>
      </c>
      <c r="AJ27" s="97"/>
      <c r="AK27" s="97"/>
      <c r="AL27" s="264"/>
      <c r="AM27" s="84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s="33" customFormat="1" ht="14.5" x14ac:dyDescent="0.35">
      <c r="A28" s="63" t="str">
        <f>A27</f>
        <v>BBD131</v>
      </c>
      <c r="B28" s="17" t="s">
        <v>2567</v>
      </c>
      <c r="C28" s="18" t="str">
        <f>+C27</f>
        <v>DIO1</v>
      </c>
      <c r="D28" s="18">
        <v>132</v>
      </c>
      <c r="E28" s="84">
        <v>2</v>
      </c>
      <c r="F28" s="84">
        <f>+F27</f>
        <v>3</v>
      </c>
      <c r="G28" s="84">
        <v>0</v>
      </c>
      <c r="H28" s="200">
        <f>H24</f>
        <v>1</v>
      </c>
      <c r="I28" s="187">
        <f>+I27+1</f>
        <v>19</v>
      </c>
      <c r="J28" s="205"/>
      <c r="K28" s="79"/>
      <c r="L28" s="17" t="s">
        <v>323</v>
      </c>
      <c r="M28" s="18">
        <v>4</v>
      </c>
      <c r="N28" s="59" t="s">
        <v>2573</v>
      </c>
      <c r="O28" s="68" t="s">
        <v>1242</v>
      </c>
      <c r="P28" s="59" t="s">
        <v>2576</v>
      </c>
      <c r="Q28" s="68" t="s">
        <v>2128</v>
      </c>
      <c r="R28" s="68" t="s">
        <v>299</v>
      </c>
      <c r="S28" s="17"/>
      <c r="T28" s="17" t="s">
        <v>677</v>
      </c>
      <c r="U28" s="17"/>
      <c r="V28" s="17" t="str">
        <f>+CONCATENATE(E28,".",F28,"\",G28,".",H28,":",I28)</f>
        <v>2.3\0.1:19</v>
      </c>
      <c r="W28" s="17" t="s">
        <v>676</v>
      </c>
      <c r="X28" s="17" t="s">
        <v>289</v>
      </c>
      <c r="Y28" s="20"/>
      <c r="Z28" s="20" t="s">
        <v>1159</v>
      </c>
      <c r="AA28" s="20"/>
      <c r="AB28" s="20"/>
      <c r="AC28" s="20"/>
      <c r="AD28" s="20"/>
      <c r="AE28" s="20"/>
      <c r="AF28" s="20"/>
      <c r="AG28" s="327" t="s">
        <v>1079</v>
      </c>
      <c r="AH28" s="327">
        <v>23</v>
      </c>
      <c r="AI28" s="327">
        <v>24</v>
      </c>
      <c r="AJ28" s="97"/>
      <c r="AK28" s="97"/>
      <c r="AL28" s="264"/>
      <c r="AM28" s="84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1:51" s="33" customFormat="1" ht="14.5" x14ac:dyDescent="0.35">
      <c r="A29" s="63" t="str">
        <f>A28</f>
        <v>BBD131</v>
      </c>
      <c r="B29" s="17" t="s">
        <v>2567</v>
      </c>
      <c r="C29" s="18" t="str">
        <f>+C28</f>
        <v>DIO1</v>
      </c>
      <c r="D29" s="18">
        <v>132</v>
      </c>
      <c r="E29" s="84">
        <v>2</v>
      </c>
      <c r="F29" s="84">
        <f>+F28</f>
        <v>3</v>
      </c>
      <c r="G29" s="84">
        <v>0</v>
      </c>
      <c r="H29" s="200">
        <f>H25</f>
        <v>1</v>
      </c>
      <c r="I29" s="187">
        <f>+I28+1</f>
        <v>20</v>
      </c>
      <c r="J29" s="205"/>
      <c r="K29" s="79"/>
      <c r="L29" s="17" t="s">
        <v>323</v>
      </c>
      <c r="M29" s="18">
        <v>4</v>
      </c>
      <c r="N29" s="59" t="s">
        <v>2573</v>
      </c>
      <c r="O29" s="68" t="s">
        <v>1239</v>
      </c>
      <c r="P29" s="59" t="s">
        <v>2576</v>
      </c>
      <c r="Q29" s="68" t="s">
        <v>2126</v>
      </c>
      <c r="R29" s="68" t="s">
        <v>299</v>
      </c>
      <c r="S29" s="17"/>
      <c r="T29" s="17" t="s">
        <v>677</v>
      </c>
      <c r="U29" s="17"/>
      <c r="V29" s="17" t="str">
        <f>+CONCATENATE(E29,".",F29,"\",G29,".",H29,":",I29)</f>
        <v>2.3\0.1:20</v>
      </c>
      <c r="W29" s="17" t="s">
        <v>676</v>
      </c>
      <c r="X29" s="17" t="s">
        <v>289</v>
      </c>
      <c r="Y29" s="20"/>
      <c r="Z29" s="20" t="s">
        <v>1159</v>
      </c>
      <c r="AA29" s="20"/>
      <c r="AB29" s="20"/>
      <c r="AC29" s="20"/>
      <c r="AD29" s="20"/>
      <c r="AE29" s="20"/>
      <c r="AF29" s="20"/>
      <c r="AG29" s="327" t="s">
        <v>1079</v>
      </c>
      <c r="AH29" s="327">
        <v>25</v>
      </c>
      <c r="AI29" s="327">
        <v>26</v>
      </c>
      <c r="AJ29" s="97"/>
      <c r="AK29" s="97"/>
      <c r="AL29" s="264"/>
      <c r="AM29" s="84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 s="33" customFormat="1" ht="14.5" x14ac:dyDescent="0.35">
      <c r="A30" s="63" t="str">
        <f>A29</f>
        <v>BBD131</v>
      </c>
      <c r="B30" s="17" t="s">
        <v>2567</v>
      </c>
      <c r="C30" s="18" t="str">
        <f>+C29</f>
        <v>DIO1</v>
      </c>
      <c r="D30" s="18">
        <v>132</v>
      </c>
      <c r="E30" s="84">
        <v>2</v>
      </c>
      <c r="F30" s="84">
        <f>+F29</f>
        <v>3</v>
      </c>
      <c r="G30" s="84">
        <v>0</v>
      </c>
      <c r="H30" s="200">
        <f>H26</f>
        <v>1</v>
      </c>
      <c r="I30" s="187">
        <f>+I29+1</f>
        <v>21</v>
      </c>
      <c r="J30" s="205"/>
      <c r="K30" s="79"/>
      <c r="L30" s="17" t="s">
        <v>323</v>
      </c>
      <c r="M30" s="18"/>
      <c r="N30" s="18"/>
      <c r="O30" s="280"/>
      <c r="P30" s="213"/>
      <c r="Q30" s="206"/>
      <c r="R30" s="280"/>
      <c r="S30" s="280"/>
      <c r="T30" s="17"/>
      <c r="U30" s="17"/>
      <c r="V30" s="17" t="str">
        <f>+CONCATENATE(E30,".",F30,"\",G30,".",H30,":",I30)</f>
        <v>2.3\0.1:21</v>
      </c>
      <c r="W30" s="17"/>
      <c r="X30" s="17"/>
      <c r="Y30" s="20"/>
      <c r="Z30" s="20" t="s">
        <v>1159</v>
      </c>
      <c r="AA30" s="20"/>
      <c r="AB30" s="20"/>
      <c r="AC30" s="20"/>
      <c r="AD30" s="20"/>
      <c r="AE30" s="20"/>
      <c r="AF30" s="20"/>
      <c r="AG30" s="327" t="s">
        <v>1079</v>
      </c>
      <c r="AH30" s="327">
        <v>27</v>
      </c>
      <c r="AI30" s="327">
        <v>28</v>
      </c>
      <c r="AJ30" s="97"/>
      <c r="AK30" s="97"/>
      <c r="AL30" s="264"/>
      <c r="AM30" s="84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1:51" s="33" customFormat="1" ht="14.5" x14ac:dyDescent="0.35">
      <c r="A31" s="63" t="str">
        <f>A30</f>
        <v>BBD131</v>
      </c>
      <c r="B31" s="17" t="s">
        <v>2567</v>
      </c>
      <c r="C31" s="18" t="str">
        <f>+C30</f>
        <v>DIO1</v>
      </c>
      <c r="D31" s="18">
        <v>132</v>
      </c>
      <c r="E31" s="84">
        <v>2</v>
      </c>
      <c r="F31" s="84">
        <f>+F30</f>
        <v>3</v>
      </c>
      <c r="G31" s="84">
        <v>0</v>
      </c>
      <c r="H31" s="200">
        <f>H27</f>
        <v>1</v>
      </c>
      <c r="I31" s="187">
        <f>+I30+1</f>
        <v>22</v>
      </c>
      <c r="J31" s="205"/>
      <c r="K31" s="79"/>
      <c r="L31" s="17" t="s">
        <v>323</v>
      </c>
      <c r="M31" s="18"/>
      <c r="N31" s="18"/>
      <c r="O31" s="68"/>
      <c r="P31" s="18"/>
      <c r="Q31" s="68"/>
      <c r="R31" s="68"/>
      <c r="S31" s="18"/>
      <c r="T31" s="17"/>
      <c r="U31" s="17"/>
      <c r="V31" s="17" t="str">
        <f>+CONCATENATE(E31,".",F31,"\",G31,".",H31,":",I31)</f>
        <v>2.3\0.1:22</v>
      </c>
      <c r="W31" s="17"/>
      <c r="X31" s="17"/>
      <c r="Y31" s="20"/>
      <c r="Z31" s="20" t="s">
        <v>1159</v>
      </c>
      <c r="AA31" s="20"/>
      <c r="AB31" s="20"/>
      <c r="AC31" s="20"/>
      <c r="AD31" s="20"/>
      <c r="AE31" s="20"/>
      <c r="AF31" s="20"/>
      <c r="AG31" s="327" t="s">
        <v>1079</v>
      </c>
      <c r="AH31" s="327">
        <v>29</v>
      </c>
      <c r="AI31" s="327">
        <v>30</v>
      </c>
      <c r="AJ31" s="97"/>
      <c r="AK31" s="97"/>
      <c r="AL31" s="264"/>
      <c r="AM31" s="84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1:51" s="33" customFormat="1" ht="14.5" x14ac:dyDescent="0.35">
      <c r="A32" s="63" t="str">
        <f>A31</f>
        <v>BBD131</v>
      </c>
      <c r="B32" s="17" t="s">
        <v>2567</v>
      </c>
      <c r="C32" s="18" t="str">
        <f>+C31</f>
        <v>DIO1</v>
      </c>
      <c r="D32" s="18">
        <v>132</v>
      </c>
      <c r="E32" s="84">
        <v>2</v>
      </c>
      <c r="F32" s="84">
        <f>+F31</f>
        <v>3</v>
      </c>
      <c r="G32" s="84">
        <v>0</v>
      </c>
      <c r="H32" s="200">
        <f>H28</f>
        <v>1</v>
      </c>
      <c r="I32" s="187">
        <f>+I31+1</f>
        <v>23</v>
      </c>
      <c r="J32" s="205"/>
      <c r="K32" s="79"/>
      <c r="L32" s="17" t="s">
        <v>323</v>
      </c>
      <c r="M32" s="18"/>
      <c r="N32" s="18"/>
      <c r="O32" s="68"/>
      <c r="P32" s="18"/>
      <c r="Q32" s="68"/>
      <c r="R32" s="68"/>
      <c r="S32" s="17"/>
      <c r="T32" s="17"/>
      <c r="U32" s="17"/>
      <c r="V32" s="17" t="str">
        <f>+CONCATENATE(E32,".",F32,"\",G32,".",H32,":",I32)</f>
        <v>2.3\0.1:23</v>
      </c>
      <c r="W32" s="17"/>
      <c r="X32" s="17"/>
      <c r="Y32" s="20"/>
      <c r="Z32" s="20" t="s">
        <v>1159</v>
      </c>
      <c r="AA32" s="20"/>
      <c r="AB32" s="20"/>
      <c r="AC32" s="20"/>
      <c r="AD32" s="20"/>
      <c r="AE32" s="20"/>
      <c r="AF32" s="20"/>
      <c r="AG32" s="327" t="s">
        <v>1079</v>
      </c>
      <c r="AH32" s="327">
        <v>31</v>
      </c>
      <c r="AI32" s="327">
        <v>32</v>
      </c>
      <c r="AJ32" s="97"/>
      <c r="AK32" s="97"/>
      <c r="AL32" s="264"/>
      <c r="AM32" s="84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1:51" s="33" customFormat="1" ht="14.5" x14ac:dyDescent="0.35">
      <c r="A33" s="63" t="str">
        <f>A32</f>
        <v>BBD131</v>
      </c>
      <c r="B33" s="17" t="s">
        <v>2567</v>
      </c>
      <c r="C33" s="18" t="str">
        <f>+C32</f>
        <v>DIO1</v>
      </c>
      <c r="D33" s="18">
        <v>132</v>
      </c>
      <c r="E33" s="84">
        <v>2</v>
      </c>
      <c r="F33" s="84">
        <f>+F32</f>
        <v>3</v>
      </c>
      <c r="G33" s="84">
        <v>0</v>
      </c>
      <c r="H33" s="200">
        <f>H29</f>
        <v>1</v>
      </c>
      <c r="I33" s="187">
        <f>+I32+1</f>
        <v>24</v>
      </c>
      <c r="J33" s="205"/>
      <c r="K33" s="79"/>
      <c r="L33" s="17" t="s">
        <v>323</v>
      </c>
      <c r="M33" s="18"/>
      <c r="N33" s="18"/>
      <c r="O33" s="280"/>
      <c r="P33" s="18"/>
      <c r="Q33" s="206"/>
      <c r="R33" s="280"/>
      <c r="S33" s="280"/>
      <c r="T33" s="17"/>
      <c r="U33" s="17"/>
      <c r="V33" s="17" t="str">
        <f>+CONCATENATE(E33,".",F33,"\",G33,".",H33,":",I33)</f>
        <v>2.3\0.1:24</v>
      </c>
      <c r="W33" s="17"/>
      <c r="X33" s="17"/>
      <c r="Y33" s="20"/>
      <c r="Z33" s="20" t="s">
        <v>1159</v>
      </c>
      <c r="AA33" s="20"/>
      <c r="AB33" s="20"/>
      <c r="AC33" s="20"/>
      <c r="AD33" s="20"/>
      <c r="AE33" s="20"/>
      <c r="AF33" s="20"/>
      <c r="AG33" s="327" t="s">
        <v>1079</v>
      </c>
      <c r="AH33" s="327">
        <v>33</v>
      </c>
      <c r="AI33" s="327">
        <v>34</v>
      </c>
      <c r="AJ33" s="97"/>
      <c r="AK33" s="97"/>
      <c r="AL33" s="264"/>
      <c r="AM33" s="84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1:51" s="33" customFormat="1" ht="14.5" x14ac:dyDescent="0.35">
      <c r="A34" s="63" t="str">
        <f>A33</f>
        <v>BBD131</v>
      </c>
      <c r="B34" s="17" t="s">
        <v>2567</v>
      </c>
      <c r="C34" s="18" t="str">
        <f>+C33</f>
        <v>DIO1</v>
      </c>
      <c r="D34" s="18">
        <v>132</v>
      </c>
      <c r="E34" s="84">
        <v>2</v>
      </c>
      <c r="F34" s="84">
        <f>+F33</f>
        <v>3</v>
      </c>
      <c r="G34" s="84">
        <v>0</v>
      </c>
      <c r="H34" s="200">
        <f>H30</f>
        <v>1</v>
      </c>
      <c r="I34" s="187">
        <f>+I33+1</f>
        <v>25</v>
      </c>
      <c r="J34" s="205"/>
      <c r="K34" s="79"/>
      <c r="L34" s="17" t="s">
        <v>323</v>
      </c>
      <c r="M34" s="18"/>
      <c r="N34" s="18"/>
      <c r="O34" s="68"/>
      <c r="P34" s="18"/>
      <c r="Q34" s="68"/>
      <c r="R34" s="68"/>
      <c r="S34" s="18"/>
      <c r="T34" s="18"/>
      <c r="U34" s="17"/>
      <c r="V34" s="17" t="str">
        <f>+CONCATENATE(E34,".",F34,"\",G34,".",H34,":",I34)</f>
        <v>2.3\0.1:25</v>
      </c>
      <c r="W34" s="17"/>
      <c r="X34" s="17"/>
      <c r="Y34" s="20"/>
      <c r="Z34" s="20" t="s">
        <v>1159</v>
      </c>
      <c r="AA34" s="20"/>
      <c r="AB34" s="20"/>
      <c r="AC34" s="20"/>
      <c r="AD34" s="20"/>
      <c r="AE34" s="20"/>
      <c r="AF34" s="20"/>
      <c r="AG34" s="327" t="s">
        <v>1079</v>
      </c>
      <c r="AH34" s="327">
        <v>35</v>
      </c>
      <c r="AI34" s="327">
        <v>36</v>
      </c>
      <c r="AJ34" s="97"/>
      <c r="AK34" s="97"/>
      <c r="AL34" s="264"/>
      <c r="AM34" s="84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1:51" s="33" customFormat="1" ht="14.5" x14ac:dyDescent="0.35">
      <c r="A35" s="63" t="str">
        <f>A34</f>
        <v>BBD131</v>
      </c>
      <c r="B35" s="17" t="s">
        <v>2567</v>
      </c>
      <c r="C35" s="18" t="str">
        <f>+C34</f>
        <v>DIO1</v>
      </c>
      <c r="D35" s="18">
        <v>132</v>
      </c>
      <c r="E35" s="84">
        <v>2</v>
      </c>
      <c r="F35" s="84">
        <f>+F34</f>
        <v>3</v>
      </c>
      <c r="G35" s="84">
        <v>0</v>
      </c>
      <c r="H35" s="200">
        <f>H31</f>
        <v>1</v>
      </c>
      <c r="I35" s="187">
        <f>+I34+1</f>
        <v>26</v>
      </c>
      <c r="J35" s="205"/>
      <c r="K35" s="79"/>
      <c r="L35" s="17" t="s">
        <v>323</v>
      </c>
      <c r="M35" s="18"/>
      <c r="N35" s="18"/>
      <c r="O35" s="68"/>
      <c r="P35" s="18"/>
      <c r="Q35" s="68"/>
      <c r="R35" s="68"/>
      <c r="S35" s="17"/>
      <c r="T35" s="18"/>
      <c r="U35" s="17"/>
      <c r="V35" s="17" t="str">
        <f>+CONCATENATE(E35,".",F35,"\",G35,".",H35,":",I35)</f>
        <v>2.3\0.1:26</v>
      </c>
      <c r="W35" s="17"/>
      <c r="X35" s="17"/>
      <c r="Y35" s="20"/>
      <c r="Z35" s="20" t="s">
        <v>1159</v>
      </c>
      <c r="AA35" s="20"/>
      <c r="AB35" s="20"/>
      <c r="AC35" s="20"/>
      <c r="AD35" s="20"/>
      <c r="AE35" s="20"/>
      <c r="AF35" s="20"/>
      <c r="AG35" s="327" t="s">
        <v>1079</v>
      </c>
      <c r="AH35" s="327">
        <v>37</v>
      </c>
      <c r="AI35" s="327">
        <v>38</v>
      </c>
      <c r="AJ35" s="97"/>
      <c r="AK35" s="97"/>
      <c r="AL35" s="264"/>
      <c r="AM35" s="84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1:51" s="33" customFormat="1" ht="14.5" x14ac:dyDescent="0.35">
      <c r="A36" s="63" t="str">
        <f>A35</f>
        <v>BBD131</v>
      </c>
      <c r="B36" s="17" t="s">
        <v>2567</v>
      </c>
      <c r="C36" s="18" t="str">
        <f>+C35</f>
        <v>DIO1</v>
      </c>
      <c r="D36" s="18">
        <v>132</v>
      </c>
      <c r="E36" s="84">
        <v>2</v>
      </c>
      <c r="F36" s="84">
        <f>+F35</f>
        <v>3</v>
      </c>
      <c r="G36" s="84">
        <v>0</v>
      </c>
      <c r="H36" s="200">
        <f>H32</f>
        <v>1</v>
      </c>
      <c r="I36" s="187">
        <f>+I35+1</f>
        <v>27</v>
      </c>
      <c r="J36" s="205"/>
      <c r="K36" s="79"/>
      <c r="L36" s="17" t="s">
        <v>323</v>
      </c>
      <c r="M36" s="18"/>
      <c r="N36" s="18"/>
      <c r="O36" s="280"/>
      <c r="P36" s="18"/>
      <c r="Q36" s="206"/>
      <c r="R36" s="280"/>
      <c r="S36" s="17"/>
      <c r="T36" s="17"/>
      <c r="U36" s="17"/>
      <c r="V36" s="17" t="str">
        <f>+CONCATENATE(E36,".",F36,"\",G36,".",H36,":",I36)</f>
        <v>2.3\0.1:27</v>
      </c>
      <c r="W36" s="17"/>
      <c r="X36" s="17"/>
      <c r="Y36" s="20"/>
      <c r="Z36" s="20" t="s">
        <v>1159</v>
      </c>
      <c r="AA36" s="20"/>
      <c r="AB36" s="20"/>
      <c r="AC36" s="20"/>
      <c r="AD36" s="20"/>
      <c r="AE36" s="20"/>
      <c r="AF36" s="20"/>
      <c r="AG36" s="327" t="s">
        <v>1079</v>
      </c>
      <c r="AH36" s="327">
        <v>39</v>
      </c>
      <c r="AI36" s="327">
        <v>40</v>
      </c>
      <c r="AJ36" s="97"/>
      <c r="AK36" s="97"/>
      <c r="AL36" s="264"/>
      <c r="AM36" s="84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1:51" s="33" customFormat="1" ht="14.5" x14ac:dyDescent="0.35">
      <c r="A37" s="63" t="str">
        <f>A36</f>
        <v>BBD131</v>
      </c>
      <c r="B37" s="17" t="s">
        <v>2567</v>
      </c>
      <c r="C37" s="18" t="str">
        <f>+C36</f>
        <v>DIO1</v>
      </c>
      <c r="D37" s="18">
        <v>132</v>
      </c>
      <c r="E37" s="84">
        <v>2</v>
      </c>
      <c r="F37" s="84">
        <f>+F36</f>
        <v>3</v>
      </c>
      <c r="G37" s="84">
        <v>0</v>
      </c>
      <c r="H37" s="200">
        <f>H33</f>
        <v>1</v>
      </c>
      <c r="I37" s="187">
        <f>+I36+1</f>
        <v>28</v>
      </c>
      <c r="J37" s="205"/>
      <c r="K37" s="79"/>
      <c r="L37" s="17" t="s">
        <v>323</v>
      </c>
      <c r="M37" s="18"/>
      <c r="N37" s="18"/>
      <c r="O37" s="68"/>
      <c r="P37" s="18"/>
      <c r="Q37" s="68"/>
      <c r="R37" s="68"/>
      <c r="S37" s="18"/>
      <c r="T37" s="18"/>
      <c r="U37" s="17"/>
      <c r="V37" s="17" t="str">
        <f>+CONCATENATE(E37,".",F37,"\",G37,".",H37,":",I37)</f>
        <v>2.3\0.1:28</v>
      </c>
      <c r="W37" s="17"/>
      <c r="X37" s="17"/>
      <c r="Y37" s="20"/>
      <c r="Z37" s="20" t="s">
        <v>1159</v>
      </c>
      <c r="AA37" s="20"/>
      <c r="AB37" s="20"/>
      <c r="AC37" s="20"/>
      <c r="AD37" s="20"/>
      <c r="AE37" s="20"/>
      <c r="AF37" s="20"/>
      <c r="AG37" s="327" t="s">
        <v>1079</v>
      </c>
      <c r="AH37" s="327">
        <v>41</v>
      </c>
      <c r="AI37" s="327">
        <v>42</v>
      </c>
      <c r="AJ37" s="97"/>
      <c r="AK37" s="97"/>
      <c r="AL37" s="264"/>
      <c r="AM37" s="84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1:51" s="33" customFormat="1" ht="14.5" x14ac:dyDescent="0.35">
      <c r="A38" s="63" t="str">
        <f>A37</f>
        <v>BBD131</v>
      </c>
      <c r="B38" s="17" t="s">
        <v>2567</v>
      </c>
      <c r="C38" s="18" t="str">
        <f>+C37</f>
        <v>DIO1</v>
      </c>
      <c r="D38" s="18">
        <v>132</v>
      </c>
      <c r="E38" s="84">
        <v>2</v>
      </c>
      <c r="F38" s="84">
        <f>+F37</f>
        <v>3</v>
      </c>
      <c r="G38" s="84">
        <v>0</v>
      </c>
      <c r="H38" s="200">
        <f>H34</f>
        <v>1</v>
      </c>
      <c r="I38" s="187">
        <f>+I37+1</f>
        <v>29</v>
      </c>
      <c r="J38" s="205"/>
      <c r="K38" s="79"/>
      <c r="L38" s="17" t="s">
        <v>323</v>
      </c>
      <c r="M38" s="18"/>
      <c r="N38" s="18"/>
      <c r="O38" s="68"/>
      <c r="P38" s="18"/>
      <c r="Q38" s="68"/>
      <c r="R38" s="68"/>
      <c r="S38" s="17"/>
      <c r="T38" s="18"/>
      <c r="U38" s="17"/>
      <c r="V38" s="17" t="str">
        <f>+CONCATENATE(E38,".",F38,"\",G38,".",H38,":",I38)</f>
        <v>2.3\0.1:29</v>
      </c>
      <c r="W38" s="17"/>
      <c r="X38" s="17"/>
      <c r="Y38" s="20"/>
      <c r="Z38" s="20" t="s">
        <v>1159</v>
      </c>
      <c r="AA38" s="20"/>
      <c r="AB38" s="20"/>
      <c r="AC38" s="20"/>
      <c r="AD38" s="20"/>
      <c r="AE38" s="20"/>
      <c r="AF38" s="20"/>
      <c r="AG38" s="327" t="s">
        <v>1079</v>
      </c>
      <c r="AH38" s="327">
        <v>43</v>
      </c>
      <c r="AI38" s="327">
        <v>44</v>
      </c>
      <c r="AJ38" s="97"/>
      <c r="AK38" s="97"/>
      <c r="AL38" s="264"/>
      <c r="AM38" s="84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spans="1:51" s="33" customFormat="1" ht="14.5" x14ac:dyDescent="0.35">
      <c r="A39" s="63" t="str">
        <f>A38</f>
        <v>BBD131</v>
      </c>
      <c r="B39" s="17" t="s">
        <v>2567</v>
      </c>
      <c r="C39" s="18" t="str">
        <f>+C38</f>
        <v>DIO1</v>
      </c>
      <c r="D39" s="18">
        <v>132</v>
      </c>
      <c r="E39" s="84">
        <v>2</v>
      </c>
      <c r="F39" s="84">
        <f>+F38</f>
        <v>3</v>
      </c>
      <c r="G39" s="84">
        <v>0</v>
      </c>
      <c r="H39" s="200">
        <f>H35</f>
        <v>1</v>
      </c>
      <c r="I39" s="187">
        <f>+I38+1</f>
        <v>30</v>
      </c>
      <c r="J39" s="205"/>
      <c r="K39" s="79"/>
      <c r="L39" s="17" t="s">
        <v>323</v>
      </c>
      <c r="M39" s="18"/>
      <c r="N39" s="18"/>
      <c r="O39" s="280"/>
      <c r="P39" s="18"/>
      <c r="Q39" s="206"/>
      <c r="R39" s="280"/>
      <c r="S39" s="17"/>
      <c r="T39" s="17"/>
      <c r="U39" s="17"/>
      <c r="V39" s="17" t="str">
        <f>+CONCATENATE(E39,".",F39,"\",G39,".",H39,":",I39)</f>
        <v>2.3\0.1:30</v>
      </c>
      <c r="W39" s="17"/>
      <c r="X39" s="17"/>
      <c r="Y39" s="20"/>
      <c r="Z39" s="20" t="s">
        <v>1159</v>
      </c>
      <c r="AA39" s="20"/>
      <c r="AB39" s="20"/>
      <c r="AC39" s="20"/>
      <c r="AD39" s="20"/>
      <c r="AE39" s="20"/>
      <c r="AF39" s="20"/>
      <c r="AG39" s="327" t="s">
        <v>1079</v>
      </c>
      <c r="AH39" s="327">
        <v>45</v>
      </c>
      <c r="AI39" s="327">
        <v>46</v>
      </c>
      <c r="AJ39" s="97"/>
      <c r="AK39" s="97"/>
      <c r="AL39" s="264"/>
      <c r="AM39" s="84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spans="1:51" s="33" customFormat="1" ht="15" thickBot="1" x14ac:dyDescent="0.4">
      <c r="A40" s="63" t="str">
        <f>A39</f>
        <v>BBD131</v>
      </c>
      <c r="B40" s="17" t="s">
        <v>2567</v>
      </c>
      <c r="C40" s="18" t="str">
        <f>+C39</f>
        <v>DIO1</v>
      </c>
      <c r="D40" s="18">
        <v>132</v>
      </c>
      <c r="E40" s="84">
        <v>2</v>
      </c>
      <c r="F40" s="84">
        <f>+F39</f>
        <v>3</v>
      </c>
      <c r="G40" s="84">
        <v>0</v>
      </c>
      <c r="H40" s="200">
        <f>H36</f>
        <v>1</v>
      </c>
      <c r="I40" s="191">
        <f>+I39+1</f>
        <v>31</v>
      </c>
      <c r="J40" s="203"/>
      <c r="K40" s="79"/>
      <c r="L40" s="17" t="s">
        <v>323</v>
      </c>
      <c r="M40" s="18"/>
      <c r="N40" s="18"/>
      <c r="O40" s="18"/>
      <c r="P40" s="18"/>
      <c r="Q40" s="17"/>
      <c r="R40" s="17"/>
      <c r="S40" s="18"/>
      <c r="T40" s="18"/>
      <c r="U40" s="17"/>
      <c r="V40" s="17" t="str">
        <f>+CONCATENATE(E40,".",F40,"\",G40,".",H40,":",I40)</f>
        <v>2.3\0.1:31</v>
      </c>
      <c r="W40" s="17"/>
      <c r="X40" s="17"/>
      <c r="Y40" s="20"/>
      <c r="Z40" s="20" t="s">
        <v>1159</v>
      </c>
      <c r="AA40" s="20"/>
      <c r="AB40" s="20"/>
      <c r="AC40" s="20"/>
      <c r="AD40" s="20"/>
      <c r="AE40" s="20"/>
      <c r="AF40" s="20"/>
      <c r="AG40" s="327" t="s">
        <v>1079</v>
      </c>
      <c r="AH40" s="327">
        <v>47</v>
      </c>
      <c r="AI40" s="327">
        <v>48</v>
      </c>
      <c r="AJ40" s="97"/>
      <c r="AK40" s="97"/>
      <c r="AL40" s="264"/>
      <c r="AM40" s="84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</row>
    <row r="41" spans="1:51" s="33" customFormat="1" x14ac:dyDescent="0.3">
      <c r="A41" s="268" t="s">
        <v>2289</v>
      </c>
      <c r="B41" s="17" t="s">
        <v>2567</v>
      </c>
      <c r="C41" s="18" t="str">
        <f>+C40</f>
        <v>DIO1</v>
      </c>
      <c r="D41" s="18">
        <v>132</v>
      </c>
      <c r="E41" s="84">
        <v>2</v>
      </c>
      <c r="F41" s="84">
        <f>+F40</f>
        <v>3</v>
      </c>
      <c r="G41" s="84">
        <v>0</v>
      </c>
      <c r="H41" s="214">
        <v>2</v>
      </c>
      <c r="I41" s="188"/>
      <c r="J41" s="267"/>
      <c r="K41" s="68" t="s">
        <v>698</v>
      </c>
      <c r="L41" s="17"/>
      <c r="M41" s="18"/>
      <c r="N41" s="18"/>
      <c r="O41" s="17"/>
      <c r="P41" s="17"/>
      <c r="Q41" s="17"/>
      <c r="R41" s="18"/>
      <c r="S41" s="18"/>
      <c r="T41" s="18"/>
      <c r="U41" s="17"/>
      <c r="V41" s="17" t="str">
        <f>+CONCATENATE(E41,".",F41,"\",G41,".",H41,":",I41)</f>
        <v>2.3\0.2:</v>
      </c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97"/>
      <c r="AH41" s="97"/>
      <c r="AI41" s="97"/>
      <c r="AJ41" s="97"/>
      <c r="AK41" s="97"/>
      <c r="AL41" s="264"/>
      <c r="AM41" s="84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 spans="1:51" s="33" customFormat="1" x14ac:dyDescent="0.3">
      <c r="A42" s="63" t="str">
        <f>A41</f>
        <v>BBD131</v>
      </c>
      <c r="B42" s="17" t="s">
        <v>2567</v>
      </c>
      <c r="C42" s="18" t="str">
        <f>+C41</f>
        <v>DIO1</v>
      </c>
      <c r="D42" s="18">
        <v>132</v>
      </c>
      <c r="E42" s="84">
        <v>2</v>
      </c>
      <c r="F42" s="84">
        <f>+F41</f>
        <v>3</v>
      </c>
      <c r="G42" s="84">
        <v>0</v>
      </c>
      <c r="H42" s="186">
        <f>+H41</f>
        <v>2</v>
      </c>
      <c r="I42" s="187"/>
      <c r="J42" s="266"/>
      <c r="K42" s="18"/>
      <c r="L42" s="17"/>
      <c r="M42" s="18"/>
      <c r="N42" s="18"/>
      <c r="O42" s="17"/>
      <c r="P42" s="17"/>
      <c r="Q42" s="17"/>
      <c r="R42" s="18"/>
      <c r="S42" s="18"/>
      <c r="T42" s="18"/>
      <c r="U42" s="17"/>
      <c r="V42" s="17" t="str">
        <f>+CONCATENATE(E42,".",F42,"\",G42,".",H42,":",I42)</f>
        <v>2.3\0.2:</v>
      </c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97"/>
      <c r="AH42" s="97"/>
      <c r="AI42" s="97"/>
      <c r="AJ42" s="97"/>
      <c r="AK42" s="97"/>
      <c r="AL42" s="264"/>
      <c r="AM42" s="84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spans="1:51" s="33" customFormat="1" x14ac:dyDescent="0.3">
      <c r="A43" s="63" t="str">
        <f>A42</f>
        <v>BBD131</v>
      </c>
      <c r="B43" s="17" t="s">
        <v>2567</v>
      </c>
      <c r="C43" s="18" t="str">
        <f>+C42</f>
        <v>DIO1</v>
      </c>
      <c r="D43" s="18">
        <v>132</v>
      </c>
      <c r="E43" s="84">
        <v>2</v>
      </c>
      <c r="F43" s="84">
        <f>+F42</f>
        <v>3</v>
      </c>
      <c r="G43" s="84">
        <v>0</v>
      </c>
      <c r="H43" s="186">
        <f>+H42</f>
        <v>2</v>
      </c>
      <c r="I43" s="187"/>
      <c r="J43" s="266"/>
      <c r="K43" s="18"/>
      <c r="L43" s="17"/>
      <c r="M43" s="18"/>
      <c r="N43" s="18"/>
      <c r="U43" s="17"/>
      <c r="V43" s="17" t="str">
        <f>+CONCATENATE(E43,".",F43,"\",G43,".",H43,":",I43)</f>
        <v>2.3\0.2:</v>
      </c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97"/>
      <c r="AH43" s="97"/>
      <c r="AI43" s="97"/>
      <c r="AJ43" s="97"/>
      <c r="AK43" s="97"/>
      <c r="AL43" s="264"/>
      <c r="AM43" s="84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spans="1:51" s="33" customFormat="1" ht="13.5" thickBot="1" x14ac:dyDescent="0.35">
      <c r="A44" s="63" t="str">
        <f>A43</f>
        <v>BBD131</v>
      </c>
      <c r="B44" s="17" t="s">
        <v>2567</v>
      </c>
      <c r="C44" s="18" t="str">
        <f>+C43</f>
        <v>DIO1</v>
      </c>
      <c r="D44" s="18">
        <v>132</v>
      </c>
      <c r="E44" s="84">
        <v>2</v>
      </c>
      <c r="F44" s="84">
        <f>+F43</f>
        <v>3</v>
      </c>
      <c r="G44" s="84">
        <v>0</v>
      </c>
      <c r="H44" s="186">
        <f>+H43</f>
        <v>2</v>
      </c>
      <c r="I44" s="191"/>
      <c r="J44" s="265"/>
      <c r="K44" s="18"/>
      <c r="L44" s="17"/>
      <c r="M44" s="18"/>
      <c r="N44" s="18"/>
      <c r="U44" s="17"/>
      <c r="V44" s="17" t="str">
        <f>+CONCATENATE(E44,".",F44,"\",G44,".",H44,":",I44)</f>
        <v>2.3\0.2:</v>
      </c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97"/>
      <c r="AH44" s="97"/>
      <c r="AI44" s="97"/>
      <c r="AJ44" s="97"/>
      <c r="AK44" s="97"/>
      <c r="AL44" s="264"/>
      <c r="AM44" s="84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1:51" s="33" customFormat="1" ht="14.5" x14ac:dyDescent="0.35">
      <c r="A45" s="268" t="s">
        <v>2289</v>
      </c>
      <c r="B45" s="17" t="s">
        <v>2567</v>
      </c>
      <c r="C45" s="18" t="str">
        <f>+C44</f>
        <v>DIO1</v>
      </c>
      <c r="D45" s="18">
        <v>132</v>
      </c>
      <c r="E45" s="84">
        <v>2</v>
      </c>
      <c r="F45" s="84">
        <f>+F44</f>
        <v>3</v>
      </c>
      <c r="G45" s="84">
        <v>0</v>
      </c>
      <c r="H45" s="214">
        <v>3</v>
      </c>
      <c r="I45" s="188">
        <v>0</v>
      </c>
      <c r="J45" s="276" t="s">
        <v>1185</v>
      </c>
      <c r="K45" s="17" t="s">
        <v>1184</v>
      </c>
      <c r="L45" s="79" t="s">
        <v>1170</v>
      </c>
      <c r="M45" s="18">
        <v>4</v>
      </c>
      <c r="N45" s="18" t="s">
        <v>2582</v>
      </c>
      <c r="O45" s="17" t="s">
        <v>2239</v>
      </c>
      <c r="P45" s="18" t="s">
        <v>2580</v>
      </c>
      <c r="Q45" s="18" t="s">
        <v>2579</v>
      </c>
      <c r="R45" s="18"/>
      <c r="S45" s="332" t="s">
        <v>2269</v>
      </c>
      <c r="T45" s="17" t="s">
        <v>2563</v>
      </c>
      <c r="U45" s="17" t="s">
        <v>1177</v>
      </c>
      <c r="V45" s="17" t="str">
        <f>+CONCATENATE(E45,".",F45,"\",G45,".",H45,":",I45)</f>
        <v>2.3\0.3:0</v>
      </c>
      <c r="W45" s="17" t="s">
        <v>2562</v>
      </c>
      <c r="X45" s="17">
        <v>0</v>
      </c>
      <c r="Y45" s="17"/>
      <c r="Z45" s="20" t="s">
        <v>1159</v>
      </c>
      <c r="AA45" s="17"/>
      <c r="AB45" s="17">
        <v>0</v>
      </c>
      <c r="AC45" s="17">
        <v>15000</v>
      </c>
      <c r="AD45" s="17">
        <v>0</v>
      </c>
      <c r="AE45" s="17">
        <v>15000</v>
      </c>
      <c r="AF45" s="17" t="s">
        <v>1176</v>
      </c>
      <c r="AG45" s="327" t="s">
        <v>844</v>
      </c>
      <c r="AH45" s="327">
        <v>33</v>
      </c>
      <c r="AI45" s="327">
        <v>34</v>
      </c>
      <c r="AJ45" s="97"/>
      <c r="AK45" s="97"/>
      <c r="AL45" s="264"/>
      <c r="AM45" s="84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s="33" customFormat="1" ht="14.5" x14ac:dyDescent="0.35">
      <c r="A46" s="63" t="str">
        <f>A45</f>
        <v>BBD131</v>
      </c>
      <c r="B46" s="17" t="s">
        <v>2567</v>
      </c>
      <c r="C46" s="18" t="str">
        <f>+C45</f>
        <v>DIO1</v>
      </c>
      <c r="D46" s="18">
        <v>132</v>
      </c>
      <c r="E46" s="84">
        <v>2</v>
      </c>
      <c r="F46" s="84">
        <f>+F45</f>
        <v>3</v>
      </c>
      <c r="G46" s="84">
        <v>0</v>
      </c>
      <c r="H46" s="186">
        <f>+H45</f>
        <v>3</v>
      </c>
      <c r="I46" s="187">
        <f>+I45+1</f>
        <v>1</v>
      </c>
      <c r="J46" s="275"/>
      <c r="K46" s="18"/>
      <c r="L46" s="79" t="s">
        <v>1170</v>
      </c>
      <c r="M46" s="18">
        <v>4</v>
      </c>
      <c r="N46" s="18" t="s">
        <v>2581</v>
      </c>
      <c r="O46" s="17" t="s">
        <v>2090</v>
      </c>
      <c r="P46" s="18" t="s">
        <v>2580</v>
      </c>
      <c r="Q46" s="18" t="s">
        <v>2579</v>
      </c>
      <c r="R46" s="17"/>
      <c r="S46" s="332" t="s">
        <v>2269</v>
      </c>
      <c r="T46" s="17" t="s">
        <v>2563</v>
      </c>
      <c r="U46" s="17" t="s">
        <v>1177</v>
      </c>
      <c r="V46" s="17" t="str">
        <f>+CONCATENATE(E46,".",F46,"\",G46,".",H46,":",I46)</f>
        <v>2.3\0.3:1</v>
      </c>
      <c r="W46" s="17" t="s">
        <v>2562</v>
      </c>
      <c r="X46" s="17">
        <v>0</v>
      </c>
      <c r="Y46" s="17"/>
      <c r="Z46" s="20" t="s">
        <v>1159</v>
      </c>
      <c r="AA46" s="17"/>
      <c r="AB46" s="17">
        <v>0</v>
      </c>
      <c r="AC46" s="17">
        <v>15000</v>
      </c>
      <c r="AD46" s="17">
        <v>0</v>
      </c>
      <c r="AE46" s="17">
        <v>15000</v>
      </c>
      <c r="AF46" s="17" t="s">
        <v>1176</v>
      </c>
      <c r="AG46" s="327" t="s">
        <v>844</v>
      </c>
      <c r="AH46" s="327">
        <v>35</v>
      </c>
      <c r="AI46" s="327">
        <v>36</v>
      </c>
      <c r="AJ46" s="97"/>
      <c r="AK46" s="97"/>
      <c r="AL46" s="264"/>
      <c r="AM46" s="84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1:51" s="33" customFormat="1" ht="14.5" x14ac:dyDescent="0.35">
      <c r="A47" s="63" t="str">
        <f>A46</f>
        <v>BBD131</v>
      </c>
      <c r="B47" s="17" t="s">
        <v>2567</v>
      </c>
      <c r="C47" s="18" t="str">
        <f>+C46</f>
        <v>DIO1</v>
      </c>
      <c r="D47" s="18">
        <v>132</v>
      </c>
      <c r="E47" s="84">
        <v>2</v>
      </c>
      <c r="F47" s="84">
        <f>+F46</f>
        <v>3</v>
      </c>
      <c r="G47" s="84">
        <v>0</v>
      </c>
      <c r="H47" s="186">
        <f>+H46</f>
        <v>3</v>
      </c>
      <c r="I47" s="187">
        <f>+I46+1</f>
        <v>2</v>
      </c>
      <c r="J47" s="275"/>
      <c r="K47" s="18"/>
      <c r="L47" s="79" t="s">
        <v>1170</v>
      </c>
      <c r="M47" s="18">
        <v>4</v>
      </c>
      <c r="N47" s="17" t="s">
        <v>2578</v>
      </c>
      <c r="O47" s="17" t="s">
        <v>2577</v>
      </c>
      <c r="P47" s="18" t="s">
        <v>2576</v>
      </c>
      <c r="Q47" s="18" t="s">
        <v>2575</v>
      </c>
      <c r="R47" s="18"/>
      <c r="S47" s="332" t="s">
        <v>2416</v>
      </c>
      <c r="T47" s="17" t="s">
        <v>2574</v>
      </c>
      <c r="U47" s="17" t="s">
        <v>1177</v>
      </c>
      <c r="V47" s="17" t="str">
        <f>+CONCATENATE(E47,".",F47,"\",G47,".",H47,":",I47)</f>
        <v>2.3\0.3:2</v>
      </c>
      <c r="W47" s="17" t="s">
        <v>2562</v>
      </c>
      <c r="X47" s="17">
        <v>0</v>
      </c>
      <c r="Y47" s="17"/>
      <c r="Z47" s="20" t="s">
        <v>1159</v>
      </c>
      <c r="AA47" s="17"/>
      <c r="AB47" s="17">
        <v>0</v>
      </c>
      <c r="AC47" s="17">
        <v>10</v>
      </c>
      <c r="AD47" s="17">
        <v>0</v>
      </c>
      <c r="AE47" s="17">
        <v>10</v>
      </c>
      <c r="AF47" s="17" t="s">
        <v>1176</v>
      </c>
      <c r="AG47" s="327" t="s">
        <v>844</v>
      </c>
      <c r="AH47" s="327">
        <v>37</v>
      </c>
      <c r="AI47" s="327">
        <v>38</v>
      </c>
      <c r="AJ47" s="97"/>
      <c r="AK47" s="97"/>
      <c r="AL47" s="264"/>
      <c r="AM47" s="84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s="33" customFormat="1" ht="14.5" x14ac:dyDescent="0.35">
      <c r="A48" s="63" t="str">
        <f>A47</f>
        <v>BBD131</v>
      </c>
      <c r="B48" s="17" t="s">
        <v>2567</v>
      </c>
      <c r="C48" s="18" t="str">
        <f>+C47</f>
        <v>DIO1</v>
      </c>
      <c r="D48" s="18">
        <v>132</v>
      </c>
      <c r="E48" s="84">
        <v>2</v>
      </c>
      <c r="F48" s="84">
        <f>+F47</f>
        <v>3</v>
      </c>
      <c r="G48" s="84">
        <v>0</v>
      </c>
      <c r="H48" s="186">
        <f>+H47</f>
        <v>3</v>
      </c>
      <c r="I48" s="187">
        <f>+I47+1</f>
        <v>3</v>
      </c>
      <c r="J48" s="275"/>
      <c r="K48" s="18"/>
      <c r="L48" s="79" t="s">
        <v>1170</v>
      </c>
      <c r="M48" s="18"/>
      <c r="N48" s="18"/>
      <c r="O48" s="17"/>
      <c r="P48" s="18"/>
      <c r="Q48" s="17"/>
      <c r="R48" s="18"/>
      <c r="S48" s="17"/>
      <c r="T48" s="17"/>
      <c r="U48" s="17"/>
      <c r="V48" s="17" t="str">
        <f>+CONCATENATE(E48,".",F48,"\",G48,".",H48,":",I48)</f>
        <v>2.3\0.3:3</v>
      </c>
      <c r="W48" s="17"/>
      <c r="X48" s="17"/>
      <c r="Y48" s="17"/>
      <c r="Z48" s="20" t="s">
        <v>1159</v>
      </c>
      <c r="AA48" s="17"/>
      <c r="AB48" s="17"/>
      <c r="AC48" s="17"/>
      <c r="AD48" s="17"/>
      <c r="AE48" s="17"/>
      <c r="AF48" s="17"/>
      <c r="AG48" s="327" t="s">
        <v>844</v>
      </c>
      <c r="AH48" s="327">
        <v>39</v>
      </c>
      <c r="AI48" s="327">
        <v>40</v>
      </c>
      <c r="AJ48" s="97"/>
      <c r="AK48" s="97"/>
      <c r="AL48" s="264"/>
      <c r="AM48" s="84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spans="1:51" s="33" customFormat="1" ht="14.5" x14ac:dyDescent="0.35">
      <c r="A49" s="63" t="str">
        <f>A48</f>
        <v>BBD131</v>
      </c>
      <c r="B49" s="17" t="s">
        <v>2567</v>
      </c>
      <c r="C49" s="18" t="str">
        <f>+C48</f>
        <v>DIO1</v>
      </c>
      <c r="D49" s="18">
        <v>132</v>
      </c>
      <c r="E49" s="84">
        <v>2</v>
      </c>
      <c r="F49" s="84">
        <f>+F48</f>
        <v>3</v>
      </c>
      <c r="G49" s="84">
        <v>0</v>
      </c>
      <c r="H49" s="186">
        <f>+H48</f>
        <v>3</v>
      </c>
      <c r="I49" s="187">
        <f>+I48+1</f>
        <v>4</v>
      </c>
      <c r="J49" s="275"/>
      <c r="K49" s="18"/>
      <c r="L49" s="79" t="s">
        <v>1170</v>
      </c>
      <c r="M49" s="18"/>
      <c r="N49" s="18"/>
      <c r="O49" s="17"/>
      <c r="P49" s="18"/>
      <c r="Q49" s="17"/>
      <c r="R49" s="18"/>
      <c r="S49" s="17"/>
      <c r="T49" s="17"/>
      <c r="U49" s="17"/>
      <c r="V49" s="17" t="str">
        <f>+CONCATENATE(E49,".",F49,"\",G49,".",H49,":",I49)</f>
        <v>2.3\0.3:4</v>
      </c>
      <c r="W49" s="17"/>
      <c r="X49" s="17"/>
      <c r="Y49" s="17"/>
      <c r="Z49" s="20" t="s">
        <v>1159</v>
      </c>
      <c r="AA49" s="17"/>
      <c r="AB49" s="17"/>
      <c r="AC49" s="17"/>
      <c r="AD49" s="17"/>
      <c r="AE49" s="17"/>
      <c r="AF49" s="17"/>
      <c r="AG49" s="327" t="s">
        <v>844</v>
      </c>
      <c r="AH49" s="327">
        <v>41</v>
      </c>
      <c r="AI49" s="327">
        <v>42</v>
      </c>
      <c r="AJ49" s="97"/>
      <c r="AK49" s="97"/>
      <c r="AL49" s="264"/>
      <c r="AM49" s="84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spans="1:51" s="33" customFormat="1" ht="14.5" x14ac:dyDescent="0.35">
      <c r="A50" s="63" t="str">
        <f>A49</f>
        <v>BBD131</v>
      </c>
      <c r="B50" s="17" t="s">
        <v>2567</v>
      </c>
      <c r="C50" s="18" t="str">
        <f>+C49</f>
        <v>DIO1</v>
      </c>
      <c r="D50" s="18">
        <v>132</v>
      </c>
      <c r="E50" s="84">
        <v>2</v>
      </c>
      <c r="F50" s="84">
        <f>+F49</f>
        <v>3</v>
      </c>
      <c r="G50" s="84">
        <v>0</v>
      </c>
      <c r="H50" s="186">
        <f>+H49</f>
        <v>3</v>
      </c>
      <c r="I50" s="187">
        <f>+I49+1</f>
        <v>5</v>
      </c>
      <c r="J50" s="275"/>
      <c r="K50" s="18"/>
      <c r="L50" s="79" t="s">
        <v>1170</v>
      </c>
      <c r="M50" s="18"/>
      <c r="N50" s="18"/>
      <c r="O50" s="17"/>
      <c r="P50" s="18"/>
      <c r="Q50" s="17"/>
      <c r="R50" s="18"/>
      <c r="S50" s="17"/>
      <c r="T50" s="17"/>
      <c r="U50" s="17"/>
      <c r="V50" s="17" t="str">
        <f>+CONCATENATE(E50,".",F50,"\",G50,".",H50,":",I50)</f>
        <v>2.3\0.3:5</v>
      </c>
      <c r="W50" s="17"/>
      <c r="X50" s="17"/>
      <c r="Y50" s="17"/>
      <c r="Z50" s="20" t="s">
        <v>1159</v>
      </c>
      <c r="AA50" s="17"/>
      <c r="AB50" s="17"/>
      <c r="AC50" s="17"/>
      <c r="AD50" s="17"/>
      <c r="AE50" s="17"/>
      <c r="AF50" s="17"/>
      <c r="AG50" s="327" t="s">
        <v>844</v>
      </c>
      <c r="AH50" s="327">
        <v>43</v>
      </c>
      <c r="AI50" s="327">
        <v>44</v>
      </c>
      <c r="AJ50" s="97"/>
      <c r="AK50" s="97"/>
      <c r="AL50" s="264"/>
      <c r="AM50" s="84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1:51" s="33" customFormat="1" ht="14.5" x14ac:dyDescent="0.35">
      <c r="A51" s="63" t="str">
        <f>A50</f>
        <v>BBD131</v>
      </c>
      <c r="B51" s="17" t="s">
        <v>2567</v>
      </c>
      <c r="C51" s="18" t="str">
        <f>+C50</f>
        <v>DIO1</v>
      </c>
      <c r="D51" s="18">
        <v>132</v>
      </c>
      <c r="E51" s="84">
        <v>2</v>
      </c>
      <c r="F51" s="84">
        <f>+F50</f>
        <v>3</v>
      </c>
      <c r="G51" s="84">
        <v>0</v>
      </c>
      <c r="H51" s="186">
        <f>+H50</f>
        <v>3</v>
      </c>
      <c r="I51" s="187">
        <f>+I50+1</f>
        <v>6</v>
      </c>
      <c r="J51" s="275"/>
      <c r="K51" s="18"/>
      <c r="L51" s="79" t="s">
        <v>1170</v>
      </c>
      <c r="M51" s="18"/>
      <c r="N51" s="18"/>
      <c r="O51" s="17"/>
      <c r="P51" s="18"/>
      <c r="Q51" s="17"/>
      <c r="R51" s="17"/>
      <c r="S51" s="17"/>
      <c r="T51" s="17"/>
      <c r="U51" s="17"/>
      <c r="V51" s="17" t="str">
        <f>+CONCATENATE(E51,".",F51,"\",G51,".",H51,":",I51)</f>
        <v>2.3\0.3:6</v>
      </c>
      <c r="W51" s="17"/>
      <c r="X51" s="17"/>
      <c r="Y51" s="17"/>
      <c r="Z51" s="20" t="s">
        <v>1159</v>
      </c>
      <c r="AA51" s="17"/>
      <c r="AB51" s="17"/>
      <c r="AC51" s="17"/>
      <c r="AD51" s="17"/>
      <c r="AE51" s="17"/>
      <c r="AF51" s="17"/>
      <c r="AG51" s="327" t="s">
        <v>844</v>
      </c>
      <c r="AH51" s="327">
        <v>45</v>
      </c>
      <c r="AI51" s="327">
        <v>46</v>
      </c>
      <c r="AJ51" s="97"/>
      <c r="AK51" s="97"/>
      <c r="AL51" s="264"/>
      <c r="AM51" s="84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spans="1:51" s="33" customFormat="1" ht="15" thickBot="1" x14ac:dyDescent="0.4">
      <c r="A52" s="63" t="str">
        <f>A51</f>
        <v>BBD131</v>
      </c>
      <c r="B52" s="17" t="s">
        <v>2567</v>
      </c>
      <c r="C52" s="18" t="str">
        <f>+C51</f>
        <v>DIO1</v>
      </c>
      <c r="D52" s="18">
        <v>132</v>
      </c>
      <c r="E52" s="84">
        <v>2</v>
      </c>
      <c r="F52" s="84">
        <f>+F51</f>
        <v>3</v>
      </c>
      <c r="G52" s="84">
        <v>0</v>
      </c>
      <c r="H52" s="186">
        <f>+H51</f>
        <v>3</v>
      </c>
      <c r="I52" s="191">
        <f>+I51+1</f>
        <v>7</v>
      </c>
      <c r="J52" s="274"/>
      <c r="K52" s="18"/>
      <c r="L52" s="79" t="s">
        <v>1170</v>
      </c>
      <c r="M52" s="18"/>
      <c r="N52" s="18"/>
      <c r="O52" s="17"/>
      <c r="P52" s="18"/>
      <c r="Q52" s="17"/>
      <c r="R52" s="17"/>
      <c r="S52" s="17"/>
      <c r="T52" s="17"/>
      <c r="U52" s="17"/>
      <c r="V52" s="17" t="str">
        <f>+CONCATENATE(E52,".",F52,"\",G52,".",H52,":",I52)</f>
        <v>2.3\0.3:7</v>
      </c>
      <c r="W52" s="17"/>
      <c r="X52" s="17"/>
      <c r="Y52" s="17"/>
      <c r="Z52" s="20" t="s">
        <v>1159</v>
      </c>
      <c r="AA52" s="17"/>
      <c r="AB52" s="17"/>
      <c r="AC52" s="17"/>
      <c r="AD52" s="17"/>
      <c r="AE52" s="17"/>
      <c r="AF52" s="17"/>
      <c r="AG52" s="327" t="s">
        <v>844</v>
      </c>
      <c r="AH52" s="327">
        <v>47</v>
      </c>
      <c r="AI52" s="327">
        <v>48</v>
      </c>
      <c r="AJ52" s="97"/>
      <c r="AK52" s="97"/>
      <c r="AL52" s="264"/>
      <c r="AM52" s="84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spans="1:51" s="33" customFormat="1" x14ac:dyDescent="0.3">
      <c r="A53" s="268" t="s">
        <v>2289</v>
      </c>
      <c r="B53" s="17" t="s">
        <v>2567</v>
      </c>
      <c r="C53" s="18" t="str">
        <f>+C52</f>
        <v>DIO1</v>
      </c>
      <c r="D53" s="18">
        <v>132</v>
      </c>
      <c r="E53" s="84">
        <v>2</v>
      </c>
      <c r="F53" s="84">
        <f>+F52</f>
        <v>3</v>
      </c>
      <c r="G53" s="84">
        <v>0</v>
      </c>
      <c r="H53" s="214">
        <v>4</v>
      </c>
      <c r="I53" s="188"/>
      <c r="J53" s="267"/>
      <c r="K53" s="68" t="s">
        <v>698</v>
      </c>
      <c r="L53" s="17"/>
      <c r="M53" s="18"/>
      <c r="N53" s="18"/>
      <c r="O53" s="17"/>
      <c r="P53" s="17"/>
      <c r="Q53" s="17"/>
      <c r="R53" s="18"/>
      <c r="S53" s="18"/>
      <c r="T53" s="18"/>
      <c r="U53" s="17"/>
      <c r="V53" s="17" t="str">
        <f>+CONCATENATE(E53,".",F53,"\",G53,".",H53,":",I53)</f>
        <v>2.3\0.4:</v>
      </c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64"/>
      <c r="AH53" s="64"/>
      <c r="AI53" s="64"/>
      <c r="AJ53" s="64"/>
      <c r="AK53" s="64"/>
      <c r="AL53" s="264"/>
      <c r="AM53" s="84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spans="1:51" s="33" customFormat="1" x14ac:dyDescent="0.3">
      <c r="A54" s="63" t="str">
        <f>A53</f>
        <v>BBD131</v>
      </c>
      <c r="B54" s="17" t="s">
        <v>2567</v>
      </c>
      <c r="C54" s="18" t="str">
        <f>+C53</f>
        <v>DIO1</v>
      </c>
      <c r="D54" s="18">
        <v>132</v>
      </c>
      <c r="E54" s="84">
        <v>2</v>
      </c>
      <c r="F54" s="84">
        <f>+F53</f>
        <v>3</v>
      </c>
      <c r="G54" s="84">
        <v>0</v>
      </c>
      <c r="H54" s="186">
        <f>+H53</f>
        <v>4</v>
      </c>
      <c r="I54" s="187"/>
      <c r="J54" s="266"/>
      <c r="K54" s="18"/>
      <c r="L54" s="17"/>
      <c r="M54" s="18"/>
      <c r="N54" s="18"/>
      <c r="O54" s="17"/>
      <c r="P54" s="17"/>
      <c r="Q54" s="17"/>
      <c r="R54" s="18"/>
      <c r="S54" s="18"/>
      <c r="T54" s="18"/>
      <c r="U54" s="17"/>
      <c r="V54" s="17" t="str">
        <f>+CONCATENATE(E54,".",F54,"\",G54,".",H54,":",I54)</f>
        <v>2.3\0.4:</v>
      </c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64"/>
      <c r="AH54" s="64"/>
      <c r="AI54" s="64"/>
      <c r="AJ54" s="64"/>
      <c r="AK54" s="64"/>
      <c r="AL54" s="264"/>
      <c r="AM54" s="84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1:51" s="33" customFormat="1" x14ac:dyDescent="0.3">
      <c r="A55" s="63" t="str">
        <f>A54</f>
        <v>BBD131</v>
      </c>
      <c r="B55" s="17" t="s">
        <v>2567</v>
      </c>
      <c r="C55" s="18" t="str">
        <f>+C54</f>
        <v>DIO1</v>
      </c>
      <c r="D55" s="18">
        <v>132</v>
      </c>
      <c r="E55" s="84">
        <v>2</v>
      </c>
      <c r="F55" s="84">
        <f>+F54</f>
        <v>3</v>
      </c>
      <c r="G55" s="84">
        <v>0</v>
      </c>
      <c r="H55" s="186">
        <f>+H54</f>
        <v>4</v>
      </c>
      <c r="I55" s="187"/>
      <c r="J55" s="266"/>
      <c r="K55" s="18"/>
      <c r="L55" s="17"/>
      <c r="M55" s="18"/>
      <c r="N55" s="18"/>
      <c r="U55" s="17"/>
      <c r="V55" s="17" t="str">
        <f>+CONCATENATE(E55,".",F55,"\",G55,".",H55,":",I55)</f>
        <v>2.3\0.4:</v>
      </c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64"/>
      <c r="AH55" s="64"/>
      <c r="AI55" s="64"/>
      <c r="AJ55" s="64"/>
      <c r="AK55" s="64"/>
      <c r="AL55" s="264"/>
      <c r="AM55" s="84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spans="1:51" s="33" customFormat="1" ht="13.5" thickBot="1" x14ac:dyDescent="0.35">
      <c r="A56" s="63" t="str">
        <f>A55</f>
        <v>BBD131</v>
      </c>
      <c r="B56" s="17" t="s">
        <v>2567</v>
      </c>
      <c r="C56" s="18" t="str">
        <f>+C55</f>
        <v>DIO1</v>
      </c>
      <c r="D56" s="18">
        <v>132</v>
      </c>
      <c r="E56" s="84">
        <v>2</v>
      </c>
      <c r="F56" s="84">
        <f>+F55</f>
        <v>3</v>
      </c>
      <c r="G56" s="84">
        <v>0</v>
      </c>
      <c r="H56" s="186">
        <f>+H55</f>
        <v>4</v>
      </c>
      <c r="I56" s="191"/>
      <c r="J56" s="265"/>
      <c r="K56" s="18"/>
      <c r="L56" s="17"/>
      <c r="M56" s="18"/>
      <c r="N56" s="18"/>
      <c r="U56" s="17"/>
      <c r="V56" s="17" t="str">
        <f>+CONCATENATE(E56,".",F56,"\",G56,".",H56,":",I56)</f>
        <v>2.3\0.4:</v>
      </c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64"/>
      <c r="AH56" s="64"/>
      <c r="AI56" s="64"/>
      <c r="AJ56" s="64"/>
      <c r="AK56" s="64"/>
      <c r="AL56" s="264"/>
      <c r="AM56" s="84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 spans="1:51" s="33" customFormat="1" x14ac:dyDescent="0.3">
      <c r="A57" s="268" t="s">
        <v>2289</v>
      </c>
      <c r="B57" s="17" t="s">
        <v>2567</v>
      </c>
      <c r="C57" s="18" t="str">
        <f>+C56</f>
        <v>DIO1</v>
      </c>
      <c r="D57" s="18">
        <v>132</v>
      </c>
      <c r="E57" s="84">
        <v>2</v>
      </c>
      <c r="F57" s="84">
        <f>+F56</f>
        <v>3</v>
      </c>
      <c r="G57" s="84">
        <v>0</v>
      </c>
      <c r="H57" s="202">
        <v>5</v>
      </c>
      <c r="I57" s="188"/>
      <c r="J57" s="267"/>
      <c r="K57" s="68" t="s">
        <v>698</v>
      </c>
      <c r="L57" s="17"/>
      <c r="M57" s="18"/>
      <c r="N57" s="18"/>
      <c r="O57" s="17"/>
      <c r="P57" s="17"/>
      <c r="Q57" s="17"/>
      <c r="R57" s="18"/>
      <c r="S57" s="18"/>
      <c r="T57" s="18"/>
      <c r="U57" s="17"/>
      <c r="V57" s="17" t="str">
        <f>+CONCATENATE(E57,".",F57,"\",G57,".",H57,":",I57)</f>
        <v>2.3\0.5:</v>
      </c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64"/>
      <c r="AH57" s="64"/>
      <c r="AI57" s="64"/>
      <c r="AJ57" s="64"/>
      <c r="AK57" s="64"/>
      <c r="AL57" s="264"/>
      <c r="AM57" s="84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 spans="1:51" s="33" customFormat="1" x14ac:dyDescent="0.3">
      <c r="A58" s="63" t="str">
        <f>A57</f>
        <v>BBD131</v>
      </c>
      <c r="B58" s="17" t="s">
        <v>2567</v>
      </c>
      <c r="C58" s="18" t="str">
        <f>+C57</f>
        <v>DIO1</v>
      </c>
      <c r="D58" s="18">
        <v>132</v>
      </c>
      <c r="E58" s="84">
        <v>2</v>
      </c>
      <c r="F58" s="84">
        <f>+F57</f>
        <v>3</v>
      </c>
      <c r="G58" s="84">
        <v>0</v>
      </c>
      <c r="H58" s="186">
        <f>+H57</f>
        <v>5</v>
      </c>
      <c r="I58" s="187"/>
      <c r="J58" s="266"/>
      <c r="K58" s="18"/>
      <c r="L58" s="17"/>
      <c r="M58" s="18"/>
      <c r="N58" s="18"/>
      <c r="O58" s="17"/>
      <c r="P58" s="17"/>
      <c r="Q58" s="17"/>
      <c r="R58" s="18"/>
      <c r="S58" s="18"/>
      <c r="T58" s="18"/>
      <c r="U58" s="17"/>
      <c r="V58" s="17" t="str">
        <f>+CONCATENATE(E58,".",F58,"\",G58,".",H58,":",I58)</f>
        <v>2.3\0.5:</v>
      </c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64"/>
      <c r="AH58" s="64"/>
      <c r="AI58" s="64"/>
      <c r="AJ58" s="64"/>
      <c r="AK58" s="64"/>
      <c r="AL58" s="264"/>
      <c r="AM58" s="84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 spans="1:51" s="33" customFormat="1" x14ac:dyDescent="0.3">
      <c r="A59" s="63" t="str">
        <f>A58</f>
        <v>BBD131</v>
      </c>
      <c r="B59" s="17" t="s">
        <v>2567</v>
      </c>
      <c r="C59" s="18" t="str">
        <f>+C58</f>
        <v>DIO1</v>
      </c>
      <c r="D59" s="18">
        <v>132</v>
      </c>
      <c r="E59" s="84">
        <v>2</v>
      </c>
      <c r="F59" s="84">
        <f>+F58</f>
        <v>3</v>
      </c>
      <c r="G59" s="84">
        <v>0</v>
      </c>
      <c r="H59" s="186">
        <f>+H58</f>
        <v>5</v>
      </c>
      <c r="I59" s="187"/>
      <c r="J59" s="266"/>
      <c r="K59" s="18"/>
      <c r="L59" s="17"/>
      <c r="M59" s="18"/>
      <c r="N59" s="18"/>
      <c r="O59" s="17"/>
      <c r="P59" s="17"/>
      <c r="Q59" s="17"/>
      <c r="R59" s="18"/>
      <c r="S59" s="18"/>
      <c r="T59" s="18"/>
      <c r="U59" s="17"/>
      <c r="V59" s="17" t="str">
        <f>+CONCATENATE(E59,".",F59,"\",G59,".",H59,":",I59)</f>
        <v>2.3\0.5:</v>
      </c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64"/>
      <c r="AH59" s="64"/>
      <c r="AI59" s="64"/>
      <c r="AJ59" s="64"/>
      <c r="AK59" s="64"/>
      <c r="AL59" s="264"/>
      <c r="AM59" s="84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 spans="1:51" s="33" customFormat="1" ht="13.5" thickBot="1" x14ac:dyDescent="0.35">
      <c r="A60" s="63" t="str">
        <f>A59</f>
        <v>BBD131</v>
      </c>
      <c r="B60" s="17" t="s">
        <v>2567</v>
      </c>
      <c r="C60" s="18" t="str">
        <f>+C59</f>
        <v>DIO1</v>
      </c>
      <c r="D60" s="18">
        <v>132</v>
      </c>
      <c r="E60" s="84">
        <v>2</v>
      </c>
      <c r="F60" s="84">
        <f>+F59</f>
        <v>3</v>
      </c>
      <c r="G60" s="84">
        <v>0</v>
      </c>
      <c r="H60" s="186">
        <f>+H59</f>
        <v>5</v>
      </c>
      <c r="I60" s="191"/>
      <c r="J60" s="265"/>
      <c r="K60" s="18"/>
      <c r="L60" s="17"/>
      <c r="M60" s="18"/>
      <c r="N60" s="18"/>
      <c r="O60" s="17"/>
      <c r="P60" s="17"/>
      <c r="Q60" s="17"/>
      <c r="R60" s="18"/>
      <c r="S60" s="18"/>
      <c r="T60" s="18"/>
      <c r="U60" s="17"/>
      <c r="V60" s="17" t="str">
        <f>+CONCATENATE(E60,".",F60,"\",G60,".",H60,":",I60)</f>
        <v>2.3\0.5:</v>
      </c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64"/>
      <c r="AH60" s="64"/>
      <c r="AI60" s="64"/>
      <c r="AJ60" s="64"/>
      <c r="AK60" s="64"/>
      <c r="AL60" s="264"/>
      <c r="AM60" s="84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 spans="1:51" s="33" customFormat="1" x14ac:dyDescent="0.3">
      <c r="A61" s="268" t="s">
        <v>2289</v>
      </c>
      <c r="B61" s="17" t="s">
        <v>2567</v>
      </c>
      <c r="C61" s="18" t="str">
        <f>+C60</f>
        <v>DIO1</v>
      </c>
      <c r="D61" s="18">
        <v>132</v>
      </c>
      <c r="E61" s="84">
        <v>2</v>
      </c>
      <c r="F61" s="84">
        <f>+F60</f>
        <v>3</v>
      </c>
      <c r="G61" s="84">
        <v>0</v>
      </c>
      <c r="H61" s="214">
        <v>6</v>
      </c>
      <c r="I61" s="188"/>
      <c r="J61" s="267"/>
      <c r="K61" s="68" t="s">
        <v>698</v>
      </c>
      <c r="L61" s="17"/>
      <c r="M61" s="18"/>
      <c r="N61" s="18"/>
      <c r="O61" s="17"/>
      <c r="P61" s="17"/>
      <c r="Q61" s="17"/>
      <c r="R61" s="18"/>
      <c r="S61" s="18"/>
      <c r="T61" s="18"/>
      <c r="U61" s="17"/>
      <c r="V61" s="17" t="str">
        <f>+CONCATENATE(E61,".",F61,"\",G61,".",H61,":",I61)</f>
        <v>2.3\0.6:</v>
      </c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64"/>
      <c r="AH61" s="64"/>
      <c r="AI61" s="64"/>
      <c r="AJ61" s="64"/>
      <c r="AK61" s="64"/>
      <c r="AL61" s="264"/>
      <c r="AM61" s="84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 spans="1:51" s="33" customFormat="1" x14ac:dyDescent="0.3">
      <c r="A62" s="63" t="str">
        <f>A61</f>
        <v>BBD131</v>
      </c>
      <c r="B62" s="17" t="s">
        <v>2567</v>
      </c>
      <c r="C62" s="18" t="str">
        <f>+C61</f>
        <v>DIO1</v>
      </c>
      <c r="D62" s="18">
        <v>132</v>
      </c>
      <c r="E62" s="84">
        <v>2</v>
      </c>
      <c r="F62" s="84">
        <f>+F61</f>
        <v>3</v>
      </c>
      <c r="G62" s="84">
        <v>0</v>
      </c>
      <c r="H62" s="186">
        <f>+H61</f>
        <v>6</v>
      </c>
      <c r="I62" s="187"/>
      <c r="J62" s="266"/>
      <c r="K62" s="18"/>
      <c r="L62" s="17"/>
      <c r="M62" s="18"/>
      <c r="N62" s="18"/>
      <c r="O62" s="17"/>
      <c r="P62" s="17"/>
      <c r="Q62" s="17"/>
      <c r="R62" s="18"/>
      <c r="S62" s="18"/>
      <c r="T62" s="18"/>
      <c r="U62" s="17"/>
      <c r="V62" s="17" t="str">
        <f>+CONCATENATE(E62,".",F62,"\",G62,".",H62,":",I62)</f>
        <v>2.3\0.6:</v>
      </c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64"/>
      <c r="AH62" s="64"/>
      <c r="AI62" s="64"/>
      <c r="AJ62" s="64"/>
      <c r="AK62" s="64"/>
      <c r="AL62" s="264"/>
      <c r="AM62" s="84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 spans="1:51" s="33" customFormat="1" x14ac:dyDescent="0.3">
      <c r="A63" s="63" t="str">
        <f>A62</f>
        <v>BBD131</v>
      </c>
      <c r="B63" s="17" t="s">
        <v>2567</v>
      </c>
      <c r="C63" s="18" t="str">
        <f>+C62</f>
        <v>DIO1</v>
      </c>
      <c r="D63" s="18">
        <v>132</v>
      </c>
      <c r="E63" s="84">
        <v>2</v>
      </c>
      <c r="F63" s="84">
        <f>+F62</f>
        <v>3</v>
      </c>
      <c r="G63" s="84">
        <v>0</v>
      </c>
      <c r="H63" s="186">
        <f>+H62</f>
        <v>6</v>
      </c>
      <c r="I63" s="187"/>
      <c r="J63" s="266"/>
      <c r="K63" s="18"/>
      <c r="L63" s="17"/>
      <c r="M63" s="18"/>
      <c r="N63" s="18"/>
      <c r="O63" s="17"/>
      <c r="P63" s="17"/>
      <c r="Q63" s="17"/>
      <c r="R63" s="18"/>
      <c r="S63" s="18"/>
      <c r="T63" s="18"/>
      <c r="U63" s="17"/>
      <c r="V63" s="17" t="str">
        <f>+CONCATENATE(E63,".",F63,"\",G63,".",H63,":",I63)</f>
        <v>2.3\0.6:</v>
      </c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64"/>
      <c r="AH63" s="64"/>
      <c r="AI63" s="64"/>
      <c r="AJ63" s="64"/>
      <c r="AK63" s="64"/>
      <c r="AL63" s="264"/>
      <c r="AM63" s="84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 spans="1:51" s="33" customFormat="1" ht="13.5" thickBot="1" x14ac:dyDescent="0.35">
      <c r="A64" s="63" t="str">
        <f>A63</f>
        <v>BBD131</v>
      </c>
      <c r="B64" s="17" t="s">
        <v>2567</v>
      </c>
      <c r="C64" s="18" t="str">
        <f>+C63</f>
        <v>DIO1</v>
      </c>
      <c r="D64" s="18">
        <v>132</v>
      </c>
      <c r="E64" s="84">
        <v>2</v>
      </c>
      <c r="F64" s="84">
        <f>+F63</f>
        <v>3</v>
      </c>
      <c r="G64" s="84">
        <v>0</v>
      </c>
      <c r="H64" s="186">
        <f>+H63</f>
        <v>6</v>
      </c>
      <c r="I64" s="191"/>
      <c r="J64" s="265"/>
      <c r="K64" s="18"/>
      <c r="L64" s="17"/>
      <c r="M64" s="18"/>
      <c r="N64" s="18"/>
      <c r="O64" s="17"/>
      <c r="P64" s="17"/>
      <c r="Q64" s="17"/>
      <c r="R64" s="18"/>
      <c r="S64" s="18"/>
      <c r="T64" s="18"/>
      <c r="U64" s="17"/>
      <c r="V64" s="17" t="str">
        <f>+CONCATENATE(E64,".",F64,"\",G64,".",H64,":",I64)</f>
        <v>2.3\0.6:</v>
      </c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64"/>
      <c r="AH64" s="64"/>
      <c r="AI64" s="64"/>
      <c r="AJ64" s="64"/>
      <c r="AK64" s="64"/>
      <c r="AL64" s="264"/>
      <c r="AM64" s="84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 spans="1:51" s="33" customFormat="1" x14ac:dyDescent="0.3">
      <c r="A65" s="268" t="s">
        <v>2289</v>
      </c>
      <c r="B65" s="17" t="s">
        <v>2567</v>
      </c>
      <c r="C65" s="18" t="str">
        <f>+C64</f>
        <v>DIO1</v>
      </c>
      <c r="D65" s="18">
        <v>132</v>
      </c>
      <c r="E65" s="84">
        <v>2</v>
      </c>
      <c r="F65" s="84">
        <f>+F64</f>
        <v>3</v>
      </c>
      <c r="G65" s="84">
        <v>0</v>
      </c>
      <c r="H65" s="214">
        <v>7</v>
      </c>
      <c r="I65" s="188"/>
      <c r="J65" s="267"/>
      <c r="K65" s="68" t="s">
        <v>698</v>
      </c>
      <c r="L65" s="17"/>
      <c r="M65" s="18"/>
      <c r="N65" s="18"/>
      <c r="O65" s="17"/>
      <c r="P65" s="17"/>
      <c r="Q65" s="17"/>
      <c r="R65" s="18"/>
      <c r="S65" s="18"/>
      <c r="T65" s="18"/>
      <c r="U65" s="17"/>
      <c r="V65" s="17" t="str">
        <f>+CONCATENATE(E65,".",F65,"\",G65,".",H65,":",I65)</f>
        <v>2.3\0.7: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64"/>
      <c r="AH65" s="64"/>
      <c r="AI65" s="64"/>
      <c r="AJ65" s="64"/>
      <c r="AK65" s="64"/>
      <c r="AL65" s="264"/>
      <c r="AM65" s="84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 spans="1:51" s="33" customFormat="1" x14ac:dyDescent="0.3">
      <c r="A66" s="63" t="str">
        <f>A65</f>
        <v>BBD131</v>
      </c>
      <c r="B66" s="17" t="s">
        <v>2567</v>
      </c>
      <c r="C66" s="18" t="str">
        <f>+C65</f>
        <v>DIO1</v>
      </c>
      <c r="D66" s="18">
        <v>132</v>
      </c>
      <c r="E66" s="84">
        <v>2</v>
      </c>
      <c r="F66" s="84">
        <f>+F65</f>
        <v>3</v>
      </c>
      <c r="G66" s="84">
        <v>0</v>
      </c>
      <c r="H66" s="186">
        <f>+H65</f>
        <v>7</v>
      </c>
      <c r="I66" s="187"/>
      <c r="J66" s="266"/>
      <c r="K66" s="18"/>
      <c r="L66" s="17"/>
      <c r="M66" s="18"/>
      <c r="N66" s="18"/>
      <c r="O66" s="17"/>
      <c r="P66" s="17"/>
      <c r="Q66" s="17"/>
      <c r="R66" s="18"/>
      <c r="S66" s="18"/>
      <c r="T66" s="18"/>
      <c r="U66" s="17"/>
      <c r="V66" s="17" t="str">
        <f>+CONCATENATE(E66,".",F66,"\",G66,".",H66,":",I66)</f>
        <v>2.3\0.7: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64"/>
      <c r="AH66" s="64"/>
      <c r="AI66" s="64"/>
      <c r="AJ66" s="64"/>
      <c r="AK66" s="64"/>
      <c r="AL66" s="264"/>
      <c r="AM66" s="84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 spans="1:51" s="33" customFormat="1" x14ac:dyDescent="0.3">
      <c r="A67" s="63" t="str">
        <f>A66</f>
        <v>BBD131</v>
      </c>
      <c r="B67" s="17" t="s">
        <v>2567</v>
      </c>
      <c r="C67" s="18" t="str">
        <f>+C66</f>
        <v>DIO1</v>
      </c>
      <c r="D67" s="18">
        <v>132</v>
      </c>
      <c r="E67" s="84">
        <v>2</v>
      </c>
      <c r="F67" s="84">
        <f>+F66</f>
        <v>3</v>
      </c>
      <c r="G67" s="84">
        <v>0</v>
      </c>
      <c r="H67" s="186">
        <f>+H66</f>
        <v>7</v>
      </c>
      <c r="I67" s="187"/>
      <c r="J67" s="266"/>
      <c r="K67" s="18"/>
      <c r="L67" s="17"/>
      <c r="M67" s="18"/>
      <c r="N67" s="18"/>
      <c r="U67" s="17"/>
      <c r="V67" s="17" t="str">
        <f>+CONCATENATE(E67,".",F67,"\",G67,".",H67,":",I67)</f>
        <v>2.3\0.7:</v>
      </c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64"/>
      <c r="AH67" s="64"/>
      <c r="AI67" s="64"/>
      <c r="AJ67" s="64"/>
      <c r="AK67" s="64"/>
      <c r="AL67" s="264"/>
      <c r="AM67" s="84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8" spans="1:51" s="33" customFormat="1" ht="13.5" thickBot="1" x14ac:dyDescent="0.35">
      <c r="A68" s="63" t="str">
        <f>A67</f>
        <v>BBD131</v>
      </c>
      <c r="B68" s="17" t="s">
        <v>2567</v>
      </c>
      <c r="C68" s="18" t="str">
        <f>+C67</f>
        <v>DIO1</v>
      </c>
      <c r="D68" s="18">
        <v>132</v>
      </c>
      <c r="E68" s="84">
        <v>2</v>
      </c>
      <c r="F68" s="84">
        <f>+F67</f>
        <v>3</v>
      </c>
      <c r="G68" s="84">
        <v>0</v>
      </c>
      <c r="H68" s="186">
        <f>+H67</f>
        <v>7</v>
      </c>
      <c r="I68" s="191"/>
      <c r="J68" s="265"/>
      <c r="K68" s="18"/>
      <c r="L68" s="17"/>
      <c r="M68" s="18"/>
      <c r="N68" s="18"/>
      <c r="U68" s="17"/>
      <c r="V68" s="17" t="str">
        <f>+CONCATENATE(E68,".",F68,"\",G68,".",H68,":",I68)</f>
        <v>2.3\0.7:</v>
      </c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64"/>
      <c r="AH68" s="64"/>
      <c r="AI68" s="64"/>
      <c r="AJ68" s="64"/>
      <c r="AK68" s="64"/>
      <c r="AL68" s="264"/>
      <c r="AM68" s="84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</row>
    <row r="69" spans="1:51" s="33" customFormat="1" x14ac:dyDescent="0.3">
      <c r="A69" s="268" t="s">
        <v>2289</v>
      </c>
      <c r="B69" s="17" t="s">
        <v>2567</v>
      </c>
      <c r="C69" s="18" t="str">
        <f>+C68</f>
        <v>DIO1</v>
      </c>
      <c r="D69" s="18">
        <v>132</v>
      </c>
      <c r="E69" s="84">
        <v>2</v>
      </c>
      <c r="F69" s="84">
        <f>+F68</f>
        <v>3</v>
      </c>
      <c r="G69" s="84">
        <v>0</v>
      </c>
      <c r="H69" s="202">
        <f>+H65+1</f>
        <v>8</v>
      </c>
      <c r="I69" s="188"/>
      <c r="J69" s="267"/>
      <c r="K69" s="68" t="s">
        <v>698</v>
      </c>
      <c r="L69" s="17"/>
      <c r="M69" s="18"/>
      <c r="N69" s="18"/>
      <c r="O69" s="17"/>
      <c r="P69" s="17"/>
      <c r="Q69" s="17"/>
      <c r="R69" s="18"/>
      <c r="S69" s="18"/>
      <c r="T69" s="18"/>
      <c r="U69" s="17"/>
      <c r="V69" s="17" t="str">
        <f>+CONCATENATE(E69,".",F69,"\",G69,".",H69,":",I69)</f>
        <v>2.3\0.8:</v>
      </c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64"/>
      <c r="AH69" s="64"/>
      <c r="AI69" s="64"/>
      <c r="AJ69" s="64"/>
      <c r="AK69" s="64"/>
      <c r="AL69" s="264"/>
      <c r="AM69" s="84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</row>
    <row r="70" spans="1:51" s="33" customFormat="1" x14ac:dyDescent="0.3">
      <c r="A70" s="63" t="str">
        <f>A69</f>
        <v>BBD131</v>
      </c>
      <c r="B70" s="17" t="s">
        <v>2567</v>
      </c>
      <c r="C70" s="18" t="str">
        <f>+C69</f>
        <v>DIO1</v>
      </c>
      <c r="D70" s="18">
        <v>132</v>
      </c>
      <c r="E70" s="84">
        <v>2</v>
      </c>
      <c r="F70" s="84">
        <f>+F69</f>
        <v>3</v>
      </c>
      <c r="G70" s="84">
        <v>0</v>
      </c>
      <c r="H70" s="186">
        <f>+H69</f>
        <v>8</v>
      </c>
      <c r="I70" s="187"/>
      <c r="J70" s="266"/>
      <c r="K70" s="18"/>
      <c r="L70" s="17"/>
      <c r="M70" s="18"/>
      <c r="N70" s="18"/>
      <c r="O70" s="17"/>
      <c r="P70" s="17"/>
      <c r="Q70" s="17"/>
      <c r="R70" s="18"/>
      <c r="S70" s="18"/>
      <c r="T70" s="18"/>
      <c r="U70" s="17"/>
      <c r="V70" s="17" t="str">
        <f>+CONCATENATE(E70,".",F70,"\",G70,".",H70,":",I70)</f>
        <v>2.3\0.8:</v>
      </c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64"/>
      <c r="AH70" s="64"/>
      <c r="AI70" s="64"/>
      <c r="AJ70" s="64"/>
      <c r="AK70" s="64"/>
      <c r="AL70" s="264"/>
      <c r="AM70" s="84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</row>
    <row r="71" spans="1:51" s="33" customFormat="1" x14ac:dyDescent="0.3">
      <c r="A71" s="63" t="str">
        <f>A70</f>
        <v>BBD131</v>
      </c>
      <c r="B71" s="17" t="s">
        <v>2567</v>
      </c>
      <c r="C71" s="18" t="str">
        <f>+C70</f>
        <v>DIO1</v>
      </c>
      <c r="D71" s="18">
        <v>132</v>
      </c>
      <c r="E71" s="84">
        <v>2</v>
      </c>
      <c r="F71" s="84">
        <f>+F70</f>
        <v>3</v>
      </c>
      <c r="G71" s="84">
        <v>0</v>
      </c>
      <c r="H71" s="186">
        <f>+H70</f>
        <v>8</v>
      </c>
      <c r="I71" s="187"/>
      <c r="J71" s="266"/>
      <c r="K71" s="18"/>
      <c r="L71" s="17"/>
      <c r="M71" s="18"/>
      <c r="N71" s="18"/>
      <c r="O71" s="17"/>
      <c r="P71" s="17"/>
      <c r="Q71" s="17"/>
      <c r="R71" s="18"/>
      <c r="S71" s="18"/>
      <c r="T71" s="18"/>
      <c r="U71" s="17"/>
      <c r="V71" s="17" t="str">
        <f>+CONCATENATE(E71,".",F71,"\",G71,".",H71,":",I71)</f>
        <v>2.3\0.8:</v>
      </c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64"/>
      <c r="AH71" s="64"/>
      <c r="AI71" s="64"/>
      <c r="AJ71" s="64"/>
      <c r="AK71" s="64"/>
      <c r="AL71" s="264"/>
      <c r="AM71" s="84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</row>
    <row r="72" spans="1:51" s="33" customFormat="1" ht="13.5" thickBot="1" x14ac:dyDescent="0.35">
      <c r="A72" s="63" t="str">
        <f>A71</f>
        <v>BBD131</v>
      </c>
      <c r="B72" s="17" t="s">
        <v>2567</v>
      </c>
      <c r="C72" s="18" t="str">
        <f>+C71</f>
        <v>DIO1</v>
      </c>
      <c r="D72" s="18">
        <v>132</v>
      </c>
      <c r="E72" s="84">
        <v>2</v>
      </c>
      <c r="F72" s="84">
        <f>+F71</f>
        <v>3</v>
      </c>
      <c r="G72" s="84">
        <v>0</v>
      </c>
      <c r="H72" s="186">
        <f>+H71</f>
        <v>8</v>
      </c>
      <c r="I72" s="191"/>
      <c r="J72" s="265"/>
      <c r="K72" s="18"/>
      <c r="L72" s="17"/>
      <c r="M72" s="18"/>
      <c r="N72" s="18"/>
      <c r="O72" s="17"/>
      <c r="P72" s="17"/>
      <c r="Q72" s="17"/>
      <c r="R72" s="18"/>
      <c r="S72" s="18"/>
      <c r="T72" s="18"/>
      <c r="U72" s="17"/>
      <c r="V72" s="17" t="str">
        <f>+CONCATENATE(E72,".",F72,"\",G72,".",H72,":",I72)</f>
        <v>2.3\0.8:</v>
      </c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64"/>
      <c r="AH72" s="64"/>
      <c r="AI72" s="64"/>
      <c r="AJ72" s="64"/>
      <c r="AK72" s="64"/>
      <c r="AL72" s="264"/>
      <c r="AM72" s="84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</row>
    <row r="73" spans="1:51" s="33" customFormat="1" x14ac:dyDescent="0.3">
      <c r="A73" s="268" t="s">
        <v>2289</v>
      </c>
      <c r="B73" s="17" t="s">
        <v>2567</v>
      </c>
      <c r="C73" s="18" t="str">
        <f>+C72</f>
        <v>DIO1</v>
      </c>
      <c r="D73" s="18">
        <v>132</v>
      </c>
      <c r="E73" s="84">
        <v>2</v>
      </c>
      <c r="F73" s="84">
        <f>+F72</f>
        <v>3</v>
      </c>
      <c r="G73" s="84">
        <v>0</v>
      </c>
      <c r="H73" s="214">
        <f>+H69+1</f>
        <v>9</v>
      </c>
      <c r="I73" s="188"/>
      <c r="J73" s="267"/>
      <c r="K73" s="68" t="s">
        <v>698</v>
      </c>
      <c r="L73" s="17"/>
      <c r="M73" s="18"/>
      <c r="N73" s="18"/>
      <c r="O73" s="17"/>
      <c r="P73" s="17"/>
      <c r="Q73" s="17"/>
      <c r="R73" s="18"/>
      <c r="S73" s="18"/>
      <c r="T73" s="18"/>
      <c r="U73" s="17"/>
      <c r="V73" s="17" t="str">
        <f>+CONCATENATE(E73,".",F73,"\",G73,".",H73,":",I73)</f>
        <v>2.3\0.9:</v>
      </c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64"/>
      <c r="AH73" s="64"/>
      <c r="AI73" s="64"/>
      <c r="AJ73" s="64"/>
      <c r="AK73" s="64"/>
      <c r="AL73" s="264"/>
      <c r="AM73" s="84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 spans="1:51" s="33" customFormat="1" x14ac:dyDescent="0.3">
      <c r="A74" s="63" t="str">
        <f>A73</f>
        <v>BBD131</v>
      </c>
      <c r="B74" s="17" t="s">
        <v>2567</v>
      </c>
      <c r="C74" s="18" t="str">
        <f>+C73</f>
        <v>DIO1</v>
      </c>
      <c r="D74" s="18">
        <v>132</v>
      </c>
      <c r="E74" s="84">
        <v>2</v>
      </c>
      <c r="F74" s="84">
        <f>+F73</f>
        <v>3</v>
      </c>
      <c r="G74" s="84">
        <v>0</v>
      </c>
      <c r="H74" s="186">
        <f>+H73</f>
        <v>9</v>
      </c>
      <c r="I74" s="187"/>
      <c r="J74" s="266"/>
      <c r="K74" s="18"/>
      <c r="L74" s="17"/>
      <c r="M74" s="18"/>
      <c r="N74" s="18"/>
      <c r="O74" s="17"/>
      <c r="P74" s="17"/>
      <c r="Q74" s="17"/>
      <c r="R74" s="18"/>
      <c r="S74" s="18"/>
      <c r="T74" s="18"/>
      <c r="U74" s="17"/>
      <c r="V74" s="17" t="str">
        <f>+CONCATENATE(E74,".",F74,"\",G74,".",H74,":",I74)</f>
        <v>2.3\0.9:</v>
      </c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64"/>
      <c r="AH74" s="64"/>
      <c r="AI74" s="64"/>
      <c r="AJ74" s="64"/>
      <c r="AK74" s="64"/>
      <c r="AL74" s="264"/>
      <c r="AM74" s="84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</row>
    <row r="75" spans="1:51" s="33" customFormat="1" x14ac:dyDescent="0.3">
      <c r="A75" s="63" t="str">
        <f>A74</f>
        <v>BBD131</v>
      </c>
      <c r="B75" s="17" t="s">
        <v>2567</v>
      </c>
      <c r="C75" s="18" t="str">
        <f>+C74</f>
        <v>DIO1</v>
      </c>
      <c r="D75" s="18">
        <v>132</v>
      </c>
      <c r="E75" s="84">
        <v>2</v>
      </c>
      <c r="F75" s="84">
        <f>+F74</f>
        <v>3</v>
      </c>
      <c r="G75" s="84">
        <v>0</v>
      </c>
      <c r="H75" s="186">
        <f>+H74</f>
        <v>9</v>
      </c>
      <c r="I75" s="187"/>
      <c r="J75" s="266"/>
      <c r="K75" s="18"/>
      <c r="L75" s="17"/>
      <c r="M75" s="18"/>
      <c r="N75" s="18"/>
      <c r="O75" s="17"/>
      <c r="P75" s="17"/>
      <c r="Q75" s="17"/>
      <c r="R75" s="18"/>
      <c r="S75" s="18"/>
      <c r="T75" s="18"/>
      <c r="U75" s="17"/>
      <c r="V75" s="17" t="str">
        <f>+CONCATENATE(E75,".",F75,"\",G75,".",H75,":",I75)</f>
        <v>2.3\0.9:</v>
      </c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64"/>
      <c r="AH75" s="64"/>
      <c r="AI75" s="64"/>
      <c r="AJ75" s="64"/>
      <c r="AK75" s="64"/>
      <c r="AL75" s="264"/>
      <c r="AM75" s="84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 spans="1:51" s="33" customFormat="1" ht="13.5" thickBot="1" x14ac:dyDescent="0.35">
      <c r="A76" s="63" t="str">
        <f>A75</f>
        <v>BBD131</v>
      </c>
      <c r="B76" s="17" t="s">
        <v>2567</v>
      </c>
      <c r="C76" s="18" t="str">
        <f>+C75</f>
        <v>DIO1</v>
      </c>
      <c r="D76" s="18">
        <v>132</v>
      </c>
      <c r="E76" s="84">
        <v>2</v>
      </c>
      <c r="F76" s="84">
        <f>+F75</f>
        <v>3</v>
      </c>
      <c r="G76" s="84">
        <v>0</v>
      </c>
      <c r="H76" s="186">
        <f>+H75</f>
        <v>9</v>
      </c>
      <c r="I76" s="191"/>
      <c r="J76" s="265"/>
      <c r="K76" s="18"/>
      <c r="L76" s="17"/>
      <c r="M76" s="18"/>
      <c r="N76" s="18"/>
      <c r="O76" s="17"/>
      <c r="P76" s="17"/>
      <c r="Q76" s="17"/>
      <c r="R76" s="18"/>
      <c r="S76" s="18"/>
      <c r="T76" s="18"/>
      <c r="U76" s="17"/>
      <c r="V76" s="17" t="str">
        <f>+CONCATENATE(E76,".",F76,"\",G76,".",H76,":",I76)</f>
        <v>2.3\0.9:</v>
      </c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64"/>
      <c r="AH76" s="64"/>
      <c r="AI76" s="64"/>
      <c r="AJ76" s="64"/>
      <c r="AK76" s="64"/>
      <c r="AL76" s="264"/>
      <c r="AM76" s="84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</row>
    <row r="77" spans="1:51" s="33" customFormat="1" x14ac:dyDescent="0.3">
      <c r="A77" s="268" t="s">
        <v>2289</v>
      </c>
      <c r="B77" s="17" t="s">
        <v>2567</v>
      </c>
      <c r="C77" s="18" t="str">
        <f>+C76</f>
        <v>DIO1</v>
      </c>
      <c r="D77" s="18">
        <v>132</v>
      </c>
      <c r="E77" s="84">
        <v>2</v>
      </c>
      <c r="F77" s="84">
        <f>+F76</f>
        <v>3</v>
      </c>
      <c r="G77" s="84">
        <v>0</v>
      </c>
      <c r="H77" s="202">
        <f>+H73+1</f>
        <v>10</v>
      </c>
      <c r="I77" s="188"/>
      <c r="J77" s="267"/>
      <c r="K77" s="68" t="s">
        <v>698</v>
      </c>
      <c r="L77" s="17"/>
      <c r="M77" s="18"/>
      <c r="N77" s="18"/>
      <c r="O77" s="17"/>
      <c r="P77" s="17"/>
      <c r="Q77" s="17"/>
      <c r="R77" s="18"/>
      <c r="S77" s="18"/>
      <c r="T77" s="18"/>
      <c r="U77" s="17"/>
      <c r="V77" s="17" t="str">
        <f>+CONCATENATE(E77,".",F77,"\",G77,".",H77,":",I77)</f>
        <v>2.3\0.10:</v>
      </c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64"/>
      <c r="AH77" s="64"/>
      <c r="AI77" s="64"/>
      <c r="AJ77" s="64"/>
      <c r="AK77" s="64"/>
      <c r="AL77" s="264"/>
      <c r="AM77" s="84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 spans="1:51" s="33" customFormat="1" x14ac:dyDescent="0.3">
      <c r="A78" s="63" t="str">
        <f>A77</f>
        <v>BBD131</v>
      </c>
      <c r="B78" s="17" t="s">
        <v>2567</v>
      </c>
      <c r="C78" s="18" t="str">
        <f>+C77</f>
        <v>DIO1</v>
      </c>
      <c r="D78" s="18">
        <v>132</v>
      </c>
      <c r="E78" s="84">
        <v>2</v>
      </c>
      <c r="F78" s="84">
        <f>+F77</f>
        <v>3</v>
      </c>
      <c r="G78" s="84">
        <v>0</v>
      </c>
      <c r="H78" s="186">
        <f>+H77</f>
        <v>10</v>
      </c>
      <c r="I78" s="187"/>
      <c r="J78" s="266"/>
      <c r="K78" s="18"/>
      <c r="L78" s="17"/>
      <c r="M78" s="18"/>
      <c r="N78" s="18"/>
      <c r="O78" s="17"/>
      <c r="P78" s="17"/>
      <c r="Q78" s="17"/>
      <c r="R78" s="18"/>
      <c r="S78" s="18"/>
      <c r="T78" s="18"/>
      <c r="U78" s="17"/>
      <c r="V78" s="17" t="str">
        <f>+CONCATENATE(E78,".",F78,"\",G78,".",H78,":",I78)</f>
        <v>2.3\0.10:</v>
      </c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64"/>
      <c r="AH78" s="64"/>
      <c r="AI78" s="64"/>
      <c r="AJ78" s="64"/>
      <c r="AK78" s="64"/>
      <c r="AL78" s="264"/>
      <c r="AM78" s="84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</row>
    <row r="79" spans="1:51" s="33" customFormat="1" x14ac:dyDescent="0.3">
      <c r="A79" s="63" t="str">
        <f>A78</f>
        <v>BBD131</v>
      </c>
      <c r="B79" s="17" t="s">
        <v>2567</v>
      </c>
      <c r="C79" s="18" t="str">
        <f>+C78</f>
        <v>DIO1</v>
      </c>
      <c r="D79" s="18">
        <v>132</v>
      </c>
      <c r="E79" s="84">
        <v>2</v>
      </c>
      <c r="F79" s="84">
        <f>+F78</f>
        <v>3</v>
      </c>
      <c r="G79" s="84">
        <v>0</v>
      </c>
      <c r="H79" s="186">
        <f>+H78</f>
        <v>10</v>
      </c>
      <c r="I79" s="187"/>
      <c r="J79" s="266"/>
      <c r="K79" s="18"/>
      <c r="L79" s="17"/>
      <c r="M79" s="18"/>
      <c r="N79" s="18"/>
      <c r="O79" s="17"/>
      <c r="P79" s="17"/>
      <c r="Q79" s="17"/>
      <c r="R79" s="18"/>
      <c r="S79" s="18"/>
      <c r="T79" s="18"/>
      <c r="U79" s="17"/>
      <c r="V79" s="17" t="str">
        <f>+CONCATENATE(E79,".",F79,"\",G79,".",H79,":",I79)</f>
        <v>2.3\0.10:</v>
      </c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64"/>
      <c r="AH79" s="64"/>
      <c r="AI79" s="64"/>
      <c r="AJ79" s="64"/>
      <c r="AK79" s="64"/>
      <c r="AL79" s="264"/>
      <c r="AM79" s="17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 spans="1:51" s="33" customFormat="1" ht="13.5" thickBot="1" x14ac:dyDescent="0.35">
      <c r="A80" s="63" t="str">
        <f>A79</f>
        <v>BBD131</v>
      </c>
      <c r="B80" s="17" t="s">
        <v>2567</v>
      </c>
      <c r="C80" s="18" t="str">
        <f>+C79</f>
        <v>DIO1</v>
      </c>
      <c r="D80" s="18">
        <v>132</v>
      </c>
      <c r="E80" s="84">
        <v>2</v>
      </c>
      <c r="F80" s="84">
        <f>+F79</f>
        <v>3</v>
      </c>
      <c r="G80" s="84">
        <v>0</v>
      </c>
      <c r="H80" s="186">
        <f>+H79</f>
        <v>10</v>
      </c>
      <c r="I80" s="191"/>
      <c r="J80" s="265"/>
      <c r="K80" s="18"/>
      <c r="L80" s="17"/>
      <c r="M80" s="18"/>
      <c r="N80" s="18"/>
      <c r="O80" s="17"/>
      <c r="P80" s="17"/>
      <c r="Q80" s="17"/>
      <c r="R80" s="18"/>
      <c r="S80" s="18"/>
      <c r="T80" s="18"/>
      <c r="U80" s="17"/>
      <c r="V80" s="17" t="str">
        <f>+CONCATENATE(E80,".",F80,"\",G80,".",H80,":",I80)</f>
        <v>2.3\0.10:</v>
      </c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64"/>
      <c r="AH80" s="64"/>
      <c r="AI80" s="64"/>
      <c r="AJ80" s="64"/>
      <c r="AK80" s="64"/>
      <c r="AL80" s="264"/>
      <c r="AM80" s="17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</row>
    <row r="81" spans="1:51" s="33" customFormat="1" x14ac:dyDescent="0.3">
      <c r="A81" s="268" t="s">
        <v>2289</v>
      </c>
      <c r="B81" s="17" t="s">
        <v>2567</v>
      </c>
      <c r="C81" s="18" t="str">
        <f>+C80</f>
        <v>DIO1</v>
      </c>
      <c r="D81" s="18">
        <v>132</v>
      </c>
      <c r="E81" s="84">
        <v>2</v>
      </c>
      <c r="F81" s="84">
        <f>+F80</f>
        <v>3</v>
      </c>
      <c r="G81" s="84">
        <v>0</v>
      </c>
      <c r="H81" s="202">
        <f>+H77+1</f>
        <v>11</v>
      </c>
      <c r="I81" s="188"/>
      <c r="J81" s="267"/>
      <c r="K81" s="68" t="s">
        <v>698</v>
      </c>
      <c r="L81" s="17"/>
      <c r="M81" s="18"/>
      <c r="N81" s="18"/>
      <c r="O81" s="17"/>
      <c r="P81" s="17"/>
      <c r="Q81" s="17"/>
      <c r="R81" s="18"/>
      <c r="S81" s="18"/>
      <c r="T81" s="18"/>
      <c r="U81" s="17"/>
      <c r="V81" s="17" t="str">
        <f>+CONCATENATE(E81,".",F81,"\",G81,".",H81,":",I81)</f>
        <v>2.3\0.11:</v>
      </c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64"/>
      <c r="AH81" s="64"/>
      <c r="AI81" s="64"/>
      <c r="AJ81" s="64"/>
      <c r="AK81" s="64"/>
      <c r="AL81" s="264"/>
      <c r="AM81" s="17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 spans="1:51" s="33" customFormat="1" x14ac:dyDescent="0.3">
      <c r="A82" s="63" t="str">
        <f>A81</f>
        <v>BBD131</v>
      </c>
      <c r="B82" s="17" t="s">
        <v>2567</v>
      </c>
      <c r="C82" s="18" t="str">
        <f>+C81</f>
        <v>DIO1</v>
      </c>
      <c r="D82" s="18">
        <v>132</v>
      </c>
      <c r="E82" s="84">
        <v>2</v>
      </c>
      <c r="F82" s="84">
        <f>+F81</f>
        <v>3</v>
      </c>
      <c r="G82" s="84">
        <v>0</v>
      </c>
      <c r="H82" s="186">
        <f>+H81</f>
        <v>11</v>
      </c>
      <c r="I82" s="187"/>
      <c r="J82" s="266"/>
      <c r="K82" s="18"/>
      <c r="L82" s="17"/>
      <c r="M82" s="18"/>
      <c r="N82" s="18"/>
      <c r="O82" s="17"/>
      <c r="P82" s="17"/>
      <c r="Q82" s="17"/>
      <c r="R82" s="18"/>
      <c r="S82" s="18"/>
      <c r="T82" s="18"/>
      <c r="U82" s="17"/>
      <c r="V82" s="17" t="str">
        <f>+CONCATENATE(E82,".",F82,"\",G82,".",H82,":",I82)</f>
        <v>2.3\0.11:</v>
      </c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64"/>
      <c r="AH82" s="64"/>
      <c r="AI82" s="64"/>
      <c r="AJ82" s="64"/>
      <c r="AK82" s="64"/>
      <c r="AL82" s="264"/>
      <c r="AM82" s="17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</row>
    <row r="83" spans="1:51" s="33" customFormat="1" x14ac:dyDescent="0.3">
      <c r="A83" s="63" t="str">
        <f>A82</f>
        <v>BBD131</v>
      </c>
      <c r="B83" s="17" t="s">
        <v>2567</v>
      </c>
      <c r="C83" s="18" t="str">
        <f>+C82</f>
        <v>DIO1</v>
      </c>
      <c r="D83" s="18">
        <v>132</v>
      </c>
      <c r="E83" s="84">
        <v>2</v>
      </c>
      <c r="F83" s="84">
        <f>+F82</f>
        <v>3</v>
      </c>
      <c r="G83" s="84">
        <v>0</v>
      </c>
      <c r="H83" s="186">
        <f>+H82</f>
        <v>11</v>
      </c>
      <c r="I83" s="187"/>
      <c r="J83" s="266"/>
      <c r="K83" s="18"/>
      <c r="L83" s="17"/>
      <c r="M83" s="18"/>
      <c r="N83" s="18"/>
      <c r="O83" s="17"/>
      <c r="P83" s="17"/>
      <c r="Q83" s="17"/>
      <c r="R83" s="18"/>
      <c r="S83" s="18"/>
      <c r="T83" s="18"/>
      <c r="U83" s="17"/>
      <c r="V83" s="17" t="str">
        <f>+CONCATENATE(E83,".",F83,"\",G83,".",H83,":",I83)</f>
        <v>2.3\0.11:</v>
      </c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64"/>
      <c r="AH83" s="64"/>
      <c r="AI83" s="64"/>
      <c r="AJ83" s="64"/>
      <c r="AK83" s="64"/>
      <c r="AL83" s="264"/>
      <c r="AM83" s="17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 spans="1:51" s="33" customFormat="1" ht="13.5" thickBot="1" x14ac:dyDescent="0.35">
      <c r="A84" s="63" t="str">
        <f>A83</f>
        <v>BBD131</v>
      </c>
      <c r="B84" s="17" t="s">
        <v>2567</v>
      </c>
      <c r="C84" s="18" t="str">
        <f>+C83</f>
        <v>DIO1</v>
      </c>
      <c r="D84" s="18">
        <v>132</v>
      </c>
      <c r="E84" s="84">
        <v>2</v>
      </c>
      <c r="F84" s="84">
        <f>+F83</f>
        <v>3</v>
      </c>
      <c r="G84" s="84">
        <v>0</v>
      </c>
      <c r="H84" s="186">
        <f>+H83</f>
        <v>11</v>
      </c>
      <c r="I84" s="191"/>
      <c r="J84" s="265"/>
      <c r="K84" s="18"/>
      <c r="L84" s="17"/>
      <c r="M84" s="18"/>
      <c r="N84" s="18"/>
      <c r="O84" s="17"/>
      <c r="P84" s="17"/>
      <c r="Q84" s="17"/>
      <c r="R84" s="18"/>
      <c r="S84" s="18"/>
      <c r="T84" s="18"/>
      <c r="U84" s="17"/>
      <c r="V84" s="17" t="str">
        <f>+CONCATENATE(E84,".",F84,"\",G84,".",H84,":",I84)</f>
        <v>2.3\0.11:</v>
      </c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64"/>
      <c r="AH84" s="64"/>
      <c r="AI84" s="64"/>
      <c r="AJ84" s="64"/>
      <c r="AK84" s="64"/>
      <c r="AL84" s="264"/>
      <c r="AM84" s="17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</row>
    <row r="85" spans="1:51" s="33" customFormat="1" x14ac:dyDescent="0.3">
      <c r="A85" s="63"/>
      <c r="B85" s="17"/>
      <c r="C85" s="63"/>
      <c r="D85" s="18"/>
      <c r="E85" s="288"/>
      <c r="F85" s="288"/>
      <c r="G85" s="288"/>
      <c r="H85" s="63"/>
      <c r="I85" s="63"/>
      <c r="J85" s="63"/>
      <c r="K85" s="65"/>
      <c r="L85" s="79"/>
      <c r="M85" s="17"/>
      <c r="N85" s="17"/>
      <c r="O85" s="18"/>
      <c r="P85" s="18"/>
      <c r="Q85" s="18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64"/>
      <c r="AH85" s="64"/>
      <c r="AI85" s="64"/>
      <c r="AJ85" s="64"/>
      <c r="AK85" s="64"/>
      <c r="AL85" s="264"/>
      <c r="AM85" s="17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 spans="1:51" s="33" customFormat="1" ht="14.5" x14ac:dyDescent="0.35">
      <c r="A86" s="63"/>
      <c r="B86" s="17"/>
      <c r="C86" s="63"/>
      <c r="D86" s="18"/>
      <c r="E86" s="288"/>
      <c r="F86" s="288"/>
      <c r="G86" s="288"/>
      <c r="H86" s="63"/>
      <c r="I86" s="63"/>
      <c r="J86" s="63"/>
      <c r="K86" s="65"/>
      <c r="L86" s="79"/>
      <c r="M86" s="17"/>
      <c r="N86" s="59" t="s">
        <v>2573</v>
      </c>
      <c r="O86" s="18" t="s">
        <v>794</v>
      </c>
      <c r="P86" s="18"/>
      <c r="Q86" s="18" t="s">
        <v>2572</v>
      </c>
      <c r="R86" s="17"/>
      <c r="S86" s="63" t="s">
        <v>2394</v>
      </c>
      <c r="T86" s="17" t="s">
        <v>677</v>
      </c>
      <c r="U86" s="17"/>
      <c r="V86" s="17"/>
      <c r="W86" s="17" t="s">
        <v>676</v>
      </c>
      <c r="X86" s="17"/>
      <c r="Y86" s="17"/>
      <c r="Z86" s="17"/>
      <c r="AA86" s="17"/>
      <c r="AB86" s="17"/>
      <c r="AC86" s="17"/>
      <c r="AD86" s="17"/>
      <c r="AE86" s="17"/>
      <c r="AF86" s="17"/>
      <c r="AG86" s="298" t="s">
        <v>838</v>
      </c>
      <c r="AH86" s="298" t="s">
        <v>190</v>
      </c>
      <c r="AI86" s="298" t="s">
        <v>189</v>
      </c>
      <c r="AJ86" s="298" t="s">
        <v>188</v>
      </c>
      <c r="AK86" s="298">
        <v>4</v>
      </c>
      <c r="AL86" s="264"/>
      <c r="AM86" s="17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</row>
    <row r="87" spans="1:51" s="33" customFormat="1" ht="14.5" x14ac:dyDescent="0.35">
      <c r="A87" s="63"/>
      <c r="B87" s="17"/>
      <c r="C87" s="63"/>
      <c r="D87" s="18"/>
      <c r="E87" s="288"/>
      <c r="F87" s="288"/>
      <c r="G87" s="288"/>
      <c r="H87" s="63"/>
      <c r="I87" s="63"/>
      <c r="J87" s="63"/>
      <c r="K87" s="65"/>
      <c r="L87" s="79"/>
      <c r="M87" s="17"/>
      <c r="N87" s="59" t="s">
        <v>2563</v>
      </c>
      <c r="O87" s="18" t="s">
        <v>1246</v>
      </c>
      <c r="P87" s="18"/>
      <c r="Q87" s="18" t="s">
        <v>2571</v>
      </c>
      <c r="R87" s="17"/>
      <c r="S87" s="63" t="s">
        <v>2394</v>
      </c>
      <c r="T87" s="17" t="s">
        <v>2563</v>
      </c>
      <c r="U87" s="17"/>
      <c r="V87" s="17"/>
      <c r="W87" s="17" t="s">
        <v>138</v>
      </c>
      <c r="X87" s="17"/>
      <c r="Y87" s="17"/>
      <c r="Z87" s="17"/>
      <c r="AA87" s="17"/>
      <c r="AB87" s="17"/>
      <c r="AC87" s="17"/>
      <c r="AD87" s="17"/>
      <c r="AE87" s="17"/>
      <c r="AF87" s="17"/>
      <c r="AG87" s="298" t="s">
        <v>838</v>
      </c>
      <c r="AH87" s="298" t="s">
        <v>183</v>
      </c>
      <c r="AI87" s="298" t="s">
        <v>182</v>
      </c>
      <c r="AJ87" s="298" t="s">
        <v>181</v>
      </c>
      <c r="AK87" s="298">
        <v>8</v>
      </c>
      <c r="AL87" s="264"/>
      <c r="AM87" s="17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 spans="1:51" s="33" customFormat="1" ht="14.5" x14ac:dyDescent="0.35">
      <c r="A88" s="63"/>
      <c r="B88" s="17"/>
      <c r="C88" s="63"/>
      <c r="D88" s="18"/>
      <c r="E88" s="288"/>
      <c r="F88" s="288"/>
      <c r="G88" s="288"/>
      <c r="H88" s="63"/>
      <c r="I88" s="63"/>
      <c r="J88" s="63"/>
      <c r="K88" s="65"/>
      <c r="L88" s="79"/>
      <c r="M88" s="17"/>
      <c r="N88" s="18"/>
      <c r="O88" s="18"/>
      <c r="P88" s="18"/>
      <c r="Q88" s="18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298" t="s">
        <v>838</v>
      </c>
      <c r="AH88" s="298" t="s">
        <v>176</v>
      </c>
      <c r="AI88" s="298" t="s">
        <v>175</v>
      </c>
      <c r="AJ88" s="298" t="s">
        <v>174</v>
      </c>
      <c r="AK88" s="298">
        <v>12</v>
      </c>
      <c r="AL88" s="264"/>
      <c r="AM88" s="17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</row>
    <row r="89" spans="1:51" s="33" customFormat="1" ht="14.5" x14ac:dyDescent="0.35">
      <c r="A89" s="63"/>
      <c r="B89" s="17"/>
      <c r="C89" s="63"/>
      <c r="D89" s="18"/>
      <c r="E89" s="288"/>
      <c r="F89" s="288"/>
      <c r="G89" s="288"/>
      <c r="H89" s="63"/>
      <c r="I89" s="63"/>
      <c r="J89" s="63"/>
      <c r="K89" s="65"/>
      <c r="L89" s="79"/>
      <c r="M89" s="17"/>
      <c r="N89" s="18"/>
      <c r="O89" s="18"/>
      <c r="P89" s="18"/>
      <c r="Q89" s="18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298" t="s">
        <v>838</v>
      </c>
      <c r="AH89" s="298" t="s">
        <v>169</v>
      </c>
      <c r="AI89" s="298" t="s">
        <v>168</v>
      </c>
      <c r="AJ89" s="298" t="s">
        <v>167</v>
      </c>
      <c r="AK89" s="298">
        <v>16</v>
      </c>
      <c r="AL89" s="264"/>
      <c r="AM89" s="17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 spans="1:51" s="33" customFormat="1" ht="14.5" x14ac:dyDescent="0.35">
      <c r="A90" s="63"/>
      <c r="B90" s="17"/>
      <c r="C90" s="63"/>
      <c r="D90" s="18"/>
      <c r="E90" s="288"/>
      <c r="F90" s="288"/>
      <c r="G90" s="288"/>
      <c r="H90" s="63"/>
      <c r="I90" s="63"/>
      <c r="J90" s="63"/>
      <c r="K90" s="65"/>
      <c r="L90" s="79"/>
      <c r="M90" s="17"/>
      <c r="N90" s="18"/>
      <c r="O90" s="18"/>
      <c r="P90" s="18"/>
      <c r="Q90" s="18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298" t="s">
        <v>838</v>
      </c>
      <c r="AH90" s="298" t="s">
        <v>161</v>
      </c>
      <c r="AI90" s="298" t="s">
        <v>160</v>
      </c>
      <c r="AJ90" s="298" t="s">
        <v>159</v>
      </c>
      <c r="AK90" s="298">
        <v>20</v>
      </c>
      <c r="AL90" s="264"/>
      <c r="AM90" s="17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</row>
    <row r="91" spans="1:51" s="33" customFormat="1" ht="14.5" x14ac:dyDescent="0.35">
      <c r="A91" s="63"/>
      <c r="B91" s="17"/>
      <c r="C91" s="63"/>
      <c r="D91" s="18"/>
      <c r="E91" s="288"/>
      <c r="F91" s="288"/>
      <c r="G91" s="288"/>
      <c r="H91" s="63"/>
      <c r="I91" s="63"/>
      <c r="J91" s="63"/>
      <c r="K91" s="65"/>
      <c r="L91" s="79"/>
      <c r="M91" s="17"/>
      <c r="N91" s="18"/>
      <c r="O91" s="18"/>
      <c r="P91" s="18"/>
      <c r="Q91" s="18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298" t="s">
        <v>838</v>
      </c>
      <c r="AH91" s="298" t="s">
        <v>154</v>
      </c>
      <c r="AI91" s="298" t="s">
        <v>153</v>
      </c>
      <c r="AJ91" s="298" t="s">
        <v>152</v>
      </c>
      <c r="AK91" s="298">
        <v>24</v>
      </c>
      <c r="AL91" s="264"/>
      <c r="AM91" s="17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 spans="1:51" s="33" customFormat="1" ht="14.5" x14ac:dyDescent="0.35">
      <c r="A92" s="63"/>
      <c r="B92" s="17"/>
      <c r="C92" s="63"/>
      <c r="D92" s="18"/>
      <c r="E92" s="288"/>
      <c r="F92" s="288"/>
      <c r="G92" s="288"/>
      <c r="H92" s="63"/>
      <c r="I92" s="63"/>
      <c r="J92" s="63"/>
      <c r="K92" s="65"/>
      <c r="L92" s="79"/>
      <c r="M92" s="17"/>
      <c r="N92" s="18"/>
      <c r="O92" s="18"/>
      <c r="P92" s="18"/>
      <c r="Q92" s="18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298" t="s">
        <v>838</v>
      </c>
      <c r="AH92" s="298" t="s">
        <v>150</v>
      </c>
      <c r="AI92" s="298" t="s">
        <v>149</v>
      </c>
      <c r="AJ92" s="298" t="s">
        <v>148</v>
      </c>
      <c r="AK92" s="298">
        <v>28</v>
      </c>
      <c r="AL92" s="264"/>
      <c r="AM92" s="17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</row>
    <row r="93" spans="1:51" s="33" customFormat="1" ht="14.5" x14ac:dyDescent="0.35">
      <c r="A93" s="63"/>
      <c r="B93" s="17"/>
      <c r="C93" s="63"/>
      <c r="D93" s="18"/>
      <c r="E93" s="288"/>
      <c r="F93" s="288"/>
      <c r="G93" s="288"/>
      <c r="H93" s="63"/>
      <c r="I93" s="63"/>
      <c r="J93" s="63"/>
      <c r="K93" s="65"/>
      <c r="L93" s="79"/>
      <c r="M93" s="17"/>
      <c r="N93" s="18"/>
      <c r="O93" s="18"/>
      <c r="P93" s="18"/>
      <c r="Q93" s="18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298" t="s">
        <v>838</v>
      </c>
      <c r="AH93" s="298" t="s">
        <v>144</v>
      </c>
      <c r="AI93" s="298" t="s">
        <v>143</v>
      </c>
      <c r="AJ93" s="298" t="s">
        <v>142</v>
      </c>
      <c r="AK93" s="298">
        <v>32</v>
      </c>
      <c r="AL93" s="264"/>
      <c r="AM93" s="17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 spans="1:51" s="33" customFormat="1" ht="14.5" x14ac:dyDescent="0.35">
      <c r="A94" s="63"/>
      <c r="B94" s="17"/>
      <c r="C94" s="63"/>
      <c r="D94" s="18"/>
      <c r="E94" s="288"/>
      <c r="F94" s="288"/>
      <c r="G94" s="288"/>
      <c r="H94" s="63"/>
      <c r="I94" s="63"/>
      <c r="J94" s="63"/>
      <c r="K94" s="65"/>
      <c r="L94" s="79"/>
      <c r="M94" s="17"/>
      <c r="N94" s="18"/>
      <c r="O94" s="18"/>
      <c r="P94" s="18"/>
      <c r="Q94" s="18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298" t="s">
        <v>838</v>
      </c>
      <c r="AH94" s="298" t="s">
        <v>137</v>
      </c>
      <c r="AI94" s="298" t="s">
        <v>136</v>
      </c>
      <c r="AJ94" s="298" t="s">
        <v>135</v>
      </c>
      <c r="AK94" s="298">
        <v>36</v>
      </c>
      <c r="AL94" s="264"/>
      <c r="AM94" s="17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</row>
    <row r="95" spans="1:51" s="33" customFormat="1" ht="15" thickBot="1" x14ac:dyDescent="0.4">
      <c r="A95" s="63"/>
      <c r="B95" s="17"/>
      <c r="C95" s="63"/>
      <c r="D95" s="18"/>
      <c r="E95" s="288"/>
      <c r="F95" s="288"/>
      <c r="G95" s="288"/>
      <c r="H95" s="63"/>
      <c r="I95" s="63"/>
      <c r="J95" s="63"/>
      <c r="K95" s="65"/>
      <c r="L95" s="79"/>
      <c r="M95" s="17"/>
      <c r="N95" s="18"/>
      <c r="O95" s="18"/>
      <c r="P95" s="18"/>
      <c r="Q95" s="18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298" t="s">
        <v>838</v>
      </c>
      <c r="AH95" s="298" t="s">
        <v>134</v>
      </c>
      <c r="AI95" s="298" t="s">
        <v>133</v>
      </c>
      <c r="AJ95" s="298" t="s">
        <v>132</v>
      </c>
      <c r="AK95" s="298">
        <v>40</v>
      </c>
      <c r="AL95" s="264"/>
      <c r="AM95" s="17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 spans="1:51" s="33" customFormat="1" ht="15" thickBot="1" x14ac:dyDescent="0.4">
      <c r="A96" s="268" t="s">
        <v>2289</v>
      </c>
      <c r="B96" s="17" t="s">
        <v>2567</v>
      </c>
      <c r="C96" s="17"/>
      <c r="D96" s="18">
        <v>132</v>
      </c>
      <c r="E96" s="84"/>
      <c r="F96" s="84"/>
      <c r="G96" s="84"/>
      <c r="H96" s="63"/>
      <c r="I96" s="325"/>
      <c r="J96" s="324"/>
      <c r="K96" s="59" t="s">
        <v>27</v>
      </c>
      <c r="L96" s="83"/>
      <c r="M96" s="17">
        <v>3</v>
      </c>
      <c r="N96" s="59" t="s">
        <v>2570</v>
      </c>
      <c r="O96" s="18" t="s">
        <v>1246</v>
      </c>
      <c r="P96" s="18"/>
      <c r="Q96" s="18" t="s">
        <v>2569</v>
      </c>
      <c r="R96" s="17"/>
      <c r="S96" s="17" t="s">
        <v>2568</v>
      </c>
      <c r="T96" s="17" t="s">
        <v>2563</v>
      </c>
      <c r="U96" s="17"/>
      <c r="V96" s="17"/>
      <c r="W96" s="17" t="s">
        <v>2562</v>
      </c>
      <c r="X96" s="17"/>
      <c r="Y96" s="17"/>
      <c r="Z96" s="17"/>
      <c r="AA96" s="17"/>
      <c r="AB96" s="17"/>
      <c r="AC96" s="17"/>
      <c r="AD96" s="17"/>
      <c r="AE96" s="17"/>
      <c r="AF96" s="17"/>
      <c r="AG96" s="298" t="s">
        <v>838</v>
      </c>
      <c r="AH96" s="298" t="s">
        <v>130</v>
      </c>
      <c r="AI96" s="298" t="s">
        <v>129</v>
      </c>
      <c r="AJ96" s="298" t="s">
        <v>128</v>
      </c>
      <c r="AK96" s="298">
        <v>44</v>
      </c>
      <c r="AL96" s="264"/>
      <c r="AM96" s="17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</row>
    <row r="97" spans="1:51" s="33" customFormat="1" ht="15" thickBot="1" x14ac:dyDescent="0.4">
      <c r="A97" s="63" t="str">
        <f>A96</f>
        <v>BBD131</v>
      </c>
      <c r="B97" s="17" t="s">
        <v>2567</v>
      </c>
      <c r="C97" s="17"/>
      <c r="D97" s="18">
        <v>132</v>
      </c>
      <c r="E97" s="288"/>
      <c r="F97" s="288"/>
      <c r="G97" s="288"/>
      <c r="H97" s="83"/>
      <c r="I97" s="325"/>
      <c r="J97" s="324"/>
      <c r="K97" s="59" t="s">
        <v>27</v>
      </c>
      <c r="L97" s="83"/>
      <c r="M97" s="17">
        <v>3</v>
      </c>
      <c r="N97" s="59" t="s">
        <v>2566</v>
      </c>
      <c r="O97" s="18" t="s">
        <v>2360</v>
      </c>
      <c r="P97" s="18"/>
      <c r="Q97" s="18" t="s">
        <v>2565</v>
      </c>
      <c r="R97" s="17"/>
      <c r="S97" s="17" t="s">
        <v>2564</v>
      </c>
      <c r="T97" s="17" t="s">
        <v>2563</v>
      </c>
      <c r="U97" s="17"/>
      <c r="V97" s="17"/>
      <c r="W97" s="17" t="s">
        <v>2562</v>
      </c>
      <c r="X97" s="17"/>
      <c r="Y97" s="17"/>
      <c r="Z97" s="17"/>
      <c r="AA97" s="17"/>
      <c r="AB97" s="17"/>
      <c r="AC97" s="17"/>
      <c r="AD97" s="17"/>
      <c r="AE97" s="17"/>
      <c r="AF97" s="17"/>
      <c r="AG97" s="298" t="s">
        <v>838</v>
      </c>
      <c r="AH97" s="298" t="s">
        <v>125</v>
      </c>
      <c r="AI97" s="298" t="s">
        <v>124</v>
      </c>
      <c r="AJ97" s="298" t="s">
        <v>123</v>
      </c>
      <c r="AK97" s="298">
        <v>48</v>
      </c>
      <c r="AL97" s="264"/>
      <c r="AM97" s="17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 spans="1:51" s="33" customFormat="1" x14ac:dyDescent="0.3">
      <c r="U98" s="83"/>
      <c r="V98" s="83"/>
      <c r="W98" s="18"/>
      <c r="X98" s="17"/>
      <c r="Y98" s="17"/>
      <c r="Z98" s="17"/>
      <c r="AA98" s="17"/>
      <c r="AB98" s="17"/>
      <c r="AC98" s="17"/>
      <c r="AD98" s="17"/>
      <c r="AE98" s="17"/>
      <c r="AF98" s="17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</row>
    <row r="99" spans="1:51" s="33" customFormat="1" x14ac:dyDescent="0.3">
      <c r="U99" s="83"/>
      <c r="V99" s="83"/>
      <c r="W99" s="18"/>
      <c r="X99" s="17"/>
      <c r="Y99" s="17"/>
      <c r="Z99" s="17"/>
      <c r="AA99" s="17"/>
      <c r="AB99" s="17"/>
      <c r="AC99" s="17"/>
      <c r="AD99" s="17"/>
      <c r="AE99" s="17"/>
      <c r="AF99" s="17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 spans="1:51" s="33" customFormat="1" x14ac:dyDescent="0.3">
      <c r="U100" s="83"/>
      <c r="V100" s="83"/>
      <c r="W100" s="18"/>
      <c r="X100" s="17"/>
      <c r="Y100" s="17"/>
      <c r="Z100" s="17"/>
      <c r="AA100" s="17"/>
      <c r="AB100" s="17"/>
      <c r="AC100" s="17"/>
      <c r="AD100" s="17"/>
      <c r="AE100" s="17"/>
      <c r="AF100" s="17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</row>
    <row r="101" spans="1:51" s="83" customFormat="1" ht="15.5" x14ac:dyDescent="0.35">
      <c r="A101" s="256"/>
      <c r="B101" s="96" t="s">
        <v>2561</v>
      </c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87"/>
      <c r="O101" s="256"/>
      <c r="P101" s="287"/>
      <c r="Q101" s="256"/>
      <c r="R101" s="256"/>
      <c r="S101" s="256"/>
      <c r="T101" s="256"/>
      <c r="U101" s="256"/>
      <c r="V101" s="256"/>
      <c r="W101" s="287"/>
      <c r="X101" s="256"/>
      <c r="Y101" s="256"/>
      <c r="Z101" s="46"/>
      <c r="AA101" s="46"/>
      <c r="AB101" s="46"/>
      <c r="AC101" s="46"/>
      <c r="AD101" s="46"/>
      <c r="AE101" s="46"/>
      <c r="AF101" s="46"/>
      <c r="AG101" s="92"/>
      <c r="AH101" s="92"/>
      <c r="AI101" s="92"/>
      <c r="AJ101" s="92"/>
      <c r="AK101" s="92"/>
      <c r="AL101" s="284"/>
      <c r="AM101" s="94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 spans="1:51" s="83" customFormat="1" ht="15.5" x14ac:dyDescent="0.35">
      <c r="B102" s="286"/>
      <c r="E102" s="95"/>
      <c r="F102" s="94"/>
      <c r="G102" s="94"/>
      <c r="M102" s="17"/>
      <c r="N102" s="17"/>
      <c r="O102" s="17"/>
      <c r="P102" s="17"/>
      <c r="AB102" s="20"/>
      <c r="AC102" s="46"/>
      <c r="AD102" s="46"/>
      <c r="AE102" s="46"/>
      <c r="AF102" s="46"/>
      <c r="AG102" s="46"/>
      <c r="AH102" s="46"/>
      <c r="AI102" s="46"/>
      <c r="AJ102" s="46"/>
      <c r="AK102" s="46"/>
      <c r="AL102" s="285"/>
      <c r="AM102" s="285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</row>
    <row r="103" spans="1:51" s="83" customFormat="1" ht="13.5" thickBot="1" x14ac:dyDescent="0.35">
      <c r="E103" s="95"/>
      <c r="F103" s="94"/>
      <c r="G103" s="94"/>
      <c r="Y103" s="46"/>
      <c r="Z103" s="46"/>
      <c r="AA103" s="46"/>
      <c r="AB103" s="20"/>
      <c r="AC103" s="46"/>
      <c r="AD103" s="46"/>
      <c r="AE103" s="46"/>
      <c r="AF103" s="46"/>
      <c r="AG103" s="92"/>
      <c r="AH103" s="92"/>
      <c r="AI103" s="92"/>
      <c r="AJ103" s="92"/>
      <c r="AK103" s="92"/>
      <c r="AL103" s="284"/>
      <c r="AM103" s="94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 spans="1:51" s="33" customFormat="1" ht="13.5" thickBot="1" x14ac:dyDescent="0.35">
      <c r="A104" s="162" t="s">
        <v>2560</v>
      </c>
      <c r="B104" s="17" t="s">
        <v>2382</v>
      </c>
      <c r="C104" s="18" t="s">
        <v>723</v>
      </c>
      <c r="D104" s="18">
        <v>132</v>
      </c>
      <c r="E104" s="84">
        <v>2</v>
      </c>
      <c r="F104" s="84">
        <v>4</v>
      </c>
      <c r="G104" s="84">
        <v>0</v>
      </c>
      <c r="H104" s="214"/>
      <c r="I104" s="245"/>
      <c r="J104" s="244"/>
      <c r="K104" s="18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20"/>
      <c r="Z104" s="20"/>
      <c r="AA104" s="20"/>
      <c r="AB104" s="20"/>
      <c r="AC104" s="20"/>
      <c r="AD104" s="20"/>
      <c r="AE104" s="20"/>
      <c r="AF104" s="20"/>
      <c r="AG104" s="92"/>
      <c r="AH104" s="92"/>
      <c r="AI104" s="92"/>
      <c r="AJ104" s="92"/>
      <c r="AK104" s="92"/>
      <c r="AL104" s="284"/>
      <c r="AM104" s="17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</row>
    <row r="105" spans="1:51" s="33" customFormat="1" ht="13.5" thickBot="1" x14ac:dyDescent="0.35">
      <c r="A105" s="268" t="s">
        <v>2289</v>
      </c>
      <c r="B105" s="17" t="s">
        <v>2382</v>
      </c>
      <c r="C105" s="18" t="str">
        <f>+C104</f>
        <v>DIO1</v>
      </c>
      <c r="D105" s="18">
        <v>132</v>
      </c>
      <c r="E105" s="84">
        <f>+E104</f>
        <v>2</v>
      </c>
      <c r="F105" s="84">
        <f>+F104</f>
        <v>4</v>
      </c>
      <c r="G105" s="84">
        <v>0</v>
      </c>
      <c r="H105" s="83"/>
      <c r="I105" s="245" t="s">
        <v>1090</v>
      </c>
      <c r="J105" s="246"/>
      <c r="K105" s="17" t="s">
        <v>1089</v>
      </c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20"/>
      <c r="Z105" s="20"/>
      <c r="AA105" s="20"/>
      <c r="AB105" s="20"/>
      <c r="AC105" s="20"/>
      <c r="AD105" s="20"/>
      <c r="AE105" s="20"/>
      <c r="AF105" s="20"/>
      <c r="AG105" s="92"/>
      <c r="AH105" s="92"/>
      <c r="AI105" s="92"/>
      <c r="AJ105" s="92"/>
      <c r="AK105" s="92"/>
      <c r="AL105" s="284"/>
      <c r="AM105" s="17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 spans="1:51" s="33" customFormat="1" ht="13.5" thickBot="1" x14ac:dyDescent="0.35">
      <c r="A106" s="268" t="s">
        <v>2289</v>
      </c>
      <c r="B106" s="17" t="s">
        <v>2382</v>
      </c>
      <c r="C106" s="18" t="str">
        <f>+C105</f>
        <v>DIO1</v>
      </c>
      <c r="D106" s="18">
        <v>132</v>
      </c>
      <c r="E106" s="84">
        <f>+E105</f>
        <v>2</v>
      </c>
      <c r="F106" s="84">
        <f>+F105</f>
        <v>4</v>
      </c>
      <c r="G106" s="84">
        <v>0</v>
      </c>
      <c r="H106" s="83"/>
      <c r="I106" s="245" t="s">
        <v>1088</v>
      </c>
      <c r="J106" s="246"/>
      <c r="K106" s="18" t="s">
        <v>1087</v>
      </c>
      <c r="L106" s="83"/>
      <c r="M106" s="242" t="s">
        <v>1086</v>
      </c>
      <c r="N106" s="84"/>
      <c r="O106" s="242" t="s">
        <v>1085</v>
      </c>
      <c r="P106" s="84"/>
      <c r="Q106" s="242" t="s">
        <v>1084</v>
      </c>
      <c r="R106" s="83"/>
      <c r="S106" s="83"/>
      <c r="T106" s="83"/>
      <c r="U106" s="83"/>
      <c r="V106" s="83"/>
      <c r="W106" s="83"/>
      <c r="X106" s="83"/>
      <c r="Y106" s="20"/>
      <c r="Z106" s="20"/>
      <c r="AA106" s="20"/>
      <c r="AB106" s="20"/>
      <c r="AC106" s="20"/>
      <c r="AD106" s="20"/>
      <c r="AE106" s="20"/>
      <c r="AF106" s="20"/>
      <c r="AG106" s="92"/>
      <c r="AH106" s="92"/>
      <c r="AI106" s="92"/>
      <c r="AJ106" s="92"/>
      <c r="AK106" s="92"/>
      <c r="AL106" s="284"/>
      <c r="AM106" s="17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</row>
    <row r="107" spans="1:51" s="33" customFormat="1" ht="13.5" thickBot="1" x14ac:dyDescent="0.35">
      <c r="A107" s="268" t="s">
        <v>2289</v>
      </c>
      <c r="B107" s="17" t="s">
        <v>2382</v>
      </c>
      <c r="C107" s="18" t="str">
        <f>+C106</f>
        <v>DIO1</v>
      </c>
      <c r="D107" s="18">
        <v>132</v>
      </c>
      <c r="E107" s="84">
        <f>+E106</f>
        <v>2</v>
      </c>
      <c r="F107" s="84">
        <f>+F106</f>
        <v>4</v>
      </c>
      <c r="G107" s="84">
        <v>0</v>
      </c>
      <c r="H107" s="65">
        <v>0</v>
      </c>
      <c r="I107" s="245" t="s">
        <v>1083</v>
      </c>
      <c r="J107" s="244"/>
      <c r="K107" s="17" t="s">
        <v>1082</v>
      </c>
      <c r="L107" s="99" t="s">
        <v>1314</v>
      </c>
      <c r="M107" s="242">
        <f>+COUNTA(L108:L231)</f>
        <v>104</v>
      </c>
      <c r="N107" s="84"/>
      <c r="O107" s="242">
        <f>+COUNTBLANK(O108:O231)</f>
        <v>44</v>
      </c>
      <c r="P107" s="84"/>
      <c r="Q107" s="241">
        <f>+O107/M107</f>
        <v>0.42307692307692307</v>
      </c>
      <c r="R107" s="17"/>
      <c r="S107" s="17"/>
      <c r="T107" s="17"/>
      <c r="U107" s="17"/>
      <c r="V107" s="17"/>
      <c r="W107" s="17"/>
      <c r="X107" s="17"/>
      <c r="Y107" s="20"/>
      <c r="Z107" s="20"/>
      <c r="AA107" s="20"/>
      <c r="AB107" s="20"/>
      <c r="AC107" s="20"/>
      <c r="AD107" s="20"/>
      <c r="AE107" s="20"/>
      <c r="AF107" s="20"/>
      <c r="AG107" s="64"/>
      <c r="AH107" s="64"/>
      <c r="AI107" s="64"/>
      <c r="AJ107" s="64"/>
      <c r="AK107" s="64"/>
      <c r="AL107" s="264"/>
      <c r="AM107" s="17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</row>
    <row r="108" spans="1:51" s="33" customFormat="1" ht="14.5" x14ac:dyDescent="0.35">
      <c r="A108" s="268" t="s">
        <v>2289</v>
      </c>
      <c r="B108" s="17" t="s">
        <v>2382</v>
      </c>
      <c r="C108" s="18" t="str">
        <f>+C107</f>
        <v>DIO1</v>
      </c>
      <c r="D108" s="18">
        <v>132</v>
      </c>
      <c r="E108" s="84">
        <f>+E107</f>
        <v>2</v>
      </c>
      <c r="F108" s="84">
        <f>+F107</f>
        <v>4</v>
      </c>
      <c r="G108" s="84">
        <v>0</v>
      </c>
      <c r="H108" s="214">
        <f>+H107+1</f>
        <v>1</v>
      </c>
      <c r="I108" s="188">
        <v>0</v>
      </c>
      <c r="J108" s="205" t="s">
        <v>767</v>
      </c>
      <c r="K108" s="18" t="s">
        <v>766</v>
      </c>
      <c r="L108" s="17" t="s">
        <v>323</v>
      </c>
      <c r="M108" s="18">
        <v>3</v>
      </c>
      <c r="N108" s="32"/>
      <c r="O108" s="18" t="s">
        <v>646</v>
      </c>
      <c r="P108" s="18"/>
      <c r="Q108" s="18" t="s">
        <v>1313</v>
      </c>
      <c r="R108" s="18" t="s">
        <v>247</v>
      </c>
      <c r="S108" s="97" t="s">
        <v>1312</v>
      </c>
      <c r="T108" s="17" t="s">
        <v>99</v>
      </c>
      <c r="U108" s="17"/>
      <c r="V108" s="17" t="str">
        <f>+CONCATENATE(E108,".",F108,"\",G108,".",H108,":",I108)</f>
        <v>2.4\0.1:0</v>
      </c>
      <c r="W108" s="17" t="s">
        <v>2552</v>
      </c>
      <c r="X108" s="17">
        <v>0</v>
      </c>
      <c r="Y108" s="20"/>
      <c r="Z108" s="20" t="s">
        <v>1200</v>
      </c>
      <c r="AA108" s="20"/>
      <c r="AB108" s="20"/>
      <c r="AC108" s="20"/>
      <c r="AD108" s="20"/>
      <c r="AE108" s="20"/>
      <c r="AF108" s="20"/>
      <c r="AG108" s="327" t="s">
        <v>1079</v>
      </c>
      <c r="AH108" s="327"/>
      <c r="AI108" s="327">
        <v>1</v>
      </c>
      <c r="AJ108" s="64"/>
      <c r="AK108" s="64"/>
      <c r="AL108" s="264"/>
      <c r="AM108" s="84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</row>
    <row r="109" spans="1:51" s="33" customFormat="1" ht="14.5" x14ac:dyDescent="0.35">
      <c r="A109" s="63" t="s">
        <v>2289</v>
      </c>
      <c r="B109" s="17" t="s">
        <v>2382</v>
      </c>
      <c r="C109" s="18" t="str">
        <f>+C108</f>
        <v>DIO1</v>
      </c>
      <c r="D109" s="18">
        <v>132</v>
      </c>
      <c r="E109" s="84">
        <f>+E108</f>
        <v>2</v>
      </c>
      <c r="F109" s="84">
        <f>+F108</f>
        <v>4</v>
      </c>
      <c r="G109" s="84">
        <v>0</v>
      </c>
      <c r="H109" s="200">
        <f>H108</f>
        <v>1</v>
      </c>
      <c r="I109" s="187">
        <f>+I108+1</f>
        <v>1</v>
      </c>
      <c r="J109" s="205"/>
      <c r="K109" s="17"/>
      <c r="L109" s="17" t="s">
        <v>323</v>
      </c>
      <c r="M109" s="18">
        <v>3</v>
      </c>
      <c r="N109" s="32"/>
      <c r="O109" s="97" t="s">
        <v>770</v>
      </c>
      <c r="P109" s="18"/>
      <c r="Q109" s="283" t="s">
        <v>1311</v>
      </c>
      <c r="R109" s="97" t="s">
        <v>211</v>
      </c>
      <c r="S109" s="97" t="s">
        <v>1310</v>
      </c>
      <c r="T109" s="17" t="s">
        <v>99</v>
      </c>
      <c r="U109" s="17"/>
      <c r="V109" s="17" t="str">
        <f>+CONCATENATE(E109,".",F109,"\",G109,".",H109,":",I109)</f>
        <v>2.4\0.1:1</v>
      </c>
      <c r="W109" s="17" t="s">
        <v>2552</v>
      </c>
      <c r="X109" s="17">
        <v>0</v>
      </c>
      <c r="Y109" s="20"/>
      <c r="Z109" s="20" t="s">
        <v>1200</v>
      </c>
      <c r="AA109" s="20"/>
      <c r="AB109" s="20"/>
      <c r="AC109" s="20"/>
      <c r="AD109" s="20"/>
      <c r="AE109" s="20"/>
      <c r="AF109" s="20"/>
      <c r="AG109" s="327" t="s">
        <v>1079</v>
      </c>
      <c r="AH109" s="327"/>
      <c r="AI109" s="327">
        <v>2</v>
      </c>
      <c r="AJ109" s="64"/>
      <c r="AK109" s="64"/>
      <c r="AL109" s="282"/>
      <c r="AM109" s="84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</row>
    <row r="110" spans="1:51" s="33" customFormat="1" ht="14.5" x14ac:dyDescent="0.35">
      <c r="A110" s="63" t="str">
        <f>A109</f>
        <v>BBD131</v>
      </c>
      <c r="B110" s="17" t="s">
        <v>2382</v>
      </c>
      <c r="C110" s="18" t="str">
        <f>+C109</f>
        <v>DIO1</v>
      </c>
      <c r="D110" s="18">
        <v>132</v>
      </c>
      <c r="E110" s="84">
        <f>+E109</f>
        <v>2</v>
      </c>
      <c r="F110" s="84">
        <f>+F109</f>
        <v>4</v>
      </c>
      <c r="G110" s="84">
        <v>0</v>
      </c>
      <c r="H110" s="200">
        <f>H108</f>
        <v>1</v>
      </c>
      <c r="I110" s="187">
        <f>+I109+1</f>
        <v>2</v>
      </c>
      <c r="J110" s="205"/>
      <c r="K110" s="79"/>
      <c r="L110" s="17" t="s">
        <v>323</v>
      </c>
      <c r="M110" s="18">
        <v>3</v>
      </c>
      <c r="N110" s="32"/>
      <c r="O110" s="97" t="s">
        <v>837</v>
      </c>
      <c r="P110" s="18"/>
      <c r="Q110" s="17" t="s">
        <v>1309</v>
      </c>
      <c r="R110" s="97" t="s">
        <v>211</v>
      </c>
      <c r="S110" s="97" t="s">
        <v>1308</v>
      </c>
      <c r="T110" s="17" t="s">
        <v>99</v>
      </c>
      <c r="U110" s="17"/>
      <c r="V110" s="17" t="str">
        <f>+CONCATENATE(E110,".",F110,"\",G110,".",H110,":",I110)</f>
        <v>2.4\0.1:2</v>
      </c>
      <c r="W110" s="17" t="s">
        <v>2552</v>
      </c>
      <c r="X110" s="17">
        <v>0</v>
      </c>
      <c r="Y110" s="20"/>
      <c r="Z110" s="20" t="s">
        <v>1200</v>
      </c>
      <c r="AA110" s="20"/>
      <c r="AB110" s="20"/>
      <c r="AC110" s="20"/>
      <c r="AD110" s="20"/>
      <c r="AE110" s="20"/>
      <c r="AF110" s="20"/>
      <c r="AG110" s="327" t="s">
        <v>1079</v>
      </c>
      <c r="AH110" s="327"/>
      <c r="AI110" s="327">
        <v>3</v>
      </c>
      <c r="AJ110" s="64"/>
      <c r="AK110" s="64"/>
      <c r="AL110" s="282"/>
      <c r="AM110" s="84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</row>
    <row r="111" spans="1:51" s="33" customFormat="1" ht="14.5" x14ac:dyDescent="0.35">
      <c r="A111" s="63" t="str">
        <f>A110</f>
        <v>BBD131</v>
      </c>
      <c r="B111" s="17" t="s">
        <v>2382</v>
      </c>
      <c r="C111" s="18" t="str">
        <f>+C110</f>
        <v>DIO1</v>
      </c>
      <c r="D111" s="18">
        <v>132</v>
      </c>
      <c r="E111" s="84">
        <f>+E110</f>
        <v>2</v>
      </c>
      <c r="F111" s="84">
        <f>+F110</f>
        <v>4</v>
      </c>
      <c r="G111" s="84">
        <v>0</v>
      </c>
      <c r="H111" s="200">
        <f>H108</f>
        <v>1</v>
      </c>
      <c r="I111" s="187">
        <f>+I110+1</f>
        <v>3</v>
      </c>
      <c r="J111" s="205"/>
      <c r="K111" s="79"/>
      <c r="L111" s="17" t="s">
        <v>323</v>
      </c>
      <c r="M111" s="18">
        <v>3</v>
      </c>
      <c r="N111" s="32"/>
      <c r="O111" s="97" t="s">
        <v>832</v>
      </c>
      <c r="P111" s="18"/>
      <c r="Q111" s="17" t="s">
        <v>1307</v>
      </c>
      <c r="R111" s="97" t="s">
        <v>211</v>
      </c>
      <c r="S111" s="97" t="s">
        <v>1306</v>
      </c>
      <c r="T111" s="17" t="s">
        <v>99</v>
      </c>
      <c r="U111" s="17"/>
      <c r="V111" s="17" t="str">
        <f>+CONCATENATE(E111,".",F111,"\",G111,".",H111,":",I111)</f>
        <v>2.4\0.1:3</v>
      </c>
      <c r="W111" s="17" t="s">
        <v>2552</v>
      </c>
      <c r="X111" s="17">
        <v>0</v>
      </c>
      <c r="Y111" s="20"/>
      <c r="Z111" s="20" t="s">
        <v>1200</v>
      </c>
      <c r="AA111" s="20"/>
      <c r="AB111" s="20"/>
      <c r="AC111" s="20"/>
      <c r="AD111" s="20"/>
      <c r="AE111" s="20"/>
      <c r="AF111" s="20"/>
      <c r="AG111" s="327" t="s">
        <v>1079</v>
      </c>
      <c r="AH111" s="327"/>
      <c r="AI111" s="327">
        <v>4</v>
      </c>
      <c r="AJ111" s="64"/>
      <c r="AK111" s="64"/>
      <c r="AL111" s="282"/>
      <c r="AM111" s="84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</row>
    <row r="112" spans="1:51" s="33" customFormat="1" ht="14.5" x14ac:dyDescent="0.35">
      <c r="A112" s="63" t="str">
        <f>A111</f>
        <v>BBD131</v>
      </c>
      <c r="B112" s="17" t="s">
        <v>2382</v>
      </c>
      <c r="C112" s="18" t="str">
        <f>+C111</f>
        <v>DIO1</v>
      </c>
      <c r="D112" s="18">
        <v>132</v>
      </c>
      <c r="E112" s="84">
        <f>+E111</f>
        <v>2</v>
      </c>
      <c r="F112" s="84">
        <f>+F111</f>
        <v>4</v>
      </c>
      <c r="G112" s="84">
        <v>0</v>
      </c>
      <c r="H112" s="200">
        <f>H109</f>
        <v>1</v>
      </c>
      <c r="I112" s="187">
        <f>+I111+1</f>
        <v>4</v>
      </c>
      <c r="J112" s="205"/>
      <c r="K112" s="79"/>
      <c r="L112" s="17" t="s">
        <v>323</v>
      </c>
      <c r="M112" s="18">
        <v>3</v>
      </c>
      <c r="N112" s="32"/>
      <c r="O112" s="97" t="s">
        <v>828</v>
      </c>
      <c r="P112" s="18"/>
      <c r="Q112" s="17" t="s">
        <v>1305</v>
      </c>
      <c r="R112" s="97" t="s">
        <v>211</v>
      </c>
      <c r="S112" s="97" t="s">
        <v>1304</v>
      </c>
      <c r="T112" s="17" t="s">
        <v>99</v>
      </c>
      <c r="U112" s="17"/>
      <c r="V112" s="17" t="str">
        <f>+CONCATENATE(E112,".",F112,"\",G112,".",H112,":",I112)</f>
        <v>2.4\0.1:4</v>
      </c>
      <c r="W112" s="17" t="s">
        <v>2552</v>
      </c>
      <c r="X112" s="17">
        <v>0</v>
      </c>
      <c r="Y112" s="20"/>
      <c r="Z112" s="20" t="s">
        <v>1200</v>
      </c>
      <c r="AA112" s="20"/>
      <c r="AB112" s="20"/>
      <c r="AC112" s="20"/>
      <c r="AD112" s="20"/>
      <c r="AE112" s="20"/>
      <c r="AF112" s="20"/>
      <c r="AG112" s="327" t="s">
        <v>1079</v>
      </c>
      <c r="AH112" s="327"/>
      <c r="AI112" s="327">
        <v>5</v>
      </c>
      <c r="AJ112" s="64"/>
      <c r="AK112" s="64"/>
      <c r="AL112" s="264"/>
      <c r="AM112" s="84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</row>
    <row r="113" spans="1:51" s="33" customFormat="1" ht="14.5" x14ac:dyDescent="0.35">
      <c r="A113" s="63" t="str">
        <f>A112</f>
        <v>BBD131</v>
      </c>
      <c r="B113" s="17" t="s">
        <v>2382</v>
      </c>
      <c r="C113" s="18" t="str">
        <f>+C112</f>
        <v>DIO1</v>
      </c>
      <c r="D113" s="18">
        <v>132</v>
      </c>
      <c r="E113" s="84">
        <f>+E112</f>
        <v>2</v>
      </c>
      <c r="F113" s="84">
        <f>+F112</f>
        <v>4</v>
      </c>
      <c r="G113" s="84">
        <v>0</v>
      </c>
      <c r="H113" s="200">
        <f>H110</f>
        <v>1</v>
      </c>
      <c r="I113" s="187">
        <f>+I112+1</f>
        <v>5</v>
      </c>
      <c r="J113" s="205"/>
      <c r="K113" s="79"/>
      <c r="L113" s="17" t="s">
        <v>323</v>
      </c>
      <c r="M113" s="18">
        <v>4</v>
      </c>
      <c r="N113" s="32"/>
      <c r="O113" s="97" t="s">
        <v>824</v>
      </c>
      <c r="P113" s="18"/>
      <c r="Q113" s="17" t="s">
        <v>2559</v>
      </c>
      <c r="R113" s="97" t="s">
        <v>211</v>
      </c>
      <c r="S113" s="97" t="s">
        <v>1302</v>
      </c>
      <c r="T113" s="17" t="s">
        <v>99</v>
      </c>
      <c r="U113" s="17"/>
      <c r="V113" s="17" t="str">
        <f>+CONCATENATE(E113,".",F113,"\",G113,".",H113,":",I113)</f>
        <v>2.4\0.1:5</v>
      </c>
      <c r="W113" s="17" t="s">
        <v>2552</v>
      </c>
      <c r="X113" s="17">
        <v>0</v>
      </c>
      <c r="Y113" s="20"/>
      <c r="Z113" s="20" t="s">
        <v>1200</v>
      </c>
      <c r="AA113" s="20"/>
      <c r="AB113" s="20"/>
      <c r="AC113" s="20"/>
      <c r="AD113" s="20"/>
      <c r="AE113" s="20"/>
      <c r="AF113" s="20"/>
      <c r="AG113" s="327" t="s">
        <v>1079</v>
      </c>
      <c r="AH113" s="327"/>
      <c r="AI113" s="327">
        <v>6</v>
      </c>
      <c r="AJ113" s="64"/>
      <c r="AK113" s="64"/>
      <c r="AL113" s="264"/>
      <c r="AM113" s="84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</row>
    <row r="114" spans="1:51" s="33" customFormat="1" ht="14.5" x14ac:dyDescent="0.35">
      <c r="A114" s="63" t="str">
        <f>A113</f>
        <v>BBD131</v>
      </c>
      <c r="B114" s="17" t="s">
        <v>2382</v>
      </c>
      <c r="C114" s="18" t="str">
        <f>+C113</f>
        <v>DIO1</v>
      </c>
      <c r="D114" s="18">
        <v>132</v>
      </c>
      <c r="E114" s="84">
        <f>+E113</f>
        <v>2</v>
      </c>
      <c r="F114" s="84">
        <f>+F113</f>
        <v>4</v>
      </c>
      <c r="G114" s="84">
        <v>0</v>
      </c>
      <c r="H114" s="200">
        <f>H111</f>
        <v>1</v>
      </c>
      <c r="I114" s="187">
        <f>+I113+1</f>
        <v>6</v>
      </c>
      <c r="J114" s="205"/>
      <c r="K114" s="79"/>
      <c r="L114" s="17" t="s">
        <v>323</v>
      </c>
      <c r="M114" s="18">
        <v>3</v>
      </c>
      <c r="N114" s="59"/>
      <c r="O114" s="97" t="s">
        <v>820</v>
      </c>
      <c r="P114" s="18"/>
      <c r="Q114" s="17" t="s">
        <v>2558</v>
      </c>
      <c r="R114" s="97" t="s">
        <v>211</v>
      </c>
      <c r="S114" s="97" t="s">
        <v>1300</v>
      </c>
      <c r="T114" s="17" t="s">
        <v>99</v>
      </c>
      <c r="U114" s="17"/>
      <c r="V114" s="17" t="str">
        <f>+CONCATENATE(E114,".",F114,"\",G114,".",H114,":",I114)</f>
        <v>2.4\0.1:6</v>
      </c>
      <c r="W114" s="17" t="s">
        <v>2552</v>
      </c>
      <c r="X114" s="17">
        <v>0</v>
      </c>
      <c r="Y114" s="20"/>
      <c r="Z114" s="20" t="s">
        <v>1200</v>
      </c>
      <c r="AA114" s="20"/>
      <c r="AB114" s="20"/>
      <c r="AC114" s="20"/>
      <c r="AD114" s="20"/>
      <c r="AE114" s="20"/>
      <c r="AF114" s="20"/>
      <c r="AG114" s="327" t="s">
        <v>1079</v>
      </c>
      <c r="AH114" s="327"/>
      <c r="AI114" s="327">
        <v>7</v>
      </c>
      <c r="AJ114" s="64"/>
      <c r="AK114" s="64"/>
      <c r="AL114" s="264"/>
      <c r="AM114" s="84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</row>
    <row r="115" spans="1:51" s="33" customFormat="1" ht="14.5" x14ac:dyDescent="0.35">
      <c r="A115" s="63" t="str">
        <f>A114</f>
        <v>BBD131</v>
      </c>
      <c r="B115" s="17" t="s">
        <v>2382</v>
      </c>
      <c r="C115" s="18" t="str">
        <f>+C114</f>
        <v>DIO1</v>
      </c>
      <c r="D115" s="18">
        <v>132</v>
      </c>
      <c r="E115" s="84">
        <f>+E114</f>
        <v>2</v>
      </c>
      <c r="F115" s="84">
        <f>+F114</f>
        <v>4</v>
      </c>
      <c r="G115" s="84">
        <v>0</v>
      </c>
      <c r="H115" s="200">
        <f>H112</f>
        <v>1</v>
      </c>
      <c r="I115" s="187">
        <f>+I114+1</f>
        <v>7</v>
      </c>
      <c r="J115" s="205"/>
      <c r="K115" s="79"/>
      <c r="L115" s="17" t="s">
        <v>323</v>
      </c>
      <c r="M115" s="18">
        <v>4</v>
      </c>
      <c r="N115" s="59"/>
      <c r="O115" s="97" t="s">
        <v>817</v>
      </c>
      <c r="P115" s="18"/>
      <c r="Q115" s="17" t="s">
        <v>2557</v>
      </c>
      <c r="R115" s="97" t="s">
        <v>211</v>
      </c>
      <c r="S115" s="97" t="s">
        <v>976</v>
      </c>
      <c r="T115" s="17" t="s">
        <v>99</v>
      </c>
      <c r="U115" s="17"/>
      <c r="V115" s="17" t="str">
        <f>+CONCATENATE(E115,".",F115,"\",G115,".",H115,":",I115)</f>
        <v>2.4\0.1:7</v>
      </c>
      <c r="W115" s="17" t="s">
        <v>2552</v>
      </c>
      <c r="X115" s="17">
        <v>0</v>
      </c>
      <c r="Y115" s="20"/>
      <c r="Z115" s="20" t="s">
        <v>1200</v>
      </c>
      <c r="AA115" s="20"/>
      <c r="AB115" s="20"/>
      <c r="AC115" s="20"/>
      <c r="AD115" s="20"/>
      <c r="AE115" s="20"/>
      <c r="AF115" s="20"/>
      <c r="AG115" s="327" t="s">
        <v>1079</v>
      </c>
      <c r="AH115" s="327"/>
      <c r="AI115" s="327">
        <v>8</v>
      </c>
      <c r="AJ115" s="64"/>
      <c r="AK115" s="64"/>
      <c r="AL115" s="264"/>
      <c r="AM115" s="84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</row>
    <row r="116" spans="1:51" s="33" customFormat="1" ht="14.5" x14ac:dyDescent="0.35">
      <c r="A116" s="63" t="str">
        <f>A115</f>
        <v>BBD131</v>
      </c>
      <c r="B116" s="17" t="s">
        <v>2382</v>
      </c>
      <c r="C116" s="18" t="str">
        <f>+C115</f>
        <v>DIO1</v>
      </c>
      <c r="D116" s="18">
        <v>132</v>
      </c>
      <c r="E116" s="84">
        <f>+E115</f>
        <v>2</v>
      </c>
      <c r="F116" s="84">
        <f>+F115</f>
        <v>4</v>
      </c>
      <c r="G116" s="84">
        <v>0</v>
      </c>
      <c r="H116" s="200">
        <f>H113</f>
        <v>1</v>
      </c>
      <c r="I116" s="187">
        <f>+I115+1</f>
        <v>8</v>
      </c>
      <c r="J116" s="205"/>
      <c r="K116" s="79"/>
      <c r="L116" s="17" t="s">
        <v>323</v>
      </c>
      <c r="M116" s="18">
        <v>4</v>
      </c>
      <c r="N116" s="59"/>
      <c r="O116" s="97" t="s">
        <v>814</v>
      </c>
      <c r="P116" s="18"/>
      <c r="Q116" s="17" t="s">
        <v>2556</v>
      </c>
      <c r="R116" s="97" t="s">
        <v>211</v>
      </c>
      <c r="S116" s="97" t="s">
        <v>1298</v>
      </c>
      <c r="T116" s="17" t="s">
        <v>99</v>
      </c>
      <c r="U116" s="17"/>
      <c r="V116" s="17" t="str">
        <f>+CONCATENATE(E116,".",F116,"\",G116,".",H116,":",I116)</f>
        <v>2.4\0.1:8</v>
      </c>
      <c r="W116" s="17" t="s">
        <v>2552</v>
      </c>
      <c r="X116" s="17">
        <v>0</v>
      </c>
      <c r="Y116" s="20"/>
      <c r="Z116" s="20" t="s">
        <v>1200</v>
      </c>
      <c r="AA116" s="20"/>
      <c r="AB116" s="20"/>
      <c r="AC116" s="20"/>
      <c r="AD116" s="20"/>
      <c r="AE116" s="20"/>
      <c r="AF116" s="20"/>
      <c r="AG116" s="327" t="s">
        <v>1079</v>
      </c>
      <c r="AH116" s="327"/>
      <c r="AI116" s="327">
        <v>9</v>
      </c>
      <c r="AJ116" s="64"/>
      <c r="AK116" s="64"/>
      <c r="AL116" s="264"/>
      <c r="AM116" s="84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</row>
    <row r="117" spans="1:51" s="33" customFormat="1" ht="14.5" x14ac:dyDescent="0.35">
      <c r="A117" s="63" t="str">
        <f>A116</f>
        <v>BBD131</v>
      </c>
      <c r="B117" s="17" t="s">
        <v>2382</v>
      </c>
      <c r="C117" s="18" t="str">
        <f>+C116</f>
        <v>DIO1</v>
      </c>
      <c r="D117" s="18">
        <v>132</v>
      </c>
      <c r="E117" s="84">
        <f>+E116</f>
        <v>2</v>
      </c>
      <c r="F117" s="84">
        <f>+F116</f>
        <v>4</v>
      </c>
      <c r="G117" s="84">
        <v>0</v>
      </c>
      <c r="H117" s="200">
        <f>H114</f>
        <v>1</v>
      </c>
      <c r="I117" s="187">
        <f>+I116+1</f>
        <v>9</v>
      </c>
      <c r="J117" s="205"/>
      <c r="K117" s="79"/>
      <c r="L117" s="17" t="s">
        <v>323</v>
      </c>
      <c r="M117" s="18">
        <v>3</v>
      </c>
      <c r="N117" s="59"/>
      <c r="O117" s="97" t="s">
        <v>811</v>
      </c>
      <c r="P117" s="18"/>
      <c r="Q117" s="17" t="s">
        <v>2555</v>
      </c>
      <c r="R117" s="97" t="s">
        <v>211</v>
      </c>
      <c r="S117" s="97" t="s">
        <v>1297</v>
      </c>
      <c r="T117" s="17" t="s">
        <v>99</v>
      </c>
      <c r="U117" s="17"/>
      <c r="V117" s="17" t="str">
        <f>+CONCATENATE(E117,".",F117,"\",G117,".",H117,":",I117)</f>
        <v>2.4\0.1:9</v>
      </c>
      <c r="W117" s="17" t="s">
        <v>2552</v>
      </c>
      <c r="X117" s="17">
        <v>0</v>
      </c>
      <c r="Y117" s="20"/>
      <c r="Z117" s="20" t="s">
        <v>1200</v>
      </c>
      <c r="AA117" s="20"/>
      <c r="AB117" s="20"/>
      <c r="AC117" s="20"/>
      <c r="AD117" s="20"/>
      <c r="AE117" s="20"/>
      <c r="AF117" s="20"/>
      <c r="AG117" s="327" t="s">
        <v>1079</v>
      </c>
      <c r="AH117" s="327"/>
      <c r="AI117" s="327">
        <v>10</v>
      </c>
      <c r="AJ117" s="64"/>
      <c r="AK117" s="64"/>
      <c r="AL117" s="264"/>
      <c r="AM117" s="84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</row>
    <row r="118" spans="1:51" s="33" customFormat="1" ht="14.5" x14ac:dyDescent="0.35">
      <c r="A118" s="63" t="str">
        <f>A117</f>
        <v>BBD131</v>
      </c>
      <c r="B118" s="17" t="s">
        <v>2382</v>
      </c>
      <c r="C118" s="18" t="str">
        <f>+C117</f>
        <v>DIO1</v>
      </c>
      <c r="D118" s="18">
        <v>132</v>
      </c>
      <c r="E118" s="84">
        <f>+E117</f>
        <v>2</v>
      </c>
      <c r="F118" s="84">
        <f>+F117</f>
        <v>4</v>
      </c>
      <c r="G118" s="84">
        <v>0</v>
      </c>
      <c r="H118" s="200">
        <f>H115</f>
        <v>1</v>
      </c>
      <c r="I118" s="187">
        <f>+I117+1</f>
        <v>10</v>
      </c>
      <c r="J118" s="205"/>
      <c r="K118" s="79"/>
      <c r="L118" s="17" t="s">
        <v>323</v>
      </c>
      <c r="M118" s="18">
        <v>3</v>
      </c>
      <c r="N118" s="59"/>
      <c r="O118" s="97" t="s">
        <v>808</v>
      </c>
      <c r="P118" s="18"/>
      <c r="Q118" s="17" t="s">
        <v>2554</v>
      </c>
      <c r="R118" s="97" t="s">
        <v>211</v>
      </c>
      <c r="S118" s="97" t="s">
        <v>1296</v>
      </c>
      <c r="T118" s="17" t="s">
        <v>99</v>
      </c>
      <c r="U118" s="17"/>
      <c r="V118" s="17" t="str">
        <f>+CONCATENATE(E118,".",F118,"\",G118,".",H118,":",I118)</f>
        <v>2.4\0.1:10</v>
      </c>
      <c r="W118" s="17" t="s">
        <v>2552</v>
      </c>
      <c r="X118" s="17">
        <v>0</v>
      </c>
      <c r="Y118" s="20"/>
      <c r="Z118" s="20" t="s">
        <v>1200</v>
      </c>
      <c r="AA118" s="20"/>
      <c r="AB118" s="20"/>
      <c r="AC118" s="20"/>
      <c r="AD118" s="20"/>
      <c r="AE118" s="20"/>
      <c r="AF118" s="20"/>
      <c r="AG118" s="327" t="s">
        <v>1079</v>
      </c>
      <c r="AH118" s="327"/>
      <c r="AI118" s="327">
        <v>11</v>
      </c>
      <c r="AJ118" s="64"/>
      <c r="AK118" s="64"/>
      <c r="AL118" s="264"/>
      <c r="AM118" s="84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</row>
    <row r="119" spans="1:51" s="33" customFormat="1" ht="14.5" x14ac:dyDescent="0.35">
      <c r="A119" s="63" t="str">
        <f>A118</f>
        <v>BBD131</v>
      </c>
      <c r="B119" s="17" t="s">
        <v>2382</v>
      </c>
      <c r="C119" s="18" t="str">
        <f>+C118</f>
        <v>DIO1</v>
      </c>
      <c r="D119" s="18">
        <v>132</v>
      </c>
      <c r="E119" s="84">
        <f>+E118</f>
        <v>2</v>
      </c>
      <c r="F119" s="84">
        <f>+F118</f>
        <v>4</v>
      </c>
      <c r="G119" s="84">
        <v>0</v>
      </c>
      <c r="H119" s="200">
        <f>H116</f>
        <v>1</v>
      </c>
      <c r="I119" s="187">
        <f>+I118+1</f>
        <v>11</v>
      </c>
      <c r="J119" s="205"/>
      <c r="K119" s="79"/>
      <c r="L119" s="17" t="s">
        <v>323</v>
      </c>
      <c r="M119" s="18">
        <v>4</v>
      </c>
      <c r="N119" s="321"/>
      <c r="O119" s="97" t="s">
        <v>805</v>
      </c>
      <c r="P119" s="18"/>
      <c r="Q119" s="17" t="s">
        <v>2553</v>
      </c>
      <c r="R119" s="97" t="s">
        <v>211</v>
      </c>
      <c r="S119" s="97" t="s">
        <v>1294</v>
      </c>
      <c r="T119" s="17" t="s">
        <v>99</v>
      </c>
      <c r="U119" s="17"/>
      <c r="V119" s="17" t="str">
        <f>+CONCATENATE(E119,".",F119,"\",G119,".",H119,":",I119)</f>
        <v>2.4\0.1:11</v>
      </c>
      <c r="W119" s="17" t="s">
        <v>2552</v>
      </c>
      <c r="X119" s="17">
        <v>0</v>
      </c>
      <c r="Y119" s="20"/>
      <c r="Z119" s="20" t="s">
        <v>1200</v>
      </c>
      <c r="AA119" s="20"/>
      <c r="AB119" s="20"/>
      <c r="AC119" s="20"/>
      <c r="AD119" s="20"/>
      <c r="AE119" s="20"/>
      <c r="AF119" s="20"/>
      <c r="AG119" s="327" t="s">
        <v>1079</v>
      </c>
      <c r="AH119" s="327"/>
      <c r="AI119" s="327">
        <v>12</v>
      </c>
      <c r="AJ119" s="64"/>
      <c r="AK119" s="64"/>
      <c r="AL119" s="264"/>
      <c r="AM119" s="84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</row>
    <row r="120" spans="1:51" s="33" customFormat="1" ht="14.5" x14ac:dyDescent="0.35">
      <c r="A120" s="63" t="str">
        <f>A119</f>
        <v>BBD131</v>
      </c>
      <c r="B120" s="17" t="s">
        <v>2382</v>
      </c>
      <c r="C120" s="18" t="str">
        <f>+C119</f>
        <v>DIO1</v>
      </c>
      <c r="D120" s="18">
        <v>132</v>
      </c>
      <c r="E120" s="84">
        <f>+E119</f>
        <v>2</v>
      </c>
      <c r="F120" s="84">
        <f>+F119</f>
        <v>4</v>
      </c>
      <c r="G120" s="84">
        <v>0</v>
      </c>
      <c r="H120" s="200">
        <f>H117</f>
        <v>1</v>
      </c>
      <c r="I120" s="187">
        <f>+I119+1</f>
        <v>12</v>
      </c>
      <c r="J120" s="205"/>
      <c r="K120" s="79"/>
      <c r="L120" s="17" t="s">
        <v>323</v>
      </c>
      <c r="M120" s="18"/>
      <c r="N120" s="321"/>
      <c r="O120" s="97"/>
      <c r="P120" s="18"/>
      <c r="Q120" s="17" t="s">
        <v>127</v>
      </c>
      <c r="R120" s="97" t="s">
        <v>127</v>
      </c>
      <c r="S120" s="18"/>
      <c r="T120" s="17"/>
      <c r="U120" s="17"/>
      <c r="V120" s="17" t="str">
        <f>+CONCATENATE(E120,".",F120,"\",G120,".",H120,":",I120)</f>
        <v>2.4\0.1:12</v>
      </c>
      <c r="W120" s="17"/>
      <c r="X120" s="17"/>
      <c r="Y120" s="20"/>
      <c r="Z120" s="20" t="s">
        <v>1159</v>
      </c>
      <c r="AA120" s="20"/>
      <c r="AB120" s="20"/>
      <c r="AC120" s="20"/>
      <c r="AD120" s="20"/>
      <c r="AE120" s="20"/>
      <c r="AF120" s="20"/>
      <c r="AG120" s="327" t="s">
        <v>1079</v>
      </c>
      <c r="AH120" s="327"/>
      <c r="AI120" s="327">
        <v>13</v>
      </c>
      <c r="AJ120" s="64"/>
      <c r="AK120" s="64"/>
      <c r="AL120" s="264"/>
      <c r="AM120" s="84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</row>
    <row r="121" spans="1:51" s="33" customFormat="1" ht="14.5" x14ac:dyDescent="0.35">
      <c r="A121" s="63" t="str">
        <f>A120</f>
        <v>BBD131</v>
      </c>
      <c r="B121" s="17" t="s">
        <v>2382</v>
      </c>
      <c r="C121" s="18" t="str">
        <f>+C120</f>
        <v>DIO1</v>
      </c>
      <c r="D121" s="18">
        <v>132</v>
      </c>
      <c r="E121" s="84">
        <f>+E120</f>
        <v>2</v>
      </c>
      <c r="F121" s="84">
        <f>+F120</f>
        <v>4</v>
      </c>
      <c r="G121" s="84">
        <v>0</v>
      </c>
      <c r="H121" s="200">
        <f>H118</f>
        <v>1</v>
      </c>
      <c r="I121" s="187">
        <f>+I120+1</f>
        <v>13</v>
      </c>
      <c r="J121" s="205"/>
      <c r="K121" s="79"/>
      <c r="L121" s="17" t="s">
        <v>323</v>
      </c>
      <c r="M121" s="18"/>
      <c r="N121" s="321"/>
      <c r="O121" s="97"/>
      <c r="P121" s="18"/>
      <c r="Q121" s="17" t="s">
        <v>127</v>
      </c>
      <c r="R121" s="97" t="s">
        <v>127</v>
      </c>
      <c r="S121" s="18"/>
      <c r="T121" s="17"/>
      <c r="U121" s="17"/>
      <c r="V121" s="17" t="str">
        <f>+CONCATENATE(E121,".",F121,"\",G121,".",H121,":",I121)</f>
        <v>2.4\0.1:13</v>
      </c>
      <c r="W121" s="17"/>
      <c r="X121" s="17"/>
      <c r="Y121" s="20"/>
      <c r="Z121" s="20" t="s">
        <v>1159</v>
      </c>
      <c r="AA121" s="20"/>
      <c r="AB121" s="20"/>
      <c r="AC121" s="20"/>
      <c r="AD121" s="20"/>
      <c r="AE121" s="20"/>
      <c r="AF121" s="20"/>
      <c r="AG121" s="327" t="s">
        <v>1079</v>
      </c>
      <c r="AH121" s="327"/>
      <c r="AI121" s="327">
        <v>14</v>
      </c>
      <c r="AJ121" s="64"/>
      <c r="AK121" s="64"/>
      <c r="AL121" s="264"/>
      <c r="AM121" s="84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</row>
    <row r="122" spans="1:51" s="33" customFormat="1" ht="14.5" x14ac:dyDescent="0.35">
      <c r="A122" s="63" t="str">
        <f>A121</f>
        <v>BBD131</v>
      </c>
      <c r="B122" s="17" t="s">
        <v>2382</v>
      </c>
      <c r="C122" s="18" t="str">
        <f>+C121</f>
        <v>DIO1</v>
      </c>
      <c r="D122" s="18">
        <v>132</v>
      </c>
      <c r="E122" s="84">
        <f>+E121</f>
        <v>2</v>
      </c>
      <c r="F122" s="84">
        <f>+F121</f>
        <v>4</v>
      </c>
      <c r="G122" s="84">
        <v>0</v>
      </c>
      <c r="H122" s="200">
        <f>H119</f>
        <v>1</v>
      </c>
      <c r="I122" s="187">
        <f>+I121+1</f>
        <v>14</v>
      </c>
      <c r="J122" s="205"/>
      <c r="K122" s="79"/>
      <c r="L122" s="17" t="s">
        <v>323</v>
      </c>
      <c r="M122" s="18"/>
      <c r="N122" s="321"/>
      <c r="O122" s="97"/>
      <c r="P122" s="18"/>
      <c r="Q122" s="17" t="s">
        <v>127</v>
      </c>
      <c r="R122" s="97" t="s">
        <v>127</v>
      </c>
      <c r="S122" s="18"/>
      <c r="T122" s="17"/>
      <c r="U122" s="17"/>
      <c r="V122" s="17" t="str">
        <f>+CONCATENATE(E122,".",F122,"\",G122,".",H122,":",I122)</f>
        <v>2.4\0.1:14</v>
      </c>
      <c r="W122" s="17"/>
      <c r="X122" s="17"/>
      <c r="Y122" s="20"/>
      <c r="Z122" s="20" t="s">
        <v>1159</v>
      </c>
      <c r="AA122" s="20"/>
      <c r="AB122" s="20"/>
      <c r="AC122" s="20"/>
      <c r="AD122" s="20"/>
      <c r="AE122" s="20"/>
      <c r="AF122" s="20"/>
      <c r="AG122" s="327" t="s">
        <v>1079</v>
      </c>
      <c r="AH122" s="327"/>
      <c r="AI122" s="327">
        <v>15</v>
      </c>
      <c r="AJ122" s="64"/>
      <c r="AK122" s="64"/>
      <c r="AL122" s="264"/>
      <c r="AM122" s="84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</row>
    <row r="123" spans="1:51" s="33" customFormat="1" ht="14.5" x14ac:dyDescent="0.35">
      <c r="A123" s="63" t="str">
        <f>A122</f>
        <v>BBD131</v>
      </c>
      <c r="B123" s="17" t="s">
        <v>2382</v>
      </c>
      <c r="C123" s="18" t="str">
        <f>+C122</f>
        <v>DIO1</v>
      </c>
      <c r="D123" s="18">
        <v>132</v>
      </c>
      <c r="E123" s="84">
        <f>+E122</f>
        <v>2</v>
      </c>
      <c r="F123" s="84">
        <f>+F122</f>
        <v>4</v>
      </c>
      <c r="G123" s="84">
        <v>0</v>
      </c>
      <c r="H123" s="200">
        <f>H119</f>
        <v>1</v>
      </c>
      <c r="I123" s="187">
        <f>+I122+1</f>
        <v>15</v>
      </c>
      <c r="J123" s="205"/>
      <c r="K123" s="79"/>
      <c r="L123" s="17" t="s">
        <v>323</v>
      </c>
      <c r="M123" s="18"/>
      <c r="N123" s="321"/>
      <c r="O123" s="97"/>
      <c r="P123" s="18"/>
      <c r="Q123" s="18" t="s">
        <v>127</v>
      </c>
      <c r="R123" s="97" t="s">
        <v>127</v>
      </c>
      <c r="S123" s="18"/>
      <c r="T123" s="17"/>
      <c r="U123" s="17"/>
      <c r="V123" s="17" t="str">
        <f>+CONCATENATE(E123,".",F123,"\",G123,".",H123,":",I123)</f>
        <v>2.4\0.1:15</v>
      </c>
      <c r="W123" s="17"/>
      <c r="X123" s="17"/>
      <c r="Y123" s="20"/>
      <c r="Z123" s="20" t="s">
        <v>1159</v>
      </c>
      <c r="AA123" s="20"/>
      <c r="AB123" s="20"/>
      <c r="AC123" s="20"/>
      <c r="AD123" s="20"/>
      <c r="AE123" s="20"/>
      <c r="AF123" s="20"/>
      <c r="AG123" s="327" t="s">
        <v>1079</v>
      </c>
      <c r="AH123" s="327"/>
      <c r="AI123" s="327">
        <v>16</v>
      </c>
      <c r="AJ123" s="64"/>
      <c r="AK123" s="64"/>
      <c r="AL123" s="264"/>
      <c r="AM123" s="84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</row>
    <row r="124" spans="1:51" s="33" customFormat="1" ht="14.5" x14ac:dyDescent="0.35">
      <c r="A124" s="63" t="str">
        <f>A123</f>
        <v>BBD131</v>
      </c>
      <c r="B124" s="17" t="s">
        <v>2382</v>
      </c>
      <c r="C124" s="18" t="str">
        <f>+C123</f>
        <v>DIO1</v>
      </c>
      <c r="D124" s="18">
        <v>132</v>
      </c>
      <c r="E124" s="84">
        <f>+E123</f>
        <v>2</v>
      </c>
      <c r="F124" s="84">
        <f>+F123</f>
        <v>4</v>
      </c>
      <c r="G124" s="84">
        <v>0</v>
      </c>
      <c r="H124" s="200">
        <f>H120</f>
        <v>1</v>
      </c>
      <c r="I124" s="187">
        <f>+I123+1</f>
        <v>16</v>
      </c>
      <c r="J124" s="205"/>
      <c r="K124" s="18"/>
      <c r="L124" s="17" t="s">
        <v>323</v>
      </c>
      <c r="M124" s="18">
        <v>4</v>
      </c>
      <c r="N124" s="59" t="s">
        <v>101</v>
      </c>
      <c r="O124" s="68" t="s">
        <v>1242</v>
      </c>
      <c r="P124" s="59" t="s">
        <v>2551</v>
      </c>
      <c r="Q124" s="68" t="s">
        <v>2128</v>
      </c>
      <c r="R124" s="68" t="s">
        <v>299</v>
      </c>
      <c r="S124" s="68"/>
      <c r="T124" s="17" t="s">
        <v>692</v>
      </c>
      <c r="U124" s="17"/>
      <c r="V124" s="17" t="str">
        <f>+CONCATENATE(E124,".",F124,"\",G124,".",H124,":",I124)</f>
        <v>2.4\0.1:16</v>
      </c>
      <c r="W124" s="17" t="s">
        <v>83</v>
      </c>
      <c r="X124" s="17" t="s">
        <v>289</v>
      </c>
      <c r="Y124" s="20"/>
      <c r="Z124" s="20" t="s">
        <v>1159</v>
      </c>
      <c r="AA124" s="20"/>
      <c r="AB124" s="20"/>
      <c r="AC124" s="20"/>
      <c r="AD124" s="20"/>
      <c r="AE124" s="20"/>
      <c r="AF124" s="20"/>
      <c r="AG124" s="327" t="s">
        <v>1079</v>
      </c>
      <c r="AH124" s="327">
        <v>17</v>
      </c>
      <c r="AI124" s="327">
        <v>18</v>
      </c>
      <c r="AJ124" s="64"/>
      <c r="AK124" s="64"/>
      <c r="AL124" s="264"/>
      <c r="AM124" s="84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 spans="1:51" s="33" customFormat="1" ht="14.5" x14ac:dyDescent="0.35">
      <c r="A125" s="63" t="str">
        <f>A124</f>
        <v>BBD131</v>
      </c>
      <c r="B125" s="17" t="s">
        <v>2382</v>
      </c>
      <c r="C125" s="18" t="str">
        <f>+C124</f>
        <v>DIO1</v>
      </c>
      <c r="D125" s="18">
        <v>132</v>
      </c>
      <c r="E125" s="84">
        <f>+E124</f>
        <v>2</v>
      </c>
      <c r="F125" s="84">
        <f>+F124</f>
        <v>4</v>
      </c>
      <c r="G125" s="84">
        <v>0</v>
      </c>
      <c r="H125" s="200">
        <f>H121</f>
        <v>1</v>
      </c>
      <c r="I125" s="187">
        <f>+I124+1</f>
        <v>17</v>
      </c>
      <c r="J125" s="205"/>
      <c r="K125" s="79"/>
      <c r="L125" s="17" t="s">
        <v>323</v>
      </c>
      <c r="M125" s="18">
        <v>4</v>
      </c>
      <c r="N125" s="59" t="s">
        <v>101</v>
      </c>
      <c r="O125" s="68" t="s">
        <v>1239</v>
      </c>
      <c r="P125" s="59" t="s">
        <v>2551</v>
      </c>
      <c r="Q125" s="68" t="s">
        <v>2126</v>
      </c>
      <c r="R125" s="68" t="s">
        <v>299</v>
      </c>
      <c r="S125" s="68"/>
      <c r="T125" s="17" t="s">
        <v>692</v>
      </c>
      <c r="U125" s="17"/>
      <c r="V125" s="17" t="str">
        <f>+CONCATENATE(E125,".",F125,"\",G125,".",H125,":",I125)</f>
        <v>2.4\0.1:17</v>
      </c>
      <c r="W125" s="17" t="s">
        <v>83</v>
      </c>
      <c r="X125" s="17" t="s">
        <v>289</v>
      </c>
      <c r="Y125" s="20"/>
      <c r="Z125" s="20" t="s">
        <v>1159</v>
      </c>
      <c r="AA125" s="20"/>
      <c r="AB125" s="20"/>
      <c r="AC125" s="20"/>
      <c r="AD125" s="20"/>
      <c r="AE125" s="20"/>
      <c r="AF125" s="20"/>
      <c r="AG125" s="327" t="s">
        <v>1079</v>
      </c>
      <c r="AH125" s="327">
        <v>19</v>
      </c>
      <c r="AI125" s="327">
        <v>20</v>
      </c>
      <c r="AJ125" s="64"/>
      <c r="AK125" s="64"/>
      <c r="AL125" s="264"/>
      <c r="AM125" s="84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</row>
    <row r="126" spans="1:51" s="33" customFormat="1" ht="14.5" x14ac:dyDescent="0.35">
      <c r="A126" s="63" t="str">
        <f>A125</f>
        <v>BBD131</v>
      </c>
      <c r="B126" s="17" t="s">
        <v>2382</v>
      </c>
      <c r="C126" s="18" t="str">
        <f>+C125</f>
        <v>DIO1</v>
      </c>
      <c r="D126" s="18">
        <v>132</v>
      </c>
      <c r="E126" s="84">
        <f>+E125</f>
        <v>2</v>
      </c>
      <c r="F126" s="84">
        <f>+F125</f>
        <v>4</v>
      </c>
      <c r="G126" s="84">
        <v>0</v>
      </c>
      <c r="H126" s="200">
        <f>H122</f>
        <v>1</v>
      </c>
      <c r="I126" s="187">
        <f>+I125+1</f>
        <v>18</v>
      </c>
      <c r="J126" s="205"/>
      <c r="K126" s="79"/>
      <c r="L126" s="17" t="s">
        <v>323</v>
      </c>
      <c r="M126" s="18">
        <v>4</v>
      </c>
      <c r="N126" s="59" t="s">
        <v>101</v>
      </c>
      <c r="O126" s="17" t="s">
        <v>616</v>
      </c>
      <c r="P126" s="59" t="s">
        <v>2551</v>
      </c>
      <c r="Q126" s="17" t="s">
        <v>2095</v>
      </c>
      <c r="R126" s="83" t="s">
        <v>247</v>
      </c>
      <c r="S126" s="17"/>
      <c r="T126" s="17" t="s">
        <v>692</v>
      </c>
      <c r="U126" s="17"/>
      <c r="V126" s="17" t="str">
        <f>+CONCATENATE(E126,".",F126,"\",G126,".",H126,":",I126)</f>
        <v>2.4\0.1:18</v>
      </c>
      <c r="W126" s="17" t="s">
        <v>83</v>
      </c>
      <c r="X126" s="17" t="s">
        <v>289</v>
      </c>
      <c r="Y126" s="20"/>
      <c r="Z126" s="20" t="s">
        <v>1159</v>
      </c>
      <c r="AA126" s="20"/>
      <c r="AB126" s="20"/>
      <c r="AC126" s="20"/>
      <c r="AD126" s="20"/>
      <c r="AE126" s="20"/>
      <c r="AF126" s="20"/>
      <c r="AG126" s="327" t="s">
        <v>1079</v>
      </c>
      <c r="AH126" s="327">
        <v>21</v>
      </c>
      <c r="AI126" s="327">
        <v>22</v>
      </c>
      <c r="AJ126" s="64"/>
      <c r="AK126" s="64"/>
      <c r="AL126" s="264"/>
      <c r="AM126" s="84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  <row r="127" spans="1:51" s="33" customFormat="1" ht="14.5" x14ac:dyDescent="0.35">
      <c r="A127" s="63" t="str">
        <f>A126</f>
        <v>BBD131</v>
      </c>
      <c r="B127" s="17" t="s">
        <v>2382</v>
      </c>
      <c r="C127" s="18" t="str">
        <f>+C126</f>
        <v>DIO1</v>
      </c>
      <c r="D127" s="18">
        <v>132</v>
      </c>
      <c r="E127" s="84">
        <f>+E126</f>
        <v>2</v>
      </c>
      <c r="F127" s="84">
        <f>+F126</f>
        <v>4</v>
      </c>
      <c r="G127" s="84">
        <v>0</v>
      </c>
      <c r="H127" s="200">
        <f>H123</f>
        <v>1</v>
      </c>
      <c r="I127" s="187">
        <f>+I126+1</f>
        <v>19</v>
      </c>
      <c r="J127" s="205"/>
      <c r="K127" s="79"/>
      <c r="L127" s="17" t="s">
        <v>323</v>
      </c>
      <c r="M127" s="18">
        <v>3</v>
      </c>
      <c r="N127" s="18" t="s">
        <v>2550</v>
      </c>
      <c r="O127" s="17" t="s">
        <v>2549</v>
      </c>
      <c r="P127" s="18" t="s">
        <v>2545</v>
      </c>
      <c r="Q127" s="68" t="s">
        <v>2548</v>
      </c>
      <c r="R127" s="17" t="s">
        <v>211</v>
      </c>
      <c r="S127" s="17"/>
      <c r="T127" s="17" t="s">
        <v>2543</v>
      </c>
      <c r="U127" s="17"/>
      <c r="V127" s="17" t="str">
        <f>+CONCATENATE(E127,".",F127,"\",G127,".",H127,":",I127)</f>
        <v>2.4\0.1:19</v>
      </c>
      <c r="W127" s="17" t="s">
        <v>2377</v>
      </c>
      <c r="X127" s="17">
        <v>0</v>
      </c>
      <c r="Y127" s="20"/>
      <c r="Z127" s="20" t="s">
        <v>1159</v>
      </c>
      <c r="AA127" s="20"/>
      <c r="AB127" s="20"/>
      <c r="AC127" s="20"/>
      <c r="AD127" s="20"/>
      <c r="AE127" s="20"/>
      <c r="AF127" s="20"/>
      <c r="AG127" s="327" t="s">
        <v>1079</v>
      </c>
      <c r="AH127" s="327">
        <v>23</v>
      </c>
      <c r="AI127" s="327">
        <v>24</v>
      </c>
      <c r="AJ127" s="64"/>
      <c r="AK127" s="64"/>
      <c r="AL127" s="264"/>
      <c r="AM127" s="84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</row>
    <row r="128" spans="1:51" s="33" customFormat="1" ht="14.5" x14ac:dyDescent="0.35">
      <c r="A128" s="63" t="str">
        <f>A127</f>
        <v>BBD131</v>
      </c>
      <c r="B128" s="17" t="s">
        <v>2382</v>
      </c>
      <c r="C128" s="18" t="str">
        <f>+C127</f>
        <v>DIO1</v>
      </c>
      <c r="D128" s="18">
        <v>132</v>
      </c>
      <c r="E128" s="84">
        <f>+E127</f>
        <v>2</v>
      </c>
      <c r="F128" s="84">
        <f>+F127</f>
        <v>4</v>
      </c>
      <c r="G128" s="84">
        <v>0</v>
      </c>
      <c r="H128" s="200">
        <f>H124</f>
        <v>1</v>
      </c>
      <c r="I128" s="187">
        <f>+I127+1</f>
        <v>20</v>
      </c>
      <c r="J128" s="205"/>
      <c r="K128" s="79"/>
      <c r="L128" s="17" t="s">
        <v>323</v>
      </c>
      <c r="M128" s="18">
        <v>3</v>
      </c>
      <c r="N128" s="18" t="s">
        <v>2547</v>
      </c>
      <c r="O128" s="17" t="s">
        <v>2546</v>
      </c>
      <c r="P128" s="18" t="s">
        <v>2545</v>
      </c>
      <c r="Q128" s="68" t="s">
        <v>2544</v>
      </c>
      <c r="R128" s="17" t="s">
        <v>211</v>
      </c>
      <c r="S128" s="17"/>
      <c r="T128" s="17" t="s">
        <v>2543</v>
      </c>
      <c r="U128" s="17"/>
      <c r="V128" s="17" t="str">
        <f>+CONCATENATE(E128,".",F128,"\",G128,".",H128,":",I128)</f>
        <v>2.4\0.1:20</v>
      </c>
      <c r="W128" s="17" t="s">
        <v>2377</v>
      </c>
      <c r="X128" s="17">
        <v>0</v>
      </c>
      <c r="Y128" s="20"/>
      <c r="Z128" s="20" t="s">
        <v>1159</v>
      </c>
      <c r="AA128" s="20"/>
      <c r="AB128" s="20"/>
      <c r="AC128" s="20"/>
      <c r="AD128" s="20"/>
      <c r="AE128" s="20"/>
      <c r="AF128" s="20"/>
      <c r="AG128" s="327" t="s">
        <v>1079</v>
      </c>
      <c r="AH128" s="327">
        <v>25</v>
      </c>
      <c r="AI128" s="327">
        <v>26</v>
      </c>
      <c r="AJ128" s="64"/>
      <c r="AK128" s="64"/>
      <c r="AL128" s="264"/>
      <c r="AM128" s="84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</row>
    <row r="129" spans="1:51" s="33" customFormat="1" ht="14.5" x14ac:dyDescent="0.35">
      <c r="A129" s="63" t="str">
        <f>A128</f>
        <v>BBD131</v>
      </c>
      <c r="B129" s="17" t="s">
        <v>2382</v>
      </c>
      <c r="C129" s="18" t="str">
        <f>+C128</f>
        <v>DIO1</v>
      </c>
      <c r="D129" s="18">
        <v>132</v>
      </c>
      <c r="E129" s="84">
        <f>+E128</f>
        <v>2</v>
      </c>
      <c r="F129" s="84">
        <f>+F128</f>
        <v>4</v>
      </c>
      <c r="G129" s="84">
        <v>0</v>
      </c>
      <c r="H129" s="200">
        <f>H125</f>
        <v>1</v>
      </c>
      <c r="I129" s="187">
        <f>+I128+1</f>
        <v>21</v>
      </c>
      <c r="J129" s="205"/>
      <c r="K129" s="79"/>
      <c r="L129" s="17" t="s">
        <v>323</v>
      </c>
      <c r="M129" s="18">
        <v>3</v>
      </c>
      <c r="N129" s="18" t="s">
        <v>2540</v>
      </c>
      <c r="O129" s="97" t="s">
        <v>567</v>
      </c>
      <c r="P129" s="18" t="s">
        <v>2542</v>
      </c>
      <c r="Q129" s="17" t="s">
        <v>2541</v>
      </c>
      <c r="R129" s="17" t="s">
        <v>211</v>
      </c>
      <c r="S129" s="17"/>
      <c r="T129" s="17" t="s">
        <v>2540</v>
      </c>
      <c r="U129" s="17"/>
      <c r="V129" s="17" t="str">
        <f>+CONCATENATE(E129,".",F129,"\",G129,".",H129,":",I129)</f>
        <v>2.4\0.1:21</v>
      </c>
      <c r="W129" s="17" t="s">
        <v>2377</v>
      </c>
      <c r="X129" s="17">
        <v>0</v>
      </c>
      <c r="Y129" s="20"/>
      <c r="Z129" s="20" t="s">
        <v>1159</v>
      </c>
      <c r="AA129" s="20"/>
      <c r="AB129" s="20"/>
      <c r="AC129" s="20"/>
      <c r="AD129" s="20"/>
      <c r="AE129" s="20"/>
      <c r="AF129" s="20"/>
      <c r="AG129" s="327" t="s">
        <v>1079</v>
      </c>
      <c r="AH129" s="327">
        <v>27</v>
      </c>
      <c r="AI129" s="327">
        <v>28</v>
      </c>
      <c r="AJ129" s="64"/>
      <c r="AK129" s="64"/>
      <c r="AL129" s="264"/>
      <c r="AM129" s="84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</row>
    <row r="130" spans="1:51" s="33" customFormat="1" ht="14.5" x14ac:dyDescent="0.35">
      <c r="A130" s="63" t="str">
        <f>A129</f>
        <v>BBD131</v>
      </c>
      <c r="B130" s="17" t="s">
        <v>2382</v>
      </c>
      <c r="C130" s="18" t="str">
        <f>+C129</f>
        <v>DIO1</v>
      </c>
      <c r="D130" s="18">
        <v>132</v>
      </c>
      <c r="E130" s="84">
        <f>+E129</f>
        <v>2</v>
      </c>
      <c r="F130" s="84">
        <f>+F129</f>
        <v>4</v>
      </c>
      <c r="G130" s="84">
        <v>0</v>
      </c>
      <c r="H130" s="200">
        <f>H126</f>
        <v>1</v>
      </c>
      <c r="I130" s="187">
        <f>+I129+1</f>
        <v>22</v>
      </c>
      <c r="J130" s="205"/>
      <c r="K130" s="79"/>
      <c r="L130" s="17" t="s">
        <v>323</v>
      </c>
      <c r="M130" s="18">
        <v>3</v>
      </c>
      <c r="N130" s="18" t="s">
        <v>798</v>
      </c>
      <c r="O130" s="17" t="s">
        <v>567</v>
      </c>
      <c r="P130" s="18" t="s">
        <v>2467</v>
      </c>
      <c r="Q130" s="68" t="s">
        <v>2539</v>
      </c>
      <c r="R130" s="17" t="s">
        <v>211</v>
      </c>
      <c r="S130" s="17"/>
      <c r="T130" s="17" t="s">
        <v>798</v>
      </c>
      <c r="U130" s="17"/>
      <c r="V130" s="17" t="str">
        <f>+CONCATENATE(E130,".",F130,"\",G130,".",H130,":",I130)</f>
        <v>2.4\0.1:22</v>
      </c>
      <c r="W130" s="17" t="s">
        <v>2377</v>
      </c>
      <c r="X130" s="17">
        <v>0</v>
      </c>
      <c r="Y130" s="20"/>
      <c r="Z130" s="20" t="s">
        <v>1159</v>
      </c>
      <c r="AA130" s="20"/>
      <c r="AB130" s="20"/>
      <c r="AC130" s="20"/>
      <c r="AD130" s="20"/>
      <c r="AE130" s="20"/>
      <c r="AF130" s="20"/>
      <c r="AG130" s="327" t="s">
        <v>1079</v>
      </c>
      <c r="AH130" s="327">
        <v>29</v>
      </c>
      <c r="AI130" s="327">
        <v>30</v>
      </c>
      <c r="AJ130" s="64"/>
      <c r="AK130" s="64"/>
      <c r="AL130" s="264"/>
      <c r="AM130" s="84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</row>
    <row r="131" spans="1:51" s="33" customFormat="1" ht="14.5" x14ac:dyDescent="0.35">
      <c r="A131" s="63" t="str">
        <f>A130</f>
        <v>BBD131</v>
      </c>
      <c r="B131" s="17" t="s">
        <v>2382</v>
      </c>
      <c r="C131" s="18" t="str">
        <f>+C130</f>
        <v>DIO1</v>
      </c>
      <c r="D131" s="18">
        <v>132</v>
      </c>
      <c r="E131" s="84">
        <f>+E130</f>
        <v>2</v>
      </c>
      <c r="F131" s="84">
        <f>+F130</f>
        <v>4</v>
      </c>
      <c r="G131" s="84">
        <v>0</v>
      </c>
      <c r="H131" s="200">
        <f>H127</f>
        <v>1</v>
      </c>
      <c r="I131" s="187">
        <f>+I130+1</f>
        <v>23</v>
      </c>
      <c r="J131" s="205"/>
      <c r="K131" s="79"/>
      <c r="L131" s="17" t="s">
        <v>323</v>
      </c>
      <c r="M131" s="18">
        <v>3</v>
      </c>
      <c r="N131" s="18" t="s">
        <v>798</v>
      </c>
      <c r="O131" s="17" t="s">
        <v>570</v>
      </c>
      <c r="P131" s="18" t="s">
        <v>2467</v>
      </c>
      <c r="Q131" s="68" t="s">
        <v>2538</v>
      </c>
      <c r="R131" s="17" t="s">
        <v>211</v>
      </c>
      <c r="S131" s="17"/>
      <c r="T131" s="17" t="s">
        <v>798</v>
      </c>
      <c r="U131" s="17"/>
      <c r="V131" s="17" t="str">
        <f>+CONCATENATE(E131,".",F131,"\",G131,".",H131,":",I131)</f>
        <v>2.4\0.1:23</v>
      </c>
      <c r="W131" s="17" t="s">
        <v>2377</v>
      </c>
      <c r="X131" s="17">
        <v>0</v>
      </c>
      <c r="Y131" s="20"/>
      <c r="Z131" s="20" t="s">
        <v>1159</v>
      </c>
      <c r="AA131" s="20"/>
      <c r="AB131" s="20"/>
      <c r="AC131" s="20"/>
      <c r="AD131" s="20"/>
      <c r="AE131" s="20"/>
      <c r="AF131" s="20"/>
      <c r="AG131" s="327" t="s">
        <v>1079</v>
      </c>
      <c r="AH131" s="327">
        <v>31</v>
      </c>
      <c r="AI131" s="327">
        <v>32</v>
      </c>
      <c r="AJ131" s="64"/>
      <c r="AK131" s="64"/>
      <c r="AL131" s="264"/>
      <c r="AM131" s="84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</row>
    <row r="132" spans="1:51" s="33" customFormat="1" ht="14.5" x14ac:dyDescent="0.35">
      <c r="A132" s="63" t="str">
        <f>A131</f>
        <v>BBD131</v>
      </c>
      <c r="B132" s="17" t="s">
        <v>2382</v>
      </c>
      <c r="C132" s="18" t="str">
        <f>+C131</f>
        <v>DIO1</v>
      </c>
      <c r="D132" s="18">
        <v>132</v>
      </c>
      <c r="E132" s="84">
        <f>+E131</f>
        <v>2</v>
      </c>
      <c r="F132" s="84">
        <f>+F131</f>
        <v>4</v>
      </c>
      <c r="G132" s="84">
        <v>0</v>
      </c>
      <c r="H132" s="200">
        <f>H128</f>
        <v>1</v>
      </c>
      <c r="I132" s="187">
        <f>+I131+1</f>
        <v>24</v>
      </c>
      <c r="J132" s="205"/>
      <c r="K132" s="79"/>
      <c r="L132" s="17" t="s">
        <v>323</v>
      </c>
      <c r="M132" s="18">
        <v>3</v>
      </c>
      <c r="N132" s="18" t="s">
        <v>2415</v>
      </c>
      <c r="O132" s="17" t="s">
        <v>1208</v>
      </c>
      <c r="P132" s="18" t="s">
        <v>2414</v>
      </c>
      <c r="Q132" s="68" t="s">
        <v>2344</v>
      </c>
      <c r="R132" s="17" t="s">
        <v>922</v>
      </c>
      <c r="S132" s="17"/>
      <c r="T132" s="68" t="s">
        <v>2289</v>
      </c>
      <c r="U132" s="17"/>
      <c r="V132" s="17" t="str">
        <f>+CONCATENATE(E132,".",F132,"\",G132,".",H132,":",I132)</f>
        <v>2.4\0.1:24</v>
      </c>
      <c r="W132" s="17" t="s">
        <v>2413</v>
      </c>
      <c r="X132" s="221">
        <v>0</v>
      </c>
      <c r="Y132" s="20" t="s">
        <v>2537</v>
      </c>
      <c r="Z132" s="20" t="s">
        <v>1159</v>
      </c>
      <c r="AA132" s="20"/>
      <c r="AB132" s="20"/>
      <c r="AC132" s="20"/>
      <c r="AD132" s="20"/>
      <c r="AE132" s="20"/>
      <c r="AF132" s="20"/>
      <c r="AG132" s="327" t="s">
        <v>1079</v>
      </c>
      <c r="AH132" s="327">
        <v>33</v>
      </c>
      <c r="AI132" s="327">
        <v>34</v>
      </c>
      <c r="AJ132" s="64"/>
      <c r="AK132" s="64"/>
      <c r="AL132" s="264"/>
      <c r="AM132" s="84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</row>
    <row r="133" spans="1:51" s="33" customFormat="1" ht="14.5" x14ac:dyDescent="0.35">
      <c r="A133" s="63" t="str">
        <f>A132</f>
        <v>BBD131</v>
      </c>
      <c r="B133" s="17" t="s">
        <v>2382</v>
      </c>
      <c r="C133" s="18" t="str">
        <f>+C132</f>
        <v>DIO1</v>
      </c>
      <c r="D133" s="18">
        <v>132</v>
      </c>
      <c r="E133" s="84">
        <f>+E132</f>
        <v>2</v>
      </c>
      <c r="F133" s="84">
        <f>+F132</f>
        <v>4</v>
      </c>
      <c r="G133" s="84">
        <v>0</v>
      </c>
      <c r="H133" s="200">
        <f>H129</f>
        <v>1</v>
      </c>
      <c r="I133" s="187">
        <f>+I132+1</f>
        <v>25</v>
      </c>
      <c r="J133" s="205"/>
      <c r="K133" s="79"/>
      <c r="L133" s="17" t="s">
        <v>323</v>
      </c>
      <c r="M133" s="18">
        <v>5</v>
      </c>
      <c r="N133" s="59" t="s">
        <v>2536</v>
      </c>
      <c r="O133" s="332" t="s">
        <v>570</v>
      </c>
      <c r="P133" s="59" t="s">
        <v>2406</v>
      </c>
      <c r="Q133" s="335" t="s">
        <v>2535</v>
      </c>
      <c r="R133" s="332" t="s">
        <v>211</v>
      </c>
      <c r="S133" s="332"/>
      <c r="T133" s="335" t="s">
        <v>2390</v>
      </c>
      <c r="U133" s="17"/>
      <c r="V133" s="17" t="str">
        <f>+CONCATENATE(E133,".",F133,"\",G133,".",H133,":",I133)</f>
        <v>2.4\0.1:25</v>
      </c>
      <c r="W133" s="17" t="s">
        <v>2532</v>
      </c>
      <c r="X133" s="17">
        <v>0</v>
      </c>
      <c r="Y133" s="332" t="s">
        <v>2524</v>
      </c>
      <c r="Z133" s="20" t="s">
        <v>1159</v>
      </c>
      <c r="AA133" s="20"/>
      <c r="AB133" s="20"/>
      <c r="AC133" s="20"/>
      <c r="AD133" s="20"/>
      <c r="AE133" s="20"/>
      <c r="AF133" s="20"/>
      <c r="AG133" s="327" t="s">
        <v>1079</v>
      </c>
      <c r="AH133" s="327">
        <v>35</v>
      </c>
      <c r="AI133" s="327">
        <v>36</v>
      </c>
      <c r="AJ133" s="64"/>
      <c r="AK133" s="64"/>
      <c r="AL133" s="264"/>
      <c r="AM133" s="84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</row>
    <row r="134" spans="1:51" s="33" customFormat="1" ht="14.5" x14ac:dyDescent="0.35">
      <c r="A134" s="63" t="str">
        <f>A133</f>
        <v>BBD131</v>
      </c>
      <c r="B134" s="17" t="s">
        <v>2382</v>
      </c>
      <c r="C134" s="18" t="str">
        <f>+C133</f>
        <v>DIO1</v>
      </c>
      <c r="D134" s="18">
        <v>132</v>
      </c>
      <c r="E134" s="84">
        <f>+E133</f>
        <v>2</v>
      </c>
      <c r="F134" s="84">
        <f>+F133</f>
        <v>4</v>
      </c>
      <c r="G134" s="84">
        <v>0</v>
      </c>
      <c r="H134" s="200">
        <f>H130</f>
        <v>1</v>
      </c>
      <c r="I134" s="187">
        <f>+I133+1</f>
        <v>26</v>
      </c>
      <c r="J134" s="205"/>
      <c r="K134" s="79"/>
      <c r="L134" s="17" t="s">
        <v>323</v>
      </c>
      <c r="M134" s="18">
        <v>3</v>
      </c>
      <c r="N134" s="59" t="s">
        <v>2534</v>
      </c>
      <c r="O134" s="332" t="s">
        <v>567</v>
      </c>
      <c r="P134" s="59" t="s">
        <v>2406</v>
      </c>
      <c r="Q134" s="332" t="s">
        <v>2533</v>
      </c>
      <c r="R134" s="332" t="s">
        <v>211</v>
      </c>
      <c r="S134" s="332"/>
      <c r="T134" s="332" t="s">
        <v>2390</v>
      </c>
      <c r="U134" s="17"/>
      <c r="V134" s="17" t="str">
        <f>+CONCATENATE(E134,".",F134,"\",G134,".",H134,":",I134)</f>
        <v>2.4\0.1:26</v>
      </c>
      <c r="W134" s="17" t="s">
        <v>2532</v>
      </c>
      <c r="X134" s="17"/>
      <c r="Y134" s="332" t="s">
        <v>2524</v>
      </c>
      <c r="Z134" s="20" t="s">
        <v>1159</v>
      </c>
      <c r="AA134" s="20"/>
      <c r="AB134" s="20"/>
      <c r="AC134" s="20"/>
      <c r="AD134" s="20"/>
      <c r="AE134" s="20"/>
      <c r="AF134" s="20"/>
      <c r="AG134" s="327" t="s">
        <v>1079</v>
      </c>
      <c r="AH134" s="327">
        <v>37</v>
      </c>
      <c r="AI134" s="327">
        <v>38</v>
      </c>
      <c r="AJ134" s="64"/>
      <c r="AK134" s="64"/>
      <c r="AL134" s="264"/>
      <c r="AM134" s="84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</row>
    <row r="135" spans="1:51" s="33" customFormat="1" ht="14.5" x14ac:dyDescent="0.35">
      <c r="A135" s="63" t="str">
        <f>A134</f>
        <v>BBD131</v>
      </c>
      <c r="B135" s="17" t="s">
        <v>2382</v>
      </c>
      <c r="C135" s="18" t="str">
        <f>+C134</f>
        <v>DIO1</v>
      </c>
      <c r="D135" s="18">
        <v>132</v>
      </c>
      <c r="E135" s="84">
        <f>+E134</f>
        <v>2</v>
      </c>
      <c r="F135" s="84">
        <f>+F134</f>
        <v>4</v>
      </c>
      <c r="G135" s="84">
        <v>0</v>
      </c>
      <c r="H135" s="200">
        <f>H131</f>
        <v>1</v>
      </c>
      <c r="I135" s="187">
        <f>+I134+1</f>
        <v>27</v>
      </c>
      <c r="J135" s="205"/>
      <c r="K135" s="79"/>
      <c r="L135" s="17" t="s">
        <v>323</v>
      </c>
      <c r="M135" s="18">
        <v>5</v>
      </c>
      <c r="N135" s="306"/>
      <c r="O135" s="336"/>
      <c r="P135" s="306"/>
      <c r="Q135" s="338"/>
      <c r="R135" s="337"/>
      <c r="S135" s="336"/>
      <c r="T135" s="336"/>
      <c r="U135" s="17"/>
      <c r="V135" s="17" t="str">
        <f>+CONCATENATE(E135,".",F135,"\",G135,".",H135,":",I135)</f>
        <v>2.4\0.1:27</v>
      </c>
      <c r="W135" s="17"/>
      <c r="X135" s="17"/>
      <c r="Y135" s="20" t="s">
        <v>2531</v>
      </c>
      <c r="Z135" s="20" t="s">
        <v>1159</v>
      </c>
      <c r="AA135" s="20"/>
      <c r="AB135" s="20"/>
      <c r="AC135" s="20"/>
      <c r="AD135" s="20"/>
      <c r="AE135" s="20"/>
      <c r="AF135" s="20"/>
      <c r="AG135" s="327" t="s">
        <v>1079</v>
      </c>
      <c r="AH135" s="327">
        <v>39</v>
      </c>
      <c r="AI135" s="327">
        <v>40</v>
      </c>
      <c r="AJ135" s="64"/>
      <c r="AK135" s="64"/>
      <c r="AL135" s="264"/>
      <c r="AM135" s="84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</row>
    <row r="136" spans="1:51" s="33" customFormat="1" ht="14.5" x14ac:dyDescent="0.35">
      <c r="A136" s="63" t="str">
        <f>A135</f>
        <v>BBD131</v>
      </c>
      <c r="B136" s="17" t="s">
        <v>2382</v>
      </c>
      <c r="C136" s="18" t="str">
        <f>+C135</f>
        <v>DIO1</v>
      </c>
      <c r="D136" s="18">
        <v>132</v>
      </c>
      <c r="E136" s="84">
        <f>+E135</f>
        <v>2</v>
      </c>
      <c r="F136" s="84">
        <f>+F135</f>
        <v>4</v>
      </c>
      <c r="G136" s="84">
        <v>0</v>
      </c>
      <c r="H136" s="200">
        <f>H132</f>
        <v>1</v>
      </c>
      <c r="I136" s="187">
        <f>+I135+1</f>
        <v>28</v>
      </c>
      <c r="J136" s="205"/>
      <c r="K136" s="79"/>
      <c r="L136" s="17" t="s">
        <v>323</v>
      </c>
      <c r="M136" s="18">
        <v>3</v>
      </c>
      <c r="N136" s="59" t="s">
        <v>2530</v>
      </c>
      <c r="O136" s="332" t="s">
        <v>2353</v>
      </c>
      <c r="P136" s="59" t="s">
        <v>2406</v>
      </c>
      <c r="Q136" s="335" t="s">
        <v>2529</v>
      </c>
      <c r="R136" s="332" t="s">
        <v>211</v>
      </c>
      <c r="S136" s="332"/>
      <c r="T136" s="332" t="s">
        <v>2390</v>
      </c>
      <c r="U136" s="17"/>
      <c r="V136" s="17" t="str">
        <f>+CONCATENATE(E136,".",F136,"\",G136,".",H136,":",I136)</f>
        <v>2.4\0.1:28</v>
      </c>
      <c r="W136" s="332" t="s">
        <v>2377</v>
      </c>
      <c r="X136" s="332">
        <v>0</v>
      </c>
      <c r="Y136" s="20"/>
      <c r="Z136" s="20" t="s">
        <v>1159</v>
      </c>
      <c r="AA136" s="20"/>
      <c r="AB136" s="20"/>
      <c r="AC136" s="20"/>
      <c r="AD136" s="20"/>
      <c r="AE136" s="20"/>
      <c r="AF136" s="20"/>
      <c r="AG136" s="327" t="s">
        <v>1079</v>
      </c>
      <c r="AH136" s="327">
        <v>41</v>
      </c>
      <c r="AI136" s="327">
        <v>42</v>
      </c>
      <c r="AJ136" s="64"/>
      <c r="AK136" s="64"/>
      <c r="AL136" s="264"/>
      <c r="AM136" s="84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</row>
    <row r="137" spans="1:51" s="33" customFormat="1" ht="14.5" x14ac:dyDescent="0.35">
      <c r="A137" s="63" t="str">
        <f>A136</f>
        <v>BBD131</v>
      </c>
      <c r="B137" s="17" t="s">
        <v>2382</v>
      </c>
      <c r="C137" s="18" t="str">
        <f>+C136</f>
        <v>DIO1</v>
      </c>
      <c r="D137" s="18">
        <v>132</v>
      </c>
      <c r="E137" s="84">
        <f>+E136</f>
        <v>2</v>
      </c>
      <c r="F137" s="84">
        <f>+F136</f>
        <v>4</v>
      </c>
      <c r="G137" s="84">
        <v>0</v>
      </c>
      <c r="H137" s="200">
        <f>H133</f>
        <v>1</v>
      </c>
      <c r="I137" s="187">
        <f>+I136+1</f>
        <v>29</v>
      </c>
      <c r="J137" s="205"/>
      <c r="K137" s="79"/>
      <c r="L137" s="17" t="s">
        <v>323</v>
      </c>
      <c r="M137" s="18">
        <v>2</v>
      </c>
      <c r="N137" s="59" t="s">
        <v>2528</v>
      </c>
      <c r="O137" s="332" t="s">
        <v>939</v>
      </c>
      <c r="P137" s="59" t="s">
        <v>2406</v>
      </c>
      <c r="Q137" s="335" t="s">
        <v>2527</v>
      </c>
      <c r="R137" s="332" t="s">
        <v>2526</v>
      </c>
      <c r="S137" s="332"/>
      <c r="T137" s="332" t="s">
        <v>2390</v>
      </c>
      <c r="U137" s="17"/>
      <c r="V137" s="17" t="str">
        <f>+CONCATENATE(E137,".",F137,"\",G137,".",H137,":",I137)</f>
        <v>2.4\0.1:29</v>
      </c>
      <c r="W137" s="17" t="s">
        <v>2525</v>
      </c>
      <c r="X137" s="332">
        <v>0</v>
      </c>
      <c r="Y137" s="332" t="s">
        <v>2524</v>
      </c>
      <c r="Z137" s="20" t="s">
        <v>1159</v>
      </c>
      <c r="AA137" s="20"/>
      <c r="AB137" s="20"/>
      <c r="AC137" s="20"/>
      <c r="AD137" s="20"/>
      <c r="AE137" s="20"/>
      <c r="AF137" s="20"/>
      <c r="AG137" s="327" t="s">
        <v>1079</v>
      </c>
      <c r="AH137" s="327">
        <v>43</v>
      </c>
      <c r="AI137" s="327">
        <v>44</v>
      </c>
      <c r="AJ137" s="64"/>
      <c r="AK137" s="64"/>
      <c r="AL137" s="264"/>
      <c r="AM137" s="84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</row>
    <row r="138" spans="1:51" s="33" customFormat="1" ht="14.5" x14ac:dyDescent="0.35">
      <c r="A138" s="63" t="str">
        <f>A137</f>
        <v>BBD131</v>
      </c>
      <c r="B138" s="17" t="s">
        <v>2382</v>
      </c>
      <c r="C138" s="18" t="str">
        <f>+C137</f>
        <v>DIO1</v>
      </c>
      <c r="D138" s="18">
        <v>132</v>
      </c>
      <c r="E138" s="84">
        <f>+E137</f>
        <v>2</v>
      </c>
      <c r="F138" s="84">
        <f>+F137</f>
        <v>4</v>
      </c>
      <c r="G138" s="84">
        <v>0</v>
      </c>
      <c r="H138" s="200">
        <f>H134</f>
        <v>1</v>
      </c>
      <c r="I138" s="187">
        <f>+I137+1</f>
        <v>30</v>
      </c>
      <c r="J138" s="205"/>
      <c r="K138" s="79"/>
      <c r="L138" s="17" t="s">
        <v>323</v>
      </c>
      <c r="M138" s="18"/>
      <c r="N138" s="18"/>
      <c r="O138" s="17"/>
      <c r="P138" s="18"/>
      <c r="Q138" s="206"/>
      <c r="R138" s="17"/>
      <c r="S138" s="17"/>
      <c r="T138" s="17"/>
      <c r="U138" s="17"/>
      <c r="V138" s="17" t="str">
        <f>+CONCATENATE(E138,".",F138,"\",G138,".",H138,":",I138)</f>
        <v>2.4\0.1:30</v>
      </c>
      <c r="W138" s="17"/>
      <c r="X138" s="17"/>
      <c r="Y138" s="20"/>
      <c r="Z138" s="20" t="s">
        <v>1159</v>
      </c>
      <c r="AA138" s="20"/>
      <c r="AB138" s="20"/>
      <c r="AC138" s="20"/>
      <c r="AD138" s="20"/>
      <c r="AE138" s="20"/>
      <c r="AF138" s="20"/>
      <c r="AG138" s="327" t="s">
        <v>1079</v>
      </c>
      <c r="AH138" s="327">
        <v>45</v>
      </c>
      <c r="AI138" s="327">
        <v>46</v>
      </c>
      <c r="AJ138" s="64"/>
      <c r="AK138" s="64"/>
      <c r="AL138" s="264"/>
      <c r="AM138" s="84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</row>
    <row r="139" spans="1:51" s="33" customFormat="1" ht="15" thickBot="1" x14ac:dyDescent="0.4">
      <c r="A139" s="63" t="str">
        <f>A138</f>
        <v>BBD131</v>
      </c>
      <c r="B139" s="17" t="s">
        <v>2382</v>
      </c>
      <c r="C139" s="18" t="str">
        <f>+C138</f>
        <v>DIO1</v>
      </c>
      <c r="D139" s="18">
        <v>132</v>
      </c>
      <c r="E139" s="84">
        <f>+E138</f>
        <v>2</v>
      </c>
      <c r="F139" s="84">
        <f>+F138</f>
        <v>4</v>
      </c>
      <c r="G139" s="84">
        <v>0</v>
      </c>
      <c r="H139" s="200">
        <f>H135</f>
        <v>1</v>
      </c>
      <c r="I139" s="191">
        <f>+I138+1</f>
        <v>31</v>
      </c>
      <c r="J139" s="203"/>
      <c r="K139" s="79"/>
      <c r="L139" s="17" t="s">
        <v>323</v>
      </c>
      <c r="M139" s="18"/>
      <c r="N139" s="18"/>
      <c r="O139" s="18"/>
      <c r="P139" s="18"/>
      <c r="Q139" s="17"/>
      <c r="R139" s="17"/>
      <c r="S139" s="18"/>
      <c r="T139" s="17"/>
      <c r="U139" s="17"/>
      <c r="V139" s="17" t="str">
        <f>+CONCATENATE(E139,".",F139,"\",G139,".",H139,":",I139)</f>
        <v>2.4\0.1:31</v>
      </c>
      <c r="W139" s="17"/>
      <c r="X139" s="17"/>
      <c r="Y139" s="20"/>
      <c r="Z139" s="20" t="s">
        <v>1159</v>
      </c>
      <c r="AA139" s="20"/>
      <c r="AB139" s="20"/>
      <c r="AC139" s="20"/>
      <c r="AD139" s="20"/>
      <c r="AE139" s="20"/>
      <c r="AF139" s="20"/>
      <c r="AG139" s="327" t="s">
        <v>1079</v>
      </c>
      <c r="AH139" s="327">
        <v>47</v>
      </c>
      <c r="AI139" s="327">
        <v>48</v>
      </c>
      <c r="AJ139" s="64"/>
      <c r="AK139" s="64"/>
      <c r="AL139" s="264"/>
      <c r="AM139" s="84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</row>
    <row r="140" spans="1:51" s="33" customFormat="1" ht="14.5" x14ac:dyDescent="0.35">
      <c r="A140" s="268" t="s">
        <v>2289</v>
      </c>
      <c r="B140" s="17" t="s">
        <v>2382</v>
      </c>
      <c r="C140" s="18" t="str">
        <f>+C139</f>
        <v>DIO1</v>
      </c>
      <c r="D140" s="18">
        <v>132</v>
      </c>
      <c r="E140" s="84">
        <f>+E139</f>
        <v>2</v>
      </c>
      <c r="F140" s="84">
        <f>+F139</f>
        <v>4</v>
      </c>
      <c r="G140" s="84">
        <v>0</v>
      </c>
      <c r="H140" s="202">
        <f>+H124+1</f>
        <v>2</v>
      </c>
      <c r="I140" s="188">
        <v>0</v>
      </c>
      <c r="J140" s="279" t="s">
        <v>767</v>
      </c>
      <c r="K140" s="18" t="s">
        <v>766</v>
      </c>
      <c r="L140" s="17" t="s">
        <v>323</v>
      </c>
      <c r="M140" s="18">
        <v>4</v>
      </c>
      <c r="N140" s="17" t="s">
        <v>2389</v>
      </c>
      <c r="O140" s="18" t="s">
        <v>1242</v>
      </c>
      <c r="P140" s="18" t="s">
        <v>2401</v>
      </c>
      <c r="Q140" s="17" t="s">
        <v>2364</v>
      </c>
      <c r="R140" s="17" t="s">
        <v>299</v>
      </c>
      <c r="S140" s="18"/>
      <c r="T140" s="17" t="s">
        <v>111</v>
      </c>
      <c r="U140" s="17"/>
      <c r="V140" s="17" t="str">
        <f>+CONCATENATE(E140,".",F140,"\",G140,".",H140,":",I140)</f>
        <v>2.4\0.2:0</v>
      </c>
      <c r="W140" s="17" t="s">
        <v>2377</v>
      </c>
      <c r="X140" s="17">
        <v>0</v>
      </c>
      <c r="Y140" s="20"/>
      <c r="Z140" s="20" t="s">
        <v>1159</v>
      </c>
      <c r="AA140" s="20"/>
      <c r="AB140" s="20"/>
      <c r="AC140" s="20"/>
      <c r="AD140" s="20"/>
      <c r="AE140" s="20"/>
      <c r="AF140" s="20"/>
      <c r="AG140" s="327" t="s">
        <v>1045</v>
      </c>
      <c r="AH140" s="327">
        <v>1</v>
      </c>
      <c r="AI140" s="327">
        <v>2</v>
      </c>
      <c r="AJ140" s="64"/>
      <c r="AK140" s="64"/>
      <c r="AL140" s="264"/>
      <c r="AM140" s="84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</row>
    <row r="141" spans="1:51" s="33" customFormat="1" ht="14.5" x14ac:dyDescent="0.35">
      <c r="A141" s="63" t="str">
        <f>A140</f>
        <v>BBD131</v>
      </c>
      <c r="B141" s="17" t="s">
        <v>2382</v>
      </c>
      <c r="C141" s="18" t="str">
        <f>+C140</f>
        <v>DIO1</v>
      </c>
      <c r="D141" s="18">
        <v>132</v>
      </c>
      <c r="E141" s="84">
        <f>+E140</f>
        <v>2</v>
      </c>
      <c r="F141" s="84">
        <f>+F140</f>
        <v>4</v>
      </c>
      <c r="G141" s="84">
        <v>0</v>
      </c>
      <c r="H141" s="200">
        <f>H140</f>
        <v>2</v>
      </c>
      <c r="I141" s="187">
        <f>+I140+1</f>
        <v>1</v>
      </c>
      <c r="J141" s="205"/>
      <c r="K141" s="17"/>
      <c r="L141" s="17" t="s">
        <v>323</v>
      </c>
      <c r="M141" s="18">
        <v>4</v>
      </c>
      <c r="N141" s="18" t="s">
        <v>2389</v>
      </c>
      <c r="O141" s="17" t="s">
        <v>2523</v>
      </c>
      <c r="P141" s="18" t="s">
        <v>2401</v>
      </c>
      <c r="Q141" s="17" t="s">
        <v>2522</v>
      </c>
      <c r="R141" s="17" t="s">
        <v>299</v>
      </c>
      <c r="S141" s="18"/>
      <c r="T141" s="17" t="s">
        <v>111</v>
      </c>
      <c r="U141" s="17"/>
      <c r="V141" s="17" t="str">
        <f>+CONCATENATE(E141,".",F141,"\",G141,".",H141,":",I141)</f>
        <v>2.4\0.2:1</v>
      </c>
      <c r="W141" s="17" t="s">
        <v>2377</v>
      </c>
      <c r="X141" s="17">
        <v>0</v>
      </c>
      <c r="Y141" s="20"/>
      <c r="Z141" s="20" t="s">
        <v>1159</v>
      </c>
      <c r="AA141" s="20"/>
      <c r="AB141" s="20"/>
      <c r="AC141" s="20"/>
      <c r="AD141" s="20"/>
      <c r="AE141" s="20"/>
      <c r="AF141" s="20"/>
      <c r="AG141" s="327" t="s">
        <v>1045</v>
      </c>
      <c r="AH141" s="327">
        <v>3</v>
      </c>
      <c r="AI141" s="327">
        <v>4</v>
      </c>
      <c r="AJ141" s="64"/>
      <c r="AK141" s="64"/>
      <c r="AL141" s="264"/>
      <c r="AM141" s="84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</row>
    <row r="142" spans="1:51" s="33" customFormat="1" ht="14.5" x14ac:dyDescent="0.35">
      <c r="A142" s="63" t="str">
        <f>A141</f>
        <v>BBD131</v>
      </c>
      <c r="B142" s="17" t="s">
        <v>2382</v>
      </c>
      <c r="C142" s="18" t="str">
        <f>+C141</f>
        <v>DIO1</v>
      </c>
      <c r="D142" s="18">
        <v>132</v>
      </c>
      <c r="E142" s="84">
        <f>+E141</f>
        <v>2</v>
      </c>
      <c r="F142" s="84">
        <f>+F141</f>
        <v>4</v>
      </c>
      <c r="G142" s="84">
        <v>0</v>
      </c>
      <c r="H142" s="200">
        <f>H140</f>
        <v>2</v>
      </c>
      <c r="I142" s="187">
        <f>+I141+1</f>
        <v>2</v>
      </c>
      <c r="J142" s="205"/>
      <c r="K142" s="79"/>
      <c r="L142" s="17" t="s">
        <v>323</v>
      </c>
      <c r="M142" s="18">
        <v>4</v>
      </c>
      <c r="N142" s="18" t="s">
        <v>2389</v>
      </c>
      <c r="O142" s="17" t="s">
        <v>1239</v>
      </c>
      <c r="P142" s="18" t="s">
        <v>2401</v>
      </c>
      <c r="Q142" s="17" t="s">
        <v>2126</v>
      </c>
      <c r="R142" s="17" t="s">
        <v>299</v>
      </c>
      <c r="S142" s="17"/>
      <c r="T142" s="17" t="s">
        <v>111</v>
      </c>
      <c r="U142" s="17"/>
      <c r="V142" s="17" t="str">
        <f>+CONCATENATE(E142,".",F142,"\",G142,".",H142,":",I142)</f>
        <v>2.4\0.2:2</v>
      </c>
      <c r="W142" s="17" t="s">
        <v>2377</v>
      </c>
      <c r="X142" s="17">
        <v>0</v>
      </c>
      <c r="Y142" s="20"/>
      <c r="Z142" s="20" t="s">
        <v>1159</v>
      </c>
      <c r="AA142" s="20"/>
      <c r="AB142" s="20"/>
      <c r="AC142" s="20"/>
      <c r="AD142" s="20"/>
      <c r="AE142" s="20"/>
      <c r="AF142" s="20"/>
      <c r="AG142" s="327" t="s">
        <v>1045</v>
      </c>
      <c r="AH142" s="327">
        <v>5</v>
      </c>
      <c r="AI142" s="327">
        <v>6</v>
      </c>
      <c r="AJ142" s="64"/>
      <c r="AK142" s="64"/>
      <c r="AL142" s="264"/>
      <c r="AM142" s="84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</row>
    <row r="143" spans="1:51" s="33" customFormat="1" ht="14.5" x14ac:dyDescent="0.35">
      <c r="A143" s="63" t="str">
        <f>A142</f>
        <v>BBD131</v>
      </c>
      <c r="B143" s="17" t="s">
        <v>2382</v>
      </c>
      <c r="C143" s="18" t="str">
        <f>+C142</f>
        <v>DIO1</v>
      </c>
      <c r="D143" s="18">
        <v>132</v>
      </c>
      <c r="E143" s="84">
        <f>+E142</f>
        <v>2</v>
      </c>
      <c r="F143" s="84">
        <f>+F142</f>
        <v>4</v>
      </c>
      <c r="G143" s="84">
        <v>0</v>
      </c>
      <c r="H143" s="200">
        <f>H140</f>
        <v>2</v>
      </c>
      <c r="I143" s="187">
        <f>+I142+1</f>
        <v>3</v>
      </c>
      <c r="J143" s="205"/>
      <c r="K143" s="79"/>
      <c r="L143" s="17" t="s">
        <v>323</v>
      </c>
      <c r="M143" s="18">
        <v>4</v>
      </c>
      <c r="N143" s="59" t="s">
        <v>2393</v>
      </c>
      <c r="O143" s="17" t="s">
        <v>1242</v>
      </c>
      <c r="P143" s="59" t="s">
        <v>2520</v>
      </c>
      <c r="Q143" s="17" t="s">
        <v>2521</v>
      </c>
      <c r="R143" s="17" t="s">
        <v>299</v>
      </c>
      <c r="S143" s="17"/>
      <c r="T143" s="17" t="s">
        <v>691</v>
      </c>
      <c r="U143" s="17"/>
      <c r="V143" s="17" t="str">
        <f>+CONCATENATE(E143,".",F143,"\",G143,".",H143,":",I143)</f>
        <v>2.4\0.2:3</v>
      </c>
      <c r="W143" s="17" t="s">
        <v>690</v>
      </c>
      <c r="X143" s="332">
        <v>0</v>
      </c>
      <c r="Y143" s="20"/>
      <c r="Z143" s="20" t="s">
        <v>1159</v>
      </c>
      <c r="AA143" s="20"/>
      <c r="AB143" s="20"/>
      <c r="AC143" s="20"/>
      <c r="AD143" s="20"/>
      <c r="AE143" s="20"/>
      <c r="AF143" s="20"/>
      <c r="AG143" s="327" t="s">
        <v>1045</v>
      </c>
      <c r="AH143" s="327">
        <v>7</v>
      </c>
      <c r="AI143" s="327">
        <v>8</v>
      </c>
      <c r="AJ143" s="64"/>
      <c r="AK143" s="64"/>
      <c r="AL143" s="264"/>
      <c r="AM143" s="84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</row>
    <row r="144" spans="1:51" s="33" customFormat="1" ht="14.5" x14ac:dyDescent="0.35">
      <c r="A144" s="63" t="str">
        <f>A143</f>
        <v>BBD131</v>
      </c>
      <c r="B144" s="17" t="s">
        <v>2382</v>
      </c>
      <c r="C144" s="18" t="str">
        <f>+C143</f>
        <v>DIO1</v>
      </c>
      <c r="D144" s="18">
        <v>132</v>
      </c>
      <c r="E144" s="84">
        <f>+E143</f>
        <v>2</v>
      </c>
      <c r="F144" s="84">
        <f>+F143</f>
        <v>4</v>
      </c>
      <c r="G144" s="84">
        <v>0</v>
      </c>
      <c r="H144" s="200">
        <f>H141</f>
        <v>2</v>
      </c>
      <c r="I144" s="187">
        <f>+I143+1</f>
        <v>4</v>
      </c>
      <c r="J144" s="205"/>
      <c r="K144" s="79"/>
      <c r="L144" s="17" t="s">
        <v>323</v>
      </c>
      <c r="M144" s="18">
        <v>4</v>
      </c>
      <c r="N144" s="59" t="s">
        <v>2393</v>
      </c>
      <c r="O144" s="17" t="s">
        <v>1239</v>
      </c>
      <c r="P144" s="59" t="s">
        <v>2520</v>
      </c>
      <c r="Q144" s="17" t="s">
        <v>2519</v>
      </c>
      <c r="R144" s="17" t="s">
        <v>299</v>
      </c>
      <c r="S144" s="17"/>
      <c r="T144" s="17" t="s">
        <v>691</v>
      </c>
      <c r="U144" s="17"/>
      <c r="V144" s="17" t="str">
        <f>+CONCATENATE(E144,".",F144,"\",G144,".",H144,":",I144)</f>
        <v>2.4\0.2:4</v>
      </c>
      <c r="W144" s="17" t="s">
        <v>690</v>
      </c>
      <c r="X144" s="332">
        <v>0</v>
      </c>
      <c r="Y144" s="20"/>
      <c r="Z144" s="20" t="s">
        <v>1159</v>
      </c>
      <c r="AA144" s="20"/>
      <c r="AB144" s="20"/>
      <c r="AC144" s="20"/>
      <c r="AD144" s="20"/>
      <c r="AE144" s="20"/>
      <c r="AF144" s="20"/>
      <c r="AG144" s="327" t="s">
        <v>1045</v>
      </c>
      <c r="AH144" s="327">
        <v>9</v>
      </c>
      <c r="AI144" s="327">
        <v>10</v>
      </c>
      <c r="AJ144" s="64"/>
      <c r="AK144" s="64"/>
      <c r="AL144" s="264"/>
      <c r="AM144" s="84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</row>
    <row r="145" spans="1:51" s="33" customFormat="1" ht="14.5" x14ac:dyDescent="0.35">
      <c r="A145" s="63" t="str">
        <f>A144</f>
        <v>BBD131</v>
      </c>
      <c r="B145" s="17" t="s">
        <v>2382</v>
      </c>
      <c r="C145" s="18" t="str">
        <f>+C144</f>
        <v>DIO1</v>
      </c>
      <c r="D145" s="18">
        <v>132</v>
      </c>
      <c r="E145" s="84">
        <f>+E144</f>
        <v>2</v>
      </c>
      <c r="F145" s="84">
        <f>+F144</f>
        <v>4</v>
      </c>
      <c r="G145" s="84">
        <v>0</v>
      </c>
      <c r="H145" s="200">
        <f>H142</f>
        <v>2</v>
      </c>
      <c r="I145" s="187">
        <f>+I144+1</f>
        <v>5</v>
      </c>
      <c r="J145" s="205"/>
      <c r="K145" s="79"/>
      <c r="L145" s="17" t="s">
        <v>323</v>
      </c>
      <c r="M145" s="18">
        <v>4</v>
      </c>
      <c r="N145" s="59" t="s">
        <v>2393</v>
      </c>
      <c r="O145" s="17" t="s">
        <v>2104</v>
      </c>
      <c r="P145" s="59" t="s">
        <v>2517</v>
      </c>
      <c r="Q145" s="17" t="s">
        <v>2518</v>
      </c>
      <c r="R145" s="17" t="s">
        <v>299</v>
      </c>
      <c r="S145" s="17"/>
      <c r="T145" s="17" t="s">
        <v>680</v>
      </c>
      <c r="U145" s="17"/>
      <c r="V145" s="17" t="str">
        <f>+CONCATENATE(E145,".",F145,"\",G145,".",H145,":",I145)</f>
        <v>2.4\0.2:5</v>
      </c>
      <c r="W145" s="17" t="s">
        <v>679</v>
      </c>
      <c r="X145" s="332">
        <v>0</v>
      </c>
      <c r="Y145" s="20"/>
      <c r="Z145" s="20" t="s">
        <v>1159</v>
      </c>
      <c r="AA145" s="20"/>
      <c r="AB145" s="20"/>
      <c r="AC145" s="20"/>
      <c r="AD145" s="20"/>
      <c r="AE145" s="20"/>
      <c r="AF145" s="20"/>
      <c r="AG145" s="327" t="s">
        <v>1045</v>
      </c>
      <c r="AH145" s="327">
        <v>11</v>
      </c>
      <c r="AI145" s="327">
        <v>12</v>
      </c>
      <c r="AJ145" s="64"/>
      <c r="AK145" s="64"/>
      <c r="AL145" s="264"/>
      <c r="AM145" s="84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</row>
    <row r="146" spans="1:51" s="33" customFormat="1" ht="14.5" x14ac:dyDescent="0.35">
      <c r="A146" s="63" t="str">
        <f>A145</f>
        <v>BBD131</v>
      </c>
      <c r="B146" s="17" t="s">
        <v>2382</v>
      </c>
      <c r="C146" s="18" t="str">
        <f>+C145</f>
        <v>DIO1</v>
      </c>
      <c r="D146" s="18">
        <v>132</v>
      </c>
      <c r="E146" s="84">
        <f>+E145</f>
        <v>2</v>
      </c>
      <c r="F146" s="84">
        <f>+F145</f>
        <v>4</v>
      </c>
      <c r="G146" s="84">
        <v>0</v>
      </c>
      <c r="H146" s="200">
        <f>H143</f>
        <v>2</v>
      </c>
      <c r="I146" s="187">
        <f>+I145+1</f>
        <v>6</v>
      </c>
      <c r="J146" s="205"/>
      <c r="K146" s="79"/>
      <c r="L146" s="17" t="s">
        <v>323</v>
      </c>
      <c r="M146" s="18">
        <v>4</v>
      </c>
      <c r="N146" s="59" t="s">
        <v>2393</v>
      </c>
      <c r="O146" s="17" t="s">
        <v>2101</v>
      </c>
      <c r="P146" s="59" t="s">
        <v>2517</v>
      </c>
      <c r="Q146" s="17" t="s">
        <v>2516</v>
      </c>
      <c r="R146" s="17" t="s">
        <v>299</v>
      </c>
      <c r="S146" s="17"/>
      <c r="T146" s="17" t="s">
        <v>680</v>
      </c>
      <c r="U146" s="17"/>
      <c r="V146" s="17" t="str">
        <f>+CONCATENATE(E146,".",F146,"\",G146,".",H146,":",I146)</f>
        <v>2.4\0.2:6</v>
      </c>
      <c r="W146" s="17" t="s">
        <v>679</v>
      </c>
      <c r="X146" s="332">
        <v>0</v>
      </c>
      <c r="Y146" s="20"/>
      <c r="Z146" s="20" t="s">
        <v>1159</v>
      </c>
      <c r="AA146" s="20"/>
      <c r="AB146" s="20"/>
      <c r="AC146" s="20"/>
      <c r="AD146" s="20"/>
      <c r="AE146" s="20"/>
      <c r="AF146" s="20"/>
      <c r="AG146" s="327" t="s">
        <v>1045</v>
      </c>
      <c r="AH146" s="327">
        <v>13</v>
      </c>
      <c r="AI146" s="327">
        <v>14</v>
      </c>
      <c r="AJ146" s="64"/>
      <c r="AK146" s="64"/>
      <c r="AL146" s="264"/>
      <c r="AM146" s="84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</row>
    <row r="147" spans="1:51" s="33" customFormat="1" ht="14.5" x14ac:dyDescent="0.35">
      <c r="A147" s="63" t="str">
        <f>A146</f>
        <v>BBD131</v>
      </c>
      <c r="B147" s="17" t="s">
        <v>2382</v>
      </c>
      <c r="C147" s="18" t="str">
        <f>+C146</f>
        <v>DIO1</v>
      </c>
      <c r="D147" s="18">
        <v>132</v>
      </c>
      <c r="E147" s="84">
        <f>+E146</f>
        <v>2</v>
      </c>
      <c r="F147" s="84">
        <f>+F146</f>
        <v>4</v>
      </c>
      <c r="G147" s="84">
        <v>0</v>
      </c>
      <c r="H147" s="200">
        <f>H144</f>
        <v>2</v>
      </c>
      <c r="I147" s="187">
        <f>+I146+1</f>
        <v>7</v>
      </c>
      <c r="J147" s="205"/>
      <c r="K147" s="79"/>
      <c r="L147" s="17" t="s">
        <v>323</v>
      </c>
      <c r="M147" s="18">
        <v>6</v>
      </c>
      <c r="N147" s="59" t="s">
        <v>2397</v>
      </c>
      <c r="O147" s="17" t="s">
        <v>1242</v>
      </c>
      <c r="P147" s="59" t="s">
        <v>2514</v>
      </c>
      <c r="Q147" s="17" t="s">
        <v>2515</v>
      </c>
      <c r="R147" s="17" t="s">
        <v>299</v>
      </c>
      <c r="S147" s="17"/>
      <c r="T147" s="17" t="s">
        <v>106</v>
      </c>
      <c r="U147" s="17"/>
      <c r="V147" s="17" t="str">
        <f>+CONCATENATE(E147,".",F147,"\",G147,".",H147,":",I147)</f>
        <v>2.4\0.2:7</v>
      </c>
      <c r="W147" s="17" t="s">
        <v>678</v>
      </c>
      <c r="X147" s="332">
        <v>0</v>
      </c>
      <c r="Y147" s="20"/>
      <c r="Z147" s="20" t="s">
        <v>1159</v>
      </c>
      <c r="AA147" s="20"/>
      <c r="AB147" s="20"/>
      <c r="AC147" s="20"/>
      <c r="AD147" s="20"/>
      <c r="AE147" s="20"/>
      <c r="AF147" s="20"/>
      <c r="AG147" s="327" t="s">
        <v>1045</v>
      </c>
      <c r="AH147" s="327">
        <v>15</v>
      </c>
      <c r="AI147" s="327">
        <v>16</v>
      </c>
      <c r="AJ147" s="64"/>
      <c r="AK147" s="64"/>
      <c r="AL147" s="264"/>
      <c r="AM147" s="84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</row>
    <row r="148" spans="1:51" s="33" customFormat="1" ht="14.5" x14ac:dyDescent="0.35">
      <c r="A148" s="63" t="str">
        <f>A147</f>
        <v>BBD131</v>
      </c>
      <c r="B148" s="17" t="s">
        <v>2382</v>
      </c>
      <c r="C148" s="18" t="str">
        <f>+C147</f>
        <v>DIO1</v>
      </c>
      <c r="D148" s="18">
        <v>132</v>
      </c>
      <c r="E148" s="84">
        <f>+E147</f>
        <v>2</v>
      </c>
      <c r="F148" s="84">
        <f>+F147</f>
        <v>4</v>
      </c>
      <c r="G148" s="84">
        <v>0</v>
      </c>
      <c r="H148" s="200">
        <f>H145</f>
        <v>2</v>
      </c>
      <c r="I148" s="187">
        <f>+I147+1</f>
        <v>8</v>
      </c>
      <c r="J148" s="205"/>
      <c r="K148" s="79"/>
      <c r="L148" s="17" t="s">
        <v>323</v>
      </c>
      <c r="M148" s="18">
        <v>6</v>
      </c>
      <c r="N148" s="59" t="s">
        <v>2397</v>
      </c>
      <c r="O148" s="17" t="s">
        <v>1239</v>
      </c>
      <c r="P148" s="59" t="s">
        <v>2514</v>
      </c>
      <c r="Q148" s="17" t="s">
        <v>2513</v>
      </c>
      <c r="R148" s="17" t="s">
        <v>299</v>
      </c>
      <c r="S148" s="17"/>
      <c r="T148" s="17" t="s">
        <v>106</v>
      </c>
      <c r="U148" s="17"/>
      <c r="V148" s="17" t="str">
        <f>+CONCATENATE(E148,".",F148,"\",G148,".",H148,":",I148)</f>
        <v>2.4\0.2:8</v>
      </c>
      <c r="W148" s="17" t="s">
        <v>678</v>
      </c>
      <c r="X148" s="332">
        <v>0</v>
      </c>
      <c r="Y148" s="20"/>
      <c r="Z148" s="20" t="s">
        <v>1159</v>
      </c>
      <c r="AA148" s="20"/>
      <c r="AB148" s="20"/>
      <c r="AC148" s="20"/>
      <c r="AD148" s="20"/>
      <c r="AE148" s="20"/>
      <c r="AF148" s="20"/>
      <c r="AG148" s="327" t="s">
        <v>1045</v>
      </c>
      <c r="AH148" s="327">
        <v>17</v>
      </c>
      <c r="AI148" s="327">
        <v>18</v>
      </c>
      <c r="AJ148" s="64"/>
      <c r="AK148" s="64"/>
      <c r="AL148" s="264"/>
      <c r="AM148" s="84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</row>
    <row r="149" spans="1:51" s="33" customFormat="1" ht="14.5" x14ac:dyDescent="0.35">
      <c r="A149" s="63" t="str">
        <f>A148</f>
        <v>BBD131</v>
      </c>
      <c r="B149" s="17" t="s">
        <v>2382</v>
      </c>
      <c r="C149" s="18" t="str">
        <f>+C148</f>
        <v>DIO1</v>
      </c>
      <c r="D149" s="18">
        <v>132</v>
      </c>
      <c r="E149" s="84">
        <f>+E148</f>
        <v>2</v>
      </c>
      <c r="F149" s="84">
        <f>+F148</f>
        <v>4</v>
      </c>
      <c r="G149" s="84">
        <v>0</v>
      </c>
      <c r="H149" s="200">
        <f>H146</f>
        <v>2</v>
      </c>
      <c r="I149" s="187">
        <f>+I148+1</f>
        <v>9</v>
      </c>
      <c r="J149" s="205"/>
      <c r="K149" s="79"/>
      <c r="L149" s="17" t="s">
        <v>323</v>
      </c>
      <c r="M149" s="18">
        <v>4</v>
      </c>
      <c r="N149" s="59" t="s">
        <v>2386</v>
      </c>
      <c r="O149" s="17" t="s">
        <v>2385</v>
      </c>
      <c r="P149" s="59" t="s">
        <v>2401</v>
      </c>
      <c r="Q149" s="17" t="s">
        <v>2512</v>
      </c>
      <c r="R149" s="17" t="s">
        <v>211</v>
      </c>
      <c r="S149" s="17" t="s">
        <v>2383</v>
      </c>
      <c r="T149" s="18" t="s">
        <v>111</v>
      </c>
      <c r="U149" s="17"/>
      <c r="V149" s="17" t="str">
        <f>+CONCATENATE(E149,".",F149,"\",G149,".",H149,":",I149)</f>
        <v>2.4\0.2:9</v>
      </c>
      <c r="W149" s="17" t="s">
        <v>2377</v>
      </c>
      <c r="X149" s="17">
        <v>0</v>
      </c>
      <c r="Y149" s="20"/>
      <c r="Z149" s="20" t="s">
        <v>1159</v>
      </c>
      <c r="AA149" s="20"/>
      <c r="AB149" s="20"/>
      <c r="AC149" s="20"/>
      <c r="AD149" s="20"/>
      <c r="AE149" s="20"/>
      <c r="AF149" s="20"/>
      <c r="AG149" s="327" t="s">
        <v>1045</v>
      </c>
      <c r="AH149" s="327">
        <v>19</v>
      </c>
      <c r="AI149" s="327">
        <v>20</v>
      </c>
      <c r="AJ149" s="64"/>
      <c r="AK149" s="64"/>
      <c r="AL149" s="264"/>
      <c r="AM149" s="84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</row>
    <row r="150" spans="1:51" s="33" customFormat="1" ht="14.5" x14ac:dyDescent="0.35">
      <c r="A150" s="63" t="str">
        <f>A149</f>
        <v>BBD131</v>
      </c>
      <c r="B150" s="17" t="s">
        <v>2382</v>
      </c>
      <c r="C150" s="18" t="str">
        <f>+C149</f>
        <v>DIO1</v>
      </c>
      <c r="D150" s="18">
        <v>132</v>
      </c>
      <c r="E150" s="84">
        <f>+E149</f>
        <v>2</v>
      </c>
      <c r="F150" s="84">
        <f>+F149</f>
        <v>4</v>
      </c>
      <c r="G150" s="84">
        <v>0</v>
      </c>
      <c r="H150" s="200">
        <f>H147</f>
        <v>2</v>
      </c>
      <c r="I150" s="187">
        <f>+I149+1</f>
        <v>10</v>
      </c>
      <c r="J150" s="205"/>
      <c r="K150" s="79"/>
      <c r="L150" s="17" t="s">
        <v>323</v>
      </c>
      <c r="M150" s="18">
        <v>4</v>
      </c>
      <c r="N150" s="59" t="s">
        <v>2381</v>
      </c>
      <c r="O150" s="17" t="s">
        <v>2380</v>
      </c>
      <c r="P150" s="59" t="s">
        <v>2401</v>
      </c>
      <c r="Q150" s="17" t="s">
        <v>2512</v>
      </c>
      <c r="R150" s="17" t="s">
        <v>211</v>
      </c>
      <c r="S150" s="17" t="s">
        <v>2378</v>
      </c>
      <c r="T150" s="18" t="s">
        <v>111</v>
      </c>
      <c r="U150" s="17"/>
      <c r="V150" s="17" t="str">
        <f>+CONCATENATE(E150,".",F150,"\",G150,".",H150,":",I150)</f>
        <v>2.4\0.2:10</v>
      </c>
      <c r="W150" s="17" t="s">
        <v>2377</v>
      </c>
      <c r="X150" s="17">
        <v>0</v>
      </c>
      <c r="Y150" s="17"/>
      <c r="Z150" s="20" t="s">
        <v>1159</v>
      </c>
      <c r="AA150" s="17"/>
      <c r="AB150" s="20"/>
      <c r="AC150" s="20"/>
      <c r="AD150" s="20"/>
      <c r="AE150" s="20"/>
      <c r="AF150" s="20"/>
      <c r="AG150" s="327" t="s">
        <v>1045</v>
      </c>
      <c r="AH150" s="327">
        <v>21</v>
      </c>
      <c r="AI150" s="327">
        <v>22</v>
      </c>
      <c r="AJ150" s="64"/>
      <c r="AK150" s="64"/>
      <c r="AL150" s="264"/>
      <c r="AM150" s="84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</row>
    <row r="151" spans="1:51" s="33" customFormat="1" ht="14.5" x14ac:dyDescent="0.35">
      <c r="A151" s="63" t="str">
        <f>A150</f>
        <v>BBD131</v>
      </c>
      <c r="B151" s="17" t="s">
        <v>2382</v>
      </c>
      <c r="C151" s="18" t="str">
        <f>+C150</f>
        <v>DIO1</v>
      </c>
      <c r="D151" s="18">
        <v>132</v>
      </c>
      <c r="E151" s="84">
        <f>+E150</f>
        <v>2</v>
      </c>
      <c r="F151" s="84">
        <f>+F150</f>
        <v>4</v>
      </c>
      <c r="G151" s="84">
        <v>0</v>
      </c>
      <c r="H151" s="200">
        <f>H148</f>
        <v>2</v>
      </c>
      <c r="I151" s="187">
        <f>+I150+1</f>
        <v>11</v>
      </c>
      <c r="J151" s="205"/>
      <c r="K151" s="79"/>
      <c r="L151" s="17" t="s">
        <v>323</v>
      </c>
      <c r="M151" s="18">
        <v>5</v>
      </c>
      <c r="N151" s="59" t="s">
        <v>2511</v>
      </c>
      <c r="O151" s="17" t="s">
        <v>2368</v>
      </c>
      <c r="P151" s="59" t="s">
        <v>2401</v>
      </c>
      <c r="Q151" s="17" t="s">
        <v>2510</v>
      </c>
      <c r="R151" s="17" t="s">
        <v>211</v>
      </c>
      <c r="S151" s="17" t="s">
        <v>2509</v>
      </c>
      <c r="T151" s="18" t="s">
        <v>691</v>
      </c>
      <c r="U151" s="17"/>
      <c r="V151" s="17" t="str">
        <f>+CONCATENATE(E151,".",F151,"\",G151,".",H151,":",I151)</f>
        <v>2.4\0.2:11</v>
      </c>
      <c r="W151" s="17" t="s">
        <v>690</v>
      </c>
      <c r="X151" s="332">
        <v>0</v>
      </c>
      <c r="Y151" s="17"/>
      <c r="Z151" s="20" t="s">
        <v>1159</v>
      </c>
      <c r="AA151" s="17"/>
      <c r="AB151" s="20"/>
      <c r="AC151" s="20"/>
      <c r="AD151" s="20"/>
      <c r="AE151" s="20"/>
      <c r="AF151" s="20"/>
      <c r="AG151" s="327" t="s">
        <v>1045</v>
      </c>
      <c r="AH151" s="327">
        <v>23</v>
      </c>
      <c r="AI151" s="327">
        <v>24</v>
      </c>
      <c r="AJ151" s="64"/>
      <c r="AK151" s="64"/>
      <c r="AL151" s="264"/>
      <c r="AM151" s="84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</row>
    <row r="152" spans="1:51" s="33" customFormat="1" ht="14.5" x14ac:dyDescent="0.35">
      <c r="A152" s="63" t="str">
        <f>A151</f>
        <v>BBD131</v>
      </c>
      <c r="B152" s="17" t="s">
        <v>2382</v>
      </c>
      <c r="C152" s="18" t="str">
        <f>+C151</f>
        <v>DIO1</v>
      </c>
      <c r="D152" s="18">
        <v>132</v>
      </c>
      <c r="E152" s="84">
        <f>+E151</f>
        <v>2</v>
      </c>
      <c r="F152" s="84">
        <f>+F151</f>
        <v>4</v>
      </c>
      <c r="G152" s="84">
        <v>0</v>
      </c>
      <c r="H152" s="200">
        <f>H149</f>
        <v>2</v>
      </c>
      <c r="I152" s="187">
        <f>+I151+1</f>
        <v>12</v>
      </c>
      <c r="J152" s="205"/>
      <c r="K152" s="79"/>
      <c r="L152" s="17" t="s">
        <v>323</v>
      </c>
      <c r="M152" s="18">
        <v>4</v>
      </c>
      <c r="N152" s="59" t="s">
        <v>2389</v>
      </c>
      <c r="O152" s="17" t="s">
        <v>637</v>
      </c>
      <c r="P152" s="59" t="s">
        <v>2508</v>
      </c>
      <c r="Q152" s="17" t="s">
        <v>2507</v>
      </c>
      <c r="R152" s="17" t="s">
        <v>211</v>
      </c>
      <c r="S152" s="17" t="s">
        <v>2387</v>
      </c>
      <c r="T152" s="18" t="s">
        <v>111</v>
      </c>
      <c r="U152" s="17"/>
      <c r="V152" s="17" t="str">
        <f>+CONCATENATE(E152,".",F152,"\",G152,".",H152,":",I152)</f>
        <v>2.4\0.2:12</v>
      </c>
      <c r="W152" s="17" t="s">
        <v>2377</v>
      </c>
      <c r="X152" s="17">
        <v>0</v>
      </c>
      <c r="Y152" s="20"/>
      <c r="Z152" s="20" t="s">
        <v>1200</v>
      </c>
      <c r="AA152" s="20"/>
      <c r="AB152" s="20"/>
      <c r="AC152" s="20"/>
      <c r="AD152" s="20"/>
      <c r="AE152" s="20"/>
      <c r="AF152" s="20"/>
      <c r="AG152" s="327" t="s">
        <v>1045</v>
      </c>
      <c r="AH152" s="327">
        <v>25</v>
      </c>
      <c r="AI152" s="327">
        <v>26</v>
      </c>
      <c r="AJ152" s="64"/>
      <c r="AK152" s="64"/>
      <c r="AL152" s="264"/>
      <c r="AM152" s="84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</row>
    <row r="153" spans="1:51" s="33" customFormat="1" ht="14.5" x14ac:dyDescent="0.35">
      <c r="A153" s="63" t="str">
        <f>A152</f>
        <v>BBD131</v>
      </c>
      <c r="B153" s="17" t="s">
        <v>2382</v>
      </c>
      <c r="C153" s="18" t="str">
        <f>+C152</f>
        <v>DIO1</v>
      </c>
      <c r="D153" s="18">
        <v>132</v>
      </c>
      <c r="E153" s="84">
        <f>+E152</f>
        <v>2</v>
      </c>
      <c r="F153" s="84">
        <f>+F152</f>
        <v>4</v>
      </c>
      <c r="G153" s="84">
        <v>0</v>
      </c>
      <c r="H153" s="200">
        <f>H150</f>
        <v>2</v>
      </c>
      <c r="I153" s="187">
        <f>+I152+1</f>
        <v>13</v>
      </c>
      <c r="J153" s="205"/>
      <c r="K153" s="79"/>
      <c r="L153" s="17" t="s">
        <v>323</v>
      </c>
      <c r="M153" s="18">
        <v>4</v>
      </c>
      <c r="N153" s="59" t="s">
        <v>2393</v>
      </c>
      <c r="O153" s="17" t="s">
        <v>637</v>
      </c>
      <c r="P153" s="59" t="s">
        <v>2506</v>
      </c>
      <c r="Q153" s="17" t="s">
        <v>2505</v>
      </c>
      <c r="R153" s="17" t="s">
        <v>211</v>
      </c>
      <c r="S153" s="17" t="s">
        <v>2504</v>
      </c>
      <c r="T153" s="18" t="s">
        <v>2390</v>
      </c>
      <c r="U153" s="17"/>
      <c r="V153" s="17" t="str">
        <f>+CONCATENATE(E153,".",F153,"\",G153,".",H153,":",I153)</f>
        <v>2.4\0.2:13</v>
      </c>
      <c r="W153" s="17" t="s">
        <v>2377</v>
      </c>
      <c r="X153" s="17">
        <v>0</v>
      </c>
      <c r="Y153" s="20"/>
      <c r="Z153" s="20" t="s">
        <v>1200</v>
      </c>
      <c r="AA153" s="20"/>
      <c r="AB153" s="20"/>
      <c r="AC153" s="20"/>
      <c r="AD153" s="20"/>
      <c r="AE153" s="20"/>
      <c r="AF153" s="20"/>
      <c r="AG153" s="327" t="s">
        <v>1045</v>
      </c>
      <c r="AH153" s="327">
        <v>27</v>
      </c>
      <c r="AI153" s="327">
        <v>28</v>
      </c>
      <c r="AJ153" s="64"/>
      <c r="AK153" s="64"/>
      <c r="AL153" s="264"/>
      <c r="AM153" s="84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</row>
    <row r="154" spans="1:51" s="33" customFormat="1" ht="14.5" x14ac:dyDescent="0.35">
      <c r="A154" s="63" t="str">
        <f>A153</f>
        <v>BBD131</v>
      </c>
      <c r="B154" s="17" t="s">
        <v>2382</v>
      </c>
      <c r="C154" s="18" t="str">
        <f>+C153</f>
        <v>DIO1</v>
      </c>
      <c r="D154" s="18">
        <v>132</v>
      </c>
      <c r="E154" s="84">
        <f>+E153</f>
        <v>2</v>
      </c>
      <c r="F154" s="84">
        <f>+F153</f>
        <v>4</v>
      </c>
      <c r="G154" s="84">
        <v>0</v>
      </c>
      <c r="H154" s="200">
        <f>H151</f>
        <v>2</v>
      </c>
      <c r="I154" s="187">
        <f>+I153+1</f>
        <v>14</v>
      </c>
      <c r="J154" s="205"/>
      <c r="K154" s="79"/>
      <c r="L154" s="17" t="s">
        <v>323</v>
      </c>
      <c r="M154" s="18"/>
      <c r="N154" s="18"/>
      <c r="O154" s="17"/>
      <c r="P154" s="18"/>
      <c r="Q154" s="17" t="s">
        <v>127</v>
      </c>
      <c r="R154" s="17" t="s">
        <v>127</v>
      </c>
      <c r="S154" s="78"/>
      <c r="T154" s="18"/>
      <c r="U154" s="17"/>
      <c r="V154" s="17" t="str">
        <f>+CONCATENATE(E154,".",F154,"\",G154,".",H154,":",I154)</f>
        <v>2.4\0.2:14</v>
      </c>
      <c r="W154" s="17"/>
      <c r="X154" s="17"/>
      <c r="Y154" s="20"/>
      <c r="Z154" s="20" t="s">
        <v>1159</v>
      </c>
      <c r="AA154" s="20"/>
      <c r="AB154" s="20"/>
      <c r="AC154" s="20"/>
      <c r="AD154" s="20"/>
      <c r="AE154" s="20"/>
      <c r="AF154" s="20"/>
      <c r="AG154" s="327" t="s">
        <v>1045</v>
      </c>
      <c r="AH154" s="327">
        <v>29</v>
      </c>
      <c r="AI154" s="327">
        <v>30</v>
      </c>
      <c r="AJ154" s="64"/>
      <c r="AK154" s="64"/>
      <c r="AL154" s="264"/>
      <c r="AM154" s="84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</row>
    <row r="155" spans="1:51" s="33" customFormat="1" ht="14.5" x14ac:dyDescent="0.35">
      <c r="A155" s="63" t="str">
        <f>A154</f>
        <v>BBD131</v>
      </c>
      <c r="B155" s="17" t="s">
        <v>2382</v>
      </c>
      <c r="C155" s="18" t="str">
        <f>+C154</f>
        <v>DIO1</v>
      </c>
      <c r="D155" s="18">
        <v>132</v>
      </c>
      <c r="E155" s="84">
        <f>+E154</f>
        <v>2</v>
      </c>
      <c r="F155" s="84">
        <f>+F154</f>
        <v>4</v>
      </c>
      <c r="G155" s="84">
        <v>0</v>
      </c>
      <c r="H155" s="200">
        <f>H151</f>
        <v>2</v>
      </c>
      <c r="I155" s="187">
        <f>+I154+1</f>
        <v>15</v>
      </c>
      <c r="J155" s="205"/>
      <c r="K155" s="79"/>
      <c r="L155" s="17" t="s">
        <v>323</v>
      </c>
      <c r="M155" s="18"/>
      <c r="N155" s="18"/>
      <c r="O155" s="17"/>
      <c r="P155" s="18"/>
      <c r="Q155" s="17" t="s">
        <v>127</v>
      </c>
      <c r="R155" s="17" t="s">
        <v>127</v>
      </c>
      <c r="S155" s="78"/>
      <c r="T155" s="18"/>
      <c r="U155" s="17"/>
      <c r="V155" s="17" t="str">
        <f>+CONCATENATE(E155,".",F155,"\",G155,".",H155,":",I155)</f>
        <v>2.4\0.2:15</v>
      </c>
      <c r="W155" s="17"/>
      <c r="X155" s="17"/>
      <c r="Y155" s="20"/>
      <c r="Z155" s="20" t="s">
        <v>1159</v>
      </c>
      <c r="AA155" s="20"/>
      <c r="AB155" s="20"/>
      <c r="AC155" s="20"/>
      <c r="AD155" s="20"/>
      <c r="AE155" s="20"/>
      <c r="AF155" s="20"/>
      <c r="AG155" s="327" t="s">
        <v>1045</v>
      </c>
      <c r="AH155" s="327">
        <v>31</v>
      </c>
      <c r="AI155" s="327">
        <v>32</v>
      </c>
      <c r="AJ155" s="64"/>
      <c r="AK155" s="64"/>
      <c r="AL155" s="264"/>
      <c r="AM155" s="84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</row>
    <row r="156" spans="1:51" s="33" customFormat="1" ht="14.5" x14ac:dyDescent="0.35">
      <c r="A156" s="63" t="str">
        <f>A155</f>
        <v>BBD131</v>
      </c>
      <c r="B156" s="17" t="s">
        <v>2382</v>
      </c>
      <c r="C156" s="18" t="str">
        <f>+C155</f>
        <v>DIO1</v>
      </c>
      <c r="D156" s="18">
        <v>132</v>
      </c>
      <c r="E156" s="84">
        <f>+E155</f>
        <v>2</v>
      </c>
      <c r="F156" s="84">
        <f>+F155</f>
        <v>4</v>
      </c>
      <c r="G156" s="84">
        <v>0</v>
      </c>
      <c r="H156" s="200">
        <f>H152</f>
        <v>2</v>
      </c>
      <c r="I156" s="187">
        <f>+I155+1</f>
        <v>16</v>
      </c>
      <c r="J156" s="205"/>
      <c r="K156" s="18"/>
      <c r="L156" s="17" t="s">
        <v>323</v>
      </c>
      <c r="M156" s="18">
        <v>4</v>
      </c>
      <c r="N156" s="17" t="s">
        <v>2400</v>
      </c>
      <c r="O156" s="17" t="s">
        <v>1242</v>
      </c>
      <c r="P156" s="17" t="s">
        <v>2503</v>
      </c>
      <c r="Q156" s="17" t="s">
        <v>2364</v>
      </c>
      <c r="R156" s="17" t="s">
        <v>299</v>
      </c>
      <c r="S156" s="78"/>
      <c r="T156" s="17" t="s">
        <v>682</v>
      </c>
      <c r="U156" s="17"/>
      <c r="V156" s="17" t="str">
        <f>+CONCATENATE(E156,".",F156,"\",G156,".",H156,":",I156)</f>
        <v>2.4\0.2:16</v>
      </c>
      <c r="W156" s="17" t="s">
        <v>681</v>
      </c>
      <c r="X156" s="332">
        <v>0</v>
      </c>
      <c r="Y156" s="20"/>
      <c r="Z156" s="20" t="s">
        <v>1159</v>
      </c>
      <c r="AA156" s="20"/>
      <c r="AB156" s="20"/>
      <c r="AC156" s="20"/>
      <c r="AD156" s="20"/>
      <c r="AE156" s="20"/>
      <c r="AF156" s="20"/>
      <c r="AG156" s="327" t="s">
        <v>985</v>
      </c>
      <c r="AH156" s="327">
        <v>1</v>
      </c>
      <c r="AI156" s="327">
        <v>2</v>
      </c>
      <c r="AJ156" s="64"/>
      <c r="AK156" s="64"/>
      <c r="AL156" s="264"/>
      <c r="AM156" s="84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</row>
    <row r="157" spans="1:51" s="33" customFormat="1" ht="14.5" x14ac:dyDescent="0.35">
      <c r="A157" s="63" t="str">
        <f>A156</f>
        <v>BBD131</v>
      </c>
      <c r="B157" s="17" t="s">
        <v>2382</v>
      </c>
      <c r="C157" s="18" t="str">
        <f>+C156</f>
        <v>DIO1</v>
      </c>
      <c r="D157" s="18">
        <v>132</v>
      </c>
      <c r="E157" s="84">
        <f>+E156</f>
        <v>2</v>
      </c>
      <c r="F157" s="84">
        <f>+F156</f>
        <v>4</v>
      </c>
      <c r="G157" s="84">
        <v>0</v>
      </c>
      <c r="H157" s="200">
        <f>H153</f>
        <v>2</v>
      </c>
      <c r="I157" s="187">
        <f>+I156+1</f>
        <v>17</v>
      </c>
      <c r="J157" s="205"/>
      <c r="K157" s="79"/>
      <c r="L157" s="17" t="s">
        <v>323</v>
      </c>
      <c r="M157" s="18">
        <v>4</v>
      </c>
      <c r="N157" s="17" t="s">
        <v>2400</v>
      </c>
      <c r="O157" s="17" t="s">
        <v>1239</v>
      </c>
      <c r="P157" s="17" t="s">
        <v>2503</v>
      </c>
      <c r="Q157" s="17" t="s">
        <v>2126</v>
      </c>
      <c r="R157" s="17" t="s">
        <v>299</v>
      </c>
      <c r="S157" s="78"/>
      <c r="T157" s="17" t="s">
        <v>682</v>
      </c>
      <c r="U157" s="17"/>
      <c r="V157" s="17" t="str">
        <f>+CONCATENATE(E157,".",F157,"\",G157,".",H157,":",I157)</f>
        <v>2.4\0.2:17</v>
      </c>
      <c r="W157" s="17" t="s">
        <v>681</v>
      </c>
      <c r="X157" s="332">
        <v>0</v>
      </c>
      <c r="Y157" s="20"/>
      <c r="Z157" s="20" t="s">
        <v>1159</v>
      </c>
      <c r="AA157" s="20"/>
      <c r="AB157" s="17"/>
      <c r="AC157" s="20"/>
      <c r="AD157" s="20"/>
      <c r="AE157" s="20"/>
      <c r="AF157" s="20"/>
      <c r="AG157" s="327" t="s">
        <v>985</v>
      </c>
      <c r="AH157" s="327">
        <v>3</v>
      </c>
      <c r="AI157" s="327">
        <v>4</v>
      </c>
      <c r="AJ157" s="64"/>
      <c r="AK157" s="64"/>
      <c r="AL157" s="264"/>
      <c r="AM157" s="84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</row>
    <row r="158" spans="1:51" s="33" customFormat="1" ht="14.5" x14ac:dyDescent="0.35">
      <c r="A158" s="63" t="str">
        <f>A157</f>
        <v>BBD131</v>
      </c>
      <c r="B158" s="17" t="s">
        <v>2382</v>
      </c>
      <c r="C158" s="18" t="str">
        <f>+C157</f>
        <v>DIO1</v>
      </c>
      <c r="D158" s="18">
        <v>132</v>
      </c>
      <c r="E158" s="84">
        <f>+E157</f>
        <v>2</v>
      </c>
      <c r="F158" s="84">
        <f>+F157</f>
        <v>4</v>
      </c>
      <c r="G158" s="84">
        <v>0</v>
      </c>
      <c r="H158" s="200">
        <f>H154</f>
        <v>2</v>
      </c>
      <c r="I158" s="187">
        <f>+I157+1</f>
        <v>18</v>
      </c>
      <c r="J158" s="205"/>
      <c r="K158" s="79"/>
      <c r="L158" s="17" t="s">
        <v>323</v>
      </c>
      <c r="M158" s="18">
        <v>4</v>
      </c>
      <c r="N158" s="17" t="s">
        <v>2502</v>
      </c>
      <c r="O158" s="17" t="s">
        <v>1049</v>
      </c>
      <c r="P158" s="59" t="s">
        <v>2401</v>
      </c>
      <c r="Q158" s="17" t="s">
        <v>2498</v>
      </c>
      <c r="R158" s="17" t="s">
        <v>211</v>
      </c>
      <c r="S158" s="17"/>
      <c r="T158" s="17" t="s">
        <v>111</v>
      </c>
      <c r="U158" s="17"/>
      <c r="V158" s="17" t="str">
        <f>+CONCATENATE(E158,".",F158,"\",G158,".",H158,":",I158)</f>
        <v>2.4\0.2:18</v>
      </c>
      <c r="W158" s="17" t="s">
        <v>2440</v>
      </c>
      <c r="X158" s="221">
        <v>0</v>
      </c>
      <c r="Y158" s="20"/>
      <c r="Z158" s="20" t="s">
        <v>1159</v>
      </c>
      <c r="AA158" s="20"/>
      <c r="AB158" s="17"/>
      <c r="AC158" s="20"/>
      <c r="AD158" s="20"/>
      <c r="AE158" s="20"/>
      <c r="AF158" s="20"/>
      <c r="AG158" s="327" t="s">
        <v>985</v>
      </c>
      <c r="AH158" s="327">
        <v>5</v>
      </c>
      <c r="AI158" s="327">
        <v>6</v>
      </c>
      <c r="AJ158" s="64"/>
      <c r="AK158" s="64"/>
      <c r="AL158" s="264"/>
      <c r="AM158" s="84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</row>
    <row r="159" spans="1:51" s="33" customFormat="1" ht="14.5" x14ac:dyDescent="0.35">
      <c r="A159" s="63" t="str">
        <f>A158</f>
        <v>BBD131</v>
      </c>
      <c r="B159" s="17" t="s">
        <v>2382</v>
      </c>
      <c r="C159" s="18" t="str">
        <f>+C158</f>
        <v>DIO1</v>
      </c>
      <c r="D159" s="18">
        <v>132</v>
      </c>
      <c r="E159" s="84">
        <f>+E158</f>
        <v>2</v>
      </c>
      <c r="F159" s="84">
        <f>+F158</f>
        <v>4</v>
      </c>
      <c r="G159" s="84">
        <v>0</v>
      </c>
      <c r="H159" s="200">
        <f>H155</f>
        <v>2</v>
      </c>
      <c r="I159" s="187">
        <f>+I158+1</f>
        <v>19</v>
      </c>
      <c r="J159" s="205"/>
      <c r="K159" s="79"/>
      <c r="L159" s="17" t="s">
        <v>323</v>
      </c>
      <c r="M159" s="18">
        <v>4</v>
      </c>
      <c r="N159" s="17" t="s">
        <v>2501</v>
      </c>
      <c r="O159" s="17" t="s">
        <v>2108</v>
      </c>
      <c r="P159" s="59" t="s">
        <v>2401</v>
      </c>
      <c r="Q159" s="17" t="s">
        <v>2494</v>
      </c>
      <c r="R159" s="17" t="s">
        <v>211</v>
      </c>
      <c r="S159" s="17"/>
      <c r="T159" s="17" t="s">
        <v>111</v>
      </c>
      <c r="U159" s="17"/>
      <c r="V159" s="17" t="str">
        <f>+CONCATENATE(E159,".",F159,"\",G159,".",H159,":",I159)</f>
        <v>2.4\0.2:19</v>
      </c>
      <c r="W159" s="17" t="s">
        <v>2440</v>
      </c>
      <c r="X159" s="221">
        <v>0</v>
      </c>
      <c r="Y159" s="17"/>
      <c r="Z159" s="20" t="s">
        <v>1159</v>
      </c>
      <c r="AA159" s="17"/>
      <c r="AB159" s="17"/>
      <c r="AC159" s="20"/>
      <c r="AD159" s="20"/>
      <c r="AE159" s="20"/>
      <c r="AF159" s="20"/>
      <c r="AG159" s="327" t="s">
        <v>985</v>
      </c>
      <c r="AH159" s="327">
        <v>7</v>
      </c>
      <c r="AI159" s="327">
        <v>8</v>
      </c>
      <c r="AJ159" s="64"/>
      <c r="AK159" s="64"/>
      <c r="AL159" s="264"/>
      <c r="AM159" s="84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</row>
    <row r="160" spans="1:51" s="33" customFormat="1" ht="14.5" x14ac:dyDescent="0.35">
      <c r="A160" s="63" t="str">
        <f>A159</f>
        <v>BBD131</v>
      </c>
      <c r="B160" s="17" t="s">
        <v>2382</v>
      </c>
      <c r="C160" s="18" t="str">
        <f>+C159</f>
        <v>DIO1</v>
      </c>
      <c r="D160" s="18">
        <v>132</v>
      </c>
      <c r="E160" s="84">
        <f>+E159</f>
        <v>2</v>
      </c>
      <c r="F160" s="84">
        <f>+F159</f>
        <v>4</v>
      </c>
      <c r="G160" s="84">
        <v>0</v>
      </c>
      <c r="H160" s="200">
        <f>H156</f>
        <v>2</v>
      </c>
      <c r="I160" s="187">
        <f>+I159+1</f>
        <v>20</v>
      </c>
      <c r="J160" s="205"/>
      <c r="K160" s="79"/>
      <c r="L160" s="17" t="s">
        <v>323</v>
      </c>
      <c r="M160" s="18">
        <v>4</v>
      </c>
      <c r="N160" s="17" t="s">
        <v>2500</v>
      </c>
      <c r="O160" s="17" t="s">
        <v>2499</v>
      </c>
      <c r="P160" s="59" t="s">
        <v>2401</v>
      </c>
      <c r="Q160" s="17" t="s">
        <v>2498</v>
      </c>
      <c r="R160" s="17" t="s">
        <v>211</v>
      </c>
      <c r="S160" s="78"/>
      <c r="T160" s="17" t="s">
        <v>111</v>
      </c>
      <c r="U160" s="17"/>
      <c r="V160" s="17" t="str">
        <f>+CONCATENATE(E160,".",F160,"\",G160,".",H160,":",I160)</f>
        <v>2.4\0.2:20</v>
      </c>
      <c r="W160" s="17" t="s">
        <v>2440</v>
      </c>
      <c r="X160" s="221">
        <v>0</v>
      </c>
      <c r="Y160" s="20"/>
      <c r="Z160" s="20" t="s">
        <v>1159</v>
      </c>
      <c r="AA160" s="20"/>
      <c r="AB160" s="17"/>
      <c r="AC160" s="20"/>
      <c r="AD160" s="20"/>
      <c r="AE160" s="20"/>
      <c r="AF160" s="20"/>
      <c r="AG160" s="327" t="s">
        <v>985</v>
      </c>
      <c r="AH160" s="327">
        <v>9</v>
      </c>
      <c r="AI160" s="327">
        <v>10</v>
      </c>
      <c r="AJ160" s="64"/>
      <c r="AK160" s="64"/>
      <c r="AL160" s="264"/>
      <c r="AM160" s="84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</row>
    <row r="161" spans="1:51" s="33" customFormat="1" ht="14.5" x14ac:dyDescent="0.35">
      <c r="A161" s="63" t="str">
        <f>A160</f>
        <v>BBD131</v>
      </c>
      <c r="B161" s="17" t="s">
        <v>2382</v>
      </c>
      <c r="C161" s="18" t="str">
        <f>+C160</f>
        <v>DIO1</v>
      </c>
      <c r="D161" s="18">
        <v>132</v>
      </c>
      <c r="E161" s="84">
        <f>+E160</f>
        <v>2</v>
      </c>
      <c r="F161" s="84">
        <f>+F160</f>
        <v>4</v>
      </c>
      <c r="G161" s="84">
        <v>0</v>
      </c>
      <c r="H161" s="200">
        <f>H157</f>
        <v>2</v>
      </c>
      <c r="I161" s="187">
        <f>+I160+1</f>
        <v>21</v>
      </c>
      <c r="J161" s="205"/>
      <c r="K161" s="79"/>
      <c r="L161" s="17" t="s">
        <v>323</v>
      </c>
      <c r="M161" s="18">
        <v>4</v>
      </c>
      <c r="N161" s="17" t="s">
        <v>2497</v>
      </c>
      <c r="O161" s="17" t="s">
        <v>2496</v>
      </c>
      <c r="P161" s="59" t="s">
        <v>2495</v>
      </c>
      <c r="Q161" s="17" t="s">
        <v>2494</v>
      </c>
      <c r="R161" s="17" t="s">
        <v>211</v>
      </c>
      <c r="S161" s="78"/>
      <c r="T161" s="17" t="s">
        <v>111</v>
      </c>
      <c r="U161" s="17"/>
      <c r="V161" s="17" t="str">
        <f>+CONCATENATE(E161,".",F161,"\",G161,".",H161,":",I161)</f>
        <v>2.4\0.2:21</v>
      </c>
      <c r="W161" s="17" t="s">
        <v>2440</v>
      </c>
      <c r="X161" s="221">
        <v>0</v>
      </c>
      <c r="Y161" s="20"/>
      <c r="Z161" s="20" t="s">
        <v>1159</v>
      </c>
      <c r="AA161" s="20"/>
      <c r="AB161" s="17"/>
      <c r="AC161" s="20"/>
      <c r="AD161" s="20"/>
      <c r="AE161" s="20"/>
      <c r="AF161" s="20"/>
      <c r="AG161" s="327" t="s">
        <v>985</v>
      </c>
      <c r="AH161" s="327">
        <v>11</v>
      </c>
      <c r="AI161" s="327">
        <v>12</v>
      </c>
      <c r="AJ161" s="64"/>
      <c r="AK161" s="64"/>
      <c r="AL161" s="264"/>
      <c r="AM161" s="84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</row>
    <row r="162" spans="1:51" s="33" customFormat="1" ht="14.5" x14ac:dyDescent="0.35">
      <c r="A162" s="63" t="str">
        <f>A161</f>
        <v>BBD131</v>
      </c>
      <c r="B162" s="17" t="s">
        <v>2382</v>
      </c>
      <c r="C162" s="18" t="str">
        <f>+C161</f>
        <v>DIO1</v>
      </c>
      <c r="D162" s="18">
        <v>132</v>
      </c>
      <c r="E162" s="84">
        <f>+E161</f>
        <v>2</v>
      </c>
      <c r="F162" s="84">
        <f>+F161</f>
        <v>4</v>
      </c>
      <c r="G162" s="84">
        <v>0</v>
      </c>
      <c r="H162" s="200">
        <f>H158</f>
        <v>2</v>
      </c>
      <c r="I162" s="187">
        <f>+I161+1</f>
        <v>22</v>
      </c>
      <c r="J162" s="205"/>
      <c r="K162" s="79"/>
      <c r="L162" s="17" t="s">
        <v>323</v>
      </c>
      <c r="M162" s="18">
        <v>4</v>
      </c>
      <c r="N162" s="17" t="s">
        <v>2493</v>
      </c>
      <c r="O162" s="17" t="s">
        <v>968</v>
      </c>
      <c r="P162" s="18" t="s">
        <v>2426</v>
      </c>
      <c r="Q162" s="17" t="s">
        <v>2492</v>
      </c>
      <c r="R162" s="17" t="s">
        <v>963</v>
      </c>
      <c r="S162" s="78"/>
      <c r="T162" s="17" t="s">
        <v>2424</v>
      </c>
      <c r="U162" s="17"/>
      <c r="V162" s="17" t="str">
        <f>+CONCATENATE(E162,".",F162,"\",G162,".",H162,":",I162)</f>
        <v>2.4\0.2:22</v>
      </c>
      <c r="W162" s="17" t="s">
        <v>2440</v>
      </c>
      <c r="X162" s="221">
        <v>0</v>
      </c>
      <c r="Y162" s="17"/>
      <c r="Z162" s="20" t="s">
        <v>1159</v>
      </c>
      <c r="AA162" s="17"/>
      <c r="AB162" s="17"/>
      <c r="AC162" s="17"/>
      <c r="AD162" s="17"/>
      <c r="AE162" s="17"/>
      <c r="AF162" s="17"/>
      <c r="AG162" s="327" t="s">
        <v>985</v>
      </c>
      <c r="AH162" s="327">
        <v>13</v>
      </c>
      <c r="AI162" s="327">
        <v>14</v>
      </c>
      <c r="AJ162" s="64"/>
      <c r="AK162" s="64"/>
      <c r="AL162" s="264"/>
      <c r="AM162" s="84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</row>
    <row r="163" spans="1:51" s="33" customFormat="1" ht="14.5" x14ac:dyDescent="0.35">
      <c r="A163" s="63" t="str">
        <f>A162</f>
        <v>BBD131</v>
      </c>
      <c r="B163" s="17" t="s">
        <v>2382</v>
      </c>
      <c r="C163" s="18" t="str">
        <f>+C162</f>
        <v>DIO1</v>
      </c>
      <c r="D163" s="18">
        <v>132</v>
      </c>
      <c r="E163" s="84">
        <f>+E162</f>
        <v>2</v>
      </c>
      <c r="F163" s="84">
        <f>+F162</f>
        <v>4</v>
      </c>
      <c r="G163" s="84">
        <v>0</v>
      </c>
      <c r="H163" s="200">
        <f>H159</f>
        <v>2</v>
      </c>
      <c r="I163" s="187">
        <f>+I162+1</f>
        <v>23</v>
      </c>
      <c r="J163" s="205"/>
      <c r="K163" s="79"/>
      <c r="L163" s="17" t="s">
        <v>323</v>
      </c>
      <c r="M163" s="18">
        <v>4</v>
      </c>
      <c r="N163" s="17" t="s">
        <v>2491</v>
      </c>
      <c r="O163" s="17" t="s">
        <v>1249</v>
      </c>
      <c r="P163" s="18" t="s">
        <v>2426</v>
      </c>
      <c r="Q163" s="17" t="s">
        <v>2490</v>
      </c>
      <c r="R163" s="17" t="s">
        <v>963</v>
      </c>
      <c r="S163" s="78"/>
      <c r="T163" s="17" t="s">
        <v>2424</v>
      </c>
      <c r="U163" s="17"/>
      <c r="V163" s="17" t="str">
        <f>+CONCATENATE(E163,".",F163,"\",G163,".",H163,":",I163)</f>
        <v>2.4\0.2:23</v>
      </c>
      <c r="W163" s="17" t="s">
        <v>2440</v>
      </c>
      <c r="X163" s="221">
        <v>0</v>
      </c>
      <c r="Y163" s="17"/>
      <c r="Z163" s="20" t="s">
        <v>1159</v>
      </c>
      <c r="AA163" s="17"/>
      <c r="AB163" s="17"/>
      <c r="AC163" s="17"/>
      <c r="AD163" s="17"/>
      <c r="AE163" s="17"/>
      <c r="AF163" s="17"/>
      <c r="AG163" s="327" t="s">
        <v>985</v>
      </c>
      <c r="AH163" s="327">
        <v>15</v>
      </c>
      <c r="AI163" s="327">
        <v>16</v>
      </c>
      <c r="AJ163" s="64"/>
      <c r="AK163" s="64"/>
      <c r="AL163" s="264"/>
      <c r="AM163" s="84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</row>
    <row r="164" spans="1:51" s="33" customFormat="1" ht="14.5" x14ac:dyDescent="0.35">
      <c r="A164" s="63" t="str">
        <f>A163</f>
        <v>BBD131</v>
      </c>
      <c r="B164" s="17" t="s">
        <v>2382</v>
      </c>
      <c r="C164" s="18" t="str">
        <f>+C163</f>
        <v>DIO1</v>
      </c>
      <c r="D164" s="18">
        <v>132</v>
      </c>
      <c r="E164" s="84">
        <f>+E163</f>
        <v>2</v>
      </c>
      <c r="F164" s="84">
        <f>+F163</f>
        <v>4</v>
      </c>
      <c r="G164" s="84">
        <v>0</v>
      </c>
      <c r="H164" s="200">
        <f>H160</f>
        <v>2</v>
      </c>
      <c r="I164" s="187">
        <f>+I163+1</f>
        <v>24</v>
      </c>
      <c r="J164" s="205"/>
      <c r="K164" s="79"/>
      <c r="L164" s="17" t="s">
        <v>323</v>
      </c>
      <c r="M164" s="18">
        <v>4</v>
      </c>
      <c r="N164" s="17" t="s">
        <v>2489</v>
      </c>
      <c r="O164" s="17" t="s">
        <v>1246</v>
      </c>
      <c r="P164" s="59" t="s">
        <v>2426</v>
      </c>
      <c r="Q164" s="17" t="s">
        <v>2488</v>
      </c>
      <c r="R164" s="17" t="s">
        <v>211</v>
      </c>
      <c r="S164" s="78"/>
      <c r="T164" s="17" t="s">
        <v>2424</v>
      </c>
      <c r="U164" s="17"/>
      <c r="V164" s="17" t="str">
        <f>+CONCATENATE(E164,".",F164,"\",G164,".",H164,":",I164)</f>
        <v>2.4\0.2:24</v>
      </c>
      <c r="W164" s="17" t="s">
        <v>2440</v>
      </c>
      <c r="X164" s="221">
        <v>0</v>
      </c>
      <c r="Y164" s="17"/>
      <c r="Z164" s="20" t="s">
        <v>1159</v>
      </c>
      <c r="AA164" s="17"/>
      <c r="AB164" s="17"/>
      <c r="AC164" s="17"/>
      <c r="AD164" s="17"/>
      <c r="AE164" s="17"/>
      <c r="AF164" s="17"/>
      <c r="AG164" s="327" t="s">
        <v>985</v>
      </c>
      <c r="AH164" s="327">
        <v>17</v>
      </c>
      <c r="AI164" s="327">
        <v>18</v>
      </c>
      <c r="AJ164" s="64"/>
      <c r="AK164" s="64"/>
      <c r="AL164" s="264"/>
      <c r="AM164" s="84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</row>
    <row r="165" spans="1:51" s="33" customFormat="1" ht="14.5" x14ac:dyDescent="0.35">
      <c r="A165" s="63" t="str">
        <f>A164</f>
        <v>BBD131</v>
      </c>
      <c r="B165" s="17" t="s">
        <v>2382</v>
      </c>
      <c r="C165" s="18" t="str">
        <f>+C164</f>
        <v>DIO1</v>
      </c>
      <c r="D165" s="18">
        <v>132</v>
      </c>
      <c r="E165" s="84">
        <f>+E164</f>
        <v>2</v>
      </c>
      <c r="F165" s="84">
        <f>+F164</f>
        <v>4</v>
      </c>
      <c r="G165" s="84">
        <v>0</v>
      </c>
      <c r="H165" s="200">
        <f>H161</f>
        <v>2</v>
      </c>
      <c r="I165" s="187">
        <f>+I164+1</f>
        <v>25</v>
      </c>
      <c r="J165" s="205"/>
      <c r="K165" s="79"/>
      <c r="L165" s="17" t="s">
        <v>323</v>
      </c>
      <c r="M165" s="18">
        <v>3</v>
      </c>
      <c r="N165" s="17" t="s">
        <v>2487</v>
      </c>
      <c r="O165" s="17" t="s">
        <v>1210</v>
      </c>
      <c r="P165" s="59" t="str">
        <f>UPPER(P164)</f>
        <v>SURGE BIN APRON FEEDER LUBE UNIT</v>
      </c>
      <c r="Q165" s="17" t="s">
        <v>2486</v>
      </c>
      <c r="R165" s="17" t="s">
        <v>922</v>
      </c>
      <c r="S165" s="78"/>
      <c r="T165" s="17" t="s">
        <v>2424</v>
      </c>
      <c r="U165" s="17"/>
      <c r="V165" s="17" t="str">
        <f>+CONCATENATE(E165,".",F165,"\",G165,".",H165,":",I165)</f>
        <v>2.4\0.2:25</v>
      </c>
      <c r="W165" s="17" t="s">
        <v>2440</v>
      </c>
      <c r="X165" s="221">
        <v>0</v>
      </c>
      <c r="Y165" s="17"/>
      <c r="Z165" s="20" t="s">
        <v>1159</v>
      </c>
      <c r="AA165" s="17"/>
      <c r="AB165" s="17"/>
      <c r="AC165" s="17"/>
      <c r="AD165" s="17"/>
      <c r="AE165" s="17"/>
      <c r="AF165" s="17"/>
      <c r="AG165" s="327" t="s">
        <v>985</v>
      </c>
      <c r="AH165" s="327">
        <v>19</v>
      </c>
      <c r="AI165" s="327">
        <v>20</v>
      </c>
      <c r="AJ165" s="64"/>
      <c r="AK165" s="64"/>
      <c r="AL165" s="264"/>
      <c r="AM165" s="84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</row>
    <row r="166" spans="1:51" s="33" customFormat="1" ht="14.5" x14ac:dyDescent="0.35">
      <c r="A166" s="63" t="str">
        <f>A165</f>
        <v>BBD131</v>
      </c>
      <c r="B166" s="17" t="s">
        <v>2382</v>
      </c>
      <c r="C166" s="18" t="str">
        <f>+C165</f>
        <v>DIO1</v>
      </c>
      <c r="D166" s="18">
        <v>132</v>
      </c>
      <c r="E166" s="84">
        <f>+E165</f>
        <v>2</v>
      </c>
      <c r="F166" s="84">
        <f>+F165</f>
        <v>4</v>
      </c>
      <c r="G166" s="84">
        <v>0</v>
      </c>
      <c r="H166" s="200">
        <f>H162</f>
        <v>2</v>
      </c>
      <c r="I166" s="187">
        <f>+I165+1</f>
        <v>26</v>
      </c>
      <c r="J166" s="205"/>
      <c r="K166" s="79"/>
      <c r="L166" s="17" t="s">
        <v>323</v>
      </c>
      <c r="M166" s="18">
        <v>3</v>
      </c>
      <c r="N166" s="17" t="s">
        <v>2485</v>
      </c>
      <c r="O166" s="17" t="s">
        <v>1049</v>
      </c>
      <c r="P166" s="59" t="s">
        <v>2426</v>
      </c>
      <c r="Q166" s="17" t="s">
        <v>2484</v>
      </c>
      <c r="R166" s="17" t="s">
        <v>2481</v>
      </c>
      <c r="S166" s="78"/>
      <c r="T166" s="17" t="s">
        <v>2424</v>
      </c>
      <c r="U166" s="17"/>
      <c r="V166" s="17" t="str">
        <f>+CONCATENATE(E166,".",F166,"\",G166,".",H166,":",I166)</f>
        <v>2.4\0.2:26</v>
      </c>
      <c r="W166" s="17" t="s">
        <v>2440</v>
      </c>
      <c r="X166" s="221">
        <v>0</v>
      </c>
      <c r="Y166" s="17"/>
      <c r="Z166" s="20" t="s">
        <v>1159</v>
      </c>
      <c r="AA166" s="17"/>
      <c r="AB166" s="17"/>
      <c r="AC166" s="17"/>
      <c r="AD166" s="17"/>
      <c r="AE166" s="17"/>
      <c r="AF166" s="17"/>
      <c r="AG166" s="327" t="s">
        <v>985</v>
      </c>
      <c r="AH166" s="327">
        <v>21</v>
      </c>
      <c r="AI166" s="327">
        <v>22</v>
      </c>
      <c r="AJ166" s="64"/>
      <c r="AK166" s="64"/>
      <c r="AL166" s="264"/>
      <c r="AM166" s="84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</row>
    <row r="167" spans="1:51" s="33" customFormat="1" ht="14.5" x14ac:dyDescent="0.35">
      <c r="A167" s="63" t="str">
        <f>A166</f>
        <v>BBD131</v>
      </c>
      <c r="B167" s="17" t="s">
        <v>2382</v>
      </c>
      <c r="C167" s="18" t="str">
        <f>+C166</f>
        <v>DIO1</v>
      </c>
      <c r="D167" s="18">
        <v>132</v>
      </c>
      <c r="E167" s="84">
        <f>+E166</f>
        <v>2</v>
      </c>
      <c r="F167" s="84">
        <f>+F166</f>
        <v>4</v>
      </c>
      <c r="G167" s="84">
        <v>0</v>
      </c>
      <c r="H167" s="200">
        <f>H163</f>
        <v>2</v>
      </c>
      <c r="I167" s="187">
        <f>+I166+1</f>
        <v>27</v>
      </c>
      <c r="J167" s="205"/>
      <c r="K167" s="79"/>
      <c r="L167" s="17" t="s">
        <v>323</v>
      </c>
      <c r="M167" s="18">
        <v>3</v>
      </c>
      <c r="N167" s="17" t="s">
        <v>2483</v>
      </c>
      <c r="O167" s="17" t="s">
        <v>2108</v>
      </c>
      <c r="P167" s="59" t="str">
        <f>UPPER(P163)</f>
        <v>SURGE BIN APRON FEEDER LUBE UNIT</v>
      </c>
      <c r="Q167" s="17" t="s">
        <v>2482</v>
      </c>
      <c r="R167" s="17" t="s">
        <v>2481</v>
      </c>
      <c r="S167" s="78"/>
      <c r="T167" s="17" t="s">
        <v>2424</v>
      </c>
      <c r="U167" s="17"/>
      <c r="V167" s="17" t="str">
        <f>+CONCATENATE(E167,".",F167,"\",G167,".",H167,":",I167)</f>
        <v>2.4\0.2:27</v>
      </c>
      <c r="W167" s="17" t="s">
        <v>2440</v>
      </c>
      <c r="X167" s="221">
        <v>0</v>
      </c>
      <c r="Y167" s="17"/>
      <c r="Z167" s="20" t="s">
        <v>1159</v>
      </c>
      <c r="AA167" s="17"/>
      <c r="AB167" s="17"/>
      <c r="AC167" s="17"/>
      <c r="AD167" s="17"/>
      <c r="AE167" s="17"/>
      <c r="AF167" s="17"/>
      <c r="AG167" s="327" t="s">
        <v>985</v>
      </c>
      <c r="AH167" s="327">
        <v>23</v>
      </c>
      <c r="AI167" s="327">
        <v>24</v>
      </c>
      <c r="AJ167" s="64"/>
      <c r="AK167" s="64"/>
      <c r="AL167" s="264"/>
      <c r="AM167" s="84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</row>
    <row r="168" spans="1:51" s="33" customFormat="1" ht="14.5" x14ac:dyDescent="0.35">
      <c r="A168" s="63" t="str">
        <f>A167</f>
        <v>BBD131</v>
      </c>
      <c r="B168" s="17" t="s">
        <v>2382</v>
      </c>
      <c r="C168" s="18" t="str">
        <f>+C167</f>
        <v>DIO1</v>
      </c>
      <c r="D168" s="18">
        <v>132</v>
      </c>
      <c r="E168" s="84">
        <f>+E167</f>
        <v>2</v>
      </c>
      <c r="F168" s="84">
        <f>+F167</f>
        <v>4</v>
      </c>
      <c r="G168" s="84">
        <v>0</v>
      </c>
      <c r="H168" s="200">
        <f>H164</f>
        <v>2</v>
      </c>
      <c r="I168" s="187">
        <f>+I167+1</f>
        <v>28</v>
      </c>
      <c r="J168" s="205"/>
      <c r="K168" s="79"/>
      <c r="L168" s="17" t="s">
        <v>323</v>
      </c>
      <c r="M168" s="18">
        <v>4</v>
      </c>
      <c r="N168" s="17" t="s">
        <v>2480</v>
      </c>
      <c r="O168" s="17" t="s">
        <v>2479</v>
      </c>
      <c r="P168" s="18" t="s">
        <v>2401</v>
      </c>
      <c r="Q168" s="17" t="s">
        <v>2478</v>
      </c>
      <c r="R168" s="17" t="s">
        <v>299</v>
      </c>
      <c r="S168" s="78"/>
      <c r="T168" s="17" t="s">
        <v>111</v>
      </c>
      <c r="U168" s="17"/>
      <c r="V168" s="17" t="str">
        <f>+CONCATENATE(E168,".",F168,"\",G168,".",H168,":",I168)</f>
        <v>2.4\0.2:28</v>
      </c>
      <c r="W168" s="17" t="s">
        <v>2440</v>
      </c>
      <c r="X168" s="221">
        <v>0</v>
      </c>
      <c r="Y168" s="17"/>
      <c r="Z168" s="20" t="s">
        <v>1159</v>
      </c>
      <c r="AA168" s="17"/>
      <c r="AB168" s="17"/>
      <c r="AC168" s="17"/>
      <c r="AD168" s="17"/>
      <c r="AE168" s="17"/>
      <c r="AF168" s="17"/>
      <c r="AG168" s="327" t="s">
        <v>985</v>
      </c>
      <c r="AH168" s="327">
        <v>25</v>
      </c>
      <c r="AI168" s="327">
        <v>26</v>
      </c>
      <c r="AJ168" s="64"/>
      <c r="AK168" s="64"/>
      <c r="AL168" s="264"/>
      <c r="AM168" s="84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</row>
    <row r="169" spans="1:51" s="33" customFormat="1" ht="14.5" x14ac:dyDescent="0.35">
      <c r="A169" s="63" t="str">
        <f>A168</f>
        <v>BBD131</v>
      </c>
      <c r="B169" s="17" t="s">
        <v>2382</v>
      </c>
      <c r="C169" s="18" t="str">
        <f>+C168</f>
        <v>DIO1</v>
      </c>
      <c r="D169" s="18">
        <v>132</v>
      </c>
      <c r="E169" s="84">
        <f>+E168</f>
        <v>2</v>
      </c>
      <c r="F169" s="84">
        <f>+F168</f>
        <v>4</v>
      </c>
      <c r="G169" s="84">
        <v>0</v>
      </c>
      <c r="H169" s="200">
        <f>H165</f>
        <v>2</v>
      </c>
      <c r="I169" s="187">
        <f>+I168+1</f>
        <v>29</v>
      </c>
      <c r="J169" s="205"/>
      <c r="K169" s="79"/>
      <c r="L169" s="17" t="s">
        <v>323</v>
      </c>
      <c r="M169" s="18">
        <v>4</v>
      </c>
      <c r="N169" s="17" t="s">
        <v>2477</v>
      </c>
      <c r="O169" s="17" t="s">
        <v>2476</v>
      </c>
      <c r="P169" s="17" t="s">
        <v>2401</v>
      </c>
      <c r="Q169" s="17" t="s">
        <v>2475</v>
      </c>
      <c r="R169" s="17" t="s">
        <v>299</v>
      </c>
      <c r="S169" s="78"/>
      <c r="T169" s="17" t="s">
        <v>111</v>
      </c>
      <c r="U169" s="17"/>
      <c r="V169" s="17" t="str">
        <f>+CONCATENATE(E169,".",F169,"\",G169,".",H169,":",I169)</f>
        <v>2.4\0.2:29</v>
      </c>
      <c r="W169" s="17" t="s">
        <v>2440</v>
      </c>
      <c r="X169" s="221">
        <v>0</v>
      </c>
      <c r="Y169" s="17"/>
      <c r="Z169" s="20" t="s">
        <v>1159</v>
      </c>
      <c r="AA169" s="17"/>
      <c r="AB169" s="17"/>
      <c r="AC169" s="17"/>
      <c r="AD169" s="17"/>
      <c r="AE169" s="17"/>
      <c r="AF169" s="17"/>
      <c r="AG169" s="327" t="s">
        <v>985</v>
      </c>
      <c r="AH169" s="327">
        <v>27</v>
      </c>
      <c r="AI169" s="327">
        <v>28</v>
      </c>
      <c r="AJ169" s="64"/>
      <c r="AK169" s="64"/>
      <c r="AL169" s="264"/>
      <c r="AM169" s="84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</row>
    <row r="170" spans="1:51" s="33" customFormat="1" ht="14.5" x14ac:dyDescent="0.35">
      <c r="A170" s="63" t="str">
        <f>A169</f>
        <v>BBD131</v>
      </c>
      <c r="B170" s="17" t="s">
        <v>2382</v>
      </c>
      <c r="C170" s="18" t="str">
        <f>+C169</f>
        <v>DIO1</v>
      </c>
      <c r="D170" s="18">
        <v>132</v>
      </c>
      <c r="E170" s="84">
        <f>+E169</f>
        <v>2</v>
      </c>
      <c r="F170" s="84">
        <f>+F169</f>
        <v>4</v>
      </c>
      <c r="G170" s="84">
        <v>0</v>
      </c>
      <c r="H170" s="200">
        <f>H166</f>
        <v>2</v>
      </c>
      <c r="I170" s="187">
        <f>+I169+1</f>
        <v>30</v>
      </c>
      <c r="J170" s="205"/>
      <c r="K170" s="79"/>
      <c r="L170" s="17" t="s">
        <v>323</v>
      </c>
      <c r="M170" s="334">
        <v>7</v>
      </c>
      <c r="N170" s="334" t="s">
        <v>2471</v>
      </c>
      <c r="O170" s="334" t="s">
        <v>1049</v>
      </c>
      <c r="P170" s="334" t="s">
        <v>2474</v>
      </c>
      <c r="Q170" s="334" t="s">
        <v>2473</v>
      </c>
      <c r="R170" s="334" t="s">
        <v>2472</v>
      </c>
      <c r="S170" s="334"/>
      <c r="T170" s="334" t="s">
        <v>2471</v>
      </c>
      <c r="U170" s="17"/>
      <c r="V170" s="17" t="str">
        <f>+CONCATENATE(E170,".",F170,"\",G170,".",H170,":",I170)</f>
        <v>2.4\0.2:30</v>
      </c>
      <c r="W170" s="17"/>
      <c r="X170" s="17"/>
      <c r="Y170" s="17"/>
      <c r="Z170" s="20" t="s">
        <v>1159</v>
      </c>
      <c r="AA170" s="17"/>
      <c r="AB170" s="17"/>
      <c r="AC170" s="17"/>
      <c r="AD170" s="17"/>
      <c r="AE170" s="17"/>
      <c r="AF170" s="17"/>
      <c r="AG170" s="327" t="s">
        <v>985</v>
      </c>
      <c r="AH170" s="327">
        <v>29</v>
      </c>
      <c r="AI170" s="327">
        <v>30</v>
      </c>
      <c r="AJ170" s="64"/>
      <c r="AK170" s="64"/>
      <c r="AL170" s="264"/>
      <c r="AM170" s="84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</row>
    <row r="171" spans="1:51" s="33" customFormat="1" ht="15" thickBot="1" x14ac:dyDescent="0.4">
      <c r="A171" s="63" t="str">
        <f>A170</f>
        <v>BBD131</v>
      </c>
      <c r="B171" s="17" t="s">
        <v>2382</v>
      </c>
      <c r="C171" s="18" t="str">
        <f>+C170</f>
        <v>DIO1</v>
      </c>
      <c r="D171" s="18">
        <v>132</v>
      </c>
      <c r="E171" s="84">
        <f>+E170</f>
        <v>2</v>
      </c>
      <c r="F171" s="84">
        <f>+F170</f>
        <v>4</v>
      </c>
      <c r="G171" s="84">
        <v>0</v>
      </c>
      <c r="H171" s="200">
        <f>H167</f>
        <v>2</v>
      </c>
      <c r="I171" s="191">
        <f>+I170+1</f>
        <v>31</v>
      </c>
      <c r="J171" s="203"/>
      <c r="K171" s="79"/>
      <c r="L171" s="17" t="s">
        <v>323</v>
      </c>
      <c r="M171" s="18"/>
      <c r="N171" s="18"/>
      <c r="O171" s="17"/>
      <c r="P171" s="18"/>
      <c r="Q171" s="17"/>
      <c r="R171" s="78"/>
      <c r="S171" s="78"/>
      <c r="T171" s="78"/>
      <c r="U171" s="17"/>
      <c r="V171" s="17" t="str">
        <f>+CONCATENATE(E171,".",F171,"\",G171,".",H171,":",I171)</f>
        <v>2.4\0.2:31</v>
      </c>
      <c r="W171" s="17"/>
      <c r="X171" s="17"/>
      <c r="Y171" s="17"/>
      <c r="Z171" s="20" t="s">
        <v>1159</v>
      </c>
      <c r="AA171" s="17"/>
      <c r="AB171" s="17"/>
      <c r="AC171" s="17"/>
      <c r="AD171" s="17"/>
      <c r="AE171" s="17"/>
      <c r="AF171" s="17"/>
      <c r="AG171" s="327" t="s">
        <v>985</v>
      </c>
      <c r="AH171" s="327">
        <v>31</v>
      </c>
      <c r="AI171" s="327">
        <v>32</v>
      </c>
      <c r="AJ171" s="64"/>
      <c r="AK171" s="64"/>
      <c r="AL171" s="264"/>
      <c r="AM171" s="84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</row>
    <row r="172" spans="1:51" s="33" customFormat="1" ht="14.5" x14ac:dyDescent="0.35">
      <c r="A172" s="268" t="s">
        <v>2289</v>
      </c>
      <c r="B172" s="17" t="s">
        <v>2382</v>
      </c>
      <c r="C172" s="18" t="str">
        <f>+C171</f>
        <v>DIO1</v>
      </c>
      <c r="D172" s="18">
        <v>132</v>
      </c>
      <c r="E172" s="84">
        <f>+E171</f>
        <v>2</v>
      </c>
      <c r="F172" s="84">
        <f>+F171</f>
        <v>4</v>
      </c>
      <c r="G172" s="84">
        <v>0</v>
      </c>
      <c r="H172" s="214">
        <v>3</v>
      </c>
      <c r="I172" s="188">
        <v>0</v>
      </c>
      <c r="J172" s="201" t="s">
        <v>722</v>
      </c>
      <c r="K172" s="18" t="s">
        <v>721</v>
      </c>
      <c r="L172" s="79" t="s">
        <v>292</v>
      </c>
      <c r="M172" s="18">
        <v>4</v>
      </c>
      <c r="N172" s="17" t="s">
        <v>2470</v>
      </c>
      <c r="O172" s="17" t="s">
        <v>1198</v>
      </c>
      <c r="P172" s="18" t="s">
        <v>2469</v>
      </c>
      <c r="Q172" s="17" t="s">
        <v>2468</v>
      </c>
      <c r="R172" s="17"/>
      <c r="S172" s="17"/>
      <c r="T172" s="17" t="s">
        <v>692</v>
      </c>
      <c r="U172" s="17"/>
      <c r="V172" s="17" t="str">
        <f>+CONCATENATE(E172,".",F172,"\",G172,".",H172,":",I172)</f>
        <v>2.4\0.3:0</v>
      </c>
      <c r="W172" s="17" t="s">
        <v>2440</v>
      </c>
      <c r="X172" s="17">
        <v>0</v>
      </c>
      <c r="Y172" s="17"/>
      <c r="Z172" s="20" t="s">
        <v>1159</v>
      </c>
      <c r="AA172" s="17"/>
      <c r="AB172" s="17"/>
      <c r="AC172" s="17"/>
      <c r="AD172" s="17"/>
      <c r="AE172" s="17"/>
      <c r="AF172" s="17"/>
      <c r="AG172" s="327" t="s">
        <v>844</v>
      </c>
      <c r="AH172" s="327">
        <v>1</v>
      </c>
      <c r="AI172" s="327">
        <v>2</v>
      </c>
      <c r="AJ172" s="64"/>
      <c r="AK172" s="64"/>
      <c r="AL172" s="264"/>
      <c r="AM172" s="84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</row>
    <row r="173" spans="1:51" s="33" customFormat="1" ht="14.5" x14ac:dyDescent="0.35">
      <c r="A173" s="63" t="str">
        <f>A172</f>
        <v>BBD131</v>
      </c>
      <c r="B173" s="17" t="s">
        <v>2382</v>
      </c>
      <c r="C173" s="18" t="str">
        <f>+C172</f>
        <v>DIO1</v>
      </c>
      <c r="D173" s="18">
        <v>132</v>
      </c>
      <c r="E173" s="84">
        <f>+E172</f>
        <v>2</v>
      </c>
      <c r="F173" s="84">
        <f>+F172</f>
        <v>4</v>
      </c>
      <c r="G173" s="84">
        <v>0</v>
      </c>
      <c r="H173" s="200">
        <f>H172</f>
        <v>3</v>
      </c>
      <c r="I173" s="187">
        <f>+I172+1</f>
        <v>1</v>
      </c>
      <c r="J173" s="193"/>
      <c r="K173" s="79"/>
      <c r="L173" s="79" t="s">
        <v>292</v>
      </c>
      <c r="M173" s="18">
        <v>3</v>
      </c>
      <c r="N173" s="17" t="s">
        <v>798</v>
      </c>
      <c r="O173" s="18" t="s">
        <v>517</v>
      </c>
      <c r="P173" s="18" t="s">
        <v>2467</v>
      </c>
      <c r="Q173" s="17" t="s">
        <v>2466</v>
      </c>
      <c r="R173" s="17"/>
      <c r="S173" s="18"/>
      <c r="T173" s="17" t="s">
        <v>798</v>
      </c>
      <c r="U173" s="17"/>
      <c r="V173" s="17" t="str">
        <f>+CONCATENATE(E173,".",F173,"\",G173,".",H173,":",I173)</f>
        <v>2.4\0.3:1</v>
      </c>
      <c r="W173" s="17" t="s">
        <v>2440</v>
      </c>
      <c r="X173" s="221">
        <v>0</v>
      </c>
      <c r="Y173" s="17"/>
      <c r="Z173" s="20" t="s">
        <v>1159</v>
      </c>
      <c r="AA173" s="17"/>
      <c r="AB173" s="17"/>
      <c r="AC173" s="17"/>
      <c r="AD173" s="17"/>
      <c r="AE173" s="17"/>
      <c r="AF173" s="17"/>
      <c r="AG173" s="327" t="s">
        <v>844</v>
      </c>
      <c r="AH173" s="327">
        <v>3</v>
      </c>
      <c r="AI173" s="327">
        <v>4</v>
      </c>
      <c r="AJ173" s="64"/>
      <c r="AK173" s="64"/>
      <c r="AL173" s="264"/>
      <c r="AM173" s="84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</row>
    <row r="174" spans="1:51" s="33" customFormat="1" ht="14.5" x14ac:dyDescent="0.35">
      <c r="A174" s="63" t="str">
        <f>A173</f>
        <v>BBD131</v>
      </c>
      <c r="B174" s="17" t="s">
        <v>2382</v>
      </c>
      <c r="C174" s="18" t="str">
        <f>+C173</f>
        <v>DIO1</v>
      </c>
      <c r="D174" s="18">
        <v>132</v>
      </c>
      <c r="E174" s="84">
        <f>+E173</f>
        <v>2</v>
      </c>
      <c r="F174" s="84">
        <f>+F173</f>
        <v>4</v>
      </c>
      <c r="G174" s="84">
        <v>0</v>
      </c>
      <c r="H174" s="186">
        <f>+H173</f>
        <v>3</v>
      </c>
      <c r="I174" s="187">
        <f>+I173+1</f>
        <v>2</v>
      </c>
      <c r="J174" s="193"/>
      <c r="K174" s="65"/>
      <c r="L174" s="79" t="s">
        <v>292</v>
      </c>
      <c r="M174" s="18">
        <v>3</v>
      </c>
      <c r="N174" s="59" t="s">
        <v>2465</v>
      </c>
      <c r="O174" s="18" t="s">
        <v>1993</v>
      </c>
      <c r="P174" s="59" t="s">
        <v>2414</v>
      </c>
      <c r="Q174" s="17" t="s">
        <v>2464</v>
      </c>
      <c r="R174" s="17"/>
      <c r="S174" s="18"/>
      <c r="T174" s="17" t="s">
        <v>2289</v>
      </c>
      <c r="U174" s="17"/>
      <c r="V174" s="17" t="str">
        <f>+CONCATENATE(E174,".",F174,"\",G174,".",H174,":",I174)</f>
        <v>2.4\0.3:2</v>
      </c>
      <c r="W174" s="17" t="s">
        <v>2440</v>
      </c>
      <c r="X174" s="17">
        <v>0</v>
      </c>
      <c r="Y174" s="17"/>
      <c r="Z174" s="20" t="s">
        <v>1159</v>
      </c>
      <c r="AA174" s="17"/>
      <c r="AB174" s="17"/>
      <c r="AC174" s="17"/>
      <c r="AD174" s="17"/>
      <c r="AE174" s="17"/>
      <c r="AF174" s="17"/>
      <c r="AG174" s="327" t="s">
        <v>844</v>
      </c>
      <c r="AH174" s="327">
        <v>5</v>
      </c>
      <c r="AI174" s="327">
        <v>6</v>
      </c>
      <c r="AJ174" s="64"/>
      <c r="AK174" s="64"/>
      <c r="AL174" s="264"/>
      <c r="AM174" s="84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</row>
    <row r="175" spans="1:51" s="33" customFormat="1" ht="14.5" x14ac:dyDescent="0.35">
      <c r="A175" s="63" t="str">
        <f>A174</f>
        <v>BBD131</v>
      </c>
      <c r="B175" s="17" t="s">
        <v>2382</v>
      </c>
      <c r="C175" s="18" t="str">
        <f>+C174</f>
        <v>DIO1</v>
      </c>
      <c r="D175" s="18">
        <v>132</v>
      </c>
      <c r="E175" s="84">
        <f>+E174</f>
        <v>2</v>
      </c>
      <c r="F175" s="84">
        <f>+F174</f>
        <v>4</v>
      </c>
      <c r="G175" s="84">
        <v>0</v>
      </c>
      <c r="H175" s="186">
        <f>+H174</f>
        <v>3</v>
      </c>
      <c r="I175" s="187">
        <f>+I174+1</f>
        <v>3</v>
      </c>
      <c r="J175" s="193"/>
      <c r="K175" s="65"/>
      <c r="L175" s="79" t="s">
        <v>292</v>
      </c>
      <c r="M175" s="18">
        <v>4</v>
      </c>
      <c r="N175" s="17" t="s">
        <v>857</v>
      </c>
      <c r="O175" s="17" t="s">
        <v>517</v>
      </c>
      <c r="P175" s="17" t="s">
        <v>857</v>
      </c>
      <c r="Q175" s="17" t="s">
        <v>2463</v>
      </c>
      <c r="R175" s="17"/>
      <c r="S175" s="18"/>
      <c r="T175" s="17" t="s">
        <v>857</v>
      </c>
      <c r="U175" s="17"/>
      <c r="V175" s="17" t="str">
        <f>+CONCATENATE(E175,".",F175,"\",G175,".",H175,":",I175)</f>
        <v>2.4\0.3:3</v>
      </c>
      <c r="W175" s="17" t="s">
        <v>2462</v>
      </c>
      <c r="X175" s="332" t="s">
        <v>289</v>
      </c>
      <c r="Y175" s="17"/>
      <c r="Z175" s="20" t="s">
        <v>1159</v>
      </c>
      <c r="AA175" s="17"/>
      <c r="AB175" s="17"/>
      <c r="AC175" s="17"/>
      <c r="AD175" s="17"/>
      <c r="AE175" s="17"/>
      <c r="AF175" s="17"/>
      <c r="AG175" s="327" t="s">
        <v>844</v>
      </c>
      <c r="AH175" s="327">
        <v>7</v>
      </c>
      <c r="AI175" s="327">
        <v>8</v>
      </c>
      <c r="AJ175" s="64"/>
      <c r="AK175" s="64"/>
      <c r="AL175" s="264"/>
      <c r="AM175" s="84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</row>
    <row r="176" spans="1:51" s="33" customFormat="1" ht="14.5" x14ac:dyDescent="0.35">
      <c r="A176" s="63" t="str">
        <f>A175</f>
        <v>BBD131</v>
      </c>
      <c r="B176" s="17" t="s">
        <v>2382</v>
      </c>
      <c r="C176" s="18" t="str">
        <f>+C175</f>
        <v>DIO1</v>
      </c>
      <c r="D176" s="18">
        <v>132</v>
      </c>
      <c r="E176" s="84">
        <f>+E175</f>
        <v>2</v>
      </c>
      <c r="F176" s="84">
        <f>+F175</f>
        <v>4</v>
      </c>
      <c r="G176" s="84">
        <v>0</v>
      </c>
      <c r="H176" s="186">
        <f>+H175</f>
        <v>3</v>
      </c>
      <c r="I176" s="187">
        <f>+I175+1</f>
        <v>4</v>
      </c>
      <c r="J176" s="193"/>
      <c r="K176" s="65"/>
      <c r="L176" s="79" t="s">
        <v>292</v>
      </c>
      <c r="M176" s="18">
        <v>3</v>
      </c>
      <c r="N176" s="59" t="s">
        <v>2390</v>
      </c>
      <c r="O176" s="332" t="s">
        <v>517</v>
      </c>
      <c r="P176" s="59" t="s">
        <v>2406</v>
      </c>
      <c r="Q176" s="332" t="s">
        <v>2461</v>
      </c>
      <c r="R176" s="332"/>
      <c r="S176" s="332"/>
      <c r="T176" s="332" t="s">
        <v>2390</v>
      </c>
      <c r="U176" s="17"/>
      <c r="V176" s="17" t="str">
        <f>+CONCATENATE(E176,".",F176,"\",G176,".",H176,":",I176)</f>
        <v>2.4\0.3:4</v>
      </c>
      <c r="W176" s="332" t="s">
        <v>2440</v>
      </c>
      <c r="X176" s="332">
        <v>0</v>
      </c>
      <c r="Y176" s="332" t="s">
        <v>2459</v>
      </c>
      <c r="Z176" s="20" t="s">
        <v>1159</v>
      </c>
      <c r="AA176" s="17"/>
      <c r="AB176" s="17"/>
      <c r="AC176" s="17"/>
      <c r="AD176" s="17"/>
      <c r="AE176" s="17"/>
      <c r="AF176" s="17"/>
      <c r="AG176" s="327" t="s">
        <v>844</v>
      </c>
      <c r="AH176" s="327">
        <v>9</v>
      </c>
      <c r="AI176" s="327">
        <v>10</v>
      </c>
      <c r="AJ176" s="64"/>
      <c r="AK176" s="64"/>
      <c r="AL176" s="264"/>
      <c r="AM176" s="84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</row>
    <row r="177" spans="1:51" s="33" customFormat="1" ht="14.5" x14ac:dyDescent="0.35">
      <c r="A177" s="63" t="str">
        <f>A176</f>
        <v>BBD131</v>
      </c>
      <c r="B177" s="17" t="s">
        <v>2382</v>
      </c>
      <c r="C177" s="18" t="str">
        <f>+C176</f>
        <v>DIO1</v>
      </c>
      <c r="D177" s="18">
        <v>132</v>
      </c>
      <c r="E177" s="84">
        <f>+E176</f>
        <v>2</v>
      </c>
      <c r="F177" s="84">
        <f>+F176</f>
        <v>4</v>
      </c>
      <c r="G177" s="84">
        <v>0</v>
      </c>
      <c r="H177" s="186">
        <f>+H176</f>
        <v>3</v>
      </c>
      <c r="I177" s="187">
        <f>+I176+1</f>
        <v>5</v>
      </c>
      <c r="J177" s="193"/>
      <c r="K177" s="65"/>
      <c r="L177" s="79" t="s">
        <v>292</v>
      </c>
      <c r="M177" s="18">
        <v>3</v>
      </c>
      <c r="N177" s="59" t="s">
        <v>2390</v>
      </c>
      <c r="O177" s="332" t="s">
        <v>514</v>
      </c>
      <c r="P177" s="59" t="s">
        <v>2406</v>
      </c>
      <c r="Q177" s="332" t="s">
        <v>2460</v>
      </c>
      <c r="R177" s="332"/>
      <c r="S177" s="332"/>
      <c r="T177" s="332" t="s">
        <v>2390</v>
      </c>
      <c r="U177" s="17"/>
      <c r="V177" s="17" t="str">
        <f>+CONCATENATE(E177,".",F177,"\",G177,".",H177,":",I177)</f>
        <v>2.4\0.3:5</v>
      </c>
      <c r="W177" s="332" t="s">
        <v>2440</v>
      </c>
      <c r="X177" s="332">
        <v>0</v>
      </c>
      <c r="Y177" s="332" t="s">
        <v>2459</v>
      </c>
      <c r="Z177" s="20" t="s">
        <v>1159</v>
      </c>
      <c r="AA177" s="17"/>
      <c r="AB177" s="17"/>
      <c r="AC177" s="17"/>
      <c r="AD177" s="17"/>
      <c r="AE177" s="17"/>
      <c r="AF177" s="17"/>
      <c r="AG177" s="327" t="s">
        <v>844</v>
      </c>
      <c r="AH177" s="327">
        <v>11</v>
      </c>
      <c r="AI177" s="327">
        <v>12</v>
      </c>
      <c r="AJ177" s="64"/>
      <c r="AK177" s="64"/>
      <c r="AL177" s="264"/>
      <c r="AM177" s="84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</row>
    <row r="178" spans="1:51" s="33" customFormat="1" ht="14.5" x14ac:dyDescent="0.35">
      <c r="A178" s="63" t="str">
        <f>A177</f>
        <v>BBD131</v>
      </c>
      <c r="B178" s="17" t="s">
        <v>2382</v>
      </c>
      <c r="C178" s="18" t="str">
        <f>+C177</f>
        <v>DIO1</v>
      </c>
      <c r="D178" s="18">
        <v>132</v>
      </c>
      <c r="E178" s="84">
        <f>+E177</f>
        <v>2</v>
      </c>
      <c r="F178" s="84">
        <f>+F177</f>
        <v>4</v>
      </c>
      <c r="G178" s="84">
        <v>0</v>
      </c>
      <c r="H178" s="186">
        <f>+H177</f>
        <v>3</v>
      </c>
      <c r="I178" s="187">
        <f>+I177+1</f>
        <v>6</v>
      </c>
      <c r="J178" s="193"/>
      <c r="K178" s="65"/>
      <c r="L178" s="79" t="s">
        <v>292</v>
      </c>
      <c r="M178" s="18">
        <v>3</v>
      </c>
      <c r="N178" s="17" t="s">
        <v>2458</v>
      </c>
      <c r="O178" s="18" t="s">
        <v>264</v>
      </c>
      <c r="P178" s="17" t="s">
        <v>2401</v>
      </c>
      <c r="Q178" s="17" t="s">
        <v>2457</v>
      </c>
      <c r="R178" s="17"/>
      <c r="S178" s="17"/>
      <c r="T178" s="17" t="s">
        <v>111</v>
      </c>
      <c r="U178" s="17"/>
      <c r="V178" s="17" t="str">
        <f>+CONCATENATE(E178,".",F178,"\",G178,".",H178,":",I178)</f>
        <v>2.4\0.3:6</v>
      </c>
      <c r="W178" s="17" t="s">
        <v>2440</v>
      </c>
      <c r="X178" s="221">
        <v>0</v>
      </c>
      <c r="Y178" s="17"/>
      <c r="Z178" s="20" t="s">
        <v>1159</v>
      </c>
      <c r="AA178" s="17"/>
      <c r="AB178" s="17"/>
      <c r="AC178" s="17"/>
      <c r="AD178" s="17"/>
      <c r="AE178" s="17"/>
      <c r="AF178" s="17"/>
      <c r="AG178" s="327" t="s">
        <v>844</v>
      </c>
      <c r="AH178" s="327">
        <v>13</v>
      </c>
      <c r="AI178" s="327">
        <v>14</v>
      </c>
      <c r="AJ178" s="64"/>
      <c r="AK178" s="64"/>
      <c r="AL178" s="264"/>
      <c r="AM178" s="84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</row>
    <row r="179" spans="1:51" s="33" customFormat="1" ht="14.5" x14ac:dyDescent="0.35">
      <c r="A179" s="63" t="str">
        <f>A178</f>
        <v>BBD131</v>
      </c>
      <c r="B179" s="17" t="s">
        <v>2382</v>
      </c>
      <c r="C179" s="18" t="str">
        <f>+C178</f>
        <v>DIO1</v>
      </c>
      <c r="D179" s="18">
        <v>132</v>
      </c>
      <c r="E179" s="84">
        <f>+E178</f>
        <v>2</v>
      </c>
      <c r="F179" s="84">
        <f>+F178</f>
        <v>4</v>
      </c>
      <c r="G179" s="84">
        <v>0</v>
      </c>
      <c r="H179" s="186">
        <f>+H178</f>
        <v>3</v>
      </c>
      <c r="I179" s="187">
        <f>+I178+1</f>
        <v>7</v>
      </c>
      <c r="J179" s="193"/>
      <c r="K179" s="65"/>
      <c r="L179" s="79" t="s">
        <v>292</v>
      </c>
      <c r="M179" s="18"/>
      <c r="N179" s="18"/>
      <c r="O179" s="18"/>
      <c r="P179" s="17"/>
      <c r="Q179" s="17" t="s">
        <v>127</v>
      </c>
      <c r="R179" s="17"/>
      <c r="S179" s="17"/>
      <c r="T179" s="17"/>
      <c r="U179" s="17"/>
      <c r="V179" s="17" t="str">
        <f>+CONCATENATE(E179,".",F179,"\",G179,".",H179,":",I179)</f>
        <v>2.4\0.3:7</v>
      </c>
      <c r="W179" s="17"/>
      <c r="X179" s="17"/>
      <c r="Y179" s="17"/>
      <c r="Z179" s="20" t="s">
        <v>1159</v>
      </c>
      <c r="AA179" s="17"/>
      <c r="AB179" s="17"/>
      <c r="AC179" s="17"/>
      <c r="AD179" s="17"/>
      <c r="AE179" s="17"/>
      <c r="AF179" s="17"/>
      <c r="AG179" s="327" t="s">
        <v>844</v>
      </c>
      <c r="AH179" s="327">
        <v>15</v>
      </c>
      <c r="AI179" s="327">
        <v>16</v>
      </c>
      <c r="AJ179" s="64"/>
      <c r="AK179" s="64"/>
      <c r="AL179" s="264"/>
      <c r="AM179" s="84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</row>
    <row r="180" spans="1:51" s="33" customFormat="1" ht="14.5" x14ac:dyDescent="0.35">
      <c r="A180" s="63" t="str">
        <f>A179</f>
        <v>BBD131</v>
      </c>
      <c r="B180" s="17" t="s">
        <v>2382</v>
      </c>
      <c r="C180" s="18" t="str">
        <f>+C179</f>
        <v>DIO1</v>
      </c>
      <c r="D180" s="18">
        <v>132</v>
      </c>
      <c r="E180" s="84">
        <f>+E179</f>
        <v>2</v>
      </c>
      <c r="F180" s="84">
        <f>+F179</f>
        <v>4</v>
      </c>
      <c r="G180" s="84">
        <v>0</v>
      </c>
      <c r="H180" s="186">
        <f>+H179</f>
        <v>3</v>
      </c>
      <c r="I180" s="187">
        <f>+I179+1</f>
        <v>8</v>
      </c>
      <c r="J180" s="193"/>
      <c r="K180" s="65"/>
      <c r="L180" s="79" t="s">
        <v>292</v>
      </c>
      <c r="M180" s="18">
        <v>3</v>
      </c>
      <c r="N180" s="18" t="s">
        <v>2456</v>
      </c>
      <c r="O180" s="18" t="s">
        <v>1993</v>
      </c>
      <c r="P180" s="18" t="s">
        <v>2426</v>
      </c>
      <c r="Q180" s="17" t="s">
        <v>2455</v>
      </c>
      <c r="R180" s="17"/>
      <c r="S180" s="17"/>
      <c r="T180" s="17" t="s">
        <v>2424</v>
      </c>
      <c r="U180" s="17"/>
      <c r="V180" s="17" t="str">
        <f>+CONCATENATE(E180,".",F180,"\",G180,".",H180,":",I180)</f>
        <v>2.4\0.3:8</v>
      </c>
      <c r="W180" s="17" t="s">
        <v>2440</v>
      </c>
      <c r="X180" s="221">
        <v>0</v>
      </c>
      <c r="Y180" s="333" t="s">
        <v>2454</v>
      </c>
      <c r="Z180" s="20" t="s">
        <v>1159</v>
      </c>
      <c r="AA180" s="20"/>
      <c r="AB180" s="17"/>
      <c r="AC180" s="17"/>
      <c r="AD180" s="17"/>
      <c r="AE180" s="17"/>
      <c r="AF180" s="17"/>
      <c r="AG180" s="327" t="s">
        <v>844</v>
      </c>
      <c r="AH180" s="327">
        <v>17</v>
      </c>
      <c r="AI180" s="327">
        <v>18</v>
      </c>
      <c r="AJ180" s="64"/>
      <c r="AK180" s="64"/>
      <c r="AL180" s="264"/>
      <c r="AM180" s="84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</row>
    <row r="181" spans="1:51" s="33" customFormat="1" ht="14.5" x14ac:dyDescent="0.35">
      <c r="A181" s="63" t="str">
        <f>A180</f>
        <v>BBD131</v>
      </c>
      <c r="B181" s="17" t="s">
        <v>2382</v>
      </c>
      <c r="C181" s="18" t="str">
        <f>+C180</f>
        <v>DIO1</v>
      </c>
      <c r="D181" s="18">
        <v>132</v>
      </c>
      <c r="E181" s="84">
        <f>+E180</f>
        <v>2</v>
      </c>
      <c r="F181" s="84">
        <f>+F180</f>
        <v>4</v>
      </c>
      <c r="G181" s="84">
        <v>0</v>
      </c>
      <c r="H181" s="186">
        <f>+H180</f>
        <v>3</v>
      </c>
      <c r="I181" s="187">
        <f>+I180+1</f>
        <v>9</v>
      </c>
      <c r="J181" s="193"/>
      <c r="K181" s="65"/>
      <c r="L181" s="79" t="s">
        <v>292</v>
      </c>
      <c r="M181" s="18">
        <v>3</v>
      </c>
      <c r="N181" s="18" t="s">
        <v>2453</v>
      </c>
      <c r="O181" s="18" t="s">
        <v>1196</v>
      </c>
      <c r="P181" s="18" t="s">
        <v>2426</v>
      </c>
      <c r="Q181" s="17" t="s">
        <v>2452</v>
      </c>
      <c r="R181" s="17"/>
      <c r="S181" s="17"/>
      <c r="T181" s="17" t="s">
        <v>2424</v>
      </c>
      <c r="U181" s="17"/>
      <c r="V181" s="17" t="str">
        <f>+CONCATENATE(E181,".",F181,"\",G181,".",H181,":",I181)</f>
        <v>2.4\0.3:9</v>
      </c>
      <c r="W181" s="17" t="s">
        <v>2440</v>
      </c>
      <c r="X181" s="221">
        <v>0</v>
      </c>
      <c r="Y181" s="333" t="s">
        <v>2451</v>
      </c>
      <c r="Z181" s="20" t="s">
        <v>1159</v>
      </c>
      <c r="AA181" s="20"/>
      <c r="AB181" s="17"/>
      <c r="AC181" s="17"/>
      <c r="AD181" s="17"/>
      <c r="AE181" s="17"/>
      <c r="AF181" s="17"/>
      <c r="AG181" s="327" t="s">
        <v>844</v>
      </c>
      <c r="AH181" s="327">
        <v>19</v>
      </c>
      <c r="AI181" s="327">
        <v>20</v>
      </c>
      <c r="AJ181" s="64"/>
      <c r="AK181" s="64"/>
      <c r="AL181" s="264"/>
      <c r="AM181" s="84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</row>
    <row r="182" spans="1:51" s="33" customFormat="1" ht="14.5" x14ac:dyDescent="0.35">
      <c r="A182" s="63" t="str">
        <f>A181</f>
        <v>BBD131</v>
      </c>
      <c r="B182" s="17" t="s">
        <v>2382</v>
      </c>
      <c r="C182" s="18" t="str">
        <f>+C181</f>
        <v>DIO1</v>
      </c>
      <c r="D182" s="18">
        <v>132</v>
      </c>
      <c r="E182" s="84">
        <f>+E181</f>
        <v>2</v>
      </c>
      <c r="F182" s="84">
        <f>+F181</f>
        <v>4</v>
      </c>
      <c r="G182" s="84">
        <v>0</v>
      </c>
      <c r="H182" s="186">
        <f>+H181</f>
        <v>3</v>
      </c>
      <c r="I182" s="187">
        <f>+I181+1</f>
        <v>10</v>
      </c>
      <c r="J182" s="193"/>
      <c r="K182" s="65"/>
      <c r="L182" s="79" t="s">
        <v>292</v>
      </c>
      <c r="M182" s="18">
        <v>3</v>
      </c>
      <c r="N182" s="18" t="s">
        <v>2450</v>
      </c>
      <c r="O182" s="18" t="s">
        <v>1986</v>
      </c>
      <c r="P182" s="18" t="s">
        <v>2426</v>
      </c>
      <c r="Q182" s="17" t="s">
        <v>2449</v>
      </c>
      <c r="R182" s="78"/>
      <c r="S182" s="78"/>
      <c r="T182" s="17" t="s">
        <v>2424</v>
      </c>
      <c r="U182" s="17"/>
      <c r="V182" s="17" t="str">
        <f>+CONCATENATE(E182,".",F182,"\",G182,".",H182,":",I182)</f>
        <v>2.4\0.3:10</v>
      </c>
      <c r="W182" s="17" t="s">
        <v>2440</v>
      </c>
      <c r="X182" s="221">
        <v>0</v>
      </c>
      <c r="Y182" s="17"/>
      <c r="Z182" s="20" t="s">
        <v>1159</v>
      </c>
      <c r="AA182" s="17"/>
      <c r="AB182" s="17"/>
      <c r="AC182" s="17"/>
      <c r="AD182" s="17"/>
      <c r="AE182" s="17"/>
      <c r="AF182" s="17"/>
      <c r="AG182" s="327" t="s">
        <v>844</v>
      </c>
      <c r="AH182" s="327">
        <v>21</v>
      </c>
      <c r="AI182" s="327">
        <v>22</v>
      </c>
      <c r="AJ182" s="64"/>
      <c r="AK182" s="64"/>
      <c r="AL182" s="264"/>
      <c r="AM182" s="84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</row>
    <row r="183" spans="1:51" s="33" customFormat="1" ht="14.5" x14ac:dyDescent="0.35">
      <c r="A183" s="63" t="str">
        <f>A182</f>
        <v>BBD131</v>
      </c>
      <c r="B183" s="17" t="s">
        <v>2382</v>
      </c>
      <c r="C183" s="18" t="str">
        <f>+C182</f>
        <v>DIO1</v>
      </c>
      <c r="D183" s="18">
        <v>132</v>
      </c>
      <c r="E183" s="84">
        <f>+E182</f>
        <v>2</v>
      </c>
      <c r="F183" s="84">
        <f>+F182</f>
        <v>4</v>
      </c>
      <c r="G183" s="84">
        <v>0</v>
      </c>
      <c r="H183" s="186">
        <f>+H182</f>
        <v>3</v>
      </c>
      <c r="I183" s="187">
        <f>+I182+1</f>
        <v>11</v>
      </c>
      <c r="J183" s="193"/>
      <c r="K183" s="65"/>
      <c r="L183" s="79" t="s">
        <v>292</v>
      </c>
      <c r="M183" s="18">
        <v>3</v>
      </c>
      <c r="N183" s="18" t="s">
        <v>2448</v>
      </c>
      <c r="O183" s="18" t="s">
        <v>1198</v>
      </c>
      <c r="P183" s="18" t="s">
        <v>2426</v>
      </c>
      <c r="Q183" s="17" t="s">
        <v>2447</v>
      </c>
      <c r="R183" s="78"/>
      <c r="S183" s="78"/>
      <c r="T183" s="17" t="s">
        <v>2424</v>
      </c>
      <c r="U183" s="17"/>
      <c r="V183" s="17" t="str">
        <f>+CONCATENATE(E183,".",F183,"\",G183,".",H183,":",I183)</f>
        <v>2.4\0.3:11</v>
      </c>
      <c r="W183" s="17" t="s">
        <v>2440</v>
      </c>
      <c r="X183" s="221">
        <v>0</v>
      </c>
      <c r="Y183" s="333" t="s">
        <v>2446</v>
      </c>
      <c r="Z183" s="20" t="s">
        <v>1159</v>
      </c>
      <c r="AA183" s="17"/>
      <c r="AB183" s="17"/>
      <c r="AC183" s="17"/>
      <c r="AD183" s="17"/>
      <c r="AE183" s="17"/>
      <c r="AF183" s="17"/>
      <c r="AG183" s="327" t="s">
        <v>844</v>
      </c>
      <c r="AH183" s="327">
        <v>23</v>
      </c>
      <c r="AI183" s="327">
        <v>24</v>
      </c>
      <c r="AJ183" s="64"/>
      <c r="AK183" s="64"/>
      <c r="AL183" s="264"/>
      <c r="AM183" s="84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</row>
    <row r="184" spans="1:51" s="33" customFormat="1" ht="14.5" x14ac:dyDescent="0.35">
      <c r="A184" s="63" t="str">
        <f>A183</f>
        <v>BBD131</v>
      </c>
      <c r="B184" s="17" t="s">
        <v>2382</v>
      </c>
      <c r="C184" s="18" t="str">
        <f>+C183</f>
        <v>DIO1</v>
      </c>
      <c r="D184" s="18">
        <v>132</v>
      </c>
      <c r="E184" s="84">
        <f>+E183</f>
        <v>2</v>
      </c>
      <c r="F184" s="84">
        <f>+F183</f>
        <v>4</v>
      </c>
      <c r="G184" s="84">
        <v>0</v>
      </c>
      <c r="H184" s="186">
        <f>+H183</f>
        <v>3</v>
      </c>
      <c r="I184" s="187">
        <f>+I183+1</f>
        <v>12</v>
      </c>
      <c r="J184" s="193"/>
      <c r="K184" s="65"/>
      <c r="L184" s="79" t="s">
        <v>292</v>
      </c>
      <c r="M184" s="18">
        <v>3</v>
      </c>
      <c r="N184" s="18" t="s">
        <v>2445</v>
      </c>
      <c r="O184" s="18" t="s">
        <v>2012</v>
      </c>
      <c r="P184" s="18" t="s">
        <v>2426</v>
      </c>
      <c r="Q184" s="17" t="s">
        <v>2444</v>
      </c>
      <c r="R184" s="17" t="s">
        <v>299</v>
      </c>
      <c r="S184" s="78"/>
      <c r="T184" s="17" t="s">
        <v>2424</v>
      </c>
      <c r="U184" s="17"/>
      <c r="V184" s="17" t="str">
        <f>+CONCATENATE(E184,".",F184,"\",G184,".",H184,":",I184)</f>
        <v>2.4\0.3:12</v>
      </c>
      <c r="W184" s="221" t="s">
        <v>2440</v>
      </c>
      <c r="X184" s="221">
        <v>0</v>
      </c>
      <c r="Y184" s="17"/>
      <c r="Z184" s="20" t="s">
        <v>1159</v>
      </c>
      <c r="AA184" s="17"/>
      <c r="AB184" s="17"/>
      <c r="AC184" s="17"/>
      <c r="AD184" s="17"/>
      <c r="AE184" s="17"/>
      <c r="AF184" s="17"/>
      <c r="AG184" s="327" t="s">
        <v>844</v>
      </c>
      <c r="AH184" s="327">
        <v>25</v>
      </c>
      <c r="AI184" s="327">
        <v>26</v>
      </c>
      <c r="AJ184" s="64"/>
      <c r="AK184" s="64"/>
      <c r="AL184" s="264"/>
      <c r="AM184" s="84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</row>
    <row r="185" spans="1:51" s="33" customFormat="1" ht="14.5" x14ac:dyDescent="0.35">
      <c r="A185" s="63" t="str">
        <f>A184</f>
        <v>BBD131</v>
      </c>
      <c r="B185" s="17" t="s">
        <v>2382</v>
      </c>
      <c r="C185" s="18" t="str">
        <f>+C184</f>
        <v>DIO1</v>
      </c>
      <c r="D185" s="18">
        <v>132</v>
      </c>
      <c r="E185" s="84">
        <f>+E184</f>
        <v>2</v>
      </c>
      <c r="F185" s="84">
        <f>+F184</f>
        <v>4</v>
      </c>
      <c r="G185" s="84">
        <v>0</v>
      </c>
      <c r="H185" s="186">
        <f>+H184</f>
        <v>3</v>
      </c>
      <c r="I185" s="187">
        <f>+I184+1</f>
        <v>13</v>
      </c>
      <c r="J185" s="193"/>
      <c r="K185" s="65"/>
      <c r="L185" s="79" t="s">
        <v>292</v>
      </c>
      <c r="M185" s="18">
        <v>3</v>
      </c>
      <c r="N185" s="18" t="s">
        <v>2443</v>
      </c>
      <c r="O185" s="18" t="s">
        <v>2442</v>
      </c>
      <c r="P185" s="18" t="s">
        <v>2426</v>
      </c>
      <c r="Q185" s="17" t="s">
        <v>2441</v>
      </c>
      <c r="R185" s="17" t="s">
        <v>299</v>
      </c>
      <c r="S185" s="78"/>
      <c r="T185" s="17" t="s">
        <v>2424</v>
      </c>
      <c r="U185" s="18"/>
      <c r="V185" s="17" t="str">
        <f>+CONCATENATE(E185,".",F185,"\",G185,".",H185,":",I185)</f>
        <v>2.4\0.3:13</v>
      </c>
      <c r="W185" s="221" t="s">
        <v>2440</v>
      </c>
      <c r="X185" s="221">
        <v>0</v>
      </c>
      <c r="Y185" s="17"/>
      <c r="Z185" s="20" t="s">
        <v>1159</v>
      </c>
      <c r="AA185" s="17"/>
      <c r="AB185" s="17"/>
      <c r="AC185" s="17"/>
      <c r="AD185" s="17"/>
      <c r="AE185" s="17"/>
      <c r="AF185" s="17"/>
      <c r="AG185" s="327" t="s">
        <v>844</v>
      </c>
      <c r="AH185" s="327">
        <v>27</v>
      </c>
      <c r="AI185" s="327">
        <v>28</v>
      </c>
      <c r="AJ185" s="64"/>
      <c r="AK185" s="64"/>
      <c r="AL185" s="264"/>
      <c r="AM185" s="84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</row>
    <row r="186" spans="1:51" s="33" customFormat="1" ht="14.5" x14ac:dyDescent="0.35">
      <c r="A186" s="63" t="str">
        <f>A185</f>
        <v>BBD131</v>
      </c>
      <c r="B186" s="17" t="s">
        <v>2382</v>
      </c>
      <c r="C186" s="18" t="str">
        <f>+C185</f>
        <v>DIO1</v>
      </c>
      <c r="D186" s="18">
        <v>132</v>
      </c>
      <c r="E186" s="84">
        <f>+E185</f>
        <v>2</v>
      </c>
      <c r="F186" s="84">
        <f>+F185</f>
        <v>4</v>
      </c>
      <c r="G186" s="84">
        <v>0</v>
      </c>
      <c r="H186" s="186">
        <f>+H185</f>
        <v>3</v>
      </c>
      <c r="I186" s="187">
        <f>+I185+1</f>
        <v>14</v>
      </c>
      <c r="J186" s="193"/>
      <c r="K186" s="65"/>
      <c r="L186" s="79" t="s">
        <v>292</v>
      </c>
      <c r="M186" s="18"/>
      <c r="N186" s="219"/>
      <c r="O186" s="18"/>
      <c r="P186" s="219"/>
      <c r="Q186" s="17"/>
      <c r="R186" s="17"/>
      <c r="S186" s="17"/>
      <c r="T186" s="17"/>
      <c r="U186" s="18"/>
      <c r="V186" s="17" t="str">
        <f>+CONCATENATE(E186,".",F186,"\",G186,".",H186,":",I186)</f>
        <v>2.4\0.3:14</v>
      </c>
      <c r="W186" s="18"/>
      <c r="X186" s="18"/>
      <c r="Y186" s="17"/>
      <c r="Z186" s="20" t="s">
        <v>1159</v>
      </c>
      <c r="AA186" s="17"/>
      <c r="AB186" s="17"/>
      <c r="AC186" s="17"/>
      <c r="AD186" s="17"/>
      <c r="AE186" s="17"/>
      <c r="AF186" s="17"/>
      <c r="AG186" s="327" t="s">
        <v>844</v>
      </c>
      <c r="AH186" s="327">
        <v>29</v>
      </c>
      <c r="AI186" s="327">
        <v>30</v>
      </c>
      <c r="AJ186" s="64"/>
      <c r="AK186" s="64"/>
      <c r="AL186" s="264"/>
      <c r="AM186" s="84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</row>
    <row r="187" spans="1:51" s="33" customFormat="1" ht="15" thickBot="1" x14ac:dyDescent="0.4">
      <c r="A187" s="63" t="str">
        <f>A186</f>
        <v>BBD131</v>
      </c>
      <c r="B187" s="17" t="s">
        <v>2382</v>
      </c>
      <c r="C187" s="18" t="str">
        <f>+C186</f>
        <v>DIO1</v>
      </c>
      <c r="D187" s="18">
        <v>132</v>
      </c>
      <c r="E187" s="84">
        <f>+E186</f>
        <v>2</v>
      </c>
      <c r="F187" s="84">
        <f>+F186</f>
        <v>4</v>
      </c>
      <c r="G187" s="84">
        <v>0</v>
      </c>
      <c r="H187" s="186">
        <f>+H186</f>
        <v>3</v>
      </c>
      <c r="I187" s="191">
        <f>+I186+1</f>
        <v>15</v>
      </c>
      <c r="J187" s="190"/>
      <c r="K187" s="65"/>
      <c r="L187" s="79" t="s">
        <v>292</v>
      </c>
      <c r="M187" s="18"/>
      <c r="N187" s="18"/>
      <c r="O187" s="17"/>
      <c r="P187" s="18"/>
      <c r="Q187" s="17"/>
      <c r="R187" s="17"/>
      <c r="S187" s="17"/>
      <c r="T187" s="17"/>
      <c r="U187" s="17"/>
      <c r="V187" s="17" t="str">
        <f>+CONCATENATE(E187,".",F187,"\",G187,".",H187,":",I187)</f>
        <v>2.4\0.3:15</v>
      </c>
      <c r="W187" s="17"/>
      <c r="X187" s="17"/>
      <c r="Y187" s="17"/>
      <c r="Z187" s="20" t="s">
        <v>1159</v>
      </c>
      <c r="AA187" s="17"/>
      <c r="AB187" s="17"/>
      <c r="AC187" s="17"/>
      <c r="AD187" s="17"/>
      <c r="AE187" s="17"/>
      <c r="AF187" s="17"/>
      <c r="AG187" s="327" t="s">
        <v>844</v>
      </c>
      <c r="AH187" s="327">
        <v>31</v>
      </c>
      <c r="AI187" s="327">
        <v>32</v>
      </c>
      <c r="AJ187" s="64"/>
      <c r="AK187" s="64"/>
      <c r="AL187" s="264"/>
      <c r="AM187" s="84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 spans="1:51" s="33" customFormat="1" ht="14.5" x14ac:dyDescent="0.35">
      <c r="A188" s="268" t="s">
        <v>2289</v>
      </c>
      <c r="B188" s="17" t="s">
        <v>2382</v>
      </c>
      <c r="C188" s="18" t="str">
        <f>+C187</f>
        <v>DIO1</v>
      </c>
      <c r="D188" s="18">
        <v>132</v>
      </c>
      <c r="E188" s="84">
        <f>+E187</f>
        <v>2</v>
      </c>
      <c r="F188" s="84">
        <f>+F187</f>
        <v>4</v>
      </c>
      <c r="G188" s="84">
        <v>0</v>
      </c>
      <c r="H188" s="214">
        <v>4</v>
      </c>
      <c r="I188" s="188">
        <v>0</v>
      </c>
      <c r="J188" s="276" t="s">
        <v>1185</v>
      </c>
      <c r="K188" s="17" t="s">
        <v>1184</v>
      </c>
      <c r="L188" s="79" t="s">
        <v>1170</v>
      </c>
      <c r="M188" s="18">
        <v>4</v>
      </c>
      <c r="N188" s="59" t="s">
        <v>2439</v>
      </c>
      <c r="O188" s="17" t="s">
        <v>2313</v>
      </c>
      <c r="P188" s="18" t="s">
        <v>2426</v>
      </c>
      <c r="Q188" s="17" t="s">
        <v>2438</v>
      </c>
      <c r="R188" s="18"/>
      <c r="S188" s="332" t="s">
        <v>2428</v>
      </c>
      <c r="T188" s="17" t="s">
        <v>2424</v>
      </c>
      <c r="U188" s="17" t="s">
        <v>1177</v>
      </c>
      <c r="V188" s="17" t="str">
        <f>+CONCATENATE(E188,".",F188,"\",G188,".",H188,":",I188)</f>
        <v>2.4\0.4:0</v>
      </c>
      <c r="W188" s="17" t="s">
        <v>2413</v>
      </c>
      <c r="X188" s="17">
        <v>0</v>
      </c>
      <c r="Y188" s="17"/>
      <c r="Z188" s="20" t="s">
        <v>1159</v>
      </c>
      <c r="AA188" s="17"/>
      <c r="AB188" s="17">
        <v>0</v>
      </c>
      <c r="AC188" s="17">
        <v>5000</v>
      </c>
      <c r="AD188" s="17">
        <v>0</v>
      </c>
      <c r="AE188" s="17">
        <v>5000</v>
      </c>
      <c r="AF188" s="17" t="s">
        <v>2043</v>
      </c>
      <c r="AG188" s="327" t="s">
        <v>844</v>
      </c>
      <c r="AH188" s="327">
        <v>33</v>
      </c>
      <c r="AI188" s="327">
        <v>34</v>
      </c>
      <c r="AJ188" s="64"/>
      <c r="AK188" s="64"/>
      <c r="AL188" s="264"/>
      <c r="AM188" s="84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</row>
    <row r="189" spans="1:51" s="33" customFormat="1" ht="14.5" x14ac:dyDescent="0.35">
      <c r="A189" s="63" t="str">
        <f>A188</f>
        <v>BBD131</v>
      </c>
      <c r="B189" s="17" t="s">
        <v>2382</v>
      </c>
      <c r="C189" s="18" t="str">
        <f>+C188</f>
        <v>DIO1</v>
      </c>
      <c r="D189" s="18">
        <v>132</v>
      </c>
      <c r="E189" s="84">
        <f>+E188</f>
        <v>2</v>
      </c>
      <c r="F189" s="84">
        <f>+F188</f>
        <v>4</v>
      </c>
      <c r="G189" s="84">
        <v>0</v>
      </c>
      <c r="H189" s="186">
        <f>+H188</f>
        <v>4</v>
      </c>
      <c r="I189" s="187">
        <f>+I188+1</f>
        <v>1</v>
      </c>
      <c r="J189" s="275"/>
      <c r="K189" s="18"/>
      <c r="L189" s="79" t="s">
        <v>1170</v>
      </c>
      <c r="M189" s="18">
        <v>4</v>
      </c>
      <c r="N189" s="59" t="s">
        <v>2437</v>
      </c>
      <c r="O189" s="17" t="s">
        <v>2311</v>
      </c>
      <c r="P189" s="18" t="s">
        <v>2426</v>
      </c>
      <c r="Q189" s="17" t="s">
        <v>2436</v>
      </c>
      <c r="R189" s="17"/>
      <c r="S189" s="332" t="s">
        <v>2428</v>
      </c>
      <c r="T189" s="17" t="s">
        <v>2424</v>
      </c>
      <c r="U189" s="17" t="s">
        <v>1177</v>
      </c>
      <c r="V189" s="17" t="str">
        <f>+CONCATENATE(E189,".",F189,"\",G189,".",H189,":",I189)</f>
        <v>2.4\0.4:1</v>
      </c>
      <c r="W189" s="17" t="s">
        <v>2413</v>
      </c>
      <c r="X189" s="17">
        <v>0</v>
      </c>
      <c r="Y189" s="17"/>
      <c r="Z189" s="20" t="s">
        <v>1159</v>
      </c>
      <c r="AA189" s="17"/>
      <c r="AB189" s="17">
        <v>0</v>
      </c>
      <c r="AC189" s="17">
        <v>5000</v>
      </c>
      <c r="AD189" s="17">
        <v>0</v>
      </c>
      <c r="AE189" s="17">
        <v>5000</v>
      </c>
      <c r="AF189" s="17" t="s">
        <v>2043</v>
      </c>
      <c r="AG189" s="327" t="s">
        <v>844</v>
      </c>
      <c r="AH189" s="327">
        <v>35</v>
      </c>
      <c r="AI189" s="327">
        <v>36</v>
      </c>
      <c r="AJ189" s="64"/>
      <c r="AK189" s="64"/>
      <c r="AL189" s="264"/>
      <c r="AM189" s="84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 spans="1:51" s="33" customFormat="1" ht="14.5" x14ac:dyDescent="0.35">
      <c r="A190" s="63" t="str">
        <f>A189</f>
        <v>BBD131</v>
      </c>
      <c r="B190" s="17" t="s">
        <v>2382</v>
      </c>
      <c r="C190" s="18" t="str">
        <f>+C189</f>
        <v>DIO1</v>
      </c>
      <c r="D190" s="18">
        <v>132</v>
      </c>
      <c r="E190" s="84">
        <f>+E189</f>
        <v>2</v>
      </c>
      <c r="F190" s="84">
        <f>+F189</f>
        <v>4</v>
      </c>
      <c r="G190" s="84">
        <v>0</v>
      </c>
      <c r="H190" s="186">
        <f>+H189</f>
        <v>4</v>
      </c>
      <c r="I190" s="187">
        <f>+I189+1</f>
        <v>2</v>
      </c>
      <c r="J190" s="275"/>
      <c r="K190" s="18"/>
      <c r="L190" s="79" t="s">
        <v>1170</v>
      </c>
      <c r="M190" s="18">
        <v>3</v>
      </c>
      <c r="N190" s="59" t="s">
        <v>2435</v>
      </c>
      <c r="O190" s="17" t="s">
        <v>2302</v>
      </c>
      <c r="P190" s="18" t="s">
        <v>2426</v>
      </c>
      <c r="Q190" s="17" t="s">
        <v>2434</v>
      </c>
      <c r="R190" s="18"/>
      <c r="S190" s="332" t="s">
        <v>2428</v>
      </c>
      <c r="T190" s="17" t="s">
        <v>2424</v>
      </c>
      <c r="U190" s="17" t="s">
        <v>1177</v>
      </c>
      <c r="V190" s="17" t="str">
        <f>+CONCATENATE(E190,".",F190,"\",G190,".",H190,":",I190)</f>
        <v>2.4\0.4:2</v>
      </c>
      <c r="W190" s="17" t="s">
        <v>2413</v>
      </c>
      <c r="X190" s="17">
        <v>0</v>
      </c>
      <c r="Y190" s="17"/>
      <c r="Z190" s="20" t="s">
        <v>1159</v>
      </c>
      <c r="AA190" s="17"/>
      <c r="AB190" s="17">
        <v>0</v>
      </c>
      <c r="AC190" s="17">
        <v>500</v>
      </c>
      <c r="AD190" s="17">
        <v>0</v>
      </c>
      <c r="AE190" s="17">
        <v>500</v>
      </c>
      <c r="AF190" s="17" t="s">
        <v>2043</v>
      </c>
      <c r="AG190" s="327" t="s">
        <v>844</v>
      </c>
      <c r="AH190" s="327">
        <v>37</v>
      </c>
      <c r="AI190" s="327">
        <v>38</v>
      </c>
      <c r="AJ190" s="64"/>
      <c r="AK190" s="64"/>
      <c r="AL190" s="264"/>
      <c r="AM190" s="84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</row>
    <row r="191" spans="1:51" s="33" customFormat="1" ht="14.5" x14ac:dyDescent="0.35">
      <c r="A191" s="63" t="str">
        <f>A190</f>
        <v>BBD131</v>
      </c>
      <c r="B191" s="17" t="s">
        <v>2382</v>
      </c>
      <c r="C191" s="18" t="str">
        <f>+C190</f>
        <v>DIO1</v>
      </c>
      <c r="D191" s="18">
        <v>132</v>
      </c>
      <c r="E191" s="84">
        <f>+E190</f>
        <v>2</v>
      </c>
      <c r="F191" s="84">
        <f>+F190</f>
        <v>4</v>
      </c>
      <c r="G191" s="84">
        <v>0</v>
      </c>
      <c r="H191" s="186">
        <f>+H190</f>
        <v>4</v>
      </c>
      <c r="I191" s="187">
        <f>+I190+1</f>
        <v>3</v>
      </c>
      <c r="J191" s="275"/>
      <c r="K191" s="18"/>
      <c r="L191" s="79" t="s">
        <v>1170</v>
      </c>
      <c r="M191" s="18">
        <v>4</v>
      </c>
      <c r="N191" s="59" t="s">
        <v>2433</v>
      </c>
      <c r="O191" s="17" t="s">
        <v>2299</v>
      </c>
      <c r="P191" s="18" t="s">
        <v>2426</v>
      </c>
      <c r="Q191" s="17" t="s">
        <v>2432</v>
      </c>
      <c r="R191" s="18"/>
      <c r="S191" s="332" t="s">
        <v>2428</v>
      </c>
      <c r="T191" s="17" t="s">
        <v>2424</v>
      </c>
      <c r="U191" s="17" t="s">
        <v>1177</v>
      </c>
      <c r="V191" s="17" t="str">
        <f>+CONCATENATE(E191,".",F191,"\",G191,".",H191,":",I191)</f>
        <v>2.4\0.4:3</v>
      </c>
      <c r="W191" s="17" t="s">
        <v>2413</v>
      </c>
      <c r="X191" s="17">
        <v>0</v>
      </c>
      <c r="Y191" s="17"/>
      <c r="Z191" s="20" t="s">
        <v>1159</v>
      </c>
      <c r="AA191" s="17"/>
      <c r="AB191" s="17">
        <v>0</v>
      </c>
      <c r="AC191" s="17">
        <v>5000</v>
      </c>
      <c r="AD191" s="17">
        <v>0</v>
      </c>
      <c r="AE191" s="17">
        <v>5000</v>
      </c>
      <c r="AF191" s="17" t="s">
        <v>2043</v>
      </c>
      <c r="AG191" s="327" t="s">
        <v>844</v>
      </c>
      <c r="AH191" s="327">
        <v>39</v>
      </c>
      <c r="AI191" s="327">
        <v>40</v>
      </c>
      <c r="AJ191" s="64"/>
      <c r="AK191" s="64"/>
      <c r="AL191" s="264"/>
      <c r="AM191" s="84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 spans="1:51" s="33" customFormat="1" ht="14.5" x14ac:dyDescent="0.35">
      <c r="A192" s="63" t="str">
        <f>A191</f>
        <v>BBD131</v>
      </c>
      <c r="B192" s="17" t="s">
        <v>2382</v>
      </c>
      <c r="C192" s="18" t="str">
        <f>+C191</f>
        <v>DIO1</v>
      </c>
      <c r="D192" s="18">
        <v>132</v>
      </c>
      <c r="E192" s="84">
        <f>+E191</f>
        <v>2</v>
      </c>
      <c r="F192" s="84">
        <f>+F191</f>
        <v>4</v>
      </c>
      <c r="G192" s="84">
        <v>0</v>
      </c>
      <c r="H192" s="186">
        <f>+H191</f>
        <v>4</v>
      </c>
      <c r="I192" s="187">
        <f>+I191+1</f>
        <v>4</v>
      </c>
      <c r="J192" s="275"/>
      <c r="K192" s="18"/>
      <c r="L192" s="79" t="s">
        <v>1170</v>
      </c>
      <c r="M192" s="18">
        <v>4</v>
      </c>
      <c r="N192" s="59" t="s">
        <v>2431</v>
      </c>
      <c r="O192" s="17" t="s">
        <v>2430</v>
      </c>
      <c r="P192" s="18" t="s">
        <v>2426</v>
      </c>
      <c r="Q192" s="17" t="s">
        <v>2429</v>
      </c>
      <c r="R192" s="17"/>
      <c r="S192" s="332" t="s">
        <v>2428</v>
      </c>
      <c r="T192" s="17" t="s">
        <v>2424</v>
      </c>
      <c r="U192" s="17" t="s">
        <v>1177</v>
      </c>
      <c r="V192" s="17" t="str">
        <f>+CONCATENATE(E192,".",F192,"\",G192,".",H192,":",I192)</f>
        <v>2.4\0.4:4</v>
      </c>
      <c r="W192" s="17" t="s">
        <v>2413</v>
      </c>
      <c r="X192" s="17">
        <v>0</v>
      </c>
      <c r="Y192" s="17"/>
      <c r="Z192" s="20" t="s">
        <v>1159</v>
      </c>
      <c r="AA192" s="17"/>
      <c r="AB192" s="17">
        <v>0</v>
      </c>
      <c r="AC192" s="17">
        <v>5000</v>
      </c>
      <c r="AD192" s="17">
        <v>0</v>
      </c>
      <c r="AE192" s="17">
        <v>5000</v>
      </c>
      <c r="AF192" s="17" t="s">
        <v>2043</v>
      </c>
      <c r="AG192" s="327" t="s">
        <v>844</v>
      </c>
      <c r="AH192" s="327">
        <v>41</v>
      </c>
      <c r="AI192" s="327">
        <v>42</v>
      </c>
      <c r="AJ192" s="64"/>
      <c r="AK192" s="64"/>
      <c r="AL192" s="264"/>
      <c r="AM192" s="84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</row>
    <row r="193" spans="1:51" s="33" customFormat="1" ht="14.5" x14ac:dyDescent="0.35">
      <c r="A193" s="63" t="str">
        <f>A192</f>
        <v>BBD131</v>
      </c>
      <c r="B193" s="17" t="s">
        <v>2382</v>
      </c>
      <c r="C193" s="18" t="str">
        <f>+C192</f>
        <v>DIO1</v>
      </c>
      <c r="D193" s="18">
        <v>132</v>
      </c>
      <c r="E193" s="84">
        <f>+E192</f>
        <v>2</v>
      </c>
      <c r="F193" s="84">
        <f>+F192</f>
        <v>4</v>
      </c>
      <c r="G193" s="84">
        <v>0</v>
      </c>
      <c r="H193" s="186">
        <f>+H192</f>
        <v>4</v>
      </c>
      <c r="I193" s="187">
        <f>+I192+1</f>
        <v>5</v>
      </c>
      <c r="J193" s="275"/>
      <c r="K193" s="18"/>
      <c r="L193" s="79" t="s">
        <v>1170</v>
      </c>
      <c r="M193" s="18">
        <v>3</v>
      </c>
      <c r="N193" s="18" t="s">
        <v>2427</v>
      </c>
      <c r="O193" s="17" t="s">
        <v>2319</v>
      </c>
      <c r="P193" s="18" t="s">
        <v>2426</v>
      </c>
      <c r="Q193" s="17" t="s">
        <v>2425</v>
      </c>
      <c r="R193" s="18"/>
      <c r="S193" s="332" t="s">
        <v>2087</v>
      </c>
      <c r="T193" s="18" t="s">
        <v>2424</v>
      </c>
      <c r="U193" s="17" t="s">
        <v>1177</v>
      </c>
      <c r="V193" s="17" t="str">
        <f>+CONCATENATE(E193,".",F193,"\",G193,".",H193,":",I193)</f>
        <v>2.4\0.4:5</v>
      </c>
      <c r="W193" s="17" t="s">
        <v>2413</v>
      </c>
      <c r="X193" s="17">
        <v>0</v>
      </c>
      <c r="Y193" s="17"/>
      <c r="Z193" s="20" t="s">
        <v>1159</v>
      </c>
      <c r="AA193" s="17"/>
      <c r="AB193" s="17">
        <v>0</v>
      </c>
      <c r="AC193" s="17">
        <v>100</v>
      </c>
      <c r="AD193" s="17">
        <v>0</v>
      </c>
      <c r="AE193" s="17">
        <v>100</v>
      </c>
      <c r="AF193" s="17" t="s">
        <v>1176</v>
      </c>
      <c r="AG193" s="327" t="s">
        <v>844</v>
      </c>
      <c r="AH193" s="327">
        <v>43</v>
      </c>
      <c r="AI193" s="327">
        <v>44</v>
      </c>
      <c r="AJ193" s="64"/>
      <c r="AK193" s="64"/>
      <c r="AL193" s="264"/>
      <c r="AM193" s="84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 spans="1:51" s="33" customFormat="1" ht="14.5" x14ac:dyDescent="0.35">
      <c r="A194" s="63" t="str">
        <f>A193</f>
        <v>BBD131</v>
      </c>
      <c r="B194" s="17" t="s">
        <v>2382</v>
      </c>
      <c r="C194" s="18" t="str">
        <f>+C193</f>
        <v>DIO1</v>
      </c>
      <c r="D194" s="18">
        <v>132</v>
      </c>
      <c r="E194" s="84">
        <f>+E193</f>
        <v>2</v>
      </c>
      <c r="F194" s="84">
        <f>+F193</f>
        <v>4</v>
      </c>
      <c r="G194" s="84">
        <v>0</v>
      </c>
      <c r="H194" s="186">
        <f>+H193</f>
        <v>4</v>
      </c>
      <c r="I194" s="187">
        <f>+I193+1</f>
        <v>6</v>
      </c>
      <c r="J194" s="275"/>
      <c r="K194" s="18"/>
      <c r="L194" s="79" t="s">
        <v>1170</v>
      </c>
      <c r="M194" s="18"/>
      <c r="N194" s="18"/>
      <c r="O194" s="17"/>
      <c r="P194" s="18"/>
      <c r="Q194" s="17"/>
      <c r="R194" s="18"/>
      <c r="S194" s="18"/>
      <c r="T194" s="18"/>
      <c r="U194" s="17"/>
      <c r="V194" s="17" t="str">
        <f>+CONCATENATE(E194,".",F194,"\",G194,".",H194,":",I194)</f>
        <v>2.4\0.4:6</v>
      </c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327" t="s">
        <v>844</v>
      </c>
      <c r="AH194" s="327">
        <v>45</v>
      </c>
      <c r="AI194" s="327">
        <v>46</v>
      </c>
      <c r="AJ194" s="64"/>
      <c r="AK194" s="64"/>
      <c r="AL194" s="264"/>
      <c r="AM194" s="84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</row>
    <row r="195" spans="1:51" s="33" customFormat="1" ht="15" thickBot="1" x14ac:dyDescent="0.4">
      <c r="A195" s="63" t="str">
        <f>A194</f>
        <v>BBD131</v>
      </c>
      <c r="B195" s="17" t="s">
        <v>2382</v>
      </c>
      <c r="C195" s="18" t="str">
        <f>+C194</f>
        <v>DIO1</v>
      </c>
      <c r="D195" s="18">
        <v>132</v>
      </c>
      <c r="E195" s="84">
        <f>+E194</f>
        <v>2</v>
      </c>
      <c r="F195" s="84">
        <f>+F194</f>
        <v>4</v>
      </c>
      <c r="G195" s="84">
        <v>0</v>
      </c>
      <c r="H195" s="186">
        <f>+H194</f>
        <v>4</v>
      </c>
      <c r="I195" s="191">
        <f>+I194+1</f>
        <v>7</v>
      </c>
      <c r="J195" s="274"/>
      <c r="K195" s="18"/>
      <c r="L195" s="79" t="s">
        <v>1170</v>
      </c>
      <c r="M195" s="18"/>
      <c r="N195" s="18"/>
      <c r="O195" s="17"/>
      <c r="P195" s="18"/>
      <c r="Q195" s="17"/>
      <c r="R195" s="18"/>
      <c r="S195" s="18"/>
      <c r="T195" s="18"/>
      <c r="U195" s="17"/>
      <c r="V195" s="17" t="str">
        <f>+CONCATENATE(E195,".",F195,"\",G195,".",H195,":",I195)</f>
        <v>2.4\0.4:7</v>
      </c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327" t="s">
        <v>844</v>
      </c>
      <c r="AH195" s="327">
        <v>47</v>
      </c>
      <c r="AI195" s="327">
        <v>48</v>
      </c>
      <c r="AJ195" s="64"/>
      <c r="AK195" s="64"/>
      <c r="AL195" s="264"/>
      <c r="AM195" s="84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 spans="1:51" s="33" customFormat="1" ht="14.5" x14ac:dyDescent="0.35">
      <c r="A196" s="268" t="s">
        <v>2289</v>
      </c>
      <c r="B196" s="17" t="s">
        <v>2382</v>
      </c>
      <c r="C196" s="18" t="str">
        <f>+C195</f>
        <v>DIO1</v>
      </c>
      <c r="D196" s="18">
        <v>132</v>
      </c>
      <c r="E196" s="84">
        <f>+E195</f>
        <v>2</v>
      </c>
      <c r="F196" s="84">
        <f>+F195</f>
        <v>4</v>
      </c>
      <c r="G196" s="84">
        <v>0</v>
      </c>
      <c r="H196" s="214">
        <v>5</v>
      </c>
      <c r="I196" s="188">
        <v>0</v>
      </c>
      <c r="J196" s="276" t="s">
        <v>1185</v>
      </c>
      <c r="K196" s="17" t="s">
        <v>1184</v>
      </c>
      <c r="L196" s="79" t="s">
        <v>1170</v>
      </c>
      <c r="M196" s="18">
        <v>4</v>
      </c>
      <c r="N196" s="18" t="s">
        <v>2423</v>
      </c>
      <c r="O196" s="17" t="s">
        <v>2239</v>
      </c>
      <c r="P196" s="18" t="s">
        <v>2422</v>
      </c>
      <c r="Q196" s="18" t="s">
        <v>2421</v>
      </c>
      <c r="R196" s="18"/>
      <c r="S196" s="332" t="s">
        <v>2087</v>
      </c>
      <c r="T196" s="17" t="s">
        <v>2420</v>
      </c>
      <c r="U196" s="17" t="s">
        <v>1177</v>
      </c>
      <c r="V196" s="17" t="str">
        <f>+CONCATENATE(E196,".",F196,"\",G196,".",H196,":",I196)</f>
        <v>2.4\0.5:0</v>
      </c>
      <c r="W196" s="17" t="s">
        <v>2413</v>
      </c>
      <c r="X196" s="17">
        <v>0</v>
      </c>
      <c r="Y196" s="17"/>
      <c r="Z196" s="20" t="s">
        <v>1159</v>
      </c>
      <c r="AA196" s="17"/>
      <c r="AB196" s="17">
        <v>0</v>
      </c>
      <c r="AC196" s="17">
        <v>100</v>
      </c>
      <c r="AD196" s="17">
        <v>0</v>
      </c>
      <c r="AE196" s="17">
        <v>100</v>
      </c>
      <c r="AF196" s="17" t="s">
        <v>1176</v>
      </c>
      <c r="AG196" s="327" t="s">
        <v>934</v>
      </c>
      <c r="AH196" s="327">
        <v>1</v>
      </c>
      <c r="AI196" s="327">
        <v>2</v>
      </c>
      <c r="AJ196" s="64"/>
      <c r="AK196" s="64"/>
      <c r="AL196" s="264"/>
      <c r="AM196" s="84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</row>
    <row r="197" spans="1:51" s="33" customFormat="1" ht="14.5" x14ac:dyDescent="0.35">
      <c r="A197" s="63" t="str">
        <f>A196</f>
        <v>BBD131</v>
      </c>
      <c r="B197" s="17" t="s">
        <v>2382</v>
      </c>
      <c r="C197" s="18" t="str">
        <f>+C196</f>
        <v>DIO1</v>
      </c>
      <c r="D197" s="18">
        <v>132</v>
      </c>
      <c r="E197" s="84">
        <f>+E196</f>
        <v>2</v>
      </c>
      <c r="F197" s="84">
        <f>+F196</f>
        <v>4</v>
      </c>
      <c r="G197" s="84">
        <v>0</v>
      </c>
      <c r="H197" s="186">
        <f>+H196</f>
        <v>5</v>
      </c>
      <c r="I197" s="187">
        <f>+I196+1</f>
        <v>1</v>
      </c>
      <c r="J197" s="275"/>
      <c r="K197" s="18"/>
      <c r="L197" s="79" t="s">
        <v>1170</v>
      </c>
      <c r="M197" s="18">
        <v>4</v>
      </c>
      <c r="N197" s="18" t="s">
        <v>2419</v>
      </c>
      <c r="O197" s="17" t="s">
        <v>2313</v>
      </c>
      <c r="P197" s="18" t="s">
        <v>2418</v>
      </c>
      <c r="Q197" s="17" t="s">
        <v>2417</v>
      </c>
      <c r="R197" s="17"/>
      <c r="S197" s="332" t="s">
        <v>2416</v>
      </c>
      <c r="T197" s="17" t="s">
        <v>798</v>
      </c>
      <c r="U197" s="17" t="s">
        <v>1177</v>
      </c>
      <c r="V197" s="17" t="str">
        <f>+CONCATENATE(E197,".",F197,"\",G197,".",H197,":",I197)</f>
        <v>2.4\0.5:1</v>
      </c>
      <c r="W197" s="17" t="s">
        <v>2413</v>
      </c>
      <c r="X197" s="17">
        <v>0</v>
      </c>
      <c r="Y197" s="17"/>
      <c r="Z197" s="20" t="s">
        <v>1159</v>
      </c>
      <c r="AA197" s="17"/>
      <c r="AB197" s="17">
        <v>0</v>
      </c>
      <c r="AC197" s="17">
        <v>10</v>
      </c>
      <c r="AD197" s="17">
        <v>0</v>
      </c>
      <c r="AE197" s="17">
        <v>10</v>
      </c>
      <c r="AF197" s="17" t="s">
        <v>1176</v>
      </c>
      <c r="AG197" s="327" t="s">
        <v>934</v>
      </c>
      <c r="AH197" s="327">
        <v>3</v>
      </c>
      <c r="AI197" s="327">
        <v>4</v>
      </c>
      <c r="AJ197" s="64"/>
      <c r="AK197" s="64"/>
      <c r="AL197" s="264"/>
      <c r="AM197" s="84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 spans="1:51" s="33" customFormat="1" ht="14.5" x14ac:dyDescent="0.35">
      <c r="A198" s="63" t="str">
        <f>A197</f>
        <v>BBD131</v>
      </c>
      <c r="B198" s="17" t="s">
        <v>2382</v>
      </c>
      <c r="C198" s="18" t="str">
        <f>+C197</f>
        <v>DIO1</v>
      </c>
      <c r="D198" s="18">
        <v>132</v>
      </c>
      <c r="E198" s="84">
        <f>+E197</f>
        <v>2</v>
      </c>
      <c r="F198" s="84">
        <f>+F197</f>
        <v>4</v>
      </c>
      <c r="G198" s="84">
        <v>0</v>
      </c>
      <c r="H198" s="186">
        <f>+H197</f>
        <v>5</v>
      </c>
      <c r="I198" s="187">
        <f>+I197+1</f>
        <v>2</v>
      </c>
      <c r="J198" s="275"/>
      <c r="K198" s="18"/>
      <c r="L198" s="79" t="s">
        <v>1170</v>
      </c>
      <c r="M198" s="18">
        <v>4</v>
      </c>
      <c r="N198" s="59" t="s">
        <v>2415</v>
      </c>
      <c r="O198" s="17" t="s">
        <v>1174</v>
      </c>
      <c r="P198" s="59" t="s">
        <v>2414</v>
      </c>
      <c r="Q198" s="17" t="s">
        <v>2291</v>
      </c>
      <c r="R198" s="18"/>
      <c r="S198" s="332" t="s">
        <v>1179</v>
      </c>
      <c r="T198" s="17" t="s">
        <v>2289</v>
      </c>
      <c r="U198" s="17" t="s">
        <v>1177</v>
      </c>
      <c r="V198" s="17" t="str">
        <f>+CONCATENATE(E198,".",F198,"\",G198,".",H198,":",I198)</f>
        <v>2.4\0.5:2</v>
      </c>
      <c r="W198" s="17" t="s">
        <v>2413</v>
      </c>
      <c r="X198" s="332">
        <v>0</v>
      </c>
      <c r="Y198" s="17" t="s">
        <v>2412</v>
      </c>
      <c r="Z198" s="20" t="s">
        <v>1159</v>
      </c>
      <c r="AA198" s="17"/>
      <c r="AB198" s="17"/>
      <c r="AC198" s="17"/>
      <c r="AD198" s="17"/>
      <c r="AE198" s="17"/>
      <c r="AF198" s="17"/>
      <c r="AG198" s="327" t="s">
        <v>934</v>
      </c>
      <c r="AH198" s="327">
        <v>5</v>
      </c>
      <c r="AI198" s="327">
        <v>6</v>
      </c>
      <c r="AJ198" s="64"/>
      <c r="AK198" s="64"/>
      <c r="AL198" s="264"/>
      <c r="AM198" s="84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</row>
    <row r="199" spans="1:51" s="33" customFormat="1" ht="14.5" x14ac:dyDescent="0.35">
      <c r="A199" s="63" t="str">
        <f>A198</f>
        <v>BBD131</v>
      </c>
      <c r="B199" s="17" t="s">
        <v>2382</v>
      </c>
      <c r="C199" s="18" t="str">
        <f>+C198</f>
        <v>DIO1</v>
      </c>
      <c r="D199" s="18">
        <v>132</v>
      </c>
      <c r="E199" s="84">
        <f>+E198</f>
        <v>2</v>
      </c>
      <c r="F199" s="84">
        <f>+F198</f>
        <v>4</v>
      </c>
      <c r="G199" s="84">
        <v>0</v>
      </c>
      <c r="H199" s="186">
        <f>+H198</f>
        <v>5</v>
      </c>
      <c r="I199" s="187">
        <f>+I198+1</f>
        <v>3</v>
      </c>
      <c r="J199" s="275"/>
      <c r="K199" s="18"/>
      <c r="L199" s="79" t="s">
        <v>1170</v>
      </c>
      <c r="M199" s="18">
        <v>3</v>
      </c>
      <c r="N199" s="330" t="s">
        <v>2411</v>
      </c>
      <c r="O199" s="329" t="s">
        <v>2410</v>
      </c>
      <c r="P199" s="330" t="s">
        <v>2406</v>
      </c>
      <c r="Q199" s="329" t="s">
        <v>2409</v>
      </c>
      <c r="R199" s="331"/>
      <c r="S199" s="328" t="s">
        <v>322</v>
      </c>
      <c r="T199" s="329" t="s">
        <v>2390</v>
      </c>
      <c r="U199" s="329" t="s">
        <v>1177</v>
      </c>
      <c r="V199" s="329" t="str">
        <f>+CONCATENATE(E199,".",F199,"\",G199,".",H199,":",I199)</f>
        <v>2.4\0.5:3</v>
      </c>
      <c r="W199" s="329" t="s">
        <v>2404</v>
      </c>
      <c r="X199" s="329" t="s">
        <v>386</v>
      </c>
      <c r="Y199" s="328" t="s">
        <v>2403</v>
      </c>
      <c r="Z199" s="20" t="s">
        <v>1159</v>
      </c>
      <c r="AA199" s="17"/>
      <c r="AB199" s="17">
        <v>0</v>
      </c>
      <c r="AC199" s="17">
        <v>100</v>
      </c>
      <c r="AD199" s="17">
        <v>0</v>
      </c>
      <c r="AE199" s="17">
        <v>100</v>
      </c>
      <c r="AF199" s="17" t="s">
        <v>1176</v>
      </c>
      <c r="AG199" s="327" t="s">
        <v>934</v>
      </c>
      <c r="AH199" s="327">
        <v>7</v>
      </c>
      <c r="AI199" s="327">
        <v>8</v>
      </c>
      <c r="AJ199" s="64"/>
      <c r="AK199" s="64"/>
      <c r="AL199" s="264"/>
      <c r="AM199" s="84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 spans="1:51" s="33" customFormat="1" ht="14.5" x14ac:dyDescent="0.35">
      <c r="A200" s="63" t="str">
        <f>A199</f>
        <v>BBD131</v>
      </c>
      <c r="B200" s="17" t="s">
        <v>2382</v>
      </c>
      <c r="C200" s="18" t="str">
        <f>+C199</f>
        <v>DIO1</v>
      </c>
      <c r="D200" s="18">
        <v>132</v>
      </c>
      <c r="E200" s="84">
        <f>+E199</f>
        <v>2</v>
      </c>
      <c r="F200" s="84">
        <f>+F199</f>
        <v>4</v>
      </c>
      <c r="G200" s="84">
        <v>0</v>
      </c>
      <c r="H200" s="186">
        <f>+H199</f>
        <v>5</v>
      </c>
      <c r="I200" s="187">
        <f>+I199+1</f>
        <v>4</v>
      </c>
      <c r="J200" s="275"/>
      <c r="K200" s="18"/>
      <c r="L200" s="79" t="s">
        <v>1170</v>
      </c>
      <c r="M200" s="18">
        <v>3</v>
      </c>
      <c r="N200" s="330" t="s">
        <v>2408</v>
      </c>
      <c r="O200" s="329" t="s">
        <v>2407</v>
      </c>
      <c r="P200" s="330" t="s">
        <v>2406</v>
      </c>
      <c r="Q200" s="329" t="s">
        <v>2405</v>
      </c>
      <c r="R200" s="329"/>
      <c r="S200" s="328" t="s">
        <v>322</v>
      </c>
      <c r="T200" s="329" t="s">
        <v>2390</v>
      </c>
      <c r="U200" s="329" t="s">
        <v>1177</v>
      </c>
      <c r="V200" s="329" t="str">
        <f>+CONCATENATE(E200,".",F200,"\",G200,".",H200,":",I200)</f>
        <v>2.4\0.5:4</v>
      </c>
      <c r="W200" s="329" t="s">
        <v>2404</v>
      </c>
      <c r="X200" s="329" t="s">
        <v>386</v>
      </c>
      <c r="Y200" s="328" t="s">
        <v>2403</v>
      </c>
      <c r="Z200" s="20" t="s">
        <v>1159</v>
      </c>
      <c r="AA200" s="17"/>
      <c r="AB200" s="17">
        <v>0</v>
      </c>
      <c r="AC200" s="17">
        <v>100</v>
      </c>
      <c r="AD200" s="17">
        <v>0</v>
      </c>
      <c r="AE200" s="17">
        <v>100</v>
      </c>
      <c r="AF200" s="17" t="s">
        <v>1176</v>
      </c>
      <c r="AG200" s="327" t="s">
        <v>934</v>
      </c>
      <c r="AH200" s="327">
        <v>9</v>
      </c>
      <c r="AI200" s="327">
        <v>10</v>
      </c>
      <c r="AJ200" s="64"/>
      <c r="AK200" s="64"/>
      <c r="AL200" s="264"/>
      <c r="AM200" s="84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</row>
    <row r="201" spans="1:51" s="33" customFormat="1" ht="14.5" x14ac:dyDescent="0.35">
      <c r="A201" s="63" t="str">
        <f>A200</f>
        <v>BBD131</v>
      </c>
      <c r="B201" s="17" t="s">
        <v>2382</v>
      </c>
      <c r="C201" s="18" t="str">
        <f>+C200</f>
        <v>DIO1</v>
      </c>
      <c r="D201" s="18">
        <v>132</v>
      </c>
      <c r="E201" s="84">
        <f>+E200</f>
        <v>2</v>
      </c>
      <c r="F201" s="84">
        <f>+F200</f>
        <v>4</v>
      </c>
      <c r="G201" s="84">
        <v>0</v>
      </c>
      <c r="H201" s="186">
        <f>+H200</f>
        <v>5</v>
      </c>
      <c r="I201" s="187">
        <f>+I200+1</f>
        <v>5</v>
      </c>
      <c r="J201" s="275"/>
      <c r="K201" s="18"/>
      <c r="L201" s="79" t="s">
        <v>1170</v>
      </c>
      <c r="M201" s="18"/>
      <c r="N201" s="18"/>
      <c r="O201" s="17"/>
      <c r="P201" s="18"/>
      <c r="Q201" s="17"/>
      <c r="R201" s="18"/>
      <c r="S201" s="18"/>
      <c r="T201" s="18"/>
      <c r="U201" s="17"/>
      <c r="V201" s="17" t="str">
        <f>+CONCATENATE(E201,".",F201,"\",G201,".",H201,":",I201)</f>
        <v>2.4\0.5:5</v>
      </c>
      <c r="W201" s="17"/>
      <c r="X201" s="17"/>
      <c r="Y201" s="17"/>
      <c r="Z201" s="20"/>
      <c r="AA201" s="17"/>
      <c r="AB201" s="17"/>
      <c r="AC201" s="17"/>
      <c r="AD201" s="17"/>
      <c r="AE201" s="17"/>
      <c r="AF201" s="17"/>
      <c r="AG201" s="327" t="s">
        <v>934</v>
      </c>
      <c r="AH201" s="327">
        <v>11</v>
      </c>
      <c r="AI201" s="327">
        <v>12</v>
      </c>
      <c r="AJ201" s="64"/>
      <c r="AK201" s="64"/>
      <c r="AL201" s="264"/>
      <c r="AM201" s="84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 spans="1:51" s="33" customFormat="1" ht="14.5" x14ac:dyDescent="0.35">
      <c r="A202" s="63" t="str">
        <f>A201</f>
        <v>BBD131</v>
      </c>
      <c r="B202" s="17" t="s">
        <v>2382</v>
      </c>
      <c r="C202" s="18" t="str">
        <f>+C201</f>
        <v>DIO1</v>
      </c>
      <c r="D202" s="18">
        <v>132</v>
      </c>
      <c r="E202" s="84">
        <f>+E201</f>
        <v>2</v>
      </c>
      <c r="F202" s="84">
        <f>+F201</f>
        <v>4</v>
      </c>
      <c r="G202" s="84">
        <v>0</v>
      </c>
      <c r="H202" s="186">
        <f>+H201</f>
        <v>5</v>
      </c>
      <c r="I202" s="187">
        <f>+I201+1</f>
        <v>6</v>
      </c>
      <c r="J202" s="275"/>
      <c r="K202" s="18"/>
      <c r="L202" s="79" t="s">
        <v>1170</v>
      </c>
      <c r="M202" s="18"/>
      <c r="N202" s="18"/>
      <c r="O202" s="17"/>
      <c r="P202" s="18"/>
      <c r="Q202" s="17"/>
      <c r="R202" s="18"/>
      <c r="S202" s="18"/>
      <c r="T202" s="18"/>
      <c r="U202" s="17"/>
      <c r="V202" s="17" t="str">
        <f>+CONCATENATE(E202,".",F202,"\",G202,".",H202,":",I202)</f>
        <v>2.4\0.5:6</v>
      </c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327" t="s">
        <v>934</v>
      </c>
      <c r="AH202" s="327">
        <v>13</v>
      </c>
      <c r="AI202" s="327">
        <v>14</v>
      </c>
      <c r="AJ202" s="64"/>
      <c r="AK202" s="64"/>
      <c r="AL202" s="264"/>
      <c r="AM202" s="84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</row>
    <row r="203" spans="1:51" s="33" customFormat="1" ht="15" thickBot="1" x14ac:dyDescent="0.4">
      <c r="A203" s="63" t="str">
        <f>A202</f>
        <v>BBD131</v>
      </c>
      <c r="B203" s="17" t="s">
        <v>2382</v>
      </c>
      <c r="C203" s="18" t="str">
        <f>+C202</f>
        <v>DIO1</v>
      </c>
      <c r="D203" s="18">
        <v>132</v>
      </c>
      <c r="E203" s="84">
        <f>+E202</f>
        <v>2</v>
      </c>
      <c r="F203" s="84">
        <f>+F202</f>
        <v>4</v>
      </c>
      <c r="G203" s="84">
        <v>0</v>
      </c>
      <c r="H203" s="186">
        <f>+H202</f>
        <v>5</v>
      </c>
      <c r="I203" s="191">
        <f>+I202+1</f>
        <v>7</v>
      </c>
      <c r="J203" s="275"/>
      <c r="K203" s="18"/>
      <c r="L203" s="79" t="s">
        <v>1170</v>
      </c>
      <c r="M203" s="18"/>
      <c r="N203" s="18"/>
      <c r="O203" s="17"/>
      <c r="P203" s="18"/>
      <c r="Q203" s="17"/>
      <c r="R203" s="18"/>
      <c r="S203" s="18"/>
      <c r="T203" s="18"/>
      <c r="U203" s="17"/>
      <c r="V203" s="17" t="str">
        <f>+CONCATENATE(E203,".",F203,"\",G203,".",H203,":",I203)</f>
        <v>2.4\0.5:7</v>
      </c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327" t="s">
        <v>934</v>
      </c>
      <c r="AH203" s="327">
        <v>15</v>
      </c>
      <c r="AI203" s="327">
        <v>16</v>
      </c>
      <c r="AJ203" s="64"/>
      <c r="AK203" s="64"/>
      <c r="AL203" s="264"/>
      <c r="AM203" s="84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 spans="1:51" s="33" customFormat="1" ht="14.5" x14ac:dyDescent="0.35">
      <c r="A204" s="268" t="s">
        <v>2289</v>
      </c>
      <c r="B204" s="17" t="s">
        <v>2382</v>
      </c>
      <c r="C204" s="18" t="str">
        <f>+C203</f>
        <v>DIO1</v>
      </c>
      <c r="D204" s="18">
        <v>132</v>
      </c>
      <c r="E204" s="84">
        <f>+E203</f>
        <v>2</v>
      </c>
      <c r="F204" s="84">
        <f>+F203</f>
        <v>4</v>
      </c>
      <c r="G204" s="84">
        <v>0</v>
      </c>
      <c r="H204" s="214">
        <v>6</v>
      </c>
      <c r="I204" s="188">
        <v>0</v>
      </c>
      <c r="J204" s="273" t="s">
        <v>722</v>
      </c>
      <c r="K204" s="18" t="s">
        <v>1169</v>
      </c>
      <c r="L204" s="165" t="s">
        <v>1160</v>
      </c>
      <c r="M204" s="18">
        <v>3</v>
      </c>
      <c r="N204" s="59" t="s">
        <v>2402</v>
      </c>
      <c r="O204" s="17" t="s">
        <v>1167</v>
      </c>
      <c r="P204" s="59" t="s">
        <v>2401</v>
      </c>
      <c r="Q204" s="17" t="s">
        <v>1166</v>
      </c>
      <c r="R204" s="17"/>
      <c r="S204" s="18"/>
      <c r="T204" s="18" t="s">
        <v>111</v>
      </c>
      <c r="U204" s="17"/>
      <c r="V204" s="17" t="str">
        <f>+CONCATENATE(E204,".",F204,"\",G204,".",H204,":",I204)</f>
        <v>2.4\0.6:0</v>
      </c>
      <c r="W204" s="17" t="s">
        <v>2377</v>
      </c>
      <c r="X204" s="221">
        <v>0</v>
      </c>
      <c r="Y204" s="17"/>
      <c r="Z204" s="20" t="s">
        <v>1159</v>
      </c>
      <c r="AA204" s="17"/>
      <c r="AB204" s="17"/>
      <c r="AC204" s="17"/>
      <c r="AD204" s="17"/>
      <c r="AE204" s="17"/>
      <c r="AF204" s="17"/>
      <c r="AG204" s="327" t="s">
        <v>1045</v>
      </c>
      <c r="AH204" s="327">
        <v>33</v>
      </c>
      <c r="AI204" s="327">
        <v>34</v>
      </c>
      <c r="AJ204" s="307"/>
      <c r="AK204" s="307"/>
      <c r="AL204" s="264"/>
      <c r="AM204" s="84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</row>
    <row r="205" spans="1:51" s="33" customFormat="1" ht="14.5" x14ac:dyDescent="0.35">
      <c r="A205" s="63" t="str">
        <f>A204</f>
        <v>BBD131</v>
      </c>
      <c r="B205" s="17" t="s">
        <v>2382</v>
      </c>
      <c r="C205" s="18" t="str">
        <f>+C204</f>
        <v>DIO1</v>
      </c>
      <c r="D205" s="18">
        <v>132</v>
      </c>
      <c r="E205" s="84">
        <f>+E204</f>
        <v>2</v>
      </c>
      <c r="F205" s="84">
        <f>+F204</f>
        <v>4</v>
      </c>
      <c r="G205" s="84">
        <v>0</v>
      </c>
      <c r="H205" s="186">
        <f>+H204</f>
        <v>6</v>
      </c>
      <c r="I205" s="187">
        <f>+I204+1</f>
        <v>1</v>
      </c>
      <c r="J205" s="270"/>
      <c r="K205" s="18"/>
      <c r="L205" s="165" t="s">
        <v>1160</v>
      </c>
      <c r="M205" s="18">
        <v>3</v>
      </c>
      <c r="N205" s="217" t="s">
        <v>2402</v>
      </c>
      <c r="O205" s="17" t="s">
        <v>1164</v>
      </c>
      <c r="P205" s="217" t="s">
        <v>2401</v>
      </c>
      <c r="Q205" s="17" t="s">
        <v>1162</v>
      </c>
      <c r="R205" s="17"/>
      <c r="S205" s="18"/>
      <c r="T205" s="18" t="s">
        <v>111</v>
      </c>
      <c r="U205" s="17"/>
      <c r="V205" s="17" t="str">
        <f>+CONCATENATE(E205,".",F205,"\",G205,".",H205,":",I205)</f>
        <v>2.4\0.6:1</v>
      </c>
      <c r="W205" s="17" t="s">
        <v>2377</v>
      </c>
      <c r="X205" s="221">
        <v>0</v>
      </c>
      <c r="Y205" s="17"/>
      <c r="Z205" s="20" t="s">
        <v>1159</v>
      </c>
      <c r="AA205" s="17"/>
      <c r="AB205" s="17"/>
      <c r="AC205" s="17"/>
      <c r="AD205" s="17"/>
      <c r="AE205" s="17"/>
      <c r="AF205" s="17"/>
      <c r="AG205" s="327" t="s">
        <v>1045</v>
      </c>
      <c r="AH205" s="327">
        <v>35</v>
      </c>
      <c r="AI205" s="327">
        <v>36</v>
      </c>
      <c r="AJ205" s="307"/>
      <c r="AK205" s="307"/>
      <c r="AL205" s="264"/>
      <c r="AM205" s="84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 spans="1:51" s="33" customFormat="1" ht="14.5" x14ac:dyDescent="0.35">
      <c r="A206" s="63" t="str">
        <f>A205</f>
        <v>BBD131</v>
      </c>
      <c r="B206" s="17" t="s">
        <v>2382</v>
      </c>
      <c r="C206" s="18" t="str">
        <f>+C205</f>
        <v>DIO1</v>
      </c>
      <c r="D206" s="18">
        <v>132</v>
      </c>
      <c r="E206" s="84">
        <f>+E205</f>
        <v>2</v>
      </c>
      <c r="F206" s="84">
        <f>+F205</f>
        <v>4</v>
      </c>
      <c r="G206" s="84">
        <v>0</v>
      </c>
      <c r="H206" s="186">
        <f>+H205</f>
        <v>6</v>
      </c>
      <c r="I206" s="187">
        <f>+I205+1</f>
        <v>2</v>
      </c>
      <c r="J206" s="270"/>
      <c r="K206" s="18"/>
      <c r="L206" s="165" t="s">
        <v>1160</v>
      </c>
      <c r="M206" s="18"/>
      <c r="N206" s="165"/>
      <c r="O206" s="17"/>
      <c r="P206" s="18"/>
      <c r="Q206" s="17"/>
      <c r="R206" s="17"/>
      <c r="S206" s="18"/>
      <c r="T206" s="18"/>
      <c r="U206" s="17"/>
      <c r="V206" s="17" t="str">
        <f>+CONCATENATE(E206,".",F206,"\",G206,".",H206,":",I206)</f>
        <v>2.4\0.6:2</v>
      </c>
      <c r="W206" s="17"/>
      <c r="X206" s="17"/>
      <c r="Y206" s="17"/>
      <c r="Z206" s="20" t="s">
        <v>1159</v>
      </c>
      <c r="AA206" s="17"/>
      <c r="AB206" s="17"/>
      <c r="AC206" s="17"/>
      <c r="AD206" s="17"/>
      <c r="AE206" s="17"/>
      <c r="AF206" s="17"/>
      <c r="AG206" s="327" t="s">
        <v>1045</v>
      </c>
      <c r="AH206" s="327">
        <v>37</v>
      </c>
      <c r="AI206" s="327">
        <v>38</v>
      </c>
      <c r="AJ206" s="307"/>
      <c r="AK206" s="307"/>
      <c r="AL206" s="264"/>
      <c r="AM206" s="84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</row>
    <row r="207" spans="1:51" s="33" customFormat="1" ht="14.5" x14ac:dyDescent="0.35">
      <c r="A207" s="63" t="str">
        <f>A206</f>
        <v>BBD131</v>
      </c>
      <c r="B207" s="17" t="s">
        <v>2382</v>
      </c>
      <c r="C207" s="18" t="str">
        <f>+C206</f>
        <v>DIO1</v>
      </c>
      <c r="D207" s="18">
        <v>132</v>
      </c>
      <c r="E207" s="84">
        <f>+E206</f>
        <v>2</v>
      </c>
      <c r="F207" s="84">
        <f>+F206</f>
        <v>4</v>
      </c>
      <c r="G207" s="84">
        <v>0</v>
      </c>
      <c r="H207" s="186">
        <f>+H206</f>
        <v>6</v>
      </c>
      <c r="I207" s="187">
        <f>+I206+1</f>
        <v>3</v>
      </c>
      <c r="J207" s="270"/>
      <c r="K207" s="18"/>
      <c r="L207" s="165" t="s">
        <v>1160</v>
      </c>
      <c r="M207" s="18"/>
      <c r="N207" s="165"/>
      <c r="O207" s="17"/>
      <c r="P207" s="18"/>
      <c r="Q207" s="17"/>
      <c r="R207" s="17"/>
      <c r="S207" s="18"/>
      <c r="T207" s="18"/>
      <c r="U207" s="17"/>
      <c r="V207" s="17" t="str">
        <f>+CONCATENATE(E207,".",F207,"\",G207,".",H207,":",I207)</f>
        <v>2.4\0.6:3</v>
      </c>
      <c r="W207" s="17"/>
      <c r="X207" s="17"/>
      <c r="Y207" s="17"/>
      <c r="Z207" s="20" t="s">
        <v>1159</v>
      </c>
      <c r="AA207" s="17"/>
      <c r="AB207" s="17"/>
      <c r="AC207" s="17"/>
      <c r="AD207" s="17"/>
      <c r="AE207" s="17"/>
      <c r="AF207" s="17"/>
      <c r="AG207" s="327" t="s">
        <v>1045</v>
      </c>
      <c r="AH207" s="327">
        <v>39</v>
      </c>
      <c r="AI207" s="327">
        <v>40</v>
      </c>
      <c r="AJ207" s="307"/>
      <c r="AK207" s="307"/>
      <c r="AL207" s="264"/>
      <c r="AM207" s="84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 spans="1:51" s="33" customFormat="1" ht="14.5" x14ac:dyDescent="0.35">
      <c r="A208" s="63" t="str">
        <f>A207</f>
        <v>BBD131</v>
      </c>
      <c r="B208" s="17" t="s">
        <v>2382</v>
      </c>
      <c r="C208" s="18" t="str">
        <f>+C207</f>
        <v>DIO1</v>
      </c>
      <c r="D208" s="18">
        <v>132</v>
      </c>
      <c r="E208" s="84">
        <f>+E207</f>
        <v>2</v>
      </c>
      <c r="F208" s="84">
        <f>+F207</f>
        <v>4</v>
      </c>
      <c r="G208" s="84">
        <v>0</v>
      </c>
      <c r="H208" s="186">
        <f>+H207</f>
        <v>6</v>
      </c>
      <c r="I208" s="187">
        <f>+I207+1</f>
        <v>4</v>
      </c>
      <c r="J208" s="270"/>
      <c r="K208" s="18"/>
      <c r="L208" s="165" t="s">
        <v>1160</v>
      </c>
      <c r="M208" s="18"/>
      <c r="N208" s="165"/>
      <c r="O208" s="17"/>
      <c r="P208" s="18"/>
      <c r="Q208" s="17"/>
      <c r="R208" s="17"/>
      <c r="S208" s="18"/>
      <c r="T208" s="18"/>
      <c r="U208" s="17"/>
      <c r="V208" s="17" t="str">
        <f>+CONCATENATE(E208,".",F208,"\",G208,".",H208,":",I208)</f>
        <v>2.4\0.6:4</v>
      </c>
      <c r="W208" s="17"/>
      <c r="X208" s="17"/>
      <c r="Y208" s="17"/>
      <c r="Z208" s="20" t="s">
        <v>1159</v>
      </c>
      <c r="AA208" s="17"/>
      <c r="AB208" s="17"/>
      <c r="AC208" s="17"/>
      <c r="AD208" s="17"/>
      <c r="AE208" s="17"/>
      <c r="AF208" s="17"/>
      <c r="AG208" s="327" t="s">
        <v>1045</v>
      </c>
      <c r="AH208" s="327">
        <v>41</v>
      </c>
      <c r="AI208" s="327">
        <v>42</v>
      </c>
      <c r="AJ208" s="307"/>
      <c r="AK208" s="307"/>
      <c r="AL208" s="264"/>
      <c r="AM208" s="84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</row>
    <row r="209" spans="1:51" s="33" customFormat="1" ht="14.5" x14ac:dyDescent="0.35">
      <c r="A209" s="63" t="str">
        <f>A208</f>
        <v>BBD131</v>
      </c>
      <c r="B209" s="17" t="s">
        <v>2382</v>
      </c>
      <c r="C209" s="18" t="str">
        <f>+C208</f>
        <v>DIO1</v>
      </c>
      <c r="D209" s="18">
        <v>132</v>
      </c>
      <c r="E209" s="84">
        <f>+E208</f>
        <v>2</v>
      </c>
      <c r="F209" s="84">
        <f>+F208</f>
        <v>4</v>
      </c>
      <c r="G209" s="84">
        <v>0</v>
      </c>
      <c r="H209" s="186">
        <f>+H208</f>
        <v>6</v>
      </c>
      <c r="I209" s="187">
        <f>+I208+1</f>
        <v>5</v>
      </c>
      <c r="J209" s="270"/>
      <c r="K209" s="18"/>
      <c r="L209" s="165" t="s">
        <v>1160</v>
      </c>
      <c r="M209" s="18"/>
      <c r="N209" s="165"/>
      <c r="O209" s="17"/>
      <c r="P209" s="18"/>
      <c r="Q209" s="17"/>
      <c r="R209" s="17"/>
      <c r="S209" s="18"/>
      <c r="T209" s="18"/>
      <c r="U209" s="17"/>
      <c r="V209" s="17" t="str">
        <f>+CONCATENATE(E209,".",F209,"\",G209,".",H209,":",I209)</f>
        <v>2.4\0.6:5</v>
      </c>
      <c r="W209" s="17"/>
      <c r="X209" s="17"/>
      <c r="Y209" s="17"/>
      <c r="Z209" s="20" t="s">
        <v>1159</v>
      </c>
      <c r="AA209" s="17"/>
      <c r="AB209" s="17"/>
      <c r="AC209" s="17"/>
      <c r="AD209" s="17"/>
      <c r="AE209" s="17"/>
      <c r="AF209" s="17"/>
      <c r="AG209" s="327" t="s">
        <v>1045</v>
      </c>
      <c r="AH209" s="327">
        <v>43</v>
      </c>
      <c r="AI209" s="327">
        <v>44</v>
      </c>
      <c r="AJ209" s="307"/>
      <c r="AK209" s="307"/>
      <c r="AL209" s="264"/>
      <c r="AM209" s="84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</row>
    <row r="210" spans="1:51" s="33" customFormat="1" ht="14.5" x14ac:dyDescent="0.35">
      <c r="A210" s="63" t="str">
        <f>A209</f>
        <v>BBD131</v>
      </c>
      <c r="B210" s="17" t="s">
        <v>2382</v>
      </c>
      <c r="C210" s="18" t="str">
        <f>+C209</f>
        <v>DIO1</v>
      </c>
      <c r="D210" s="18">
        <v>132</v>
      </c>
      <c r="E210" s="84">
        <f>+E209</f>
        <v>2</v>
      </c>
      <c r="F210" s="84">
        <f>+F209</f>
        <v>4</v>
      </c>
      <c r="G210" s="84">
        <v>0</v>
      </c>
      <c r="H210" s="186">
        <f>+H209</f>
        <v>6</v>
      </c>
      <c r="I210" s="187">
        <f>+I209+1</f>
        <v>6</v>
      </c>
      <c r="J210" s="270"/>
      <c r="K210" s="18"/>
      <c r="L210" s="165" t="s">
        <v>1160</v>
      </c>
      <c r="M210" s="18"/>
      <c r="N210" s="165"/>
      <c r="O210" s="17"/>
      <c r="P210" s="18"/>
      <c r="Q210" s="17"/>
      <c r="R210" s="17"/>
      <c r="S210" s="18"/>
      <c r="T210" s="18"/>
      <c r="U210" s="17"/>
      <c r="V210" s="17" t="str">
        <f>+CONCATENATE(E210,".",F210,"\",G210,".",H210,":",I210)</f>
        <v>2.4\0.6:6</v>
      </c>
      <c r="W210" s="17"/>
      <c r="X210" s="17"/>
      <c r="Y210" s="17"/>
      <c r="Z210" s="20" t="s">
        <v>1159</v>
      </c>
      <c r="AA210" s="17"/>
      <c r="AB210" s="17"/>
      <c r="AC210" s="17"/>
      <c r="AD210" s="17"/>
      <c r="AE210" s="17"/>
      <c r="AF210" s="17"/>
      <c r="AG210" s="327" t="s">
        <v>1045</v>
      </c>
      <c r="AH210" s="327">
        <v>45</v>
      </c>
      <c r="AI210" s="327">
        <v>46</v>
      </c>
      <c r="AJ210" s="307"/>
      <c r="AK210" s="307"/>
      <c r="AL210" s="264"/>
      <c r="AM210" s="84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 spans="1:51" s="33" customFormat="1" ht="15" thickBot="1" x14ac:dyDescent="0.4">
      <c r="A211" s="63" t="str">
        <f>A210</f>
        <v>BBD131</v>
      </c>
      <c r="B211" s="17" t="s">
        <v>2382</v>
      </c>
      <c r="C211" s="18" t="str">
        <f>+C210</f>
        <v>DIO1</v>
      </c>
      <c r="D211" s="18">
        <v>132</v>
      </c>
      <c r="E211" s="84">
        <f>+E210</f>
        <v>2</v>
      </c>
      <c r="F211" s="84">
        <f>+F210</f>
        <v>4</v>
      </c>
      <c r="G211" s="84">
        <v>0</v>
      </c>
      <c r="H211" s="186">
        <f>+H210</f>
        <v>6</v>
      </c>
      <c r="I211" s="191">
        <f>+I210+1</f>
        <v>7</v>
      </c>
      <c r="J211" s="269"/>
      <c r="K211" s="65"/>
      <c r="L211" s="165" t="s">
        <v>1160</v>
      </c>
      <c r="M211" s="18"/>
      <c r="N211" s="165"/>
      <c r="O211" s="17"/>
      <c r="P211" s="18"/>
      <c r="Q211" s="17"/>
      <c r="R211" s="17"/>
      <c r="S211" s="18"/>
      <c r="T211" s="18"/>
      <c r="U211" s="17"/>
      <c r="V211" s="17" t="str">
        <f>+CONCATENATE(E211,".",F211,"\",G211,".",H211,":",I211)</f>
        <v>2.4\0.6:7</v>
      </c>
      <c r="W211" s="17"/>
      <c r="X211" s="17"/>
      <c r="Y211" s="17"/>
      <c r="Z211" s="20" t="s">
        <v>1159</v>
      </c>
      <c r="AA211" s="17"/>
      <c r="AB211" s="17"/>
      <c r="AC211" s="17"/>
      <c r="AD211" s="17"/>
      <c r="AE211" s="17"/>
      <c r="AF211" s="17"/>
      <c r="AG211" s="327" t="s">
        <v>1045</v>
      </c>
      <c r="AH211" s="327">
        <v>47</v>
      </c>
      <c r="AI211" s="327">
        <v>48</v>
      </c>
      <c r="AJ211" s="307"/>
      <c r="AK211" s="307"/>
      <c r="AL211" s="264"/>
      <c r="AM211" s="84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</row>
    <row r="212" spans="1:51" s="33" customFormat="1" x14ac:dyDescent="0.3">
      <c r="A212" s="268" t="s">
        <v>2289</v>
      </c>
      <c r="B212" s="17" t="s">
        <v>2382</v>
      </c>
      <c r="C212" s="18" t="str">
        <f>+C211</f>
        <v>DIO1</v>
      </c>
      <c r="D212" s="18">
        <v>132</v>
      </c>
      <c r="E212" s="84">
        <f>+E211</f>
        <v>2</v>
      </c>
      <c r="F212" s="84">
        <f>+F211</f>
        <v>4</v>
      </c>
      <c r="G212" s="84">
        <v>0</v>
      </c>
      <c r="H212" s="202">
        <v>7</v>
      </c>
      <c r="I212" s="188"/>
      <c r="J212" s="267"/>
      <c r="K212" s="68" t="s">
        <v>698</v>
      </c>
      <c r="L212" s="17"/>
      <c r="M212" s="18"/>
      <c r="N212" s="18"/>
      <c r="O212" s="17"/>
      <c r="P212" s="17"/>
      <c r="Q212" s="17"/>
      <c r="R212" s="18"/>
      <c r="S212" s="18"/>
      <c r="T212" s="18"/>
      <c r="U212" s="17"/>
      <c r="V212" s="17" t="str">
        <f>+CONCATENATE(E212,".",F212,"\",G212,".",H212,":",I212)</f>
        <v>2.4\0.7:</v>
      </c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64"/>
      <c r="AH212" s="64"/>
      <c r="AI212" s="64"/>
      <c r="AJ212" s="64"/>
      <c r="AK212" s="64"/>
      <c r="AL212" s="264"/>
      <c r="AM212" s="84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</row>
    <row r="213" spans="1:51" s="33" customFormat="1" x14ac:dyDescent="0.3">
      <c r="A213" s="63" t="str">
        <f>A212</f>
        <v>BBD131</v>
      </c>
      <c r="B213" s="17" t="s">
        <v>2382</v>
      </c>
      <c r="C213" s="18" t="str">
        <f>+C212</f>
        <v>DIO1</v>
      </c>
      <c r="D213" s="18">
        <v>132</v>
      </c>
      <c r="E213" s="84">
        <f>+E212</f>
        <v>2</v>
      </c>
      <c r="F213" s="84">
        <f>+F212</f>
        <v>4</v>
      </c>
      <c r="G213" s="84">
        <v>0</v>
      </c>
      <c r="H213" s="186">
        <f>+H212</f>
        <v>7</v>
      </c>
      <c r="I213" s="187"/>
      <c r="J213" s="266"/>
      <c r="K213" s="18"/>
      <c r="L213" s="17"/>
      <c r="M213" s="18"/>
      <c r="N213" s="18"/>
      <c r="O213" s="17"/>
      <c r="P213" s="17"/>
      <c r="Q213" s="17"/>
      <c r="R213" s="18"/>
      <c r="S213" s="18"/>
      <c r="T213" s="18"/>
      <c r="U213" s="17"/>
      <c r="V213" s="17" t="str">
        <f>+CONCATENATE(E213,".",F213,"\",G213,".",H213,":",I213)</f>
        <v>2.4\0.7:</v>
      </c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64"/>
      <c r="AH213" s="64"/>
      <c r="AI213" s="64"/>
      <c r="AJ213" s="64"/>
      <c r="AK213" s="64"/>
      <c r="AL213" s="264"/>
      <c r="AM213" s="84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</row>
    <row r="214" spans="1:51" s="33" customFormat="1" x14ac:dyDescent="0.3">
      <c r="A214" s="63" t="str">
        <f>A213</f>
        <v>BBD131</v>
      </c>
      <c r="B214" s="17" t="s">
        <v>2382</v>
      </c>
      <c r="C214" s="18" t="str">
        <f>+C213</f>
        <v>DIO1</v>
      </c>
      <c r="D214" s="18">
        <v>132</v>
      </c>
      <c r="E214" s="84">
        <f>+E213</f>
        <v>2</v>
      </c>
      <c r="F214" s="84">
        <f>+F213</f>
        <v>4</v>
      </c>
      <c r="G214" s="84">
        <v>0</v>
      </c>
      <c r="H214" s="186">
        <f>+H213</f>
        <v>7</v>
      </c>
      <c r="I214" s="187"/>
      <c r="J214" s="266"/>
      <c r="K214" s="18"/>
      <c r="L214" s="17"/>
      <c r="M214" s="18"/>
      <c r="N214" s="18"/>
      <c r="O214" s="17"/>
      <c r="P214" s="17"/>
      <c r="Q214" s="17"/>
      <c r="R214" s="18"/>
      <c r="S214" s="18"/>
      <c r="T214" s="18"/>
      <c r="U214" s="17"/>
      <c r="V214" s="17" t="str">
        <f>+CONCATENATE(E214,".",F214,"\",G214,".",H214,":",I214)</f>
        <v>2.4\0.7:</v>
      </c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64"/>
      <c r="AH214" s="64"/>
      <c r="AI214" s="64"/>
      <c r="AJ214" s="64"/>
      <c r="AK214" s="64"/>
      <c r="AL214" s="264"/>
      <c r="AM214" s="84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 spans="1:51" s="33" customFormat="1" ht="13.5" thickBot="1" x14ac:dyDescent="0.35">
      <c r="A215" s="63" t="str">
        <f>A214</f>
        <v>BBD131</v>
      </c>
      <c r="B215" s="17" t="s">
        <v>2382</v>
      </c>
      <c r="C215" s="18" t="str">
        <f>+C214</f>
        <v>DIO1</v>
      </c>
      <c r="D215" s="18">
        <v>132</v>
      </c>
      <c r="E215" s="84">
        <f>+E214</f>
        <v>2</v>
      </c>
      <c r="F215" s="84">
        <f>+F214</f>
        <v>4</v>
      </c>
      <c r="G215" s="84">
        <v>0</v>
      </c>
      <c r="H215" s="186">
        <f>+H214</f>
        <v>7</v>
      </c>
      <c r="I215" s="191"/>
      <c r="J215" s="265"/>
      <c r="K215" s="18"/>
      <c r="L215" s="17"/>
      <c r="M215" s="18"/>
      <c r="N215" s="18"/>
      <c r="O215" s="17"/>
      <c r="P215" s="17"/>
      <c r="Q215" s="17"/>
      <c r="R215" s="18"/>
      <c r="S215" s="18"/>
      <c r="T215" s="18"/>
      <c r="U215" s="17"/>
      <c r="V215" s="17" t="str">
        <f>+CONCATENATE(E215,".",F215,"\",G215,".",H215,":",I215)</f>
        <v>2.4\0.7:</v>
      </c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64"/>
      <c r="AH215" s="64"/>
      <c r="AI215" s="64"/>
      <c r="AJ215" s="64"/>
      <c r="AK215" s="64"/>
      <c r="AL215" s="264"/>
      <c r="AM215" s="84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 spans="1:51" s="33" customFormat="1" x14ac:dyDescent="0.3">
      <c r="A216" s="268" t="s">
        <v>2289</v>
      </c>
      <c r="B216" s="17" t="s">
        <v>2382</v>
      </c>
      <c r="C216" s="18" t="str">
        <f>+C215</f>
        <v>DIO1</v>
      </c>
      <c r="D216" s="18">
        <v>132</v>
      </c>
      <c r="E216" s="84">
        <f>+E215</f>
        <v>2</v>
      </c>
      <c r="F216" s="84">
        <f>+F215</f>
        <v>4</v>
      </c>
      <c r="G216" s="84">
        <v>0</v>
      </c>
      <c r="H216" s="202">
        <v>8</v>
      </c>
      <c r="I216" s="188"/>
      <c r="J216" s="267"/>
      <c r="K216" s="68" t="s">
        <v>698</v>
      </c>
      <c r="L216" s="17"/>
      <c r="M216" s="18"/>
      <c r="N216" s="18"/>
      <c r="O216" s="17"/>
      <c r="P216" s="17"/>
      <c r="Q216" s="17"/>
      <c r="R216" s="18"/>
      <c r="S216" s="18"/>
      <c r="T216" s="18"/>
      <c r="U216" s="17"/>
      <c r="V216" s="17" t="str">
        <f>+CONCATENATE(E216,".",F216,"\",G216,".",H216,":",I216)</f>
        <v>2.4\0.8:</v>
      </c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64"/>
      <c r="AH216" s="64"/>
      <c r="AI216" s="64"/>
      <c r="AJ216" s="64"/>
      <c r="AK216" s="64"/>
      <c r="AL216" s="264"/>
      <c r="AM216" s="84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 spans="1:51" s="33" customFormat="1" x14ac:dyDescent="0.3">
      <c r="A217" s="63" t="str">
        <f>A216</f>
        <v>BBD131</v>
      </c>
      <c r="B217" s="17" t="s">
        <v>2382</v>
      </c>
      <c r="C217" s="18" t="str">
        <f>+C216</f>
        <v>DIO1</v>
      </c>
      <c r="D217" s="18">
        <v>132</v>
      </c>
      <c r="E217" s="84">
        <f>+E216</f>
        <v>2</v>
      </c>
      <c r="F217" s="84">
        <f>+F216</f>
        <v>4</v>
      </c>
      <c r="G217" s="84">
        <v>0</v>
      </c>
      <c r="H217" s="186">
        <f>+H216</f>
        <v>8</v>
      </c>
      <c r="I217" s="187"/>
      <c r="J217" s="266"/>
      <c r="K217" s="18"/>
      <c r="L217" s="17"/>
      <c r="M217" s="18"/>
      <c r="N217" s="18"/>
      <c r="O217" s="17"/>
      <c r="P217" s="17"/>
      <c r="Q217" s="17"/>
      <c r="R217" s="18"/>
      <c r="S217" s="18"/>
      <c r="T217" s="18"/>
      <c r="U217" s="17"/>
      <c r="V217" s="17" t="str">
        <f>+CONCATENATE(E217,".",F217,"\",G217,".",H217,":",I217)</f>
        <v>2.4\0.8:</v>
      </c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64"/>
      <c r="AH217" s="64"/>
      <c r="AI217" s="64"/>
      <c r="AJ217" s="64"/>
      <c r="AK217" s="64"/>
      <c r="AL217" s="264"/>
      <c r="AM217" s="84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 spans="1:51" s="33" customFormat="1" x14ac:dyDescent="0.3">
      <c r="A218" s="63" t="str">
        <f>A217</f>
        <v>BBD131</v>
      </c>
      <c r="B218" s="17" t="s">
        <v>2382</v>
      </c>
      <c r="C218" s="18" t="str">
        <f>+C217</f>
        <v>DIO1</v>
      </c>
      <c r="D218" s="18">
        <v>132</v>
      </c>
      <c r="E218" s="84">
        <f>+E217</f>
        <v>2</v>
      </c>
      <c r="F218" s="84">
        <f>+F217</f>
        <v>4</v>
      </c>
      <c r="G218" s="84">
        <v>0</v>
      </c>
      <c r="H218" s="186">
        <f>+H217</f>
        <v>8</v>
      </c>
      <c r="I218" s="187"/>
      <c r="J218" s="266"/>
      <c r="K218" s="18"/>
      <c r="L218" s="17"/>
      <c r="M218" s="18"/>
      <c r="N218" s="18"/>
      <c r="O218" s="17"/>
      <c r="P218" s="17"/>
      <c r="Q218" s="17"/>
      <c r="R218" s="18"/>
      <c r="S218" s="18"/>
      <c r="T218" s="18"/>
      <c r="U218" s="17"/>
      <c r="V218" s="17" t="str">
        <f>+CONCATENATE(E218,".",F218,"\",G218,".",H218,":",I218)</f>
        <v>2.4\0.8:</v>
      </c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64"/>
      <c r="AH218" s="64"/>
      <c r="AI218" s="64"/>
      <c r="AJ218" s="64"/>
      <c r="AK218" s="64"/>
      <c r="AL218" s="264"/>
      <c r="AM218" s="84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 spans="1:51" s="33" customFormat="1" ht="13.5" thickBot="1" x14ac:dyDescent="0.35">
      <c r="A219" s="63" t="str">
        <f>A218</f>
        <v>BBD131</v>
      </c>
      <c r="B219" s="17" t="s">
        <v>2382</v>
      </c>
      <c r="C219" s="18" t="str">
        <f>+C218</f>
        <v>DIO1</v>
      </c>
      <c r="D219" s="18">
        <v>132</v>
      </c>
      <c r="E219" s="84">
        <f>+E218</f>
        <v>2</v>
      </c>
      <c r="F219" s="84">
        <f>+F218</f>
        <v>4</v>
      </c>
      <c r="G219" s="84">
        <v>0</v>
      </c>
      <c r="H219" s="186">
        <f>+H218</f>
        <v>8</v>
      </c>
      <c r="I219" s="191"/>
      <c r="J219" s="265"/>
      <c r="K219" s="18"/>
      <c r="L219" s="17"/>
      <c r="M219" s="18"/>
      <c r="N219" s="18"/>
      <c r="O219" s="17"/>
      <c r="P219" s="17"/>
      <c r="Q219" s="17"/>
      <c r="R219" s="18"/>
      <c r="S219" s="18"/>
      <c r="T219" s="18"/>
      <c r="U219" s="17"/>
      <c r="V219" s="17" t="str">
        <f>+CONCATENATE(E219,".",F219,"\",G219,".",H219,":",I219)</f>
        <v>2.4\0.8:</v>
      </c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64"/>
      <c r="AH219" s="64"/>
      <c r="AI219" s="64"/>
      <c r="AJ219" s="64"/>
      <c r="AK219" s="64"/>
      <c r="AL219" s="264"/>
      <c r="AM219" s="84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 spans="1:51" s="33" customFormat="1" x14ac:dyDescent="0.3">
      <c r="A220" s="268" t="s">
        <v>2289</v>
      </c>
      <c r="B220" s="17" t="s">
        <v>2382</v>
      </c>
      <c r="C220" s="18" t="str">
        <f>+C219</f>
        <v>DIO1</v>
      </c>
      <c r="D220" s="18">
        <v>132</v>
      </c>
      <c r="E220" s="84">
        <f>+E219</f>
        <v>2</v>
      </c>
      <c r="F220" s="84">
        <f>+F219</f>
        <v>4</v>
      </c>
      <c r="G220" s="84">
        <v>0</v>
      </c>
      <c r="H220" s="214">
        <v>9</v>
      </c>
      <c r="I220" s="188"/>
      <c r="J220" s="267"/>
      <c r="K220" s="68" t="s">
        <v>698</v>
      </c>
      <c r="L220" s="17"/>
      <c r="M220" s="18"/>
      <c r="N220" s="18"/>
      <c r="O220" s="17"/>
      <c r="P220" s="17"/>
      <c r="Q220" s="17"/>
      <c r="R220" s="18"/>
      <c r="S220" s="18"/>
      <c r="T220" s="18"/>
      <c r="U220" s="17"/>
      <c r="V220" s="17" t="str">
        <f>+CONCATENATE(E220,".",F220,"\",G220,".",H220,":",I220)</f>
        <v>2.4\0.9:</v>
      </c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64"/>
      <c r="AH220" s="64"/>
      <c r="AI220" s="64"/>
      <c r="AJ220" s="64"/>
      <c r="AK220" s="64"/>
      <c r="AL220" s="264"/>
      <c r="AM220" s="84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 spans="1:51" s="33" customFormat="1" x14ac:dyDescent="0.3">
      <c r="A221" s="63" t="str">
        <f>A220</f>
        <v>BBD131</v>
      </c>
      <c r="B221" s="17" t="s">
        <v>2382</v>
      </c>
      <c r="C221" s="18" t="str">
        <f>+C220</f>
        <v>DIO1</v>
      </c>
      <c r="D221" s="18">
        <v>132</v>
      </c>
      <c r="E221" s="84">
        <f>+E220</f>
        <v>2</v>
      </c>
      <c r="F221" s="84">
        <f>+F220</f>
        <v>4</v>
      </c>
      <c r="G221" s="84">
        <v>0</v>
      </c>
      <c r="H221" s="186">
        <f>+H220</f>
        <v>9</v>
      </c>
      <c r="I221" s="187"/>
      <c r="J221" s="266"/>
      <c r="K221" s="18"/>
      <c r="L221" s="17"/>
      <c r="M221" s="18"/>
      <c r="N221" s="18"/>
      <c r="O221" s="17"/>
      <c r="P221" s="17"/>
      <c r="Q221" s="17"/>
      <c r="R221" s="18"/>
      <c r="S221" s="18"/>
      <c r="T221" s="18"/>
      <c r="U221" s="17"/>
      <c r="V221" s="17" t="str">
        <f>+CONCATENATE(E221,".",F221,"\",G221,".",H221,":",I221)</f>
        <v>2.4\0.9:</v>
      </c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64"/>
      <c r="AH221" s="64"/>
      <c r="AI221" s="64"/>
      <c r="AJ221" s="64"/>
      <c r="AK221" s="64"/>
      <c r="AL221" s="264"/>
      <c r="AM221" s="84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 spans="1:51" s="33" customFormat="1" x14ac:dyDescent="0.3">
      <c r="A222" s="63" t="str">
        <f>A221</f>
        <v>BBD131</v>
      </c>
      <c r="B222" s="17" t="s">
        <v>2382</v>
      </c>
      <c r="C222" s="18" t="str">
        <f>+C221</f>
        <v>DIO1</v>
      </c>
      <c r="D222" s="18">
        <v>132</v>
      </c>
      <c r="E222" s="84">
        <f>+E221</f>
        <v>2</v>
      </c>
      <c r="F222" s="84">
        <f>+F221</f>
        <v>4</v>
      </c>
      <c r="G222" s="84">
        <v>0</v>
      </c>
      <c r="H222" s="186">
        <f>+H221</f>
        <v>9</v>
      </c>
      <c r="I222" s="187"/>
      <c r="J222" s="266"/>
      <c r="K222" s="18"/>
      <c r="L222" s="17"/>
      <c r="M222" s="18"/>
      <c r="N222" s="18"/>
      <c r="O222" s="17"/>
      <c r="P222" s="17"/>
      <c r="Q222" s="17"/>
      <c r="R222" s="18"/>
      <c r="S222" s="18"/>
      <c r="T222" s="18"/>
      <c r="U222" s="17"/>
      <c r="V222" s="17" t="str">
        <f>+CONCATENATE(E222,".",F222,"\",G222,".",H222,":",I222)</f>
        <v>2.4\0.9:</v>
      </c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64"/>
      <c r="AH222" s="64"/>
      <c r="AI222" s="64"/>
      <c r="AJ222" s="64"/>
      <c r="AK222" s="64"/>
      <c r="AL222" s="264"/>
      <c r="AM222" s="84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 spans="1:51" s="33" customFormat="1" ht="13.5" thickBot="1" x14ac:dyDescent="0.35">
      <c r="A223" s="63" t="str">
        <f>A222</f>
        <v>BBD131</v>
      </c>
      <c r="B223" s="17" t="s">
        <v>2382</v>
      </c>
      <c r="C223" s="18" t="str">
        <f>+C222</f>
        <v>DIO1</v>
      </c>
      <c r="D223" s="18">
        <v>132</v>
      </c>
      <c r="E223" s="84">
        <f>+E222</f>
        <v>2</v>
      </c>
      <c r="F223" s="84">
        <f>+F222</f>
        <v>4</v>
      </c>
      <c r="G223" s="84">
        <v>0</v>
      </c>
      <c r="H223" s="186">
        <f>+H222</f>
        <v>9</v>
      </c>
      <c r="I223" s="191"/>
      <c r="J223" s="265"/>
      <c r="K223" s="18"/>
      <c r="L223" s="17"/>
      <c r="M223" s="18"/>
      <c r="N223" s="18"/>
      <c r="O223" s="17"/>
      <c r="P223" s="17"/>
      <c r="Q223" s="17"/>
      <c r="R223" s="18"/>
      <c r="S223" s="18"/>
      <c r="T223" s="18"/>
      <c r="U223" s="17"/>
      <c r="V223" s="17" t="str">
        <f>+CONCATENATE(E223,".",F223,"\",G223,".",H223,":",I223)</f>
        <v>2.4\0.9:</v>
      </c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64"/>
      <c r="AH223" s="64"/>
      <c r="AI223" s="64"/>
      <c r="AJ223" s="64"/>
      <c r="AK223" s="64"/>
      <c r="AL223" s="264"/>
      <c r="AM223" s="84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 spans="1:51" s="33" customFormat="1" x14ac:dyDescent="0.3">
      <c r="A224" s="268" t="s">
        <v>2289</v>
      </c>
      <c r="B224" s="17" t="s">
        <v>2382</v>
      </c>
      <c r="C224" s="18" t="str">
        <f>+C223</f>
        <v>DIO1</v>
      </c>
      <c r="D224" s="18">
        <v>132</v>
      </c>
      <c r="E224" s="84">
        <f>+E223</f>
        <v>2</v>
      </c>
      <c r="F224" s="84">
        <f>+F223</f>
        <v>4</v>
      </c>
      <c r="G224" s="84">
        <v>0</v>
      </c>
      <c r="H224" s="202">
        <v>10</v>
      </c>
      <c r="I224" s="188"/>
      <c r="J224" s="267"/>
      <c r="K224" s="68" t="s">
        <v>698</v>
      </c>
      <c r="L224" s="17"/>
      <c r="M224" s="18"/>
      <c r="N224" s="18"/>
      <c r="O224" s="17"/>
      <c r="P224" s="17"/>
      <c r="Q224" s="17"/>
      <c r="R224" s="18"/>
      <c r="S224" s="18"/>
      <c r="T224" s="18"/>
      <c r="U224" s="17"/>
      <c r="V224" s="17" t="str">
        <f>+CONCATENATE(E224,".",F224,"\",G224,".",H224,":",I224)</f>
        <v>2.4\0.10:</v>
      </c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64"/>
      <c r="AH224" s="64"/>
      <c r="AI224" s="64"/>
      <c r="AJ224" s="64"/>
      <c r="AK224" s="64"/>
      <c r="AL224" s="264"/>
      <c r="AM224" s="84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 spans="1:51" s="33" customFormat="1" x14ac:dyDescent="0.3">
      <c r="A225" s="63" t="str">
        <f>A224</f>
        <v>BBD131</v>
      </c>
      <c r="B225" s="17" t="s">
        <v>2382</v>
      </c>
      <c r="C225" s="18" t="str">
        <f>+C224</f>
        <v>DIO1</v>
      </c>
      <c r="D225" s="18">
        <v>132</v>
      </c>
      <c r="E225" s="84">
        <f>+E224</f>
        <v>2</v>
      </c>
      <c r="F225" s="84">
        <f>+F224</f>
        <v>4</v>
      </c>
      <c r="G225" s="84">
        <v>0</v>
      </c>
      <c r="H225" s="186">
        <f>+H224</f>
        <v>10</v>
      </c>
      <c r="I225" s="187"/>
      <c r="J225" s="266"/>
      <c r="K225" s="18"/>
      <c r="L225" s="17"/>
      <c r="M225" s="18"/>
      <c r="N225" s="18"/>
      <c r="O225" s="17"/>
      <c r="P225" s="17"/>
      <c r="Q225" s="17"/>
      <c r="R225" s="18"/>
      <c r="S225" s="18"/>
      <c r="T225" s="18"/>
      <c r="U225" s="17"/>
      <c r="V225" s="17" t="str">
        <f>+CONCATENATE(E225,".",F225,"\",G225,".",H225,":",I225)</f>
        <v>2.4\0.10:</v>
      </c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64"/>
      <c r="AH225" s="64"/>
      <c r="AI225" s="64"/>
      <c r="AJ225" s="64"/>
      <c r="AK225" s="64"/>
      <c r="AL225" s="264"/>
      <c r="AM225" s="84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 spans="1:51" s="33" customFormat="1" x14ac:dyDescent="0.3">
      <c r="A226" s="63" t="str">
        <f>A225</f>
        <v>BBD131</v>
      </c>
      <c r="B226" s="17" t="s">
        <v>2382</v>
      </c>
      <c r="C226" s="18" t="str">
        <f>+C225</f>
        <v>DIO1</v>
      </c>
      <c r="D226" s="18">
        <v>132</v>
      </c>
      <c r="E226" s="84">
        <f>+E225</f>
        <v>2</v>
      </c>
      <c r="F226" s="84">
        <f>+F225</f>
        <v>4</v>
      </c>
      <c r="G226" s="84">
        <v>0</v>
      </c>
      <c r="H226" s="186">
        <f>+H225</f>
        <v>10</v>
      </c>
      <c r="I226" s="187"/>
      <c r="J226" s="266"/>
      <c r="K226" s="18"/>
      <c r="L226" s="17"/>
      <c r="M226" s="18"/>
      <c r="N226" s="18"/>
      <c r="O226" s="17"/>
      <c r="P226" s="17"/>
      <c r="Q226" s="17"/>
      <c r="R226" s="18"/>
      <c r="S226" s="18"/>
      <c r="T226" s="18"/>
      <c r="U226" s="17"/>
      <c r="V226" s="17" t="str">
        <f>+CONCATENATE(E226,".",F226,"\",G226,".",H226,":",I226)</f>
        <v>2.4\0.10:</v>
      </c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64"/>
      <c r="AH226" s="64"/>
      <c r="AI226" s="64"/>
      <c r="AJ226" s="64"/>
      <c r="AK226" s="64"/>
      <c r="AL226" s="264"/>
      <c r="AM226" s="84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 spans="1:51" s="33" customFormat="1" ht="13.5" thickBot="1" x14ac:dyDescent="0.35">
      <c r="A227" s="63" t="str">
        <f>A226</f>
        <v>BBD131</v>
      </c>
      <c r="B227" s="17" t="s">
        <v>2382</v>
      </c>
      <c r="C227" s="18" t="str">
        <f>+C226</f>
        <v>DIO1</v>
      </c>
      <c r="D227" s="18">
        <v>132</v>
      </c>
      <c r="E227" s="84">
        <f>+E226</f>
        <v>2</v>
      </c>
      <c r="F227" s="84">
        <f>+F226</f>
        <v>4</v>
      </c>
      <c r="G227" s="84">
        <v>0</v>
      </c>
      <c r="H227" s="186">
        <f>+H226</f>
        <v>10</v>
      </c>
      <c r="I227" s="191"/>
      <c r="J227" s="265"/>
      <c r="K227" s="18"/>
      <c r="L227" s="17"/>
      <c r="M227" s="18"/>
      <c r="N227" s="18"/>
      <c r="O227" s="17"/>
      <c r="P227" s="17"/>
      <c r="Q227" s="17"/>
      <c r="R227" s="18"/>
      <c r="S227" s="18"/>
      <c r="T227" s="18"/>
      <c r="U227" s="17"/>
      <c r="V227" s="17" t="str">
        <f>+CONCATENATE(E227,".",F227,"\",G227,".",H227,":",I227)</f>
        <v>2.4\0.10:</v>
      </c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64"/>
      <c r="AH227" s="64"/>
      <c r="AI227" s="64"/>
      <c r="AJ227" s="64"/>
      <c r="AK227" s="64"/>
      <c r="AL227" s="264"/>
      <c r="AM227" s="84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 spans="1:51" s="33" customFormat="1" x14ac:dyDescent="0.3">
      <c r="A228" s="268" t="s">
        <v>2289</v>
      </c>
      <c r="B228" s="17" t="s">
        <v>2382</v>
      </c>
      <c r="C228" s="18" t="str">
        <f>+C227</f>
        <v>DIO1</v>
      </c>
      <c r="D228" s="18">
        <v>132</v>
      </c>
      <c r="E228" s="84">
        <f>+E227</f>
        <v>2</v>
      </c>
      <c r="F228" s="84">
        <f>+F227</f>
        <v>4</v>
      </c>
      <c r="G228" s="84">
        <v>0</v>
      </c>
      <c r="H228" s="202">
        <v>11</v>
      </c>
      <c r="I228" s="188"/>
      <c r="J228" s="267"/>
      <c r="K228" s="68" t="s">
        <v>698</v>
      </c>
      <c r="L228" s="17"/>
      <c r="M228" s="18"/>
      <c r="N228" s="18"/>
      <c r="O228" s="17"/>
      <c r="P228" s="17"/>
      <c r="Q228" s="17"/>
      <c r="R228" s="18"/>
      <c r="S228" s="18"/>
      <c r="T228" s="18"/>
      <c r="U228" s="17"/>
      <c r="V228" s="17" t="str">
        <f>+CONCATENATE(E228,".",F228,"\",G228,".",H228,":",I228)</f>
        <v>2.4\0.11:</v>
      </c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64"/>
      <c r="AH228" s="64"/>
      <c r="AI228" s="64"/>
      <c r="AJ228" s="64"/>
      <c r="AK228" s="64"/>
      <c r="AL228" s="264"/>
      <c r="AM228" s="84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 spans="1:51" s="33" customFormat="1" x14ac:dyDescent="0.3">
      <c r="A229" s="63" t="str">
        <f>A228</f>
        <v>BBD131</v>
      </c>
      <c r="B229" s="17" t="s">
        <v>2382</v>
      </c>
      <c r="C229" s="18" t="str">
        <f>+C228</f>
        <v>DIO1</v>
      </c>
      <c r="D229" s="18">
        <v>132</v>
      </c>
      <c r="E229" s="84">
        <f>+E228</f>
        <v>2</v>
      </c>
      <c r="F229" s="84">
        <f>+F228</f>
        <v>4</v>
      </c>
      <c r="G229" s="84">
        <v>0</v>
      </c>
      <c r="H229" s="186">
        <f>+H228</f>
        <v>11</v>
      </c>
      <c r="I229" s="187"/>
      <c r="J229" s="266"/>
      <c r="K229" s="18"/>
      <c r="L229" s="17"/>
      <c r="M229" s="18"/>
      <c r="N229" s="18"/>
      <c r="O229" s="17"/>
      <c r="P229" s="17"/>
      <c r="Q229" s="17"/>
      <c r="R229" s="18"/>
      <c r="S229" s="18"/>
      <c r="T229" s="18"/>
      <c r="U229" s="17"/>
      <c r="V229" s="17" t="str">
        <f>+CONCATENATE(E229,".",F229,"\",G229,".",H229,":",I229)</f>
        <v>2.4\0.11:</v>
      </c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64"/>
      <c r="AH229" s="64"/>
      <c r="AI229" s="64"/>
      <c r="AJ229" s="64"/>
      <c r="AK229" s="64"/>
      <c r="AL229" s="264"/>
      <c r="AM229" s="84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 spans="1:51" s="33" customFormat="1" x14ac:dyDescent="0.3">
      <c r="A230" s="63" t="str">
        <f>A229</f>
        <v>BBD131</v>
      </c>
      <c r="B230" s="17" t="s">
        <v>2382</v>
      </c>
      <c r="C230" s="18" t="str">
        <f>+C229</f>
        <v>DIO1</v>
      </c>
      <c r="D230" s="18">
        <v>132</v>
      </c>
      <c r="E230" s="84">
        <f>+E229</f>
        <v>2</v>
      </c>
      <c r="F230" s="84">
        <f>+F229</f>
        <v>4</v>
      </c>
      <c r="G230" s="84">
        <v>0</v>
      </c>
      <c r="H230" s="186">
        <f>+H229</f>
        <v>11</v>
      </c>
      <c r="I230" s="187"/>
      <c r="J230" s="266"/>
      <c r="K230" s="18"/>
      <c r="L230" s="17"/>
      <c r="M230" s="18"/>
      <c r="N230" s="18"/>
      <c r="O230" s="17"/>
      <c r="P230" s="17"/>
      <c r="Q230" s="17"/>
      <c r="R230" s="18"/>
      <c r="S230" s="18"/>
      <c r="T230" s="18"/>
      <c r="U230" s="17"/>
      <c r="V230" s="17" t="str">
        <f>+CONCATENATE(E230,".",F230,"\",G230,".",H230,":",I230)</f>
        <v>2.4\0.11:</v>
      </c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64"/>
      <c r="AH230" s="64"/>
      <c r="AI230" s="64"/>
      <c r="AJ230" s="64"/>
      <c r="AK230" s="64"/>
      <c r="AL230" s="264"/>
      <c r="AM230" s="84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 spans="1:51" s="33" customFormat="1" ht="13.5" thickBot="1" x14ac:dyDescent="0.35">
      <c r="A231" s="63" t="str">
        <f>A230</f>
        <v>BBD131</v>
      </c>
      <c r="B231" s="17" t="s">
        <v>2382</v>
      </c>
      <c r="C231" s="18" t="str">
        <f>+C230</f>
        <v>DIO1</v>
      </c>
      <c r="D231" s="18">
        <v>132</v>
      </c>
      <c r="E231" s="84">
        <f>+E230</f>
        <v>2</v>
      </c>
      <c r="F231" s="84">
        <f>+F230</f>
        <v>4</v>
      </c>
      <c r="G231" s="84">
        <v>0</v>
      </c>
      <c r="H231" s="186">
        <f>+H230</f>
        <v>11</v>
      </c>
      <c r="I231" s="191"/>
      <c r="J231" s="265"/>
      <c r="K231" s="18"/>
      <c r="L231" s="17"/>
      <c r="M231" s="18"/>
      <c r="N231" s="18"/>
      <c r="O231" s="17"/>
      <c r="P231" s="17"/>
      <c r="Q231" s="17"/>
      <c r="R231" s="18"/>
      <c r="S231" s="18"/>
      <c r="T231" s="18"/>
      <c r="U231" s="17"/>
      <c r="V231" s="17" t="str">
        <f>+CONCATENATE(E231,".",F231,"\",G231,".",H231,":",I231)</f>
        <v>2.4\0.11:</v>
      </c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64"/>
      <c r="AH231" s="64"/>
      <c r="AI231" s="64"/>
      <c r="AJ231" s="64"/>
      <c r="AK231" s="64"/>
      <c r="AL231" s="264"/>
      <c r="AM231" s="84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 spans="1:51" s="33" customFormat="1" x14ac:dyDescent="0.3">
      <c r="A232" s="63"/>
      <c r="B232" s="17"/>
      <c r="C232" s="326"/>
      <c r="D232" s="18"/>
      <c r="E232" s="84"/>
      <c r="F232" s="84"/>
      <c r="G232" s="84"/>
      <c r="H232" s="186"/>
      <c r="I232" s="186"/>
      <c r="J232" s="84"/>
      <c r="K232" s="18"/>
      <c r="L232" s="17"/>
      <c r="M232" s="18"/>
      <c r="N232" s="18"/>
      <c r="O232" s="17"/>
      <c r="P232" s="17"/>
      <c r="Q232" s="17"/>
      <c r="R232" s="18"/>
      <c r="S232" s="18"/>
      <c r="T232" s="18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64"/>
      <c r="AH232" s="64"/>
      <c r="AI232" s="64"/>
      <c r="AJ232" s="64"/>
      <c r="AK232" s="64"/>
      <c r="AL232" s="264"/>
      <c r="AM232" s="84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 spans="1:51" s="33" customFormat="1" x14ac:dyDescent="0.3">
      <c r="A233" s="63"/>
      <c r="B233" s="17"/>
      <c r="C233" s="326"/>
      <c r="D233" s="18"/>
      <c r="E233" s="84"/>
      <c r="F233" s="84"/>
      <c r="G233" s="84"/>
      <c r="H233" s="186"/>
      <c r="I233" s="186"/>
      <c r="J233" s="84"/>
      <c r="K233" s="18"/>
      <c r="L233" s="17"/>
      <c r="M233" s="18"/>
      <c r="N233" s="18"/>
      <c r="O233" s="17"/>
      <c r="P233" s="17"/>
      <c r="Q233" s="17"/>
      <c r="R233" s="18"/>
      <c r="S233" s="18"/>
      <c r="T233" s="18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64"/>
      <c r="AH233" s="64"/>
      <c r="AI233" s="64"/>
      <c r="AJ233" s="64"/>
      <c r="AK233" s="64"/>
      <c r="AL233" s="264"/>
      <c r="AM233" s="84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 spans="1:51" s="33" customFormat="1" ht="14.5" x14ac:dyDescent="0.35">
      <c r="A234" s="63"/>
      <c r="B234" s="63"/>
      <c r="C234" s="63"/>
      <c r="D234" s="63"/>
      <c r="E234" s="288"/>
      <c r="F234" s="288"/>
      <c r="G234" s="288"/>
      <c r="H234" s="63"/>
      <c r="I234" s="63"/>
      <c r="J234" s="63"/>
      <c r="K234" s="17"/>
      <c r="L234" s="17"/>
      <c r="M234" s="17">
        <v>5</v>
      </c>
      <c r="N234" s="59" t="s">
        <v>2400</v>
      </c>
      <c r="O234" s="17" t="s">
        <v>794</v>
      </c>
      <c r="P234" s="17"/>
      <c r="Q234" s="17" t="s">
        <v>2399</v>
      </c>
      <c r="R234" s="17"/>
      <c r="S234" s="17" t="s">
        <v>2394</v>
      </c>
      <c r="T234" s="17" t="s">
        <v>682</v>
      </c>
      <c r="U234" s="17"/>
      <c r="V234" s="17"/>
      <c r="W234" s="17" t="s">
        <v>681</v>
      </c>
      <c r="X234" s="17"/>
      <c r="Y234" s="17"/>
      <c r="Z234" s="17"/>
      <c r="AA234" s="17"/>
      <c r="AB234" s="17"/>
      <c r="AC234" s="17"/>
      <c r="AD234" s="17"/>
      <c r="AE234" s="17"/>
      <c r="AF234" s="17"/>
      <c r="AG234" s="298" t="s">
        <v>838</v>
      </c>
      <c r="AH234" s="298" t="s">
        <v>190</v>
      </c>
      <c r="AI234" s="298" t="s">
        <v>189</v>
      </c>
      <c r="AJ234" s="298" t="s">
        <v>188</v>
      </c>
      <c r="AK234" s="298">
        <v>4</v>
      </c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 spans="1:51" s="33" customFormat="1" ht="14.5" x14ac:dyDescent="0.35">
      <c r="A235" s="63"/>
      <c r="B235" s="63"/>
      <c r="C235" s="63"/>
      <c r="D235" s="63"/>
      <c r="E235" s="288"/>
      <c r="F235" s="288"/>
      <c r="G235" s="288"/>
      <c r="H235" s="63"/>
      <c r="I235" s="63"/>
      <c r="J235" s="63"/>
      <c r="K235" s="17"/>
      <c r="L235" s="17"/>
      <c r="M235" s="17"/>
      <c r="N235" s="59" t="s">
        <v>111</v>
      </c>
      <c r="O235" s="17" t="s">
        <v>794</v>
      </c>
      <c r="P235" s="17"/>
      <c r="Q235" s="17" t="s">
        <v>2398</v>
      </c>
      <c r="R235" s="17"/>
      <c r="S235" s="17" t="s">
        <v>2394</v>
      </c>
      <c r="T235" s="17" t="s">
        <v>111</v>
      </c>
      <c r="U235" s="17"/>
      <c r="V235" s="17"/>
      <c r="W235" s="17" t="s">
        <v>66</v>
      </c>
      <c r="X235" s="17"/>
      <c r="Y235" s="17"/>
      <c r="Z235" s="17"/>
      <c r="AA235" s="17"/>
      <c r="AB235" s="17"/>
      <c r="AC235" s="17"/>
      <c r="AD235" s="17"/>
      <c r="AE235" s="17"/>
      <c r="AF235" s="17"/>
      <c r="AG235" s="298" t="s">
        <v>838</v>
      </c>
      <c r="AH235" s="298" t="s">
        <v>183</v>
      </c>
      <c r="AI235" s="298" t="s">
        <v>182</v>
      </c>
      <c r="AJ235" s="298" t="s">
        <v>181</v>
      </c>
      <c r="AK235" s="298">
        <v>8</v>
      </c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</row>
    <row r="236" spans="1:51" s="33" customFormat="1" ht="14.5" x14ac:dyDescent="0.35">
      <c r="A236" s="63"/>
      <c r="B236" s="63"/>
      <c r="C236" s="63"/>
      <c r="D236" s="63"/>
      <c r="E236" s="288"/>
      <c r="F236" s="288"/>
      <c r="G236" s="288"/>
      <c r="H236" s="63"/>
      <c r="I236" s="63"/>
      <c r="J236" s="63"/>
      <c r="K236" s="17"/>
      <c r="L236" s="17"/>
      <c r="M236" s="17">
        <v>5</v>
      </c>
      <c r="N236" s="59" t="s">
        <v>2397</v>
      </c>
      <c r="O236" s="17" t="s">
        <v>794</v>
      </c>
      <c r="P236" s="17"/>
      <c r="Q236" s="17" t="s">
        <v>2396</v>
      </c>
      <c r="R236" s="17"/>
      <c r="S236" s="17" t="s">
        <v>2394</v>
      </c>
      <c r="T236" s="17" t="s">
        <v>106</v>
      </c>
      <c r="U236" s="17"/>
      <c r="V236" s="17"/>
      <c r="W236" s="17" t="s">
        <v>678</v>
      </c>
      <c r="X236" s="17"/>
      <c r="Y236" s="17"/>
      <c r="Z236" s="17"/>
      <c r="AA236" s="17"/>
      <c r="AB236" s="17"/>
      <c r="AC236" s="17"/>
      <c r="AD236" s="17"/>
      <c r="AE236" s="17"/>
      <c r="AF236" s="17"/>
      <c r="AG236" s="298" t="s">
        <v>838</v>
      </c>
      <c r="AH236" s="298" t="s">
        <v>176</v>
      </c>
      <c r="AI236" s="298" t="s">
        <v>175</v>
      </c>
      <c r="AJ236" s="298" t="s">
        <v>174</v>
      </c>
      <c r="AK236" s="298">
        <v>12</v>
      </c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</row>
    <row r="237" spans="1:51" s="33" customFormat="1" ht="14.5" x14ac:dyDescent="0.35">
      <c r="A237" s="63"/>
      <c r="B237" s="17"/>
      <c r="C237" s="63"/>
      <c r="D237" s="18"/>
      <c r="E237" s="288"/>
      <c r="F237" s="288"/>
      <c r="G237" s="288"/>
      <c r="H237" s="63"/>
      <c r="I237" s="63"/>
      <c r="J237" s="17"/>
      <c r="K237" s="84"/>
      <c r="L237" s="64"/>
      <c r="M237" s="17">
        <v>5</v>
      </c>
      <c r="N237" s="59" t="s">
        <v>101</v>
      </c>
      <c r="O237" s="17" t="s">
        <v>794</v>
      </c>
      <c r="P237" s="17"/>
      <c r="Q237" s="17" t="s">
        <v>2395</v>
      </c>
      <c r="R237" s="17"/>
      <c r="S237" s="17" t="s">
        <v>2394</v>
      </c>
      <c r="T237" s="17" t="s">
        <v>692</v>
      </c>
      <c r="U237" s="17"/>
      <c r="V237" s="17"/>
      <c r="W237" s="17" t="s">
        <v>83</v>
      </c>
      <c r="X237" s="17"/>
      <c r="Y237" s="17"/>
      <c r="Z237" s="17"/>
      <c r="AA237" s="17"/>
      <c r="AB237" s="17"/>
      <c r="AC237" s="17"/>
      <c r="AD237" s="17"/>
      <c r="AE237" s="17"/>
      <c r="AF237" s="17"/>
      <c r="AG237" s="298" t="s">
        <v>838</v>
      </c>
      <c r="AH237" s="298" t="s">
        <v>169</v>
      </c>
      <c r="AI237" s="298" t="s">
        <v>168</v>
      </c>
      <c r="AJ237" s="298" t="s">
        <v>167</v>
      </c>
      <c r="AK237" s="298">
        <v>16</v>
      </c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</row>
    <row r="238" spans="1:51" s="33" customFormat="1" ht="14.5" x14ac:dyDescent="0.35">
      <c r="A238" s="63"/>
      <c r="B238" s="17"/>
      <c r="C238" s="17"/>
      <c r="D238" s="18"/>
      <c r="E238" s="84"/>
      <c r="F238" s="84"/>
      <c r="G238" s="84"/>
      <c r="H238" s="17"/>
      <c r="I238" s="17"/>
      <c r="J238" s="17"/>
      <c r="K238" s="17"/>
      <c r="L238" s="17"/>
      <c r="M238" s="17"/>
      <c r="N238" s="17"/>
      <c r="O238" s="17"/>
      <c r="P238" s="17"/>
      <c r="Q238" s="17" t="s">
        <v>127</v>
      </c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298" t="s">
        <v>838</v>
      </c>
      <c r="AH238" s="298" t="s">
        <v>161</v>
      </c>
      <c r="AI238" s="298" t="s">
        <v>160</v>
      </c>
      <c r="AJ238" s="298" t="s">
        <v>159</v>
      </c>
      <c r="AK238" s="298">
        <v>20</v>
      </c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</row>
    <row r="239" spans="1:51" s="33" customFormat="1" ht="15" thickBot="1" x14ac:dyDescent="0.4">
      <c r="A239" s="63"/>
      <c r="B239" s="17"/>
      <c r="C239" s="17"/>
      <c r="D239" s="18"/>
      <c r="E239" s="84"/>
      <c r="F239" s="84"/>
      <c r="G239" s="84"/>
      <c r="H239" s="17"/>
      <c r="I239" s="17"/>
      <c r="J239" s="17"/>
      <c r="K239" s="17"/>
      <c r="L239" s="17"/>
      <c r="M239" s="17"/>
      <c r="N239" s="17"/>
      <c r="O239" s="17"/>
      <c r="P239" s="17"/>
      <c r="Q239" s="17" t="s">
        <v>127</v>
      </c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298" t="s">
        <v>838</v>
      </c>
      <c r="AH239" s="298" t="s">
        <v>154</v>
      </c>
      <c r="AI239" s="298" t="s">
        <v>153</v>
      </c>
      <c r="AJ239" s="298" t="s">
        <v>152</v>
      </c>
      <c r="AK239" s="298">
        <v>24</v>
      </c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</row>
    <row r="240" spans="1:51" s="33" customFormat="1" ht="15" thickBot="1" x14ac:dyDescent="0.4">
      <c r="A240" s="268" t="s">
        <v>2289</v>
      </c>
      <c r="B240" s="17" t="s">
        <v>2382</v>
      </c>
      <c r="C240" s="17"/>
      <c r="D240" s="18">
        <v>132</v>
      </c>
      <c r="E240" s="84"/>
      <c r="F240" s="84"/>
      <c r="G240" s="84"/>
      <c r="H240" s="17"/>
      <c r="I240" s="325"/>
      <c r="J240" s="324"/>
      <c r="K240" s="17" t="s">
        <v>27</v>
      </c>
      <c r="L240" s="17"/>
      <c r="M240" s="17">
        <v>3</v>
      </c>
      <c r="N240" s="32" t="s">
        <v>2393</v>
      </c>
      <c r="O240" s="17"/>
      <c r="P240" s="17"/>
      <c r="Q240" s="17" t="s">
        <v>2392</v>
      </c>
      <c r="R240" s="17"/>
      <c r="S240" s="17" t="s">
        <v>2391</v>
      </c>
      <c r="T240" s="17" t="s">
        <v>2390</v>
      </c>
      <c r="U240" s="17"/>
      <c r="V240" s="17"/>
      <c r="W240" s="17" t="s">
        <v>2377</v>
      </c>
      <c r="X240" s="17"/>
      <c r="Y240" s="17"/>
      <c r="Z240" s="17"/>
      <c r="AA240" s="17"/>
      <c r="AB240" s="17"/>
      <c r="AC240" s="17"/>
      <c r="AD240" s="17"/>
      <c r="AE240" s="17"/>
      <c r="AF240" s="17"/>
      <c r="AG240" s="298" t="s">
        <v>838</v>
      </c>
      <c r="AH240" s="298" t="s">
        <v>150</v>
      </c>
      <c r="AI240" s="298" t="s">
        <v>149</v>
      </c>
      <c r="AJ240" s="298" t="s">
        <v>148</v>
      </c>
      <c r="AK240" s="298">
        <v>28</v>
      </c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</row>
    <row r="241" spans="1:51" s="33" customFormat="1" ht="15" thickBot="1" x14ac:dyDescent="0.4">
      <c r="A241" s="63" t="str">
        <f>A240</f>
        <v>BBD131</v>
      </c>
      <c r="B241" s="17" t="s">
        <v>2382</v>
      </c>
      <c r="C241" s="17"/>
      <c r="D241" s="18">
        <v>132</v>
      </c>
      <c r="E241" s="65"/>
      <c r="F241" s="65"/>
      <c r="G241" s="65"/>
      <c r="H241" s="63"/>
      <c r="I241" s="325"/>
      <c r="J241" s="324"/>
      <c r="K241" s="18" t="s">
        <v>27</v>
      </c>
      <c r="L241" s="17"/>
      <c r="M241" s="17">
        <v>5</v>
      </c>
      <c r="N241" s="59" t="s">
        <v>2389</v>
      </c>
      <c r="O241" s="17"/>
      <c r="P241" s="17"/>
      <c r="Q241" s="17" t="s">
        <v>2388</v>
      </c>
      <c r="R241" s="18"/>
      <c r="S241" s="17" t="s">
        <v>2387</v>
      </c>
      <c r="T241" s="17" t="s">
        <v>111</v>
      </c>
      <c r="U241" s="17"/>
      <c r="V241" s="17"/>
      <c r="W241" s="17" t="s">
        <v>2377</v>
      </c>
      <c r="X241" s="17"/>
      <c r="Y241" s="17"/>
      <c r="Z241" s="17"/>
      <c r="AA241" s="17"/>
      <c r="AB241" s="17"/>
      <c r="AC241" s="17"/>
      <c r="AD241" s="17"/>
      <c r="AE241" s="17"/>
      <c r="AF241" s="17"/>
      <c r="AG241" s="298" t="s">
        <v>838</v>
      </c>
      <c r="AH241" s="298" t="s">
        <v>144</v>
      </c>
      <c r="AI241" s="298" t="s">
        <v>143</v>
      </c>
      <c r="AJ241" s="298" t="s">
        <v>142</v>
      </c>
      <c r="AK241" s="298">
        <v>32</v>
      </c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</row>
    <row r="242" spans="1:51" s="33" customFormat="1" ht="15" thickBot="1" x14ac:dyDescent="0.4">
      <c r="A242" s="63" t="str">
        <f>A241</f>
        <v>BBD131</v>
      </c>
      <c r="B242" s="17" t="s">
        <v>2382</v>
      </c>
      <c r="C242" s="17"/>
      <c r="D242" s="18">
        <v>132</v>
      </c>
      <c r="E242" s="65"/>
      <c r="F242" s="65"/>
      <c r="G242" s="65"/>
      <c r="H242" s="63"/>
      <c r="I242" s="325"/>
      <c r="J242" s="324"/>
      <c r="K242" s="17" t="s">
        <v>27</v>
      </c>
      <c r="L242" s="79"/>
      <c r="M242" s="17">
        <v>3</v>
      </c>
      <c r="N242" s="59" t="s">
        <v>2386</v>
      </c>
      <c r="O242" s="18" t="s">
        <v>2385</v>
      </c>
      <c r="P242" s="18"/>
      <c r="Q242" s="18" t="s">
        <v>2384</v>
      </c>
      <c r="R242" s="17"/>
      <c r="S242" s="17" t="s">
        <v>2383</v>
      </c>
      <c r="T242" s="17" t="s">
        <v>111</v>
      </c>
      <c r="U242" s="17"/>
      <c r="V242" s="17"/>
      <c r="W242" s="17" t="s">
        <v>2377</v>
      </c>
      <c r="X242" s="17"/>
      <c r="Y242" s="17"/>
      <c r="Z242" s="17"/>
      <c r="AA242" s="17"/>
      <c r="AB242" s="17"/>
      <c r="AC242" s="17"/>
      <c r="AD242" s="17"/>
      <c r="AE242" s="17"/>
      <c r="AF242" s="17"/>
      <c r="AG242" s="298" t="s">
        <v>838</v>
      </c>
      <c r="AH242" s="298" t="s">
        <v>137</v>
      </c>
      <c r="AI242" s="298" t="s">
        <v>136</v>
      </c>
      <c r="AJ242" s="298" t="s">
        <v>135</v>
      </c>
      <c r="AK242" s="298">
        <v>36</v>
      </c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</row>
    <row r="243" spans="1:51" s="33" customFormat="1" ht="15" thickBot="1" x14ac:dyDescent="0.4">
      <c r="A243" s="63" t="str">
        <f>A242</f>
        <v>BBD131</v>
      </c>
      <c r="B243" s="17" t="s">
        <v>2382</v>
      </c>
      <c r="C243" s="63"/>
      <c r="D243" s="18">
        <v>132</v>
      </c>
      <c r="E243" s="288"/>
      <c r="F243" s="288"/>
      <c r="G243" s="288"/>
      <c r="H243" s="63"/>
      <c r="I243" s="325"/>
      <c r="J243" s="324"/>
      <c r="K243" s="17" t="s">
        <v>27</v>
      </c>
      <c r="L243" s="64"/>
      <c r="M243" s="17">
        <v>3</v>
      </c>
      <c r="N243" s="59" t="s">
        <v>2381</v>
      </c>
      <c r="O243" s="17" t="s">
        <v>2380</v>
      </c>
      <c r="P243" s="17"/>
      <c r="Q243" s="17" t="s">
        <v>2379</v>
      </c>
      <c r="R243" s="17"/>
      <c r="S243" s="17" t="s">
        <v>2378</v>
      </c>
      <c r="T243" s="17" t="s">
        <v>111</v>
      </c>
      <c r="U243" s="17"/>
      <c r="V243" s="17"/>
      <c r="W243" s="17" t="s">
        <v>2377</v>
      </c>
      <c r="X243" s="17"/>
      <c r="Y243" s="17"/>
      <c r="Z243" s="17"/>
      <c r="AA243" s="17"/>
      <c r="AB243" s="17"/>
      <c r="AC243" s="17"/>
      <c r="AD243" s="17"/>
      <c r="AE243" s="17"/>
      <c r="AF243" s="17"/>
      <c r="AG243" s="298" t="s">
        <v>838</v>
      </c>
      <c r="AH243" s="298" t="s">
        <v>134</v>
      </c>
      <c r="AI243" s="298" t="s">
        <v>133</v>
      </c>
      <c r="AJ243" s="298" t="s">
        <v>132</v>
      </c>
      <c r="AK243" s="298">
        <v>40</v>
      </c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</row>
    <row r="244" spans="1:51" s="33" customFormat="1" ht="14.5" x14ac:dyDescent="0.35">
      <c r="A244" s="63"/>
      <c r="B244" s="17"/>
      <c r="C244" s="17"/>
      <c r="D244" s="18"/>
      <c r="E244" s="84"/>
      <c r="F244" s="84"/>
      <c r="G244" s="84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298" t="s">
        <v>838</v>
      </c>
      <c r="AH244" s="298" t="s">
        <v>130</v>
      </c>
      <c r="AI244" s="298" t="s">
        <v>129</v>
      </c>
      <c r="AJ244" s="298" t="s">
        <v>128</v>
      </c>
      <c r="AK244" s="298">
        <v>44</v>
      </c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</row>
    <row r="245" spans="1:51" s="33" customFormat="1" ht="14.5" x14ac:dyDescent="0.35">
      <c r="A245" s="63"/>
      <c r="B245" s="17"/>
      <c r="C245" s="17"/>
      <c r="D245" s="18"/>
      <c r="E245" s="84"/>
      <c r="F245" s="84"/>
      <c r="G245" s="84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298" t="s">
        <v>838</v>
      </c>
      <c r="AH245" s="298">
        <v>45</v>
      </c>
      <c r="AI245" s="298">
        <v>46</v>
      </c>
      <c r="AJ245" s="298">
        <v>47</v>
      </c>
      <c r="AK245" s="298">
        <v>48</v>
      </c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</row>
    <row r="246" spans="1:51" s="33" customFormat="1" ht="14.5" x14ac:dyDescent="0.35">
      <c r="A246" s="63"/>
      <c r="B246" s="17"/>
      <c r="C246" s="17"/>
      <c r="D246" s="18"/>
      <c r="E246" s="84"/>
      <c r="F246" s="84"/>
      <c r="G246" s="84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298" t="s">
        <v>838</v>
      </c>
      <c r="AH246" s="298">
        <v>49</v>
      </c>
      <c r="AI246" s="298">
        <v>50</v>
      </c>
      <c r="AJ246" s="298">
        <v>51</v>
      </c>
      <c r="AK246" s="298">
        <v>52</v>
      </c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</row>
    <row r="247" spans="1:51" s="33" customFormat="1" ht="14.5" x14ac:dyDescent="0.35">
      <c r="A247" s="63"/>
      <c r="B247" s="17"/>
      <c r="C247" s="17"/>
      <c r="D247" s="18"/>
      <c r="E247" s="84"/>
      <c r="F247" s="84"/>
      <c r="G247" s="84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298" t="s">
        <v>838</v>
      </c>
      <c r="AH247" s="298">
        <v>53</v>
      </c>
      <c r="AI247" s="298">
        <v>54</v>
      </c>
      <c r="AJ247" s="298">
        <v>55</v>
      </c>
      <c r="AK247" s="298">
        <v>56</v>
      </c>
      <c r="AL247" s="264"/>
      <c r="AM247" s="84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</row>
    <row r="248" spans="1:51" s="33" customFormat="1" x14ac:dyDescent="0.3">
      <c r="A248" s="63"/>
      <c r="B248" s="17"/>
      <c r="C248" s="17"/>
      <c r="D248" s="18"/>
      <c r="E248" s="84"/>
      <c r="F248" s="84"/>
      <c r="G248" s="84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8"/>
      <c r="AF248" s="18"/>
      <c r="AG248" s="18"/>
      <c r="AH248" s="18"/>
      <c r="AI248" s="18"/>
      <c r="AJ248" s="18"/>
      <c r="AK248" s="18"/>
      <c r="AL248" s="264"/>
      <c r="AM248" s="84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</row>
    <row r="249" spans="1:51" s="33" customFormat="1" x14ac:dyDescent="0.3">
      <c r="A249" s="63"/>
      <c r="B249" s="17"/>
      <c r="C249" s="17"/>
      <c r="D249" s="18"/>
      <c r="E249" s="84"/>
      <c r="F249" s="84"/>
      <c r="G249" s="84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8"/>
      <c r="AF249" s="18"/>
      <c r="AG249" s="18"/>
      <c r="AH249" s="18"/>
      <c r="AI249" s="18"/>
      <c r="AJ249" s="18"/>
      <c r="AK249" s="18"/>
      <c r="AL249" s="264"/>
      <c r="AM249" s="84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</row>
    <row r="250" spans="1:51" s="33" customFormat="1" x14ac:dyDescent="0.3">
      <c r="A250" s="63"/>
      <c r="B250" s="63"/>
      <c r="C250" s="63"/>
      <c r="D250" s="18"/>
      <c r="E250" s="288"/>
      <c r="F250" s="288"/>
      <c r="G250" s="288"/>
      <c r="H250" s="63"/>
      <c r="I250" s="63"/>
      <c r="J250" s="63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8"/>
      <c r="AF250" s="18"/>
      <c r="AG250" s="18"/>
      <c r="AH250" s="18"/>
      <c r="AI250" s="18"/>
      <c r="AJ250" s="18"/>
      <c r="AK250" s="18"/>
      <c r="AL250" s="264"/>
      <c r="AM250" s="17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</row>
    <row r="251" spans="1:51" s="83" customFormat="1" ht="15.5" x14ac:dyDescent="0.35">
      <c r="A251" s="256"/>
      <c r="B251" s="96" t="s">
        <v>2376</v>
      </c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87"/>
      <c r="O251" s="256"/>
      <c r="P251" s="287"/>
      <c r="Q251" s="256"/>
      <c r="R251" s="256"/>
      <c r="S251" s="256"/>
      <c r="T251" s="256"/>
      <c r="U251" s="256"/>
      <c r="V251" s="256"/>
      <c r="W251" s="287"/>
      <c r="X251" s="256"/>
      <c r="Y251" s="256"/>
      <c r="Z251" s="46"/>
      <c r="AA251" s="46"/>
      <c r="AB251" s="20"/>
      <c r="AC251" s="46"/>
      <c r="AD251" s="46"/>
      <c r="AE251" s="46"/>
      <c r="AF251" s="46"/>
      <c r="AG251" s="92"/>
      <c r="AH251" s="92"/>
      <c r="AI251" s="92"/>
      <c r="AJ251" s="92"/>
      <c r="AK251" s="92"/>
      <c r="AL251" s="284"/>
      <c r="AM251" s="94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</row>
    <row r="252" spans="1:51" s="83" customFormat="1" ht="13.5" thickBot="1" x14ac:dyDescent="0.35">
      <c r="E252" s="95"/>
      <c r="F252" s="94"/>
      <c r="G252" s="94"/>
      <c r="Y252" s="46"/>
      <c r="Z252" s="46"/>
      <c r="AA252" s="46"/>
      <c r="AB252" s="20"/>
      <c r="AC252" s="46"/>
      <c r="AD252" s="46"/>
      <c r="AE252" s="46"/>
      <c r="AF252" s="46"/>
      <c r="AG252" s="92"/>
      <c r="AH252" s="92"/>
      <c r="AI252" s="92"/>
      <c r="AJ252" s="92"/>
      <c r="AK252" s="92"/>
      <c r="AL252" s="284"/>
      <c r="AM252" s="94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</row>
    <row r="253" spans="1:51" s="33" customFormat="1" ht="13.5" thickBot="1" x14ac:dyDescent="0.35">
      <c r="A253" s="162" t="s">
        <v>2375</v>
      </c>
      <c r="B253" s="17" t="s">
        <v>2275</v>
      </c>
      <c r="C253" s="18" t="s">
        <v>723</v>
      </c>
      <c r="D253" s="18">
        <v>132</v>
      </c>
      <c r="E253" s="84">
        <v>2</v>
      </c>
      <c r="F253" s="84">
        <v>5</v>
      </c>
      <c r="G253" s="84">
        <v>0</v>
      </c>
      <c r="H253" s="214"/>
      <c r="I253" s="245"/>
      <c r="J253" s="244"/>
      <c r="K253" s="18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20"/>
      <c r="Z253" s="20"/>
      <c r="AA253" s="20"/>
      <c r="AB253" s="20"/>
      <c r="AC253" s="20"/>
      <c r="AD253" s="20"/>
      <c r="AE253" s="20"/>
      <c r="AF253" s="20"/>
      <c r="AG253" s="92"/>
      <c r="AH253" s="92"/>
      <c r="AI253" s="92"/>
      <c r="AJ253" s="92"/>
      <c r="AK253" s="92"/>
      <c r="AL253" s="284"/>
      <c r="AM253" s="17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</row>
    <row r="254" spans="1:51" s="33" customFormat="1" ht="13.5" thickBot="1" x14ac:dyDescent="0.35">
      <c r="A254" s="323" t="s">
        <v>2289</v>
      </c>
      <c r="B254" s="17" t="s">
        <v>2275</v>
      </c>
      <c r="C254" s="18" t="s">
        <v>723</v>
      </c>
      <c r="D254" s="18">
        <v>132</v>
      </c>
      <c r="E254" s="84">
        <f>+E253</f>
        <v>2</v>
      </c>
      <c r="F254" s="84">
        <f>+F253</f>
        <v>5</v>
      </c>
      <c r="G254" s="84">
        <v>0</v>
      </c>
      <c r="H254" s="83"/>
      <c r="I254" s="245" t="s">
        <v>1090</v>
      </c>
      <c r="J254" s="246"/>
      <c r="K254" s="17" t="s">
        <v>1089</v>
      </c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20"/>
      <c r="Z254" s="20"/>
      <c r="AA254" s="20"/>
      <c r="AB254" s="20"/>
      <c r="AC254" s="20"/>
      <c r="AD254" s="20"/>
      <c r="AE254" s="20"/>
      <c r="AF254" s="20"/>
      <c r="AG254" s="92"/>
      <c r="AH254" s="92"/>
      <c r="AI254" s="92"/>
      <c r="AJ254" s="92"/>
      <c r="AK254" s="92"/>
      <c r="AL254" s="284"/>
      <c r="AM254" s="17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</row>
    <row r="255" spans="1:51" s="33" customFormat="1" ht="13.5" thickBot="1" x14ac:dyDescent="0.35">
      <c r="A255" s="162" t="str">
        <f>A254</f>
        <v>BBD131</v>
      </c>
      <c r="B255" s="17" t="s">
        <v>2275</v>
      </c>
      <c r="C255" s="18" t="str">
        <f>+C254</f>
        <v>DIO1</v>
      </c>
      <c r="D255" s="18">
        <v>132</v>
      </c>
      <c r="E255" s="84">
        <f>+E254</f>
        <v>2</v>
      </c>
      <c r="F255" s="84">
        <f>+F254</f>
        <v>5</v>
      </c>
      <c r="G255" s="84">
        <v>0</v>
      </c>
      <c r="H255" s="83"/>
      <c r="I255" s="245" t="s">
        <v>1088</v>
      </c>
      <c r="J255" s="246"/>
      <c r="K255" s="18" t="s">
        <v>1087</v>
      </c>
      <c r="L255" s="83"/>
      <c r="M255" s="242" t="s">
        <v>1086</v>
      </c>
      <c r="N255" s="84"/>
      <c r="O255" s="242" t="s">
        <v>1085</v>
      </c>
      <c r="P255" s="84"/>
      <c r="Q255" s="242" t="s">
        <v>1084</v>
      </c>
      <c r="R255" s="83"/>
      <c r="S255" s="83"/>
      <c r="T255" s="83"/>
      <c r="U255" s="83"/>
      <c r="V255" s="83"/>
      <c r="W255" s="83"/>
      <c r="X255" s="83"/>
      <c r="Y255" s="20"/>
      <c r="Z255" s="20"/>
      <c r="AA255" s="20"/>
      <c r="AB255" s="20"/>
      <c r="AC255" s="20"/>
      <c r="AD255" s="20"/>
      <c r="AE255" s="20"/>
      <c r="AF255" s="20"/>
      <c r="AG255" s="92"/>
      <c r="AH255" s="92"/>
      <c r="AI255" s="92"/>
      <c r="AJ255" s="92"/>
      <c r="AK255" s="92"/>
      <c r="AL255" s="284"/>
      <c r="AM255" s="17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</row>
    <row r="256" spans="1:51" s="33" customFormat="1" ht="13.5" thickBot="1" x14ac:dyDescent="0.35">
      <c r="A256" s="162" t="str">
        <f>A255</f>
        <v>BBD131</v>
      </c>
      <c r="B256" s="17" t="s">
        <v>2275</v>
      </c>
      <c r="C256" s="18" t="str">
        <f>+C255</f>
        <v>DIO1</v>
      </c>
      <c r="D256" s="18">
        <v>132</v>
      </c>
      <c r="E256" s="84">
        <f>+E255</f>
        <v>2</v>
      </c>
      <c r="F256" s="84">
        <f>+F255</f>
        <v>5</v>
      </c>
      <c r="G256" s="84">
        <v>0</v>
      </c>
      <c r="H256" s="65">
        <v>0</v>
      </c>
      <c r="I256" s="245" t="s">
        <v>1083</v>
      </c>
      <c r="J256" s="244"/>
      <c r="K256" s="17" t="s">
        <v>1082</v>
      </c>
      <c r="L256" s="99" t="s">
        <v>1314</v>
      </c>
      <c r="M256" s="242">
        <f>+COUNTA(L257:L380)</f>
        <v>112</v>
      </c>
      <c r="N256" s="84"/>
      <c r="O256" s="242">
        <f>+COUNTBLANK(O257:O380)</f>
        <v>61</v>
      </c>
      <c r="P256" s="84"/>
      <c r="Q256" s="241">
        <f>+O256/M256</f>
        <v>0.5446428571428571</v>
      </c>
      <c r="R256" s="17"/>
      <c r="S256" s="17"/>
      <c r="T256" s="17"/>
      <c r="U256" s="17"/>
      <c r="V256" s="17"/>
      <c r="W256" s="17"/>
      <c r="X256" s="17"/>
      <c r="Y256" s="20"/>
      <c r="Z256" s="20"/>
      <c r="AA256" s="20"/>
      <c r="AB256" s="20"/>
      <c r="AC256" s="20"/>
      <c r="AD256" s="20"/>
      <c r="AE256" s="20"/>
      <c r="AF256" s="20"/>
      <c r="AG256" s="64"/>
      <c r="AH256" s="64"/>
      <c r="AI256" s="64"/>
      <c r="AJ256" s="64"/>
      <c r="AK256" s="64"/>
      <c r="AL256" s="264"/>
      <c r="AM256" s="17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</row>
    <row r="257" spans="1:51" s="33" customFormat="1" ht="14.5" x14ac:dyDescent="0.35">
      <c r="A257" s="162" t="str">
        <f>A256</f>
        <v>BBD131</v>
      </c>
      <c r="B257" s="17" t="s">
        <v>2275</v>
      </c>
      <c r="C257" s="18" t="str">
        <f>+C256</f>
        <v>DIO1</v>
      </c>
      <c r="D257" s="18">
        <v>132</v>
      </c>
      <c r="E257" s="84">
        <f>+E256</f>
        <v>2</v>
      </c>
      <c r="F257" s="84">
        <f>+F256</f>
        <v>5</v>
      </c>
      <c r="G257" s="84">
        <v>0</v>
      </c>
      <c r="H257" s="214">
        <f>+H256+1</f>
        <v>1</v>
      </c>
      <c r="I257" s="188">
        <v>0</v>
      </c>
      <c r="J257" s="205" t="s">
        <v>767</v>
      </c>
      <c r="K257" s="18" t="s">
        <v>766</v>
      </c>
      <c r="L257" s="17" t="s">
        <v>323</v>
      </c>
      <c r="M257" s="18">
        <v>4</v>
      </c>
      <c r="N257" s="59"/>
      <c r="O257" s="18" t="s">
        <v>646</v>
      </c>
      <c r="P257" s="59"/>
      <c r="Q257" s="18" t="s">
        <v>2374</v>
      </c>
      <c r="R257" s="18" t="s">
        <v>247</v>
      </c>
      <c r="S257" s="97" t="s">
        <v>1312</v>
      </c>
      <c r="T257" s="97" t="s">
        <v>84</v>
      </c>
      <c r="U257" s="17"/>
      <c r="V257" s="17" t="str">
        <f>+CONCATENATE(E257,".",F257,"\",G257,".",H257,":",I257)</f>
        <v>2.5\0.1:0</v>
      </c>
      <c r="W257" s="17" t="s">
        <v>2372</v>
      </c>
      <c r="X257" s="221">
        <v>0</v>
      </c>
      <c r="Y257" s="20"/>
      <c r="Z257" s="20" t="s">
        <v>1200</v>
      </c>
      <c r="AA257" s="20"/>
      <c r="AB257" s="20"/>
      <c r="AC257" s="20"/>
      <c r="AD257" s="20"/>
      <c r="AE257" s="20"/>
      <c r="AF257" s="17"/>
      <c r="AG257" s="64" t="s">
        <v>1079</v>
      </c>
      <c r="AH257" s="64"/>
      <c r="AI257" s="64">
        <v>1</v>
      </c>
      <c r="AJ257" s="64"/>
      <c r="AK257" s="64"/>
      <c r="AL257" s="264"/>
      <c r="AM257" s="84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</row>
    <row r="258" spans="1:51" s="33" customFormat="1" ht="14.5" x14ac:dyDescent="0.35">
      <c r="A258" s="162" t="str">
        <f>A257</f>
        <v>BBD131</v>
      </c>
      <c r="B258" s="17" t="s">
        <v>2275</v>
      </c>
      <c r="C258" s="18" t="str">
        <f>+C257</f>
        <v>DIO1</v>
      </c>
      <c r="D258" s="18">
        <v>132</v>
      </c>
      <c r="E258" s="84">
        <f>+E257</f>
        <v>2</v>
      </c>
      <c r="F258" s="84">
        <f>+F257</f>
        <v>5</v>
      </c>
      <c r="G258" s="84">
        <v>0</v>
      </c>
      <c r="H258" s="200">
        <f>H257</f>
        <v>1</v>
      </c>
      <c r="I258" s="187">
        <f>+I257+1</f>
        <v>1</v>
      </c>
      <c r="J258" s="205"/>
      <c r="K258" s="17"/>
      <c r="L258" s="17" t="s">
        <v>323</v>
      </c>
      <c r="M258" s="18">
        <v>4</v>
      </c>
      <c r="N258" s="59"/>
      <c r="O258" s="97" t="s">
        <v>770</v>
      </c>
      <c r="P258" s="59"/>
      <c r="Q258" s="283" t="s">
        <v>1311</v>
      </c>
      <c r="R258" s="97" t="s">
        <v>211</v>
      </c>
      <c r="S258" s="97" t="s">
        <v>1310</v>
      </c>
      <c r="T258" s="97" t="s">
        <v>84</v>
      </c>
      <c r="U258" s="17"/>
      <c r="V258" s="17" t="str">
        <f>+CONCATENATE(E258,".",F258,"\",G258,".",H258,":",I258)</f>
        <v>2.5\0.1:1</v>
      </c>
      <c r="W258" s="17" t="s">
        <v>2372</v>
      </c>
      <c r="X258" s="221">
        <v>0</v>
      </c>
      <c r="Y258" s="20"/>
      <c r="Z258" s="20" t="s">
        <v>1200</v>
      </c>
      <c r="AA258" s="20"/>
      <c r="AB258" s="20"/>
      <c r="AC258" s="20"/>
      <c r="AD258" s="20"/>
      <c r="AE258" s="20"/>
      <c r="AF258" s="17"/>
      <c r="AG258" s="64" t="s">
        <v>1079</v>
      </c>
      <c r="AH258" s="64"/>
      <c r="AI258" s="64">
        <v>2</v>
      </c>
      <c r="AJ258" s="64"/>
      <c r="AK258" s="64"/>
      <c r="AL258" s="282"/>
      <c r="AM258" s="84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</row>
    <row r="259" spans="1:51" s="33" customFormat="1" ht="14.5" x14ac:dyDescent="0.35">
      <c r="A259" s="162" t="str">
        <f>A258</f>
        <v>BBD131</v>
      </c>
      <c r="B259" s="17" t="s">
        <v>2275</v>
      </c>
      <c r="C259" s="18" t="str">
        <f>+C258</f>
        <v>DIO1</v>
      </c>
      <c r="D259" s="18">
        <v>132</v>
      </c>
      <c r="E259" s="84">
        <f>+E258</f>
        <v>2</v>
      </c>
      <c r="F259" s="84">
        <f>+F258</f>
        <v>5</v>
      </c>
      <c r="G259" s="84">
        <v>0</v>
      </c>
      <c r="H259" s="200">
        <f>H257</f>
        <v>1</v>
      </c>
      <c r="I259" s="187">
        <f>+I258+1</f>
        <v>2</v>
      </c>
      <c r="J259" s="205"/>
      <c r="K259" s="79"/>
      <c r="L259" s="17" t="s">
        <v>323</v>
      </c>
      <c r="M259" s="18">
        <v>4</v>
      </c>
      <c r="N259" s="59"/>
      <c r="O259" s="97" t="s">
        <v>837</v>
      </c>
      <c r="P259" s="59"/>
      <c r="Q259" s="17" t="s">
        <v>1309</v>
      </c>
      <c r="R259" s="97" t="s">
        <v>211</v>
      </c>
      <c r="S259" s="97" t="s">
        <v>1308</v>
      </c>
      <c r="T259" s="97" t="s">
        <v>84</v>
      </c>
      <c r="U259" s="17"/>
      <c r="V259" s="17" t="str">
        <f>+CONCATENATE(E259,".",F259,"\",G259,".",H259,":",I259)</f>
        <v>2.5\0.1:2</v>
      </c>
      <c r="W259" s="17" t="s">
        <v>2372</v>
      </c>
      <c r="X259" s="221">
        <v>0</v>
      </c>
      <c r="Y259" s="20"/>
      <c r="Z259" s="20" t="s">
        <v>1200</v>
      </c>
      <c r="AA259" s="20"/>
      <c r="AB259" s="20"/>
      <c r="AC259" s="20"/>
      <c r="AD259" s="20"/>
      <c r="AE259" s="20"/>
      <c r="AF259" s="17"/>
      <c r="AG259" s="64" t="s">
        <v>1079</v>
      </c>
      <c r="AH259" s="64"/>
      <c r="AI259" s="64">
        <v>3</v>
      </c>
      <c r="AJ259" s="64"/>
      <c r="AK259" s="64"/>
      <c r="AL259" s="282"/>
      <c r="AM259" s="84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</row>
    <row r="260" spans="1:51" s="33" customFormat="1" ht="14.5" x14ac:dyDescent="0.35">
      <c r="A260" s="162" t="str">
        <f>A259</f>
        <v>BBD131</v>
      </c>
      <c r="B260" s="17" t="s">
        <v>2275</v>
      </c>
      <c r="C260" s="18" t="str">
        <f>+C259</f>
        <v>DIO1</v>
      </c>
      <c r="D260" s="18">
        <v>132</v>
      </c>
      <c r="E260" s="84">
        <f>+E259</f>
        <v>2</v>
      </c>
      <c r="F260" s="84">
        <f>+F259</f>
        <v>5</v>
      </c>
      <c r="G260" s="84">
        <v>0</v>
      </c>
      <c r="H260" s="200">
        <f>H257</f>
        <v>1</v>
      </c>
      <c r="I260" s="187">
        <f>+I259+1</f>
        <v>3</v>
      </c>
      <c r="J260" s="205"/>
      <c r="K260" s="79"/>
      <c r="L260" s="17" t="s">
        <v>323</v>
      </c>
      <c r="M260" s="18">
        <v>4</v>
      </c>
      <c r="N260" s="59"/>
      <c r="O260" s="97" t="s">
        <v>832</v>
      </c>
      <c r="P260" s="59"/>
      <c r="Q260" s="17" t="s">
        <v>1307</v>
      </c>
      <c r="R260" s="97" t="s">
        <v>211</v>
      </c>
      <c r="S260" s="97" t="s">
        <v>1306</v>
      </c>
      <c r="T260" s="97" t="s">
        <v>84</v>
      </c>
      <c r="U260" s="17"/>
      <c r="V260" s="17" t="str">
        <f>+CONCATENATE(E260,".",F260,"\",G260,".",H260,":",I260)</f>
        <v>2.5\0.1:3</v>
      </c>
      <c r="W260" s="17" t="s">
        <v>2372</v>
      </c>
      <c r="X260" s="221">
        <v>0</v>
      </c>
      <c r="Y260" s="20"/>
      <c r="Z260" s="20" t="s">
        <v>1200</v>
      </c>
      <c r="AA260" s="20"/>
      <c r="AB260" s="20"/>
      <c r="AC260" s="20"/>
      <c r="AD260" s="20"/>
      <c r="AE260" s="20"/>
      <c r="AF260" s="17"/>
      <c r="AG260" s="64" t="s">
        <v>1079</v>
      </c>
      <c r="AH260" s="64"/>
      <c r="AI260" s="64">
        <v>4</v>
      </c>
      <c r="AJ260" s="64"/>
      <c r="AK260" s="64"/>
      <c r="AL260" s="282"/>
      <c r="AM260" s="84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</row>
    <row r="261" spans="1:51" s="33" customFormat="1" ht="14.5" x14ac:dyDescent="0.35">
      <c r="A261" s="162" t="str">
        <f>A260</f>
        <v>BBD131</v>
      </c>
      <c r="B261" s="17" t="s">
        <v>2275</v>
      </c>
      <c r="C261" s="18" t="str">
        <f>+C260</f>
        <v>DIO1</v>
      </c>
      <c r="D261" s="18">
        <v>132</v>
      </c>
      <c r="E261" s="84">
        <f>+E260</f>
        <v>2</v>
      </c>
      <c r="F261" s="84">
        <f>+F260</f>
        <v>5</v>
      </c>
      <c r="G261" s="84">
        <v>0</v>
      </c>
      <c r="H261" s="200">
        <f>H258</f>
        <v>1</v>
      </c>
      <c r="I261" s="187">
        <f>+I260+1</f>
        <v>4</v>
      </c>
      <c r="J261" s="205"/>
      <c r="K261" s="79"/>
      <c r="L261" s="17" t="s">
        <v>323</v>
      </c>
      <c r="M261" s="18">
        <v>4</v>
      </c>
      <c r="N261" s="59"/>
      <c r="O261" s="97" t="s">
        <v>828</v>
      </c>
      <c r="P261" s="59"/>
      <c r="Q261" s="17" t="s">
        <v>1305</v>
      </c>
      <c r="R261" s="97" t="s">
        <v>211</v>
      </c>
      <c r="S261" s="97" t="s">
        <v>1304</v>
      </c>
      <c r="T261" s="97" t="s">
        <v>84</v>
      </c>
      <c r="U261" s="17"/>
      <c r="V261" s="17" t="str">
        <f>+CONCATENATE(E261,".",F261,"\",G261,".",H261,":",I261)</f>
        <v>2.5\0.1:4</v>
      </c>
      <c r="W261" s="17" t="s">
        <v>2372</v>
      </c>
      <c r="X261" s="221">
        <v>0</v>
      </c>
      <c r="Y261" s="20"/>
      <c r="Z261" s="20" t="s">
        <v>1200</v>
      </c>
      <c r="AA261" s="20"/>
      <c r="AB261" s="20"/>
      <c r="AC261" s="20"/>
      <c r="AD261" s="20"/>
      <c r="AE261" s="20"/>
      <c r="AF261" s="17"/>
      <c r="AG261" s="64" t="s">
        <v>1079</v>
      </c>
      <c r="AH261" s="64"/>
      <c r="AI261" s="64">
        <v>5</v>
      </c>
      <c r="AJ261" s="64"/>
      <c r="AK261" s="64"/>
      <c r="AL261" s="264"/>
      <c r="AM261" s="84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</row>
    <row r="262" spans="1:51" s="33" customFormat="1" ht="14.5" x14ac:dyDescent="0.35">
      <c r="A262" s="162" t="str">
        <f>A261</f>
        <v>BBD131</v>
      </c>
      <c r="B262" s="17" t="s">
        <v>2275</v>
      </c>
      <c r="C262" s="18" t="str">
        <f>+C261</f>
        <v>DIO1</v>
      </c>
      <c r="D262" s="18">
        <v>132</v>
      </c>
      <c r="E262" s="84">
        <f>+E261</f>
        <v>2</v>
      </c>
      <c r="F262" s="84">
        <f>+F261</f>
        <v>5</v>
      </c>
      <c r="G262" s="84">
        <v>0</v>
      </c>
      <c r="H262" s="200">
        <f>H259</f>
        <v>1</v>
      </c>
      <c r="I262" s="187">
        <f>+I261+1</f>
        <v>5</v>
      </c>
      <c r="J262" s="205"/>
      <c r="K262" s="79"/>
      <c r="L262" s="17" t="s">
        <v>323</v>
      </c>
      <c r="M262" s="18">
        <v>4</v>
      </c>
      <c r="N262" s="59"/>
      <c r="O262" s="97" t="s">
        <v>824</v>
      </c>
      <c r="P262" s="59"/>
      <c r="Q262" s="17" t="s">
        <v>2373</v>
      </c>
      <c r="R262" s="97" t="s">
        <v>211</v>
      </c>
      <c r="S262" s="97" t="s">
        <v>1302</v>
      </c>
      <c r="T262" s="97" t="s">
        <v>84</v>
      </c>
      <c r="U262" s="17"/>
      <c r="V262" s="17" t="str">
        <f>+CONCATENATE(E262,".",F262,"\",G262,".",H262,":",I262)</f>
        <v>2.5\0.1:5</v>
      </c>
      <c r="W262" s="17" t="s">
        <v>2372</v>
      </c>
      <c r="X262" s="221">
        <v>0</v>
      </c>
      <c r="Y262" s="20"/>
      <c r="Z262" s="20" t="s">
        <v>1200</v>
      </c>
      <c r="AA262" s="20"/>
      <c r="AB262" s="20"/>
      <c r="AC262" s="20"/>
      <c r="AD262" s="20"/>
      <c r="AE262" s="20"/>
      <c r="AF262" s="17"/>
      <c r="AG262" s="64" t="s">
        <v>1079</v>
      </c>
      <c r="AH262" s="64"/>
      <c r="AI262" s="64">
        <v>6</v>
      </c>
      <c r="AJ262" s="64"/>
      <c r="AK262" s="64"/>
      <c r="AL262" s="264"/>
      <c r="AM262" s="84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</row>
    <row r="263" spans="1:51" s="33" customFormat="1" ht="14.5" x14ac:dyDescent="0.35">
      <c r="A263" s="162" t="str">
        <f>A262</f>
        <v>BBD131</v>
      </c>
      <c r="B263" s="17" t="s">
        <v>2275</v>
      </c>
      <c r="C263" s="18" t="str">
        <f>+C262</f>
        <v>DIO1</v>
      </c>
      <c r="D263" s="18">
        <v>132</v>
      </c>
      <c r="E263" s="84">
        <f>+E262</f>
        <v>2</v>
      </c>
      <c r="F263" s="84">
        <f>+F262</f>
        <v>5</v>
      </c>
      <c r="G263" s="84">
        <v>0</v>
      </c>
      <c r="H263" s="200">
        <f>H260</f>
        <v>1</v>
      </c>
      <c r="I263" s="187">
        <f>+I262+1</f>
        <v>6</v>
      </c>
      <c r="J263" s="205"/>
      <c r="K263" s="79"/>
      <c r="L263" s="17" t="s">
        <v>323</v>
      </c>
      <c r="M263" s="18">
        <v>4</v>
      </c>
      <c r="N263" s="59"/>
      <c r="O263" s="97" t="s">
        <v>820</v>
      </c>
      <c r="P263" s="59"/>
      <c r="Q263" s="17" t="s">
        <v>1295</v>
      </c>
      <c r="R263" s="97" t="s">
        <v>211</v>
      </c>
      <c r="S263" s="97" t="s">
        <v>1300</v>
      </c>
      <c r="T263" s="97" t="s">
        <v>84</v>
      </c>
      <c r="U263" s="17"/>
      <c r="V263" s="17" t="str">
        <f>+CONCATENATE(E263,".",F263,"\",G263,".",H263,":",I263)</f>
        <v>2.5\0.1:6</v>
      </c>
      <c r="W263" s="17" t="s">
        <v>2372</v>
      </c>
      <c r="X263" s="221">
        <v>0</v>
      </c>
      <c r="Y263" s="20"/>
      <c r="Z263" s="20" t="s">
        <v>1200</v>
      </c>
      <c r="AA263" s="20"/>
      <c r="AB263" s="20"/>
      <c r="AC263" s="20"/>
      <c r="AD263" s="20"/>
      <c r="AE263" s="20"/>
      <c r="AF263" s="17"/>
      <c r="AG263" s="64" t="s">
        <v>1079</v>
      </c>
      <c r="AH263" s="64"/>
      <c r="AI263" s="64">
        <v>7</v>
      </c>
      <c r="AJ263" s="64"/>
      <c r="AK263" s="64"/>
      <c r="AL263" s="264"/>
      <c r="AM263" s="84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</row>
    <row r="264" spans="1:51" s="33" customFormat="1" ht="14.5" x14ac:dyDescent="0.35">
      <c r="A264" s="162" t="str">
        <f>A263</f>
        <v>BBD131</v>
      </c>
      <c r="B264" s="17" t="s">
        <v>2275</v>
      </c>
      <c r="C264" s="18" t="str">
        <f>+C263</f>
        <v>DIO1</v>
      </c>
      <c r="D264" s="18">
        <v>132</v>
      </c>
      <c r="E264" s="84">
        <f>+E263</f>
        <v>2</v>
      </c>
      <c r="F264" s="84">
        <f>+F263</f>
        <v>5</v>
      </c>
      <c r="G264" s="84">
        <v>0</v>
      </c>
      <c r="H264" s="200">
        <f>H261</f>
        <v>1</v>
      </c>
      <c r="I264" s="187">
        <f>+I263+1</f>
        <v>7</v>
      </c>
      <c r="J264" s="205"/>
      <c r="K264" s="79"/>
      <c r="L264" s="17" t="s">
        <v>323</v>
      </c>
      <c r="M264" s="18">
        <v>4</v>
      </c>
      <c r="N264" s="59"/>
      <c r="O264" s="97" t="s">
        <v>817</v>
      </c>
      <c r="P264" s="59"/>
      <c r="Q264" s="17" t="s">
        <v>1295</v>
      </c>
      <c r="R264" s="97" t="s">
        <v>211</v>
      </c>
      <c r="S264" s="97" t="s">
        <v>976</v>
      </c>
      <c r="T264" s="97" t="s">
        <v>84</v>
      </c>
      <c r="U264" s="17"/>
      <c r="V264" s="17" t="str">
        <f>+CONCATENATE(E264,".",F264,"\",G264,".",H264,":",I264)</f>
        <v>2.5\0.1:7</v>
      </c>
      <c r="W264" s="17" t="s">
        <v>2372</v>
      </c>
      <c r="X264" s="221">
        <v>0</v>
      </c>
      <c r="Y264" s="20"/>
      <c r="Z264" s="20" t="s">
        <v>1200</v>
      </c>
      <c r="AA264" s="20"/>
      <c r="AB264" s="20"/>
      <c r="AC264" s="20"/>
      <c r="AD264" s="20"/>
      <c r="AE264" s="20"/>
      <c r="AF264" s="17"/>
      <c r="AG264" s="64" t="s">
        <v>1079</v>
      </c>
      <c r="AH264" s="64"/>
      <c r="AI264" s="64">
        <v>8</v>
      </c>
      <c r="AJ264" s="64"/>
      <c r="AK264" s="64"/>
      <c r="AL264" s="264"/>
      <c r="AM264" s="84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</row>
    <row r="265" spans="1:51" s="33" customFormat="1" ht="14.5" x14ac:dyDescent="0.35">
      <c r="A265" s="162" t="str">
        <f>A264</f>
        <v>BBD131</v>
      </c>
      <c r="B265" s="17" t="s">
        <v>2275</v>
      </c>
      <c r="C265" s="18" t="str">
        <f>+C264</f>
        <v>DIO1</v>
      </c>
      <c r="D265" s="18">
        <v>132</v>
      </c>
      <c r="E265" s="84">
        <f>+E264</f>
        <v>2</v>
      </c>
      <c r="F265" s="84">
        <f>+F264</f>
        <v>5</v>
      </c>
      <c r="G265" s="84">
        <v>0</v>
      </c>
      <c r="H265" s="200">
        <f>H262</f>
        <v>1</v>
      </c>
      <c r="I265" s="187">
        <f>+I264+1</f>
        <v>8</v>
      </c>
      <c r="J265" s="205"/>
      <c r="K265" s="79"/>
      <c r="L265" s="17" t="s">
        <v>323</v>
      </c>
      <c r="M265" s="18">
        <v>4</v>
      </c>
      <c r="N265" s="59"/>
      <c r="O265" s="97" t="s">
        <v>814</v>
      </c>
      <c r="P265" s="59"/>
      <c r="Q265" s="17" t="s">
        <v>1295</v>
      </c>
      <c r="R265" s="97" t="s">
        <v>211</v>
      </c>
      <c r="S265" s="97" t="s">
        <v>1298</v>
      </c>
      <c r="T265" s="97" t="s">
        <v>84</v>
      </c>
      <c r="U265" s="17"/>
      <c r="V265" s="17" t="str">
        <f>+CONCATENATE(E265,".",F265,"\",G265,".",H265,":",I265)</f>
        <v>2.5\0.1:8</v>
      </c>
      <c r="W265" s="17" t="s">
        <v>2372</v>
      </c>
      <c r="X265" s="221">
        <v>0</v>
      </c>
      <c r="Y265" s="20"/>
      <c r="Z265" s="20" t="s">
        <v>1200</v>
      </c>
      <c r="AA265" s="20"/>
      <c r="AB265" s="20"/>
      <c r="AC265" s="20"/>
      <c r="AD265" s="20"/>
      <c r="AE265" s="20"/>
      <c r="AF265" s="17"/>
      <c r="AG265" s="64" t="s">
        <v>1079</v>
      </c>
      <c r="AH265" s="64"/>
      <c r="AI265" s="64">
        <v>9</v>
      </c>
      <c r="AJ265" s="64"/>
      <c r="AK265" s="64"/>
      <c r="AL265" s="264"/>
      <c r="AM265" s="84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</row>
    <row r="266" spans="1:51" s="33" customFormat="1" ht="14.5" x14ac:dyDescent="0.35">
      <c r="A266" s="162" t="str">
        <f>A265</f>
        <v>BBD131</v>
      </c>
      <c r="B266" s="17" t="s">
        <v>2275</v>
      </c>
      <c r="C266" s="18" t="str">
        <f>+C265</f>
        <v>DIO1</v>
      </c>
      <c r="D266" s="18">
        <v>132</v>
      </c>
      <c r="E266" s="84">
        <f>+E265</f>
        <v>2</v>
      </c>
      <c r="F266" s="84">
        <f>+F265</f>
        <v>5</v>
      </c>
      <c r="G266" s="84">
        <v>0</v>
      </c>
      <c r="H266" s="200">
        <f>H263</f>
        <v>1</v>
      </c>
      <c r="I266" s="187">
        <f>+I265+1</f>
        <v>9</v>
      </c>
      <c r="J266" s="205"/>
      <c r="K266" s="79"/>
      <c r="L266" s="17" t="s">
        <v>323</v>
      </c>
      <c r="M266" s="18">
        <v>4</v>
      </c>
      <c r="N266" s="59"/>
      <c r="O266" s="97" t="s">
        <v>811</v>
      </c>
      <c r="P266" s="59"/>
      <c r="Q266" s="17" t="s">
        <v>1295</v>
      </c>
      <c r="R266" s="97" t="s">
        <v>211</v>
      </c>
      <c r="S266" s="97" t="s">
        <v>1297</v>
      </c>
      <c r="T266" s="97" t="s">
        <v>84</v>
      </c>
      <c r="U266" s="17"/>
      <c r="V266" s="17" t="str">
        <f>+CONCATENATE(E266,".",F266,"\",G266,".",H266,":",I266)</f>
        <v>2.5\0.1:9</v>
      </c>
      <c r="W266" s="17" t="s">
        <v>2372</v>
      </c>
      <c r="X266" s="221">
        <v>0</v>
      </c>
      <c r="Y266" s="20"/>
      <c r="Z266" s="20" t="s">
        <v>1200</v>
      </c>
      <c r="AA266" s="20"/>
      <c r="AB266" s="20"/>
      <c r="AC266" s="20"/>
      <c r="AD266" s="20"/>
      <c r="AE266" s="20"/>
      <c r="AF266" s="17"/>
      <c r="AG266" s="64" t="s">
        <v>1079</v>
      </c>
      <c r="AH266" s="64"/>
      <c r="AI266" s="64">
        <v>10</v>
      </c>
      <c r="AJ266" s="64"/>
      <c r="AK266" s="64"/>
      <c r="AL266" s="264"/>
      <c r="AM266" s="84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</row>
    <row r="267" spans="1:51" s="33" customFormat="1" ht="14.5" x14ac:dyDescent="0.35">
      <c r="A267" s="162" t="str">
        <f>A266</f>
        <v>BBD131</v>
      </c>
      <c r="B267" s="17" t="s">
        <v>2275</v>
      </c>
      <c r="C267" s="18" t="str">
        <f>+C266</f>
        <v>DIO1</v>
      </c>
      <c r="D267" s="18">
        <v>132</v>
      </c>
      <c r="E267" s="84">
        <f>+E266</f>
        <v>2</v>
      </c>
      <c r="F267" s="84">
        <f>+F266</f>
        <v>5</v>
      </c>
      <c r="G267" s="84">
        <v>0</v>
      </c>
      <c r="H267" s="200">
        <f>H264</f>
        <v>1</v>
      </c>
      <c r="I267" s="187">
        <f>+I266+1</f>
        <v>10</v>
      </c>
      <c r="J267" s="205"/>
      <c r="K267" s="79"/>
      <c r="L267" s="17" t="s">
        <v>323</v>
      </c>
      <c r="M267" s="18">
        <v>4</v>
      </c>
      <c r="N267" s="59"/>
      <c r="O267" s="97" t="s">
        <v>808</v>
      </c>
      <c r="P267" s="59"/>
      <c r="Q267" s="17" t="s">
        <v>1295</v>
      </c>
      <c r="R267" s="97" t="s">
        <v>211</v>
      </c>
      <c r="S267" s="97" t="s">
        <v>1296</v>
      </c>
      <c r="T267" s="17" t="s">
        <v>84</v>
      </c>
      <c r="U267" s="17"/>
      <c r="V267" s="17" t="str">
        <f>+CONCATENATE(E267,".",F267,"\",G267,".",H267,":",I267)</f>
        <v>2.5\0.1:10</v>
      </c>
      <c r="W267" s="17" t="s">
        <v>2372</v>
      </c>
      <c r="X267" s="221">
        <v>0</v>
      </c>
      <c r="Y267" s="20"/>
      <c r="Z267" s="20" t="s">
        <v>1200</v>
      </c>
      <c r="AA267" s="20"/>
      <c r="AB267" s="20"/>
      <c r="AC267" s="20"/>
      <c r="AD267" s="20"/>
      <c r="AE267" s="20"/>
      <c r="AF267" s="17"/>
      <c r="AG267" s="64" t="s">
        <v>1079</v>
      </c>
      <c r="AH267" s="64"/>
      <c r="AI267" s="64">
        <v>11</v>
      </c>
      <c r="AJ267" s="64"/>
      <c r="AK267" s="64"/>
      <c r="AL267" s="264"/>
      <c r="AM267" s="84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</row>
    <row r="268" spans="1:51" s="33" customFormat="1" ht="14.5" x14ac:dyDescent="0.35">
      <c r="A268" s="162" t="str">
        <f>A267</f>
        <v>BBD131</v>
      </c>
      <c r="B268" s="17" t="s">
        <v>2275</v>
      </c>
      <c r="C268" s="18" t="str">
        <f>+C267</f>
        <v>DIO1</v>
      </c>
      <c r="D268" s="18">
        <v>132</v>
      </c>
      <c r="E268" s="84">
        <f>+E267</f>
        <v>2</v>
      </c>
      <c r="F268" s="84">
        <f>+F267</f>
        <v>5</v>
      </c>
      <c r="G268" s="84">
        <v>0</v>
      </c>
      <c r="H268" s="200">
        <f>H265</f>
        <v>1</v>
      </c>
      <c r="I268" s="187">
        <f>+I267+1</f>
        <v>11</v>
      </c>
      <c r="J268" s="205"/>
      <c r="K268" s="79"/>
      <c r="L268" s="17" t="s">
        <v>323</v>
      </c>
      <c r="M268" s="18">
        <v>4</v>
      </c>
      <c r="N268" s="59"/>
      <c r="O268" s="97" t="s">
        <v>805</v>
      </c>
      <c r="P268" s="59"/>
      <c r="Q268" s="281" t="s">
        <v>1295</v>
      </c>
      <c r="R268" s="97" t="s">
        <v>211</v>
      </c>
      <c r="S268" s="97" t="s">
        <v>1294</v>
      </c>
      <c r="T268" s="17" t="s">
        <v>84</v>
      </c>
      <c r="U268" s="17"/>
      <c r="V268" s="17" t="str">
        <f>+CONCATENATE(E268,".",F268,"\",G268,".",H268,":",I268)</f>
        <v>2.5\0.1:11</v>
      </c>
      <c r="W268" s="17" t="s">
        <v>2372</v>
      </c>
      <c r="X268" s="221">
        <v>0</v>
      </c>
      <c r="Y268" s="20"/>
      <c r="Z268" s="20" t="s">
        <v>1200</v>
      </c>
      <c r="AA268" s="20"/>
      <c r="AB268" s="20"/>
      <c r="AC268" s="20"/>
      <c r="AD268" s="20"/>
      <c r="AE268" s="20"/>
      <c r="AF268" s="17"/>
      <c r="AG268" s="64" t="s">
        <v>1079</v>
      </c>
      <c r="AH268" s="64"/>
      <c r="AI268" s="64">
        <v>12</v>
      </c>
      <c r="AJ268" s="64"/>
      <c r="AK268" s="64"/>
      <c r="AL268" s="264"/>
      <c r="AM268" s="84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</row>
    <row r="269" spans="1:51" s="33" customFormat="1" ht="14.5" x14ac:dyDescent="0.35">
      <c r="A269" s="162" t="str">
        <f>A268</f>
        <v>BBD131</v>
      </c>
      <c r="B269" s="17" t="s">
        <v>2275</v>
      </c>
      <c r="C269" s="18" t="str">
        <f>+C268</f>
        <v>DIO1</v>
      </c>
      <c r="D269" s="18">
        <v>132</v>
      </c>
      <c r="E269" s="84">
        <f>+E268</f>
        <v>2</v>
      </c>
      <c r="F269" s="84">
        <f>+F268</f>
        <v>5</v>
      </c>
      <c r="G269" s="84">
        <v>0</v>
      </c>
      <c r="H269" s="200">
        <f>H266</f>
        <v>1</v>
      </c>
      <c r="I269" s="187">
        <f>+I268+1</f>
        <v>12</v>
      </c>
      <c r="J269" s="205"/>
      <c r="K269" s="79"/>
      <c r="L269" s="17" t="s">
        <v>323</v>
      </c>
      <c r="M269" s="18">
        <v>4</v>
      </c>
      <c r="N269" s="17" t="s">
        <v>2371</v>
      </c>
      <c r="O269" s="97" t="s">
        <v>2368</v>
      </c>
      <c r="P269" s="59"/>
      <c r="Q269" s="17" t="s">
        <v>2370</v>
      </c>
      <c r="R269" s="97" t="s">
        <v>211</v>
      </c>
      <c r="S269" s="97" t="s">
        <v>2366</v>
      </c>
      <c r="T269" s="17" t="s">
        <v>623</v>
      </c>
      <c r="U269" s="17"/>
      <c r="V269" s="17" t="str">
        <f>+CONCATENATE(E269,".",F269,"\",G269,".",H269,":",I269)</f>
        <v>2.5\0.1:12</v>
      </c>
      <c r="W269" s="17" t="s">
        <v>98</v>
      </c>
      <c r="X269" s="221" t="s">
        <v>289</v>
      </c>
      <c r="Y269" s="20"/>
      <c r="Z269" s="20" t="s">
        <v>1159</v>
      </c>
      <c r="AA269" s="20"/>
      <c r="AB269" s="20"/>
      <c r="AC269" s="20"/>
      <c r="AD269" s="20"/>
      <c r="AE269" s="20"/>
      <c r="AF269" s="17"/>
      <c r="AG269" s="64" t="s">
        <v>1079</v>
      </c>
      <c r="AH269" s="64"/>
      <c r="AI269" s="64">
        <v>13</v>
      </c>
      <c r="AJ269" s="64"/>
      <c r="AK269" s="64"/>
      <c r="AL269" s="264"/>
      <c r="AM269" s="84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</row>
    <row r="270" spans="1:51" s="33" customFormat="1" ht="14.5" x14ac:dyDescent="0.35">
      <c r="A270" s="162" t="str">
        <f>A269</f>
        <v>BBD131</v>
      </c>
      <c r="B270" s="17" t="s">
        <v>2275</v>
      </c>
      <c r="C270" s="18" t="str">
        <f>+C269</f>
        <v>DIO1</v>
      </c>
      <c r="D270" s="18">
        <v>132</v>
      </c>
      <c r="E270" s="84">
        <f>+E269</f>
        <v>2</v>
      </c>
      <c r="F270" s="84">
        <f>+F269</f>
        <v>5</v>
      </c>
      <c r="G270" s="84">
        <v>0</v>
      </c>
      <c r="H270" s="200">
        <f>H267</f>
        <v>1</v>
      </c>
      <c r="I270" s="187">
        <f>+I269+1</f>
        <v>13</v>
      </c>
      <c r="J270" s="205"/>
      <c r="K270" s="79"/>
      <c r="L270" s="17" t="s">
        <v>323</v>
      </c>
      <c r="M270" s="18">
        <v>4</v>
      </c>
      <c r="N270" s="17" t="s">
        <v>2369</v>
      </c>
      <c r="O270" s="97" t="s">
        <v>2368</v>
      </c>
      <c r="P270" s="59"/>
      <c r="Q270" s="17" t="s">
        <v>2367</v>
      </c>
      <c r="R270" s="97" t="s">
        <v>211</v>
      </c>
      <c r="S270" s="97" t="s">
        <v>2366</v>
      </c>
      <c r="T270" s="17" t="s">
        <v>610</v>
      </c>
      <c r="U270" s="17"/>
      <c r="V270" s="17" t="str">
        <f>+CONCATENATE(E270,".",F270,"\",G270,".",H270,":",I270)</f>
        <v>2.5\0.1:13</v>
      </c>
      <c r="W270" s="17" t="s">
        <v>91</v>
      </c>
      <c r="X270" s="221" t="s">
        <v>289</v>
      </c>
      <c r="Y270" s="20"/>
      <c r="Z270" s="20" t="s">
        <v>1159</v>
      </c>
      <c r="AA270" s="20"/>
      <c r="AB270" s="20"/>
      <c r="AC270" s="20"/>
      <c r="AD270" s="20"/>
      <c r="AE270" s="20"/>
      <c r="AF270" s="17"/>
      <c r="AG270" s="64" t="s">
        <v>1079</v>
      </c>
      <c r="AH270" s="64"/>
      <c r="AI270" s="64">
        <v>14</v>
      </c>
      <c r="AJ270" s="64"/>
      <c r="AK270" s="64"/>
      <c r="AL270" s="264"/>
      <c r="AM270" s="84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</row>
    <row r="271" spans="1:51" s="33" customFormat="1" ht="14.5" x14ac:dyDescent="0.35">
      <c r="A271" s="162" t="str">
        <f>A270</f>
        <v>BBD131</v>
      </c>
      <c r="B271" s="17" t="s">
        <v>2275</v>
      </c>
      <c r="C271" s="18" t="str">
        <f>+C270</f>
        <v>DIO1</v>
      </c>
      <c r="D271" s="18">
        <v>132</v>
      </c>
      <c r="E271" s="84">
        <f>+E270</f>
        <v>2</v>
      </c>
      <c r="F271" s="84">
        <f>+F270</f>
        <v>5</v>
      </c>
      <c r="G271" s="84">
        <v>0</v>
      </c>
      <c r="H271" s="200">
        <f>H268</f>
        <v>1</v>
      </c>
      <c r="I271" s="187">
        <f>+I270+1</f>
        <v>14</v>
      </c>
      <c r="J271" s="205"/>
      <c r="K271" s="79"/>
      <c r="L271" s="17" t="s">
        <v>323</v>
      </c>
      <c r="M271" s="18"/>
      <c r="N271" s="59"/>
      <c r="O271" s="97"/>
      <c r="P271" s="59"/>
      <c r="Q271" s="17"/>
      <c r="R271" s="97"/>
      <c r="S271" s="18"/>
      <c r="T271" s="17"/>
      <c r="U271" s="17"/>
      <c r="V271" s="17" t="str">
        <f>+CONCATENATE(E271,".",F271,"\",G271,".",H271,":",I271)</f>
        <v>2.5\0.1:14</v>
      </c>
      <c r="W271" s="17"/>
      <c r="X271" s="17"/>
      <c r="Y271" s="20"/>
      <c r="Z271" s="20" t="s">
        <v>1159</v>
      </c>
      <c r="AA271" s="20"/>
      <c r="AB271" s="20"/>
      <c r="AC271" s="20"/>
      <c r="AD271" s="20"/>
      <c r="AE271" s="20"/>
      <c r="AF271" s="17"/>
      <c r="AG271" s="64" t="s">
        <v>1079</v>
      </c>
      <c r="AH271" s="64"/>
      <c r="AI271" s="64">
        <v>15</v>
      </c>
      <c r="AJ271" s="64"/>
      <c r="AK271" s="64"/>
      <c r="AL271" s="264"/>
      <c r="AM271" s="84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</row>
    <row r="272" spans="1:51" s="33" customFormat="1" ht="14.5" x14ac:dyDescent="0.35">
      <c r="A272" s="162" t="str">
        <f>A271</f>
        <v>BBD131</v>
      </c>
      <c r="B272" s="17" t="s">
        <v>2275</v>
      </c>
      <c r="C272" s="18" t="str">
        <f>+C271</f>
        <v>DIO1</v>
      </c>
      <c r="D272" s="18">
        <v>132</v>
      </c>
      <c r="E272" s="84">
        <f>+E271</f>
        <v>2</v>
      </c>
      <c r="F272" s="84">
        <f>+F271</f>
        <v>5</v>
      </c>
      <c r="G272" s="84">
        <v>0</v>
      </c>
      <c r="H272" s="200">
        <f>H268</f>
        <v>1</v>
      </c>
      <c r="I272" s="187">
        <f>+I271+1</f>
        <v>15</v>
      </c>
      <c r="J272" s="205"/>
      <c r="K272" s="79"/>
      <c r="L272" s="17" t="s">
        <v>323</v>
      </c>
      <c r="M272" s="18"/>
      <c r="N272" s="59"/>
      <c r="O272" s="97"/>
      <c r="P272" s="59"/>
      <c r="Q272" s="18"/>
      <c r="R272" s="97"/>
      <c r="S272" s="18"/>
      <c r="T272" s="17"/>
      <c r="U272" s="17"/>
      <c r="V272" s="17" t="str">
        <f>+CONCATENATE(E272,".",F272,"\",G272,".",H272,":",I272)</f>
        <v>2.5\0.1:15</v>
      </c>
      <c r="W272" s="17"/>
      <c r="X272" s="17"/>
      <c r="Y272" s="20"/>
      <c r="Z272" s="20" t="s">
        <v>1159</v>
      </c>
      <c r="AA272" s="20"/>
      <c r="AB272" s="20"/>
      <c r="AC272" s="20"/>
      <c r="AD272" s="20"/>
      <c r="AE272" s="20"/>
      <c r="AF272" s="17"/>
      <c r="AG272" s="64" t="s">
        <v>1079</v>
      </c>
      <c r="AH272" s="64"/>
      <c r="AI272" s="64">
        <v>16</v>
      </c>
      <c r="AJ272" s="64"/>
      <c r="AK272" s="64"/>
      <c r="AL272" s="264"/>
      <c r="AM272" s="84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</row>
    <row r="273" spans="1:51" s="33" customFormat="1" ht="14.5" x14ac:dyDescent="0.35">
      <c r="A273" s="162" t="str">
        <f>A272</f>
        <v>BBD131</v>
      </c>
      <c r="B273" s="17" t="s">
        <v>2275</v>
      </c>
      <c r="C273" s="18" t="str">
        <f>+C272</f>
        <v>DIO1</v>
      </c>
      <c r="D273" s="18">
        <v>132</v>
      </c>
      <c r="E273" s="84">
        <f>+E272</f>
        <v>2</v>
      </c>
      <c r="F273" s="84">
        <f>+F272</f>
        <v>5</v>
      </c>
      <c r="G273" s="84">
        <v>0</v>
      </c>
      <c r="H273" s="200">
        <f>H269</f>
        <v>1</v>
      </c>
      <c r="I273" s="187">
        <f>+I272+1</f>
        <v>16</v>
      </c>
      <c r="J273" s="205"/>
      <c r="K273" s="18"/>
      <c r="L273" s="17" t="s">
        <v>323</v>
      </c>
      <c r="M273" s="18">
        <v>4</v>
      </c>
      <c r="N273" s="59" t="s">
        <v>93</v>
      </c>
      <c r="O273" s="17" t="s">
        <v>1242</v>
      </c>
      <c r="P273" s="59" t="s">
        <v>2301</v>
      </c>
      <c r="Q273" s="68" t="s">
        <v>2364</v>
      </c>
      <c r="R273" s="68" t="s">
        <v>299</v>
      </c>
      <c r="S273" s="68"/>
      <c r="T273" s="17" t="s">
        <v>623</v>
      </c>
      <c r="U273" s="17"/>
      <c r="V273" s="17" t="str">
        <f>+CONCATENATE(E273,".",F273,"\",G273,".",H273,":",I273)</f>
        <v>2.5\0.1:16</v>
      </c>
      <c r="W273" s="17" t="s">
        <v>2365</v>
      </c>
      <c r="X273" s="221" t="s">
        <v>289</v>
      </c>
      <c r="Y273" s="20"/>
      <c r="Z273" s="20" t="s">
        <v>1159</v>
      </c>
      <c r="AA273" s="20"/>
      <c r="AB273" s="20"/>
      <c r="AC273" s="20"/>
      <c r="AD273" s="20"/>
      <c r="AE273" s="20"/>
      <c r="AF273" s="17"/>
      <c r="AG273" s="64" t="s">
        <v>1079</v>
      </c>
      <c r="AH273" s="64">
        <v>17</v>
      </c>
      <c r="AI273" s="64">
        <v>18</v>
      </c>
      <c r="AJ273" s="64"/>
      <c r="AK273" s="64"/>
      <c r="AL273" s="264"/>
      <c r="AM273" s="84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</row>
    <row r="274" spans="1:51" s="33" customFormat="1" ht="14.5" x14ac:dyDescent="0.35">
      <c r="A274" s="162" t="str">
        <f>A273</f>
        <v>BBD131</v>
      </c>
      <c r="B274" s="17" t="s">
        <v>2275</v>
      </c>
      <c r="C274" s="18" t="str">
        <f>+C273</f>
        <v>DIO1</v>
      </c>
      <c r="D274" s="18">
        <v>132</v>
      </c>
      <c r="E274" s="84">
        <f>+E273</f>
        <v>2</v>
      </c>
      <c r="F274" s="84">
        <f>+F273</f>
        <v>5</v>
      </c>
      <c r="G274" s="84">
        <v>0</v>
      </c>
      <c r="H274" s="200">
        <f>H270</f>
        <v>1</v>
      </c>
      <c r="I274" s="187">
        <f>+I273+1</f>
        <v>17</v>
      </c>
      <c r="J274" s="205"/>
      <c r="K274" s="79"/>
      <c r="L274" s="17" t="s">
        <v>323</v>
      </c>
      <c r="M274" s="18">
        <v>4</v>
      </c>
      <c r="N274" s="59" t="s">
        <v>93</v>
      </c>
      <c r="O274" s="17" t="s">
        <v>1239</v>
      </c>
      <c r="P274" s="59" t="s">
        <v>2301</v>
      </c>
      <c r="Q274" s="68" t="s">
        <v>2126</v>
      </c>
      <c r="R274" s="68" t="s">
        <v>299</v>
      </c>
      <c r="S274" s="68"/>
      <c r="T274" s="17" t="s">
        <v>623</v>
      </c>
      <c r="U274" s="17"/>
      <c r="V274" s="17" t="str">
        <f>+CONCATENATE(E274,".",F274,"\",G274,".",H274,":",I274)</f>
        <v>2.5\0.1:17</v>
      </c>
      <c r="W274" s="17" t="s">
        <v>2365</v>
      </c>
      <c r="X274" s="221" t="s">
        <v>289</v>
      </c>
      <c r="Y274" s="20"/>
      <c r="Z274" s="20" t="s">
        <v>1159</v>
      </c>
      <c r="AA274" s="20"/>
      <c r="AB274" s="20"/>
      <c r="AC274" s="20"/>
      <c r="AD274" s="20"/>
      <c r="AE274" s="20"/>
      <c r="AF274" s="17"/>
      <c r="AG274" s="64" t="s">
        <v>1079</v>
      </c>
      <c r="AH274" s="64">
        <v>19</v>
      </c>
      <c r="AI274" s="64">
        <v>20</v>
      </c>
      <c r="AJ274" s="64"/>
      <c r="AK274" s="64"/>
      <c r="AL274" s="264"/>
      <c r="AM274" s="84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</row>
    <row r="275" spans="1:51" s="33" customFormat="1" ht="14.5" x14ac:dyDescent="0.35">
      <c r="A275" s="162" t="str">
        <f>A274</f>
        <v>BBD131</v>
      </c>
      <c r="B275" s="17" t="s">
        <v>2275</v>
      </c>
      <c r="C275" s="18" t="str">
        <f>+C274</f>
        <v>DIO1</v>
      </c>
      <c r="D275" s="18">
        <v>132</v>
      </c>
      <c r="E275" s="84">
        <f>+E274</f>
        <v>2</v>
      </c>
      <c r="F275" s="84">
        <f>+F274</f>
        <v>5</v>
      </c>
      <c r="G275" s="84">
        <v>0</v>
      </c>
      <c r="H275" s="200">
        <f>H271</f>
        <v>1</v>
      </c>
      <c r="I275" s="187">
        <f>+I274+1</f>
        <v>18</v>
      </c>
      <c r="J275" s="205"/>
      <c r="K275" s="79"/>
      <c r="L275" s="17" t="s">
        <v>323</v>
      </c>
      <c r="M275" s="18">
        <v>4</v>
      </c>
      <c r="N275" s="59" t="s">
        <v>86</v>
      </c>
      <c r="O275" s="17" t="s">
        <v>1242</v>
      </c>
      <c r="P275" s="59" t="s">
        <v>2298</v>
      </c>
      <c r="Q275" s="17" t="s">
        <v>2364</v>
      </c>
      <c r="R275" s="17" t="s">
        <v>299</v>
      </c>
      <c r="S275" s="17"/>
      <c r="T275" s="17" t="s">
        <v>610</v>
      </c>
      <c r="U275" s="17"/>
      <c r="V275" s="17" t="str">
        <f>+CONCATENATE(E275,".",F275,"\",G275,".",H275,":",I275)</f>
        <v>2.5\0.1:18</v>
      </c>
      <c r="W275" s="17" t="s">
        <v>2363</v>
      </c>
      <c r="X275" s="221" t="s">
        <v>289</v>
      </c>
      <c r="Y275" s="20"/>
      <c r="Z275" s="20" t="s">
        <v>1159</v>
      </c>
      <c r="AA275" s="20"/>
      <c r="AB275" s="20"/>
      <c r="AC275" s="20"/>
      <c r="AD275" s="20"/>
      <c r="AE275" s="20"/>
      <c r="AF275" s="17"/>
      <c r="AG275" s="64" t="s">
        <v>1079</v>
      </c>
      <c r="AH275" s="64">
        <v>21</v>
      </c>
      <c r="AI275" s="64">
        <v>22</v>
      </c>
      <c r="AJ275" s="64"/>
      <c r="AK275" s="64"/>
      <c r="AL275" s="264"/>
      <c r="AM275" s="84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</row>
    <row r="276" spans="1:51" s="33" customFormat="1" ht="14.5" x14ac:dyDescent="0.35">
      <c r="A276" s="162" t="str">
        <f>A275</f>
        <v>BBD131</v>
      </c>
      <c r="B276" s="17" t="s">
        <v>2275</v>
      </c>
      <c r="C276" s="18" t="str">
        <f>+C275</f>
        <v>DIO1</v>
      </c>
      <c r="D276" s="18">
        <v>132</v>
      </c>
      <c r="E276" s="84">
        <f>+E275</f>
        <v>2</v>
      </c>
      <c r="F276" s="84">
        <f>+F275</f>
        <v>5</v>
      </c>
      <c r="G276" s="84">
        <v>0</v>
      </c>
      <c r="H276" s="200">
        <f>H272</f>
        <v>1</v>
      </c>
      <c r="I276" s="187">
        <f>+I275+1</f>
        <v>19</v>
      </c>
      <c r="J276" s="205"/>
      <c r="K276" s="79"/>
      <c r="L276" s="17" t="s">
        <v>323</v>
      </c>
      <c r="M276" s="18">
        <v>4</v>
      </c>
      <c r="N276" s="59" t="s">
        <v>86</v>
      </c>
      <c r="O276" s="17" t="s">
        <v>1239</v>
      </c>
      <c r="P276" s="59" t="s">
        <v>2298</v>
      </c>
      <c r="Q276" s="68" t="s">
        <v>2126</v>
      </c>
      <c r="R276" s="17" t="s">
        <v>299</v>
      </c>
      <c r="S276" s="17"/>
      <c r="T276" s="17" t="s">
        <v>610</v>
      </c>
      <c r="U276" s="17"/>
      <c r="V276" s="17" t="str">
        <f>+CONCATENATE(E276,".",F276,"\",G276,".",H276,":",I276)</f>
        <v>2.5\0.1:19</v>
      </c>
      <c r="W276" s="17" t="s">
        <v>2363</v>
      </c>
      <c r="X276" s="221" t="s">
        <v>289</v>
      </c>
      <c r="Y276" s="20"/>
      <c r="Z276" s="20" t="s">
        <v>1159</v>
      </c>
      <c r="AA276" s="20"/>
      <c r="AB276" s="20"/>
      <c r="AC276" s="20"/>
      <c r="AD276" s="20"/>
      <c r="AE276" s="20"/>
      <c r="AF276" s="17"/>
      <c r="AG276" s="64" t="s">
        <v>1079</v>
      </c>
      <c r="AH276" s="64">
        <v>23</v>
      </c>
      <c r="AI276" s="64">
        <v>24</v>
      </c>
      <c r="AJ276" s="64"/>
      <c r="AK276" s="64"/>
      <c r="AL276" s="264"/>
      <c r="AM276" s="84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</row>
    <row r="277" spans="1:51" s="33" customFormat="1" ht="14.5" x14ac:dyDescent="0.35">
      <c r="A277" s="162" t="str">
        <f>A276</f>
        <v>BBD131</v>
      </c>
      <c r="B277" s="17" t="s">
        <v>2275</v>
      </c>
      <c r="C277" s="18" t="str">
        <f>+C276</f>
        <v>DIO1</v>
      </c>
      <c r="D277" s="18">
        <v>132</v>
      </c>
      <c r="E277" s="84">
        <f>+E276</f>
        <v>2</v>
      </c>
      <c r="F277" s="84">
        <f>+F276</f>
        <v>5</v>
      </c>
      <c r="G277" s="84">
        <v>0</v>
      </c>
      <c r="H277" s="200">
        <f>H273</f>
        <v>1</v>
      </c>
      <c r="I277" s="187">
        <f>+I276+1</f>
        <v>20</v>
      </c>
      <c r="J277" s="205"/>
      <c r="K277" s="79"/>
      <c r="L277" s="17" t="s">
        <v>323</v>
      </c>
      <c r="M277" s="18">
        <v>8</v>
      </c>
      <c r="N277" s="59" t="s">
        <v>2362</v>
      </c>
      <c r="O277" s="17" t="s">
        <v>2360</v>
      </c>
      <c r="P277" s="59" t="s">
        <v>2288</v>
      </c>
      <c r="Q277" s="68" t="s">
        <v>2359</v>
      </c>
      <c r="R277" s="17" t="s">
        <v>211</v>
      </c>
      <c r="S277" s="17"/>
      <c r="T277" s="17" t="s">
        <v>2322</v>
      </c>
      <c r="U277" s="59"/>
      <c r="V277" s="17" t="str">
        <f>+CONCATENATE(E277,".",F277,"\",G277,".",H277,":",I277)</f>
        <v>2.5\0.1:20</v>
      </c>
      <c r="W277" s="17" t="s">
        <v>2358</v>
      </c>
      <c r="X277" s="221">
        <v>0</v>
      </c>
      <c r="Y277" s="20" t="s">
        <v>2357</v>
      </c>
      <c r="Z277" s="20" t="s">
        <v>1159</v>
      </c>
      <c r="AA277" s="20"/>
      <c r="AB277" s="20"/>
      <c r="AC277" s="20"/>
      <c r="AD277" s="20"/>
      <c r="AE277" s="20"/>
      <c r="AF277" s="17"/>
      <c r="AG277" s="64" t="s">
        <v>1079</v>
      </c>
      <c r="AH277" s="64">
        <v>25</v>
      </c>
      <c r="AI277" s="64">
        <v>26</v>
      </c>
      <c r="AJ277" s="64"/>
      <c r="AK277" s="64"/>
      <c r="AL277" s="264"/>
      <c r="AM277" s="84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</row>
    <row r="278" spans="1:51" s="33" customFormat="1" ht="14.5" x14ac:dyDescent="0.35">
      <c r="A278" s="162" t="str">
        <f>A277</f>
        <v>BBD131</v>
      </c>
      <c r="B278" s="17" t="s">
        <v>2275</v>
      </c>
      <c r="C278" s="18" t="str">
        <f>+C277</f>
        <v>DIO1</v>
      </c>
      <c r="D278" s="18">
        <v>132</v>
      </c>
      <c r="E278" s="84">
        <f>+E277</f>
        <v>2</v>
      </c>
      <c r="F278" s="84">
        <f>+F277</f>
        <v>5</v>
      </c>
      <c r="G278" s="84">
        <v>0</v>
      </c>
      <c r="H278" s="200">
        <f>H274</f>
        <v>1</v>
      </c>
      <c r="I278" s="187">
        <f>+I277+1</f>
        <v>21</v>
      </c>
      <c r="J278" s="205"/>
      <c r="K278" s="79"/>
      <c r="L278" s="17" t="s">
        <v>323</v>
      </c>
      <c r="M278" s="18">
        <v>8</v>
      </c>
      <c r="N278" s="59" t="s">
        <v>2361</v>
      </c>
      <c r="O278" s="17" t="s">
        <v>2360</v>
      </c>
      <c r="P278" s="59" t="s">
        <v>2286</v>
      </c>
      <c r="Q278" s="17" t="s">
        <v>2359</v>
      </c>
      <c r="R278" s="17" t="s">
        <v>211</v>
      </c>
      <c r="S278" s="17"/>
      <c r="T278" s="17" t="s">
        <v>2317</v>
      </c>
      <c r="U278" s="59"/>
      <c r="V278" s="17" t="str">
        <f>+CONCATENATE(E278,".",F278,"\",G278,".",H278,":",I278)</f>
        <v>2.5\0.1:21</v>
      </c>
      <c r="W278" s="17" t="s">
        <v>2358</v>
      </c>
      <c r="X278" s="221">
        <v>0</v>
      </c>
      <c r="Y278" s="20" t="s">
        <v>2357</v>
      </c>
      <c r="Z278" s="20" t="s">
        <v>1159</v>
      </c>
      <c r="AA278" s="20"/>
      <c r="AB278" s="20"/>
      <c r="AC278" s="20"/>
      <c r="AD278" s="20"/>
      <c r="AE278" s="20"/>
      <c r="AF278" s="17"/>
      <c r="AG278" s="64" t="s">
        <v>1079</v>
      </c>
      <c r="AH278" s="64">
        <v>27</v>
      </c>
      <c r="AI278" s="64">
        <v>28</v>
      </c>
      <c r="AJ278" s="64"/>
      <c r="AK278" s="64"/>
      <c r="AL278" s="264"/>
      <c r="AM278" s="84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</row>
    <row r="279" spans="1:51" s="33" customFormat="1" ht="14.5" x14ac:dyDescent="0.35">
      <c r="A279" s="162" t="str">
        <f>A278</f>
        <v>BBD131</v>
      </c>
      <c r="B279" s="17" t="s">
        <v>2275</v>
      </c>
      <c r="C279" s="18" t="str">
        <f>+C278</f>
        <v>DIO1</v>
      </c>
      <c r="D279" s="18">
        <v>132</v>
      </c>
      <c r="E279" s="84">
        <f>+E278</f>
        <v>2</v>
      </c>
      <c r="F279" s="84">
        <f>+F278</f>
        <v>5</v>
      </c>
      <c r="G279" s="84">
        <v>0</v>
      </c>
      <c r="H279" s="200">
        <f>H275</f>
        <v>1</v>
      </c>
      <c r="I279" s="187">
        <f>+I278+1</f>
        <v>22</v>
      </c>
      <c r="J279" s="205"/>
      <c r="K279" s="79"/>
      <c r="L279" s="17" t="s">
        <v>323</v>
      </c>
      <c r="M279" s="18">
        <v>3</v>
      </c>
      <c r="N279" s="59" t="s">
        <v>2287</v>
      </c>
      <c r="O279" s="17" t="s">
        <v>589</v>
      </c>
      <c r="P279" s="59" t="s">
        <v>2288</v>
      </c>
      <c r="Q279" s="68" t="s">
        <v>365</v>
      </c>
      <c r="R279" s="17" t="s">
        <v>364</v>
      </c>
      <c r="S279" s="17"/>
      <c r="T279" s="17" t="s">
        <v>2287</v>
      </c>
      <c r="U279" s="17"/>
      <c r="V279" s="17" t="str">
        <f>+CONCATENATE(E279,".",F279,"\",G279,".",H279,":",I279)</f>
        <v>2.5\0.1:22</v>
      </c>
      <c r="W279" s="17" t="s">
        <v>2280</v>
      </c>
      <c r="X279" s="221">
        <v>0</v>
      </c>
      <c r="Y279" s="20"/>
      <c r="Z279" s="20" t="s">
        <v>1159</v>
      </c>
      <c r="AA279" s="20"/>
      <c r="AB279" s="20"/>
      <c r="AC279" s="20"/>
      <c r="AD279" s="20"/>
      <c r="AE279" s="20"/>
      <c r="AF279" s="17"/>
      <c r="AG279" s="64" t="s">
        <v>1079</v>
      </c>
      <c r="AH279" s="64">
        <v>29</v>
      </c>
      <c r="AI279" s="64">
        <v>30</v>
      </c>
      <c r="AJ279" s="64"/>
      <c r="AK279" s="64"/>
      <c r="AL279" s="264"/>
      <c r="AM279" s="84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</row>
    <row r="280" spans="1:51" s="33" customFormat="1" ht="14.5" x14ac:dyDescent="0.35">
      <c r="A280" s="162" t="str">
        <f>A279</f>
        <v>BBD131</v>
      </c>
      <c r="B280" s="17" t="s">
        <v>2275</v>
      </c>
      <c r="C280" s="18" t="str">
        <f>+C279</f>
        <v>DIO1</v>
      </c>
      <c r="D280" s="18">
        <v>132</v>
      </c>
      <c r="E280" s="84">
        <f>+E279</f>
        <v>2</v>
      </c>
      <c r="F280" s="84">
        <f>+F279</f>
        <v>5</v>
      </c>
      <c r="G280" s="84">
        <v>0</v>
      </c>
      <c r="H280" s="200">
        <f>H276</f>
        <v>1</v>
      </c>
      <c r="I280" s="187">
        <f>+I279+1</f>
        <v>23</v>
      </c>
      <c r="J280" s="205"/>
      <c r="K280" s="79"/>
      <c r="L280" s="17" t="s">
        <v>323</v>
      </c>
      <c r="M280" s="18">
        <v>3</v>
      </c>
      <c r="N280" s="59" t="s">
        <v>2287</v>
      </c>
      <c r="O280" s="17" t="s">
        <v>1049</v>
      </c>
      <c r="P280" s="59" t="s">
        <v>2288</v>
      </c>
      <c r="Q280" s="68" t="s">
        <v>2333</v>
      </c>
      <c r="R280" s="17" t="s">
        <v>308</v>
      </c>
      <c r="S280" s="17"/>
      <c r="T280" s="17" t="s">
        <v>2287</v>
      </c>
      <c r="U280" s="17"/>
      <c r="V280" s="17" t="str">
        <f>+CONCATENATE(E280,".",F280,"\",G280,".",H280,":",I280)</f>
        <v>2.5\0.1:23</v>
      </c>
      <c r="W280" s="17" t="s">
        <v>2280</v>
      </c>
      <c r="X280" s="221">
        <v>0</v>
      </c>
      <c r="Y280" s="20"/>
      <c r="Z280" s="20" t="s">
        <v>1159</v>
      </c>
      <c r="AA280" s="20"/>
      <c r="AB280" s="20"/>
      <c r="AC280" s="20"/>
      <c r="AD280" s="20"/>
      <c r="AE280" s="20"/>
      <c r="AF280" s="17"/>
      <c r="AG280" s="64" t="s">
        <v>1079</v>
      </c>
      <c r="AH280" s="64">
        <v>31</v>
      </c>
      <c r="AI280" s="64">
        <v>32</v>
      </c>
      <c r="AJ280" s="64"/>
      <c r="AK280" s="64"/>
      <c r="AL280" s="264"/>
      <c r="AM280" s="84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</row>
    <row r="281" spans="1:51" s="33" customFormat="1" ht="14.5" x14ac:dyDescent="0.35">
      <c r="A281" s="162" t="str">
        <f>A280</f>
        <v>BBD131</v>
      </c>
      <c r="B281" s="17" t="s">
        <v>2275</v>
      </c>
      <c r="C281" s="18" t="str">
        <f>+C280</f>
        <v>DIO1</v>
      </c>
      <c r="D281" s="18">
        <v>132</v>
      </c>
      <c r="E281" s="84">
        <f>+E280</f>
        <v>2</v>
      </c>
      <c r="F281" s="84">
        <f>+F280</f>
        <v>5</v>
      </c>
      <c r="G281" s="84">
        <v>0</v>
      </c>
      <c r="H281" s="200">
        <f>H277</f>
        <v>1</v>
      </c>
      <c r="I281" s="187">
        <f>+I280+1</f>
        <v>24</v>
      </c>
      <c r="J281" s="205"/>
      <c r="K281" s="79"/>
      <c r="L281" s="17" t="s">
        <v>323</v>
      </c>
      <c r="M281" s="18">
        <v>3</v>
      </c>
      <c r="N281" s="59" t="s">
        <v>2287</v>
      </c>
      <c r="O281" s="17" t="s">
        <v>2108</v>
      </c>
      <c r="P281" s="59" t="s">
        <v>2288</v>
      </c>
      <c r="Q281" s="68" t="s">
        <v>2332</v>
      </c>
      <c r="R281" s="17" t="s">
        <v>247</v>
      </c>
      <c r="S281" s="17"/>
      <c r="T281" s="17" t="s">
        <v>2287</v>
      </c>
      <c r="U281" s="17"/>
      <c r="V281" s="17" t="str">
        <f>+CONCATENATE(E281,".",F281,"\",G281,".",H281,":",I281)</f>
        <v>2.5\0.1:24</v>
      </c>
      <c r="W281" s="17" t="s">
        <v>2280</v>
      </c>
      <c r="X281" s="221">
        <v>0</v>
      </c>
      <c r="Y281" s="20"/>
      <c r="Z281" s="20" t="s">
        <v>1159</v>
      </c>
      <c r="AA281" s="20"/>
      <c r="AB281" s="20"/>
      <c r="AC281" s="20"/>
      <c r="AD281" s="20"/>
      <c r="AE281" s="20"/>
      <c r="AF281" s="17"/>
      <c r="AG281" s="64" t="s">
        <v>1079</v>
      </c>
      <c r="AH281" s="64">
        <v>33</v>
      </c>
      <c r="AI281" s="64">
        <v>34</v>
      </c>
      <c r="AJ281" s="64"/>
      <c r="AK281" s="64"/>
      <c r="AL281" s="264"/>
      <c r="AM281" s="84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</row>
    <row r="282" spans="1:51" s="33" customFormat="1" ht="14.5" x14ac:dyDescent="0.35">
      <c r="A282" s="162" t="str">
        <f>A281</f>
        <v>BBD131</v>
      </c>
      <c r="B282" s="17" t="s">
        <v>2275</v>
      </c>
      <c r="C282" s="18" t="str">
        <f>+C281</f>
        <v>DIO1</v>
      </c>
      <c r="D282" s="18">
        <v>132</v>
      </c>
      <c r="E282" s="84">
        <f>+E281</f>
        <v>2</v>
      </c>
      <c r="F282" s="84">
        <f>+F281</f>
        <v>5</v>
      </c>
      <c r="G282" s="84">
        <v>0</v>
      </c>
      <c r="H282" s="200">
        <f>H278</f>
        <v>1</v>
      </c>
      <c r="I282" s="187">
        <f>+I281+1</f>
        <v>25</v>
      </c>
      <c r="J282" s="205"/>
      <c r="K282" s="79"/>
      <c r="L282" s="17" t="s">
        <v>323</v>
      </c>
      <c r="M282" s="18">
        <v>3</v>
      </c>
      <c r="N282" s="59" t="s">
        <v>2287</v>
      </c>
      <c r="O282" s="17" t="s">
        <v>567</v>
      </c>
      <c r="P282" s="59" t="s">
        <v>2288</v>
      </c>
      <c r="Q282" s="68" t="s">
        <v>2331</v>
      </c>
      <c r="R282" s="17" t="s">
        <v>457</v>
      </c>
      <c r="S282" s="17"/>
      <c r="T282" s="17" t="s">
        <v>2287</v>
      </c>
      <c r="U282" s="17"/>
      <c r="V282" s="17" t="str">
        <f>+CONCATENATE(E282,".",F282,"\",G282,".",H282,":",I282)</f>
        <v>2.5\0.1:25</v>
      </c>
      <c r="W282" s="17" t="s">
        <v>2280</v>
      </c>
      <c r="X282" s="221">
        <v>0</v>
      </c>
      <c r="Y282" s="20"/>
      <c r="Z282" s="20" t="s">
        <v>1159</v>
      </c>
      <c r="AA282" s="20"/>
      <c r="AB282" s="20"/>
      <c r="AC282" s="20"/>
      <c r="AD282" s="20"/>
      <c r="AE282" s="20"/>
      <c r="AF282" s="17"/>
      <c r="AG282" s="64" t="s">
        <v>1079</v>
      </c>
      <c r="AH282" s="64">
        <v>35</v>
      </c>
      <c r="AI282" s="64">
        <v>36</v>
      </c>
      <c r="AJ282" s="64"/>
      <c r="AK282" s="64"/>
      <c r="AL282" s="264"/>
      <c r="AM282" s="84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</row>
    <row r="283" spans="1:51" s="33" customFormat="1" ht="14.5" x14ac:dyDescent="0.35">
      <c r="A283" s="162" t="str">
        <f>A282</f>
        <v>BBD131</v>
      </c>
      <c r="B283" s="17" t="s">
        <v>2275</v>
      </c>
      <c r="C283" s="18" t="str">
        <f>+C282</f>
        <v>DIO1</v>
      </c>
      <c r="D283" s="18">
        <v>132</v>
      </c>
      <c r="E283" s="84">
        <f>+E282</f>
        <v>2</v>
      </c>
      <c r="F283" s="84">
        <f>+F282</f>
        <v>5</v>
      </c>
      <c r="G283" s="84">
        <v>0</v>
      </c>
      <c r="H283" s="200">
        <f>H279</f>
        <v>1</v>
      </c>
      <c r="I283" s="187">
        <f>+I282+1</f>
        <v>26</v>
      </c>
      <c r="J283" s="205"/>
      <c r="K283" s="79"/>
      <c r="L283" s="17" t="s">
        <v>323</v>
      </c>
      <c r="M283" s="18">
        <v>4</v>
      </c>
      <c r="N283" s="59" t="s">
        <v>2287</v>
      </c>
      <c r="O283" s="17" t="s">
        <v>646</v>
      </c>
      <c r="P283" s="59" t="s">
        <v>2288</v>
      </c>
      <c r="Q283" s="17" t="s">
        <v>2356</v>
      </c>
      <c r="R283" s="17" t="s">
        <v>247</v>
      </c>
      <c r="S283" s="17" t="s">
        <v>2355</v>
      </c>
      <c r="T283" s="17" t="s">
        <v>2287</v>
      </c>
      <c r="U283" s="17"/>
      <c r="V283" s="17" t="str">
        <f>+CONCATENATE(E283,".",F283,"\",G283,".",H283,":",I283)</f>
        <v>2.5\0.1:26</v>
      </c>
      <c r="W283" s="17" t="s">
        <v>2280</v>
      </c>
      <c r="X283" s="221">
        <v>0</v>
      </c>
      <c r="Y283" s="20"/>
      <c r="Z283" s="20" t="s">
        <v>1159</v>
      </c>
      <c r="AA283" s="20"/>
      <c r="AB283" s="17"/>
      <c r="AC283" s="20"/>
      <c r="AD283" s="20"/>
      <c r="AE283" s="20"/>
      <c r="AF283" s="17"/>
      <c r="AG283" s="64" t="s">
        <v>1079</v>
      </c>
      <c r="AH283" s="64">
        <v>37</v>
      </c>
      <c r="AI283" s="64">
        <v>38</v>
      </c>
      <c r="AJ283" s="64"/>
      <c r="AK283" s="64"/>
      <c r="AL283" s="264"/>
      <c r="AM283" s="84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</row>
    <row r="284" spans="1:51" s="33" customFormat="1" ht="14.5" x14ac:dyDescent="0.35">
      <c r="A284" s="162" t="str">
        <f>A283</f>
        <v>BBD131</v>
      </c>
      <c r="B284" s="17" t="s">
        <v>2275</v>
      </c>
      <c r="C284" s="18" t="str">
        <f>+C283</f>
        <v>DIO1</v>
      </c>
      <c r="D284" s="18">
        <v>132</v>
      </c>
      <c r="E284" s="84">
        <f>+E283</f>
        <v>2</v>
      </c>
      <c r="F284" s="84">
        <f>+F283</f>
        <v>5</v>
      </c>
      <c r="G284" s="84">
        <v>0</v>
      </c>
      <c r="H284" s="200">
        <f>H280</f>
        <v>1</v>
      </c>
      <c r="I284" s="187">
        <f>+I283+1</f>
        <v>27</v>
      </c>
      <c r="J284" s="205"/>
      <c r="K284" s="79"/>
      <c r="L284" s="17" t="s">
        <v>323</v>
      </c>
      <c r="M284" s="18"/>
      <c r="N284" s="59"/>
      <c r="O284" s="17"/>
      <c r="P284" s="59" t="s">
        <v>127</v>
      </c>
      <c r="Q284" s="206" t="s">
        <v>127</v>
      </c>
      <c r="R284" s="280"/>
      <c r="S284" s="17"/>
      <c r="T284" s="17"/>
      <c r="U284" s="17"/>
      <c r="V284" s="17" t="str">
        <f>+CONCATENATE(E284,".",F284,"\",G284,".",H284,":",I284)</f>
        <v>2.5\0.1:27</v>
      </c>
      <c r="W284" s="17"/>
      <c r="X284" s="17"/>
      <c r="Y284" s="20"/>
      <c r="Z284" s="20" t="s">
        <v>1159</v>
      </c>
      <c r="AA284" s="20"/>
      <c r="AB284" s="17"/>
      <c r="AC284" s="20"/>
      <c r="AD284" s="20"/>
      <c r="AE284" s="20"/>
      <c r="AF284" s="17"/>
      <c r="AG284" s="64" t="s">
        <v>1079</v>
      </c>
      <c r="AH284" s="64">
        <v>39</v>
      </c>
      <c r="AI284" s="64">
        <v>40</v>
      </c>
      <c r="AJ284" s="64"/>
      <c r="AK284" s="64"/>
      <c r="AL284" s="264"/>
      <c r="AM284" s="84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</row>
    <row r="285" spans="1:51" s="33" customFormat="1" ht="14.5" x14ac:dyDescent="0.35">
      <c r="A285" s="162" t="str">
        <f>A284</f>
        <v>BBD131</v>
      </c>
      <c r="B285" s="17" t="s">
        <v>2275</v>
      </c>
      <c r="C285" s="18" t="str">
        <f>+C284</f>
        <v>DIO1</v>
      </c>
      <c r="D285" s="18">
        <v>132</v>
      </c>
      <c r="E285" s="84">
        <f>+E284</f>
        <v>2</v>
      </c>
      <c r="F285" s="84">
        <f>+F284</f>
        <v>5</v>
      </c>
      <c r="G285" s="84">
        <v>0</v>
      </c>
      <c r="H285" s="200">
        <f>H281</f>
        <v>1</v>
      </c>
      <c r="I285" s="187">
        <f>+I284+1</f>
        <v>28</v>
      </c>
      <c r="J285" s="205"/>
      <c r="K285" s="79"/>
      <c r="L285" s="17" t="s">
        <v>323</v>
      </c>
      <c r="M285" s="18">
        <v>4</v>
      </c>
      <c r="N285" s="59" t="s">
        <v>2354</v>
      </c>
      <c r="O285" s="17" t="s">
        <v>2353</v>
      </c>
      <c r="P285" s="59" t="s">
        <v>2301</v>
      </c>
      <c r="Q285" s="68" t="s">
        <v>2350</v>
      </c>
      <c r="R285" s="17"/>
      <c r="S285" s="17"/>
      <c r="T285" s="17" t="s">
        <v>623</v>
      </c>
      <c r="U285" s="17"/>
      <c r="V285" s="17" t="str">
        <f>+CONCATENATE(E285,".",F285,"\",G285,".",H285,":",I285)</f>
        <v>2.5\0.1:28</v>
      </c>
      <c r="W285" s="17" t="s">
        <v>2295</v>
      </c>
      <c r="X285" s="221">
        <v>0</v>
      </c>
      <c r="Y285" s="20"/>
      <c r="Z285" s="20" t="s">
        <v>1159</v>
      </c>
      <c r="AA285" s="20"/>
      <c r="AB285" s="17"/>
      <c r="AC285" s="20"/>
      <c r="AD285" s="20"/>
      <c r="AE285" s="20"/>
      <c r="AF285" s="17"/>
      <c r="AG285" s="64" t="s">
        <v>1079</v>
      </c>
      <c r="AH285" s="64">
        <v>41</v>
      </c>
      <c r="AI285" s="64">
        <v>42</v>
      </c>
      <c r="AJ285" s="64"/>
      <c r="AK285" s="64"/>
      <c r="AL285" s="264"/>
      <c r="AM285" s="84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</row>
    <row r="286" spans="1:51" s="33" customFormat="1" ht="14.5" x14ac:dyDescent="0.35">
      <c r="A286" s="162" t="str">
        <f>A285</f>
        <v>BBD131</v>
      </c>
      <c r="B286" s="17" t="s">
        <v>2275</v>
      </c>
      <c r="C286" s="18" t="str">
        <f>+C285</f>
        <v>DIO1</v>
      </c>
      <c r="D286" s="18">
        <v>132</v>
      </c>
      <c r="E286" s="84">
        <f>+E285</f>
        <v>2</v>
      </c>
      <c r="F286" s="84">
        <f>+F285</f>
        <v>5</v>
      </c>
      <c r="G286" s="84">
        <v>0</v>
      </c>
      <c r="H286" s="200">
        <f>H282</f>
        <v>1</v>
      </c>
      <c r="I286" s="187">
        <f>+I285+1</f>
        <v>29</v>
      </c>
      <c r="J286" s="205"/>
      <c r="K286" s="79"/>
      <c r="L286" s="17" t="s">
        <v>323</v>
      </c>
      <c r="M286" s="18">
        <v>4</v>
      </c>
      <c r="N286" s="59" t="s">
        <v>2352</v>
      </c>
      <c r="O286" s="17" t="s">
        <v>2351</v>
      </c>
      <c r="P286" s="59" t="s">
        <v>2298</v>
      </c>
      <c r="Q286" s="68" t="s">
        <v>2350</v>
      </c>
      <c r="R286" s="17"/>
      <c r="S286" s="17"/>
      <c r="T286" s="17" t="s">
        <v>610</v>
      </c>
      <c r="U286" s="17"/>
      <c r="V286" s="17" t="str">
        <f>+CONCATENATE(E286,".",F286,"\",G286,".",H286,":",I286)</f>
        <v>2.5\0.1:29</v>
      </c>
      <c r="W286" s="17" t="s">
        <v>2295</v>
      </c>
      <c r="X286" s="221">
        <v>0</v>
      </c>
      <c r="Y286" s="20"/>
      <c r="Z286" s="20" t="s">
        <v>1159</v>
      </c>
      <c r="AA286" s="20"/>
      <c r="AB286" s="17"/>
      <c r="AC286" s="20"/>
      <c r="AD286" s="20"/>
      <c r="AE286" s="20"/>
      <c r="AF286" s="17"/>
      <c r="AG286" s="64" t="s">
        <v>1079</v>
      </c>
      <c r="AH286" s="64">
        <v>43</v>
      </c>
      <c r="AI286" s="64">
        <v>44</v>
      </c>
      <c r="AJ286" s="64"/>
      <c r="AK286" s="64"/>
      <c r="AL286" s="264"/>
      <c r="AM286" s="84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</row>
    <row r="287" spans="1:51" s="33" customFormat="1" ht="14.5" x14ac:dyDescent="0.35">
      <c r="A287" s="162" t="str">
        <f>A286</f>
        <v>BBD131</v>
      </c>
      <c r="B287" s="17" t="s">
        <v>2275</v>
      </c>
      <c r="C287" s="18" t="str">
        <f>+C286</f>
        <v>DIO1</v>
      </c>
      <c r="D287" s="18">
        <v>132</v>
      </c>
      <c r="E287" s="84">
        <f>+E286</f>
        <v>2</v>
      </c>
      <c r="F287" s="84">
        <f>+F286</f>
        <v>5</v>
      </c>
      <c r="G287" s="84">
        <v>0</v>
      </c>
      <c r="H287" s="200">
        <f>H283</f>
        <v>1</v>
      </c>
      <c r="I287" s="187">
        <f>+I286+1</f>
        <v>30</v>
      </c>
      <c r="J287" s="205"/>
      <c r="K287" s="79"/>
      <c r="L287" s="17" t="s">
        <v>323</v>
      </c>
      <c r="M287" s="18"/>
      <c r="N287" s="215"/>
      <c r="O287" s="17"/>
      <c r="P287" s="215" t="s">
        <v>127</v>
      </c>
      <c r="Q287" s="206"/>
      <c r="R287" s="280"/>
      <c r="S287" s="17"/>
      <c r="T287" s="17"/>
      <c r="U287" s="17"/>
      <c r="V287" s="17" t="str">
        <f>+CONCATENATE(E287,".",F287,"\",G287,".",H287,":",I287)</f>
        <v>2.5\0.1:30</v>
      </c>
      <c r="W287" s="17"/>
      <c r="X287" s="17"/>
      <c r="Y287" s="20"/>
      <c r="Z287" s="20" t="s">
        <v>1159</v>
      </c>
      <c r="AA287" s="20"/>
      <c r="AB287" s="17"/>
      <c r="AC287" s="20"/>
      <c r="AD287" s="20"/>
      <c r="AE287" s="20"/>
      <c r="AF287" s="17"/>
      <c r="AG287" s="64" t="s">
        <v>1079</v>
      </c>
      <c r="AH287" s="64">
        <v>45</v>
      </c>
      <c r="AI287" s="64">
        <v>46</v>
      </c>
      <c r="AJ287" s="64"/>
      <c r="AK287" s="64"/>
      <c r="AL287" s="264"/>
      <c r="AM287" s="84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</row>
    <row r="288" spans="1:51" s="33" customFormat="1" ht="15" thickBot="1" x14ac:dyDescent="0.4">
      <c r="A288" s="162" t="str">
        <f>A287</f>
        <v>BBD131</v>
      </c>
      <c r="B288" s="17" t="s">
        <v>2275</v>
      </c>
      <c r="C288" s="18" t="str">
        <f>+C287</f>
        <v>DIO1</v>
      </c>
      <c r="D288" s="18">
        <v>132</v>
      </c>
      <c r="E288" s="84">
        <f>+E287</f>
        <v>2</v>
      </c>
      <c r="F288" s="84">
        <f>+F287</f>
        <v>5</v>
      </c>
      <c r="G288" s="84">
        <v>0</v>
      </c>
      <c r="H288" s="200">
        <f>H284</f>
        <v>1</v>
      </c>
      <c r="I288" s="191">
        <f>+I287+1</f>
        <v>31</v>
      </c>
      <c r="J288" s="203"/>
      <c r="K288" s="79"/>
      <c r="L288" s="17" t="s">
        <v>323</v>
      </c>
      <c r="M288" s="18"/>
      <c r="N288" s="215"/>
      <c r="O288" s="18"/>
      <c r="P288" s="215" t="s">
        <v>127</v>
      </c>
      <c r="Q288" s="17"/>
      <c r="R288" s="17"/>
      <c r="S288" s="18"/>
      <c r="T288" s="18"/>
      <c r="U288" s="17"/>
      <c r="V288" s="17" t="str">
        <f>+CONCATENATE(E288,".",F288,"\",G288,".",H288,":",I288)</f>
        <v>2.5\0.1:31</v>
      </c>
      <c r="W288" s="17"/>
      <c r="X288" s="17"/>
      <c r="Y288" s="20"/>
      <c r="Z288" s="20" t="s">
        <v>1159</v>
      </c>
      <c r="AA288" s="20"/>
      <c r="AB288" s="17"/>
      <c r="AC288" s="20"/>
      <c r="AD288" s="20"/>
      <c r="AE288" s="20"/>
      <c r="AF288" s="17"/>
      <c r="AG288" s="64" t="s">
        <v>1079</v>
      </c>
      <c r="AH288" s="64">
        <v>47</v>
      </c>
      <c r="AI288" s="64">
        <v>48</v>
      </c>
      <c r="AJ288" s="64"/>
      <c r="AK288" s="64"/>
      <c r="AL288" s="264"/>
      <c r="AM288" s="84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</row>
    <row r="289" spans="1:51" s="33" customFormat="1" ht="14.5" x14ac:dyDescent="0.35">
      <c r="A289" s="162" t="str">
        <f>A288</f>
        <v>BBD131</v>
      </c>
      <c r="B289" s="17" t="s">
        <v>2275</v>
      </c>
      <c r="C289" s="18" t="str">
        <f>+C288</f>
        <v>DIO1</v>
      </c>
      <c r="D289" s="18">
        <v>132</v>
      </c>
      <c r="E289" s="84">
        <f>+E288</f>
        <v>2</v>
      </c>
      <c r="F289" s="84">
        <f>+F288</f>
        <v>5</v>
      </c>
      <c r="G289" s="84">
        <v>0</v>
      </c>
      <c r="H289" s="202">
        <f>+H273+1</f>
        <v>2</v>
      </c>
      <c r="I289" s="188">
        <v>0</v>
      </c>
      <c r="J289" s="279" t="s">
        <v>767</v>
      </c>
      <c r="K289" s="18" t="s">
        <v>766</v>
      </c>
      <c r="L289" s="17" t="s">
        <v>323</v>
      </c>
      <c r="M289" s="18">
        <v>3</v>
      </c>
      <c r="N289" s="59" t="s">
        <v>2349</v>
      </c>
      <c r="O289" s="17" t="s">
        <v>1210</v>
      </c>
      <c r="P289" s="59" t="s">
        <v>2288</v>
      </c>
      <c r="Q289" s="17" t="s">
        <v>2344</v>
      </c>
      <c r="R289" s="17" t="s">
        <v>922</v>
      </c>
      <c r="S289" s="17"/>
      <c r="T289" s="17" t="s">
        <v>2322</v>
      </c>
      <c r="U289" s="17"/>
      <c r="V289" s="17" t="str">
        <f>+CONCATENATE(E289,".",F289,"\",G289,".",H289,":",I289)</f>
        <v>2.5\0.2:0</v>
      </c>
      <c r="W289" s="17" t="s">
        <v>2304</v>
      </c>
      <c r="X289" s="221">
        <v>0</v>
      </c>
      <c r="Y289" s="20"/>
      <c r="Z289" s="20" t="s">
        <v>1159</v>
      </c>
      <c r="AA289" s="20"/>
      <c r="AB289" s="17"/>
      <c r="AC289" s="20"/>
      <c r="AD289" s="20"/>
      <c r="AE289" s="20"/>
      <c r="AF289" s="17"/>
      <c r="AG289" s="64" t="s">
        <v>1045</v>
      </c>
      <c r="AH289" s="64">
        <v>1</v>
      </c>
      <c r="AI289" s="64">
        <v>2</v>
      </c>
      <c r="AJ289" s="64"/>
      <c r="AK289" s="64"/>
      <c r="AL289" s="264"/>
      <c r="AM289" s="84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</row>
    <row r="290" spans="1:51" s="33" customFormat="1" ht="14.5" x14ac:dyDescent="0.35">
      <c r="A290" s="162" t="str">
        <f>A289</f>
        <v>BBD131</v>
      </c>
      <c r="B290" s="17" t="s">
        <v>2275</v>
      </c>
      <c r="C290" s="18" t="str">
        <f>+C289</f>
        <v>DIO1</v>
      </c>
      <c r="D290" s="18">
        <v>132</v>
      </c>
      <c r="E290" s="84">
        <f>+E289</f>
        <v>2</v>
      </c>
      <c r="F290" s="84">
        <f>+F289</f>
        <v>5</v>
      </c>
      <c r="G290" s="84">
        <v>0</v>
      </c>
      <c r="H290" s="200">
        <f>H289</f>
        <v>2</v>
      </c>
      <c r="I290" s="187">
        <f>+I289+1</f>
        <v>1</v>
      </c>
      <c r="J290" s="205"/>
      <c r="K290" s="17"/>
      <c r="L290" s="17" t="s">
        <v>323</v>
      </c>
      <c r="M290" s="18">
        <v>3</v>
      </c>
      <c r="N290" s="59" t="s">
        <v>2348</v>
      </c>
      <c r="O290" s="17" t="s">
        <v>1210</v>
      </c>
      <c r="P290" s="59" t="s">
        <v>2286</v>
      </c>
      <c r="Q290" s="17" t="s">
        <v>2344</v>
      </c>
      <c r="R290" s="17" t="s">
        <v>922</v>
      </c>
      <c r="S290" s="17"/>
      <c r="T290" s="17" t="s">
        <v>2317</v>
      </c>
      <c r="U290" s="17"/>
      <c r="V290" s="17" t="str">
        <f>+CONCATENATE(E290,".",F290,"\",G290,".",H290,":",I290)</f>
        <v>2.5\0.2:1</v>
      </c>
      <c r="W290" s="17" t="s">
        <v>2304</v>
      </c>
      <c r="X290" s="221">
        <v>0</v>
      </c>
      <c r="Y290" s="20"/>
      <c r="Z290" s="20" t="s">
        <v>1159</v>
      </c>
      <c r="AA290" s="20"/>
      <c r="AB290" s="17"/>
      <c r="AC290" s="20"/>
      <c r="AD290" s="20"/>
      <c r="AE290" s="20"/>
      <c r="AF290" s="17"/>
      <c r="AG290" s="64" t="s">
        <v>1045</v>
      </c>
      <c r="AH290" s="64">
        <v>3</v>
      </c>
      <c r="AI290" s="64">
        <v>4</v>
      </c>
      <c r="AJ290" s="64"/>
      <c r="AK290" s="64"/>
      <c r="AL290" s="264"/>
      <c r="AM290" s="84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</row>
    <row r="291" spans="1:51" s="33" customFormat="1" ht="14.5" x14ac:dyDescent="0.35">
      <c r="A291" s="162" t="str">
        <f>A290</f>
        <v>BBD131</v>
      </c>
      <c r="B291" s="17" t="s">
        <v>2275</v>
      </c>
      <c r="C291" s="18" t="str">
        <f>+C290</f>
        <v>DIO1</v>
      </c>
      <c r="D291" s="18">
        <v>132</v>
      </c>
      <c r="E291" s="84">
        <f>+E290</f>
        <v>2</v>
      </c>
      <c r="F291" s="84">
        <f>+F290</f>
        <v>5</v>
      </c>
      <c r="G291" s="84">
        <v>0</v>
      </c>
      <c r="H291" s="200">
        <f>H289</f>
        <v>2</v>
      </c>
      <c r="I291" s="187">
        <f>+I290+1</f>
        <v>2</v>
      </c>
      <c r="J291" s="205"/>
      <c r="K291" s="79"/>
      <c r="L291" s="17" t="s">
        <v>323</v>
      </c>
      <c r="M291" s="18">
        <v>5</v>
      </c>
      <c r="N291" s="59" t="s">
        <v>2307</v>
      </c>
      <c r="O291" s="17" t="s">
        <v>2347</v>
      </c>
      <c r="P291" s="59" t="s">
        <v>2305</v>
      </c>
      <c r="Q291" s="17" t="s">
        <v>2344</v>
      </c>
      <c r="R291" s="17" t="s">
        <v>922</v>
      </c>
      <c r="S291" s="17"/>
      <c r="T291" s="17" t="s">
        <v>623</v>
      </c>
      <c r="U291" s="17"/>
      <c r="V291" s="17" t="str">
        <f>+CONCATENATE(E291,".",F291,"\",G291,".",H291,":",I291)</f>
        <v>2.5\0.2:2</v>
      </c>
      <c r="W291" s="17" t="s">
        <v>2304</v>
      </c>
      <c r="X291" s="221">
        <v>0</v>
      </c>
      <c r="Y291" s="20"/>
      <c r="Z291" s="20" t="s">
        <v>1159</v>
      </c>
      <c r="AA291" s="20"/>
      <c r="AB291" s="17"/>
      <c r="AC291" s="20"/>
      <c r="AD291" s="20"/>
      <c r="AE291" s="20"/>
      <c r="AF291" s="17"/>
      <c r="AG291" s="64" t="s">
        <v>1045</v>
      </c>
      <c r="AH291" s="64">
        <v>5</v>
      </c>
      <c r="AI291" s="64">
        <v>6</v>
      </c>
      <c r="AJ291" s="64"/>
      <c r="AK291" s="64"/>
      <c r="AL291" s="264"/>
      <c r="AM291" s="84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</row>
    <row r="292" spans="1:51" s="33" customFormat="1" ht="14.5" x14ac:dyDescent="0.35">
      <c r="A292" s="162" t="str">
        <f>A291</f>
        <v>BBD131</v>
      </c>
      <c r="B292" s="17" t="s">
        <v>2275</v>
      </c>
      <c r="C292" s="18" t="str">
        <f>+C291</f>
        <v>DIO1</v>
      </c>
      <c r="D292" s="18">
        <v>132</v>
      </c>
      <c r="E292" s="84">
        <f>+E291</f>
        <v>2</v>
      </c>
      <c r="F292" s="84">
        <f>+F291</f>
        <v>5</v>
      </c>
      <c r="G292" s="84">
        <v>0</v>
      </c>
      <c r="H292" s="200">
        <f>H289</f>
        <v>2</v>
      </c>
      <c r="I292" s="187">
        <f>+I291+1</f>
        <v>3</v>
      </c>
      <c r="J292" s="205"/>
      <c r="K292" s="79"/>
      <c r="L292" s="17" t="s">
        <v>323</v>
      </c>
      <c r="M292" s="18">
        <v>5</v>
      </c>
      <c r="N292" s="59" t="s">
        <v>2309</v>
      </c>
      <c r="O292" s="17" t="s">
        <v>2346</v>
      </c>
      <c r="P292" s="59" t="s">
        <v>2283</v>
      </c>
      <c r="Q292" s="17" t="s">
        <v>2344</v>
      </c>
      <c r="R292" s="17" t="s">
        <v>922</v>
      </c>
      <c r="S292" s="17"/>
      <c r="T292" s="17" t="s">
        <v>623</v>
      </c>
      <c r="U292" s="17"/>
      <c r="V292" s="17" t="str">
        <f>+CONCATENATE(E292,".",F292,"\",G292,".",H292,":",I292)</f>
        <v>2.5\0.2:3</v>
      </c>
      <c r="W292" s="17" t="s">
        <v>2304</v>
      </c>
      <c r="X292" s="221">
        <v>0</v>
      </c>
      <c r="Y292" s="20"/>
      <c r="Z292" s="20" t="s">
        <v>1159</v>
      </c>
      <c r="AA292" s="20"/>
      <c r="AB292" s="17"/>
      <c r="AC292" s="20"/>
      <c r="AD292" s="20"/>
      <c r="AE292" s="20"/>
      <c r="AF292" s="17"/>
      <c r="AG292" s="64" t="s">
        <v>1045</v>
      </c>
      <c r="AH292" s="64">
        <v>7</v>
      </c>
      <c r="AI292" s="64">
        <v>8</v>
      </c>
      <c r="AJ292" s="64"/>
      <c r="AK292" s="64"/>
      <c r="AL292" s="264"/>
      <c r="AM292" s="84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</row>
    <row r="293" spans="1:51" s="33" customFormat="1" ht="14.5" x14ac:dyDescent="0.35">
      <c r="A293" s="162" t="str">
        <f>A292</f>
        <v>BBD131</v>
      </c>
      <c r="B293" s="17" t="s">
        <v>2275</v>
      </c>
      <c r="C293" s="18" t="str">
        <f>+C292</f>
        <v>DIO1</v>
      </c>
      <c r="D293" s="18">
        <v>132</v>
      </c>
      <c r="E293" s="84">
        <f>+E292</f>
        <v>2</v>
      </c>
      <c r="F293" s="84">
        <f>+F292</f>
        <v>5</v>
      </c>
      <c r="G293" s="84">
        <v>0</v>
      </c>
      <c r="H293" s="200">
        <f>H290</f>
        <v>2</v>
      </c>
      <c r="I293" s="187">
        <f>+I292+1</f>
        <v>4</v>
      </c>
      <c r="J293" s="205"/>
      <c r="K293" s="79"/>
      <c r="L293" s="17" t="s">
        <v>323</v>
      </c>
      <c r="M293" s="18">
        <v>5</v>
      </c>
      <c r="N293" s="306"/>
      <c r="O293" s="17"/>
      <c r="P293" s="306"/>
      <c r="Q293" s="17"/>
      <c r="R293" s="17"/>
      <c r="S293" s="17"/>
      <c r="T293" s="17"/>
      <c r="U293" s="17"/>
      <c r="V293" s="17" t="str">
        <f>+CONCATENATE(E293,".",F293,"\",G293,".",H293,":",I293)</f>
        <v>2.5\0.2:4</v>
      </c>
      <c r="W293" s="221"/>
      <c r="X293" s="221"/>
      <c r="Y293" s="20" t="s">
        <v>2336</v>
      </c>
      <c r="Z293" s="20" t="s">
        <v>1159</v>
      </c>
      <c r="AA293" s="20"/>
      <c r="AB293" s="17"/>
      <c r="AC293" s="20"/>
      <c r="AD293" s="20"/>
      <c r="AE293" s="20"/>
      <c r="AF293" s="17"/>
      <c r="AG293" s="64" t="s">
        <v>1045</v>
      </c>
      <c r="AH293" s="64">
        <v>9</v>
      </c>
      <c r="AI293" s="64">
        <v>10</v>
      </c>
      <c r="AJ293" s="64"/>
      <c r="AK293" s="64"/>
      <c r="AL293" s="264"/>
      <c r="AM293" s="84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</row>
    <row r="294" spans="1:51" s="33" customFormat="1" ht="14.5" x14ac:dyDescent="0.35">
      <c r="A294" s="162" t="str">
        <f>A293</f>
        <v>BBD131</v>
      </c>
      <c r="B294" s="17" t="s">
        <v>2275</v>
      </c>
      <c r="C294" s="18" t="str">
        <f>+C293</f>
        <v>DIO1</v>
      </c>
      <c r="D294" s="18">
        <v>132</v>
      </c>
      <c r="E294" s="84">
        <f>+E293</f>
        <v>2</v>
      </c>
      <c r="F294" s="84">
        <f>+F293</f>
        <v>5</v>
      </c>
      <c r="G294" s="84">
        <v>0</v>
      </c>
      <c r="H294" s="200">
        <f>H291</f>
        <v>2</v>
      </c>
      <c r="I294" s="187">
        <f>+I293+1</f>
        <v>5</v>
      </c>
      <c r="J294" s="205"/>
      <c r="K294" s="79"/>
      <c r="L294" s="17" t="s">
        <v>323</v>
      </c>
      <c r="M294" s="18">
        <v>5</v>
      </c>
      <c r="N294" s="59" t="s">
        <v>2294</v>
      </c>
      <c r="O294" s="17" t="s">
        <v>2345</v>
      </c>
      <c r="P294" s="59" t="s">
        <v>2292</v>
      </c>
      <c r="Q294" s="17" t="s">
        <v>2344</v>
      </c>
      <c r="R294" s="17" t="s">
        <v>922</v>
      </c>
      <c r="S294" s="17"/>
      <c r="T294" s="17" t="s">
        <v>2289</v>
      </c>
      <c r="U294" s="17"/>
      <c r="V294" s="17" t="str">
        <f>+CONCATENATE(E294,".",F294,"\",G294,".",H294,":",I294)</f>
        <v>2.5\0.2:5</v>
      </c>
      <c r="W294" s="17" t="s">
        <v>2279</v>
      </c>
      <c r="X294" s="221">
        <v>0</v>
      </c>
      <c r="Y294" s="20" t="s">
        <v>2343</v>
      </c>
      <c r="Z294" s="20" t="s">
        <v>1159</v>
      </c>
      <c r="AA294" s="20"/>
      <c r="AB294" s="17"/>
      <c r="AC294" s="20"/>
      <c r="AD294" s="20"/>
      <c r="AE294" s="20"/>
      <c r="AF294" s="17"/>
      <c r="AG294" s="64" t="s">
        <v>1045</v>
      </c>
      <c r="AH294" s="64">
        <v>11</v>
      </c>
      <c r="AI294" s="64">
        <v>12</v>
      </c>
      <c r="AJ294" s="64"/>
      <c r="AK294" s="64"/>
      <c r="AL294" s="264"/>
      <c r="AM294" s="84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</row>
    <row r="295" spans="1:51" s="33" customFormat="1" x14ac:dyDescent="0.3">
      <c r="A295" s="162" t="str">
        <f>A294</f>
        <v>BBD131</v>
      </c>
      <c r="B295" s="17" t="s">
        <v>2275</v>
      </c>
      <c r="C295" s="18" t="str">
        <f>+C294</f>
        <v>DIO1</v>
      </c>
      <c r="D295" s="18">
        <v>132</v>
      </c>
      <c r="E295" s="84">
        <f>+E294</f>
        <v>2</v>
      </c>
      <c r="F295" s="84">
        <f>+F294</f>
        <v>5</v>
      </c>
      <c r="G295" s="84">
        <v>0</v>
      </c>
      <c r="H295" s="200">
        <f>H292</f>
        <v>2</v>
      </c>
      <c r="I295" s="187">
        <f>+I294+1</f>
        <v>6</v>
      </c>
      <c r="J295" s="205"/>
      <c r="K295" s="79"/>
      <c r="L295" s="17" t="s">
        <v>323</v>
      </c>
      <c r="M295" s="18">
        <v>8</v>
      </c>
      <c r="N295" s="78" t="s">
        <v>2338</v>
      </c>
      <c r="O295" s="119" t="s">
        <v>567</v>
      </c>
      <c r="P295" s="78" t="s">
        <v>2340</v>
      </c>
      <c r="Q295" s="78" t="s">
        <v>2342</v>
      </c>
      <c r="R295" s="119" t="s">
        <v>211</v>
      </c>
      <c r="S295" s="78"/>
      <c r="T295" s="78" t="s">
        <v>2338</v>
      </c>
      <c r="U295" s="322"/>
      <c r="V295" s="17" t="str">
        <f>+CONCATENATE(E295,".",F295,"\",G295,".",H295,":",I295)</f>
        <v>2.5\0.2:6</v>
      </c>
      <c r="W295" s="17"/>
      <c r="X295" s="98"/>
      <c r="Y295" s="17" t="s">
        <v>2337</v>
      </c>
      <c r="Z295" s="20" t="s">
        <v>1159</v>
      </c>
      <c r="AA295" s="20"/>
      <c r="AB295" s="17"/>
      <c r="AC295" s="20"/>
      <c r="AD295" s="20"/>
      <c r="AE295" s="20"/>
      <c r="AF295" s="17"/>
      <c r="AG295" s="64" t="s">
        <v>1045</v>
      </c>
      <c r="AH295" s="64">
        <v>13</v>
      </c>
      <c r="AI295" s="64">
        <v>14</v>
      </c>
      <c r="AJ295" s="64"/>
      <c r="AK295" s="64"/>
      <c r="AL295" s="264"/>
      <c r="AM295" s="84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</row>
    <row r="296" spans="1:51" s="33" customFormat="1" x14ac:dyDescent="0.3">
      <c r="A296" s="162" t="str">
        <f>A295</f>
        <v>BBD131</v>
      </c>
      <c r="B296" s="17" t="s">
        <v>2275</v>
      </c>
      <c r="C296" s="18" t="str">
        <f>+C295</f>
        <v>DIO1</v>
      </c>
      <c r="D296" s="18">
        <v>132</v>
      </c>
      <c r="E296" s="84">
        <f>+E295</f>
        <v>2</v>
      </c>
      <c r="F296" s="84">
        <f>+F295</f>
        <v>5</v>
      </c>
      <c r="G296" s="84">
        <v>0</v>
      </c>
      <c r="H296" s="200">
        <f>H293</f>
        <v>2</v>
      </c>
      <c r="I296" s="187">
        <f>+I295+1</f>
        <v>7</v>
      </c>
      <c r="J296" s="205"/>
      <c r="K296" s="79"/>
      <c r="L296" s="17" t="s">
        <v>323</v>
      </c>
      <c r="M296" s="18">
        <v>8</v>
      </c>
      <c r="N296" s="78" t="s">
        <v>2338</v>
      </c>
      <c r="O296" s="78" t="s">
        <v>616</v>
      </c>
      <c r="P296" s="78" t="s">
        <v>2340</v>
      </c>
      <c r="Q296" s="78" t="s">
        <v>2341</v>
      </c>
      <c r="R296" s="78" t="s">
        <v>211</v>
      </c>
      <c r="S296" s="78"/>
      <c r="T296" s="78" t="s">
        <v>2338</v>
      </c>
      <c r="U296" s="322"/>
      <c r="V296" s="17" t="str">
        <f>+CONCATENATE(E296,".",F296,"\",G296,".",H296,":",I296)</f>
        <v>2.5\0.2:7</v>
      </c>
      <c r="W296" s="17"/>
      <c r="X296" s="98"/>
      <c r="Y296" s="17" t="s">
        <v>2337</v>
      </c>
      <c r="Z296" s="20" t="s">
        <v>1159</v>
      </c>
      <c r="AA296" s="20"/>
      <c r="AB296" s="17"/>
      <c r="AC296" s="20"/>
      <c r="AD296" s="20"/>
      <c r="AE296" s="20"/>
      <c r="AF296" s="17"/>
      <c r="AG296" s="64" t="s">
        <v>1045</v>
      </c>
      <c r="AH296" s="64">
        <v>15</v>
      </c>
      <c r="AI296" s="64">
        <v>16</v>
      </c>
      <c r="AJ296" s="64"/>
      <c r="AK296" s="64"/>
      <c r="AL296" s="264"/>
      <c r="AM296" s="84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</row>
    <row r="297" spans="1:51" s="33" customFormat="1" x14ac:dyDescent="0.3">
      <c r="A297" s="162" t="str">
        <f>A296</f>
        <v>BBD131</v>
      </c>
      <c r="B297" s="17" t="s">
        <v>2275</v>
      </c>
      <c r="C297" s="18" t="str">
        <f>+C296</f>
        <v>DIO1</v>
      </c>
      <c r="D297" s="18">
        <v>132</v>
      </c>
      <c r="E297" s="84">
        <f>+E296</f>
        <v>2</v>
      </c>
      <c r="F297" s="84">
        <f>+F296</f>
        <v>5</v>
      </c>
      <c r="G297" s="84">
        <v>0</v>
      </c>
      <c r="H297" s="200">
        <f>H294</f>
        <v>2</v>
      </c>
      <c r="I297" s="187">
        <f>+I296+1</f>
        <v>8</v>
      </c>
      <c r="J297" s="205"/>
      <c r="K297" s="79"/>
      <c r="L297" s="17" t="s">
        <v>323</v>
      </c>
      <c r="M297" s="18">
        <v>8</v>
      </c>
      <c r="N297" s="78" t="s">
        <v>2338</v>
      </c>
      <c r="O297" s="78" t="s">
        <v>570</v>
      </c>
      <c r="P297" s="78" t="s">
        <v>2340</v>
      </c>
      <c r="Q297" s="119" t="s">
        <v>2339</v>
      </c>
      <c r="R297" s="78" t="s">
        <v>211</v>
      </c>
      <c r="S297" s="78"/>
      <c r="T297" s="78" t="s">
        <v>2338</v>
      </c>
      <c r="U297" s="322"/>
      <c r="V297" s="17" t="str">
        <f>+CONCATENATE(E297,".",F297,"\",G297,".",H297,":",I297)</f>
        <v>2.5\0.2:8</v>
      </c>
      <c r="W297" s="17"/>
      <c r="X297" s="98"/>
      <c r="Y297" s="17" t="s">
        <v>2337</v>
      </c>
      <c r="Z297" s="20" t="s">
        <v>1159</v>
      </c>
      <c r="AA297" s="20"/>
      <c r="AB297" s="17"/>
      <c r="AC297" s="20"/>
      <c r="AD297" s="20"/>
      <c r="AE297" s="20"/>
      <c r="AF297" s="17"/>
      <c r="AG297" s="64" t="s">
        <v>1045</v>
      </c>
      <c r="AH297" s="64">
        <v>17</v>
      </c>
      <c r="AI297" s="64">
        <v>18</v>
      </c>
      <c r="AJ297" s="64"/>
      <c r="AK297" s="64"/>
      <c r="AL297" s="264"/>
      <c r="AM297" s="84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</row>
    <row r="298" spans="1:51" s="33" customFormat="1" ht="14.5" x14ac:dyDescent="0.35">
      <c r="A298" s="162" t="str">
        <f>A297</f>
        <v>BBD131</v>
      </c>
      <c r="B298" s="17" t="s">
        <v>2275</v>
      </c>
      <c r="C298" s="18" t="str">
        <f>+C297</f>
        <v>DIO1</v>
      </c>
      <c r="D298" s="18">
        <v>132</v>
      </c>
      <c r="E298" s="84">
        <f>+E297</f>
        <v>2</v>
      </c>
      <c r="F298" s="84">
        <f>+F297</f>
        <v>5</v>
      </c>
      <c r="G298" s="84">
        <v>0</v>
      </c>
      <c r="H298" s="200">
        <f>H295</f>
        <v>2</v>
      </c>
      <c r="I298" s="187">
        <f>+I297+1</f>
        <v>9</v>
      </c>
      <c r="J298" s="205"/>
      <c r="K298" s="79"/>
      <c r="L298" s="17" t="s">
        <v>323</v>
      </c>
      <c r="M298" s="18">
        <v>5</v>
      </c>
      <c r="N298" s="306"/>
      <c r="O298" s="306"/>
      <c r="P298" s="306"/>
      <c r="Q298" s="306"/>
      <c r="R298" s="306"/>
      <c r="S298" s="306"/>
      <c r="T298" s="306"/>
      <c r="U298" s="17"/>
      <c r="V298" s="17" t="str">
        <f>+CONCATENATE(E298,".",F298,"\",G298,".",H298,":",I298)</f>
        <v>2.5\0.2:9</v>
      </c>
      <c r="W298" s="17"/>
      <c r="X298" s="17"/>
      <c r="Y298" s="20"/>
      <c r="Z298" s="20" t="s">
        <v>1159</v>
      </c>
      <c r="AA298" s="20"/>
      <c r="AB298" s="17"/>
      <c r="AC298" s="20"/>
      <c r="AD298" s="20"/>
      <c r="AE298" s="20"/>
      <c r="AF298" s="17"/>
      <c r="AG298" s="64" t="s">
        <v>1045</v>
      </c>
      <c r="AH298" s="64">
        <v>19</v>
      </c>
      <c r="AI298" s="64">
        <v>20</v>
      </c>
      <c r="AJ298" s="64"/>
      <c r="AK298" s="64"/>
      <c r="AL298" s="264"/>
      <c r="AM298" s="84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</row>
    <row r="299" spans="1:51" s="33" customFormat="1" ht="14.5" x14ac:dyDescent="0.35">
      <c r="A299" s="162" t="str">
        <f>A298</f>
        <v>BBD131</v>
      </c>
      <c r="B299" s="17" t="s">
        <v>2275</v>
      </c>
      <c r="C299" s="18" t="str">
        <f>+C298</f>
        <v>DIO1</v>
      </c>
      <c r="D299" s="18">
        <v>132</v>
      </c>
      <c r="E299" s="84">
        <f>+E298</f>
        <v>2</v>
      </c>
      <c r="F299" s="84">
        <f>+F298</f>
        <v>5</v>
      </c>
      <c r="G299" s="84">
        <v>0</v>
      </c>
      <c r="H299" s="200">
        <f>H296</f>
        <v>2</v>
      </c>
      <c r="I299" s="187">
        <f>+I298+1</f>
        <v>10</v>
      </c>
      <c r="J299" s="205"/>
      <c r="K299" s="79"/>
      <c r="L299" s="17" t="s">
        <v>323</v>
      </c>
      <c r="M299" s="18">
        <v>5</v>
      </c>
      <c r="N299" s="306"/>
      <c r="O299" s="280"/>
      <c r="P299" s="306"/>
      <c r="Q299" s="17"/>
      <c r="R299" s="17"/>
      <c r="S299" s="17"/>
      <c r="T299" s="17"/>
      <c r="U299" s="17"/>
      <c r="V299" s="17" t="str">
        <f>+CONCATENATE(E299,".",F299,"\",G299,".",H299,":",I299)</f>
        <v>2.5\0.2:10</v>
      </c>
      <c r="W299" s="17"/>
      <c r="X299" s="17"/>
      <c r="Y299" s="20" t="s">
        <v>2336</v>
      </c>
      <c r="Z299" s="20" t="s">
        <v>1159</v>
      </c>
      <c r="AA299" s="17"/>
      <c r="AB299" s="17"/>
      <c r="AC299" s="20"/>
      <c r="AD299" s="20"/>
      <c r="AE299" s="20"/>
      <c r="AF299" s="17"/>
      <c r="AG299" s="64" t="s">
        <v>1045</v>
      </c>
      <c r="AH299" s="64">
        <v>21</v>
      </c>
      <c r="AI299" s="64">
        <v>22</v>
      </c>
      <c r="AJ299" s="64"/>
      <c r="AK299" s="64"/>
      <c r="AL299" s="264"/>
      <c r="AM299" s="84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</row>
    <row r="300" spans="1:51" s="33" customFormat="1" ht="14.5" x14ac:dyDescent="0.35">
      <c r="A300" s="162" t="str">
        <f>A299</f>
        <v>BBD131</v>
      </c>
      <c r="B300" s="17" t="s">
        <v>2275</v>
      </c>
      <c r="C300" s="18" t="str">
        <f>+C299</f>
        <v>DIO1</v>
      </c>
      <c r="D300" s="18">
        <v>132</v>
      </c>
      <c r="E300" s="84">
        <f>+E299</f>
        <v>2</v>
      </c>
      <c r="F300" s="84">
        <f>+F299</f>
        <v>5</v>
      </c>
      <c r="G300" s="84">
        <v>0</v>
      </c>
      <c r="H300" s="200">
        <f>H297</f>
        <v>2</v>
      </c>
      <c r="I300" s="187">
        <f>+I299+1</f>
        <v>11</v>
      </c>
      <c r="J300" s="205"/>
      <c r="K300" s="79"/>
      <c r="L300" s="17" t="s">
        <v>323</v>
      </c>
      <c r="M300" s="18">
        <v>5</v>
      </c>
      <c r="N300" s="306"/>
      <c r="O300" s="280"/>
      <c r="P300" s="306"/>
      <c r="Q300" s="17"/>
      <c r="R300" s="17"/>
      <c r="S300" s="17"/>
      <c r="T300" s="18"/>
      <c r="U300" s="17"/>
      <c r="V300" s="17" t="str">
        <f>+CONCATENATE(E300,".",F300,"\",G300,".",H300,":",I300)</f>
        <v>2.5\0.2:11</v>
      </c>
      <c r="W300" s="17"/>
      <c r="X300" s="17"/>
      <c r="Y300" s="20" t="s">
        <v>2336</v>
      </c>
      <c r="Z300" s="20" t="s">
        <v>1159</v>
      </c>
      <c r="AA300" s="17"/>
      <c r="AB300" s="17"/>
      <c r="AC300" s="20"/>
      <c r="AD300" s="20"/>
      <c r="AE300" s="20"/>
      <c r="AF300" s="17"/>
      <c r="AG300" s="64" t="s">
        <v>1045</v>
      </c>
      <c r="AH300" s="64">
        <v>23</v>
      </c>
      <c r="AI300" s="64">
        <v>24</v>
      </c>
      <c r="AJ300" s="64"/>
      <c r="AK300" s="64"/>
      <c r="AL300" s="264"/>
      <c r="AM300" s="84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</row>
    <row r="301" spans="1:51" s="33" customFormat="1" ht="14.5" x14ac:dyDescent="0.35">
      <c r="A301" s="162" t="str">
        <f>A300</f>
        <v>BBD131</v>
      </c>
      <c r="B301" s="17" t="s">
        <v>2275</v>
      </c>
      <c r="C301" s="18" t="str">
        <f>+C300</f>
        <v>DIO1</v>
      </c>
      <c r="D301" s="18">
        <v>132</v>
      </c>
      <c r="E301" s="84">
        <f>+E300</f>
        <v>2</v>
      </c>
      <c r="F301" s="84">
        <f>+F300</f>
        <v>5</v>
      </c>
      <c r="G301" s="84">
        <v>0</v>
      </c>
      <c r="H301" s="200">
        <f>H298</f>
        <v>2</v>
      </c>
      <c r="I301" s="187">
        <f>+I300+1</f>
        <v>12</v>
      </c>
      <c r="J301" s="205"/>
      <c r="K301" s="79"/>
      <c r="L301" s="17" t="s">
        <v>323</v>
      </c>
      <c r="M301" s="18">
        <v>5</v>
      </c>
      <c r="N301" s="306"/>
      <c r="O301" s="97"/>
      <c r="P301" s="306"/>
      <c r="Q301" s="97"/>
      <c r="R301" s="97"/>
      <c r="S301" s="17"/>
      <c r="T301" s="17"/>
      <c r="U301" s="17"/>
      <c r="V301" s="17" t="str">
        <f>+CONCATENATE(E301,".",F301,"\",G301,".",H301,":",I301)</f>
        <v>2.5\0.2:12</v>
      </c>
      <c r="W301" s="17"/>
      <c r="X301" s="17"/>
      <c r="Y301" s="20" t="s">
        <v>2336</v>
      </c>
      <c r="Z301" s="20" t="s">
        <v>1159</v>
      </c>
      <c r="AA301" s="20"/>
      <c r="AB301" s="17"/>
      <c r="AC301" s="20"/>
      <c r="AD301" s="20"/>
      <c r="AE301" s="20"/>
      <c r="AF301" s="17"/>
      <c r="AG301" s="64" t="s">
        <v>1045</v>
      </c>
      <c r="AH301" s="64">
        <v>25</v>
      </c>
      <c r="AI301" s="64">
        <v>26</v>
      </c>
      <c r="AJ301" s="64"/>
      <c r="AK301" s="64"/>
      <c r="AL301" s="264"/>
      <c r="AM301" s="84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</row>
    <row r="302" spans="1:51" s="33" customFormat="1" ht="14.5" x14ac:dyDescent="0.35">
      <c r="A302" s="162" t="str">
        <f>A301</f>
        <v>BBD131</v>
      </c>
      <c r="B302" s="17" t="s">
        <v>2275</v>
      </c>
      <c r="C302" s="18" t="str">
        <f>+C301</f>
        <v>DIO1</v>
      </c>
      <c r="D302" s="18">
        <v>132</v>
      </c>
      <c r="E302" s="84">
        <f>+E301</f>
        <v>2</v>
      </c>
      <c r="F302" s="84">
        <f>+F301</f>
        <v>5</v>
      </c>
      <c r="G302" s="84">
        <v>0</v>
      </c>
      <c r="H302" s="200">
        <f>H299</f>
        <v>2</v>
      </c>
      <c r="I302" s="187">
        <f>+I301+1</f>
        <v>13</v>
      </c>
      <c r="J302" s="205"/>
      <c r="K302" s="79"/>
      <c r="L302" s="17" t="s">
        <v>323</v>
      </c>
      <c r="M302" s="18">
        <v>5</v>
      </c>
      <c r="N302" s="306"/>
      <c r="O302" s="17"/>
      <c r="P302" s="306"/>
      <c r="Q302" s="17"/>
      <c r="R302" s="17"/>
      <c r="S302" s="17"/>
      <c r="T302" s="17"/>
      <c r="U302" s="17"/>
      <c r="V302" s="17" t="str">
        <f>+CONCATENATE(E302,".",F302,"\",G302,".",H302,":",I302)</f>
        <v>2.5\0.2:13</v>
      </c>
      <c r="W302" s="17"/>
      <c r="X302" s="17"/>
      <c r="Y302" s="20" t="s">
        <v>2336</v>
      </c>
      <c r="Z302" s="20" t="s">
        <v>1159</v>
      </c>
      <c r="AA302" s="20"/>
      <c r="AB302" s="17"/>
      <c r="AC302" s="20"/>
      <c r="AD302" s="20"/>
      <c r="AE302" s="20"/>
      <c r="AF302" s="17"/>
      <c r="AG302" s="64" t="s">
        <v>1045</v>
      </c>
      <c r="AH302" s="64">
        <v>27</v>
      </c>
      <c r="AI302" s="64">
        <v>28</v>
      </c>
      <c r="AJ302" s="64"/>
      <c r="AK302" s="64"/>
      <c r="AL302" s="264"/>
      <c r="AM302" s="84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</row>
    <row r="303" spans="1:51" s="33" customFormat="1" ht="14.5" x14ac:dyDescent="0.35">
      <c r="A303" s="162" t="str">
        <f>A302</f>
        <v>BBD131</v>
      </c>
      <c r="B303" s="17" t="s">
        <v>2275</v>
      </c>
      <c r="C303" s="18" t="str">
        <f>+C302</f>
        <v>DIO1</v>
      </c>
      <c r="D303" s="18">
        <v>132</v>
      </c>
      <c r="E303" s="84">
        <f>+E302</f>
        <v>2</v>
      </c>
      <c r="F303" s="84">
        <f>+F302</f>
        <v>5</v>
      </c>
      <c r="G303" s="84">
        <v>0</v>
      </c>
      <c r="H303" s="200">
        <f>H300</f>
        <v>2</v>
      </c>
      <c r="I303" s="187">
        <f>+I302+1</f>
        <v>14</v>
      </c>
      <c r="J303" s="205"/>
      <c r="K303" s="79"/>
      <c r="L303" s="17" t="s">
        <v>323</v>
      </c>
      <c r="M303" s="18">
        <v>5</v>
      </c>
      <c r="N303" s="306"/>
      <c r="O303" s="17"/>
      <c r="P303" s="306"/>
      <c r="Q303" s="17"/>
      <c r="R303" s="17"/>
      <c r="S303" s="17"/>
      <c r="T303" s="17"/>
      <c r="U303" s="17"/>
      <c r="V303" s="17" t="str">
        <f>+CONCATENATE(E303,".",F303,"\",G303,".",H303,":",I303)</f>
        <v>2.5\0.2:14</v>
      </c>
      <c r="W303" s="17"/>
      <c r="X303" s="17"/>
      <c r="Y303" s="20" t="s">
        <v>2336</v>
      </c>
      <c r="Z303" s="20" t="s">
        <v>1159</v>
      </c>
      <c r="AA303" s="20"/>
      <c r="AB303" s="17"/>
      <c r="AC303" s="20"/>
      <c r="AD303" s="20"/>
      <c r="AE303" s="20"/>
      <c r="AF303" s="17"/>
      <c r="AG303" s="64" t="s">
        <v>1045</v>
      </c>
      <c r="AH303" s="64">
        <v>29</v>
      </c>
      <c r="AI303" s="64">
        <v>30</v>
      </c>
      <c r="AJ303" s="64"/>
      <c r="AK303" s="64"/>
      <c r="AL303" s="264"/>
      <c r="AM303" s="84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</row>
    <row r="304" spans="1:51" s="33" customFormat="1" ht="14.5" x14ac:dyDescent="0.35">
      <c r="A304" s="162" t="str">
        <f>A303</f>
        <v>BBD131</v>
      </c>
      <c r="B304" s="17" t="s">
        <v>2275</v>
      </c>
      <c r="C304" s="18" t="str">
        <f>+C303</f>
        <v>DIO1</v>
      </c>
      <c r="D304" s="18">
        <v>132</v>
      </c>
      <c r="E304" s="84">
        <f>+E303</f>
        <v>2</v>
      </c>
      <c r="F304" s="84">
        <f>+F303</f>
        <v>5</v>
      </c>
      <c r="G304" s="84">
        <v>0</v>
      </c>
      <c r="H304" s="200">
        <f>H300</f>
        <v>2</v>
      </c>
      <c r="I304" s="187">
        <f>+I303+1</f>
        <v>15</v>
      </c>
      <c r="J304" s="205"/>
      <c r="K304" s="79"/>
      <c r="L304" s="17" t="s">
        <v>323</v>
      </c>
      <c r="M304" s="18">
        <v>5</v>
      </c>
      <c r="N304" s="306"/>
      <c r="O304" s="17"/>
      <c r="P304" s="306"/>
      <c r="Q304" s="17"/>
      <c r="R304" s="17"/>
      <c r="S304" s="17"/>
      <c r="T304" s="17"/>
      <c r="U304" s="17"/>
      <c r="V304" s="17" t="str">
        <f>+CONCATENATE(E304,".",F304,"\",G304,".",H304,":",I304)</f>
        <v>2.5\0.2:15</v>
      </c>
      <c r="W304" s="17"/>
      <c r="X304" s="17"/>
      <c r="Y304" s="20" t="s">
        <v>2336</v>
      </c>
      <c r="Z304" s="20" t="s">
        <v>1159</v>
      </c>
      <c r="AA304" s="20"/>
      <c r="AB304" s="17"/>
      <c r="AC304" s="20"/>
      <c r="AD304" s="20"/>
      <c r="AE304" s="20"/>
      <c r="AF304" s="17"/>
      <c r="AG304" s="64" t="s">
        <v>1045</v>
      </c>
      <c r="AH304" s="64">
        <v>31</v>
      </c>
      <c r="AI304" s="64">
        <v>32</v>
      </c>
      <c r="AJ304" s="64"/>
      <c r="AK304" s="64"/>
      <c r="AL304" s="264"/>
      <c r="AM304" s="84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</row>
    <row r="305" spans="1:51" s="33" customFormat="1" ht="14.5" x14ac:dyDescent="0.35">
      <c r="A305" s="162" t="str">
        <f>A304</f>
        <v>BBD131</v>
      </c>
      <c r="B305" s="17" t="s">
        <v>2275</v>
      </c>
      <c r="C305" s="18" t="str">
        <f>+C304</f>
        <v>DIO1</v>
      </c>
      <c r="D305" s="18">
        <v>132</v>
      </c>
      <c r="E305" s="84">
        <f>+E304</f>
        <v>2</v>
      </c>
      <c r="F305" s="84">
        <f>+F304</f>
        <v>5</v>
      </c>
      <c r="G305" s="84">
        <v>0</v>
      </c>
      <c r="H305" s="200">
        <f>H301</f>
        <v>2</v>
      </c>
      <c r="I305" s="187">
        <f>+I304+1</f>
        <v>16</v>
      </c>
      <c r="J305" s="205"/>
      <c r="K305" s="18"/>
      <c r="L305" s="17" t="s">
        <v>323</v>
      </c>
      <c r="M305" s="18">
        <v>3</v>
      </c>
      <c r="N305" s="59" t="s">
        <v>2285</v>
      </c>
      <c r="O305" s="17" t="s">
        <v>589</v>
      </c>
      <c r="P305" s="59" t="s">
        <v>2286</v>
      </c>
      <c r="Q305" s="17" t="s">
        <v>365</v>
      </c>
      <c r="R305" s="17" t="s">
        <v>364</v>
      </c>
      <c r="S305" s="78"/>
      <c r="T305" s="17" t="s">
        <v>2285</v>
      </c>
      <c r="U305" s="17"/>
      <c r="V305" s="17" t="str">
        <f>+CONCATENATE(E305,".",F305,"\",G305,".",H305,":",I305)</f>
        <v>2.5\0.2:16</v>
      </c>
      <c r="W305" s="17" t="s">
        <v>2280</v>
      </c>
      <c r="X305" s="221">
        <v>0</v>
      </c>
      <c r="Y305" s="20"/>
      <c r="Z305" s="20" t="s">
        <v>1159</v>
      </c>
      <c r="AA305" s="20"/>
      <c r="AB305" s="17"/>
      <c r="AC305" s="20"/>
      <c r="AD305" s="20"/>
      <c r="AE305" s="20"/>
      <c r="AF305" s="17"/>
      <c r="AG305" s="64" t="s">
        <v>985</v>
      </c>
      <c r="AH305" s="64">
        <v>1</v>
      </c>
      <c r="AI305" s="64">
        <v>2</v>
      </c>
      <c r="AJ305" s="64"/>
      <c r="AK305" s="64"/>
      <c r="AL305" s="264"/>
      <c r="AM305" s="84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</row>
    <row r="306" spans="1:51" s="33" customFormat="1" ht="14.5" x14ac:dyDescent="0.35">
      <c r="A306" s="162" t="str">
        <f>A305</f>
        <v>BBD131</v>
      </c>
      <c r="B306" s="17" t="s">
        <v>2275</v>
      </c>
      <c r="C306" s="18" t="str">
        <f>+C305</f>
        <v>DIO1</v>
      </c>
      <c r="D306" s="18">
        <v>132</v>
      </c>
      <c r="E306" s="84">
        <f>+E305</f>
        <v>2</v>
      </c>
      <c r="F306" s="84">
        <f>+F305</f>
        <v>5</v>
      </c>
      <c r="G306" s="84">
        <v>0</v>
      </c>
      <c r="H306" s="200">
        <f>H302</f>
        <v>2</v>
      </c>
      <c r="I306" s="187">
        <f>+I305+1</f>
        <v>17</v>
      </c>
      <c r="J306" s="205"/>
      <c r="K306" s="79"/>
      <c r="L306" s="17" t="s">
        <v>323</v>
      </c>
      <c r="M306" s="18">
        <v>3</v>
      </c>
      <c r="N306" s="59" t="s">
        <v>2285</v>
      </c>
      <c r="O306" s="17" t="s">
        <v>1049</v>
      </c>
      <c r="P306" s="59" t="s">
        <v>2286</v>
      </c>
      <c r="Q306" s="68" t="s">
        <v>2333</v>
      </c>
      <c r="R306" s="17" t="s">
        <v>308</v>
      </c>
      <c r="S306" s="78"/>
      <c r="T306" s="17" t="s">
        <v>2285</v>
      </c>
      <c r="U306" s="17"/>
      <c r="V306" s="17" t="str">
        <f>+CONCATENATE(E306,".",F306,"\",G306,".",H306,":",I306)</f>
        <v>2.5\0.2:17</v>
      </c>
      <c r="W306" s="17" t="s">
        <v>2280</v>
      </c>
      <c r="X306" s="221">
        <v>0</v>
      </c>
      <c r="Y306" s="20"/>
      <c r="Z306" s="20" t="s">
        <v>1159</v>
      </c>
      <c r="AA306" s="20"/>
      <c r="AB306" s="17"/>
      <c r="AC306" s="20"/>
      <c r="AD306" s="20"/>
      <c r="AE306" s="20"/>
      <c r="AF306" s="17"/>
      <c r="AG306" s="64" t="s">
        <v>985</v>
      </c>
      <c r="AH306" s="64">
        <v>3</v>
      </c>
      <c r="AI306" s="64">
        <v>4</v>
      </c>
      <c r="AJ306" s="64"/>
      <c r="AK306" s="64"/>
      <c r="AL306" s="264"/>
      <c r="AM306" s="84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</row>
    <row r="307" spans="1:51" s="33" customFormat="1" ht="14.5" x14ac:dyDescent="0.35">
      <c r="A307" s="162" t="str">
        <f>A306</f>
        <v>BBD131</v>
      </c>
      <c r="B307" s="17" t="s">
        <v>2275</v>
      </c>
      <c r="C307" s="18" t="str">
        <f>+C306</f>
        <v>DIO1</v>
      </c>
      <c r="D307" s="18">
        <v>132</v>
      </c>
      <c r="E307" s="84">
        <f>+E306</f>
        <v>2</v>
      </c>
      <c r="F307" s="84">
        <f>+F306</f>
        <v>5</v>
      </c>
      <c r="G307" s="84">
        <v>0</v>
      </c>
      <c r="H307" s="200">
        <f>H303</f>
        <v>2</v>
      </c>
      <c r="I307" s="187">
        <f>+I306+1</f>
        <v>18</v>
      </c>
      <c r="J307" s="205"/>
      <c r="K307" s="79"/>
      <c r="L307" s="17" t="s">
        <v>323</v>
      </c>
      <c r="M307" s="18">
        <v>3</v>
      </c>
      <c r="N307" s="59" t="s">
        <v>2285</v>
      </c>
      <c r="O307" s="17" t="s">
        <v>2108</v>
      </c>
      <c r="P307" s="59" t="s">
        <v>2286</v>
      </c>
      <c r="Q307" s="68" t="s">
        <v>2332</v>
      </c>
      <c r="R307" s="17" t="s">
        <v>247</v>
      </c>
      <c r="S307" s="17"/>
      <c r="T307" s="17" t="s">
        <v>2285</v>
      </c>
      <c r="U307" s="17"/>
      <c r="V307" s="17" t="str">
        <f>+CONCATENATE(E307,".",F307,"\",G307,".",H307,":",I307)</f>
        <v>2.5\0.2:18</v>
      </c>
      <c r="W307" s="17" t="s">
        <v>2280</v>
      </c>
      <c r="X307" s="221">
        <v>0</v>
      </c>
      <c r="Y307" s="20"/>
      <c r="Z307" s="20" t="s">
        <v>1159</v>
      </c>
      <c r="AA307" s="20"/>
      <c r="AB307" s="17"/>
      <c r="AC307" s="20"/>
      <c r="AD307" s="20"/>
      <c r="AE307" s="20"/>
      <c r="AF307" s="17"/>
      <c r="AG307" s="64" t="s">
        <v>985</v>
      </c>
      <c r="AH307" s="64">
        <v>5</v>
      </c>
      <c r="AI307" s="64">
        <v>6</v>
      </c>
      <c r="AJ307" s="64"/>
      <c r="AK307" s="64"/>
      <c r="AL307" s="264"/>
      <c r="AM307" s="84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</row>
    <row r="308" spans="1:51" s="33" customFormat="1" ht="14.5" x14ac:dyDescent="0.35">
      <c r="A308" s="162" t="str">
        <f>A307</f>
        <v>BBD131</v>
      </c>
      <c r="B308" s="17" t="s">
        <v>2275</v>
      </c>
      <c r="C308" s="18" t="str">
        <f>+C307</f>
        <v>DIO1</v>
      </c>
      <c r="D308" s="18">
        <v>132</v>
      </c>
      <c r="E308" s="84">
        <f>+E307</f>
        <v>2</v>
      </c>
      <c r="F308" s="84">
        <f>+F307</f>
        <v>5</v>
      </c>
      <c r="G308" s="84">
        <v>0</v>
      </c>
      <c r="H308" s="200">
        <f>H304</f>
        <v>2</v>
      </c>
      <c r="I308" s="187">
        <f>+I307+1</f>
        <v>19</v>
      </c>
      <c r="J308" s="205"/>
      <c r="K308" s="79"/>
      <c r="L308" s="17" t="s">
        <v>323</v>
      </c>
      <c r="M308" s="18">
        <v>3</v>
      </c>
      <c r="N308" s="59" t="s">
        <v>2285</v>
      </c>
      <c r="O308" s="280" t="s">
        <v>567</v>
      </c>
      <c r="P308" s="59" t="s">
        <v>2286</v>
      </c>
      <c r="Q308" s="206" t="s">
        <v>2331</v>
      </c>
      <c r="R308" s="280" t="s">
        <v>457</v>
      </c>
      <c r="S308" s="17"/>
      <c r="T308" s="17" t="s">
        <v>2285</v>
      </c>
      <c r="U308" s="17"/>
      <c r="V308" s="17" t="str">
        <f>+CONCATENATE(E308,".",F308,"\",G308,".",H308,":",I308)</f>
        <v>2.5\0.2:19</v>
      </c>
      <c r="W308" s="17" t="s">
        <v>2280</v>
      </c>
      <c r="X308" s="221">
        <v>0</v>
      </c>
      <c r="Y308" s="20"/>
      <c r="Z308" s="20" t="s">
        <v>1159</v>
      </c>
      <c r="AA308" s="20"/>
      <c r="AB308" s="17"/>
      <c r="AC308" s="20"/>
      <c r="AD308" s="20"/>
      <c r="AE308" s="20"/>
      <c r="AF308" s="17"/>
      <c r="AG308" s="64" t="s">
        <v>985</v>
      </c>
      <c r="AH308" s="64">
        <v>7</v>
      </c>
      <c r="AI308" s="64">
        <v>8</v>
      </c>
      <c r="AJ308" s="64"/>
      <c r="AK308" s="64"/>
      <c r="AL308" s="264"/>
      <c r="AM308" s="84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</row>
    <row r="309" spans="1:51" s="33" customFormat="1" ht="14.5" x14ac:dyDescent="0.35">
      <c r="A309" s="162" t="str">
        <f>A308</f>
        <v>BBD131</v>
      </c>
      <c r="B309" s="17" t="s">
        <v>2275</v>
      </c>
      <c r="C309" s="18" t="str">
        <f>+C308</f>
        <v>DIO1</v>
      </c>
      <c r="D309" s="18">
        <v>132</v>
      </c>
      <c r="E309" s="84">
        <f>+E308</f>
        <v>2</v>
      </c>
      <c r="F309" s="84">
        <f>+F308</f>
        <v>5</v>
      </c>
      <c r="G309" s="84">
        <v>0</v>
      </c>
      <c r="H309" s="200">
        <f>H305</f>
        <v>2</v>
      </c>
      <c r="I309" s="187">
        <f>+I308+1</f>
        <v>20</v>
      </c>
      <c r="J309" s="205"/>
      <c r="K309" s="79"/>
      <c r="L309" s="17" t="s">
        <v>323</v>
      </c>
      <c r="M309" s="18">
        <v>4</v>
      </c>
      <c r="N309" s="59" t="s">
        <v>2285</v>
      </c>
      <c r="O309" s="18" t="s">
        <v>646</v>
      </c>
      <c r="P309" s="59" t="s">
        <v>2286</v>
      </c>
      <c r="Q309" s="18" t="s">
        <v>2335</v>
      </c>
      <c r="R309" s="18" t="s">
        <v>247</v>
      </c>
      <c r="S309" s="17" t="s">
        <v>2334</v>
      </c>
      <c r="T309" s="17" t="s">
        <v>2285</v>
      </c>
      <c r="U309" s="17"/>
      <c r="V309" s="17" t="str">
        <f>+CONCATENATE(E309,".",F309,"\",G309,".",H309,":",I309)</f>
        <v>2.5\0.2:20</v>
      </c>
      <c r="W309" s="17" t="s">
        <v>2280</v>
      </c>
      <c r="X309" s="221">
        <v>0</v>
      </c>
      <c r="Y309" s="20"/>
      <c r="Z309" s="20" t="s">
        <v>1159</v>
      </c>
      <c r="AA309" s="20"/>
      <c r="AB309" s="17"/>
      <c r="AC309" s="20"/>
      <c r="AD309" s="20"/>
      <c r="AE309" s="20"/>
      <c r="AF309" s="17"/>
      <c r="AG309" s="64" t="s">
        <v>985</v>
      </c>
      <c r="AH309" s="64">
        <v>9</v>
      </c>
      <c r="AI309" s="64">
        <v>10</v>
      </c>
      <c r="AJ309" s="64"/>
      <c r="AK309" s="64"/>
      <c r="AL309" s="264"/>
      <c r="AM309" s="84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</row>
    <row r="310" spans="1:51" s="33" customFormat="1" ht="14.5" x14ac:dyDescent="0.35">
      <c r="A310" s="162" t="str">
        <f>A309</f>
        <v>BBD131</v>
      </c>
      <c r="B310" s="17" t="s">
        <v>2275</v>
      </c>
      <c r="C310" s="18" t="str">
        <f>+C309</f>
        <v>DIO1</v>
      </c>
      <c r="D310" s="18">
        <v>132</v>
      </c>
      <c r="E310" s="84">
        <f>+E309</f>
        <v>2</v>
      </c>
      <c r="F310" s="84">
        <f>+F309</f>
        <v>5</v>
      </c>
      <c r="G310" s="84">
        <v>0</v>
      </c>
      <c r="H310" s="200">
        <f>H306</f>
        <v>2</v>
      </c>
      <c r="I310" s="187">
        <f>+I309+1</f>
        <v>21</v>
      </c>
      <c r="J310" s="205"/>
      <c r="K310" s="79"/>
      <c r="L310" s="17" t="s">
        <v>323</v>
      </c>
      <c r="M310" s="18">
        <v>3</v>
      </c>
      <c r="N310" s="59" t="s">
        <v>2281</v>
      </c>
      <c r="O310" s="18" t="s">
        <v>589</v>
      </c>
      <c r="P310" s="59" t="s">
        <v>2283</v>
      </c>
      <c r="Q310" s="18" t="s">
        <v>365</v>
      </c>
      <c r="R310" s="18" t="s">
        <v>364</v>
      </c>
      <c r="S310" s="17"/>
      <c r="T310" s="17" t="s">
        <v>2281</v>
      </c>
      <c r="U310" s="17"/>
      <c r="V310" s="17" t="str">
        <f>+CONCATENATE(E310,".",F310,"\",G310,".",H310,":",I310)</f>
        <v>2.5\0.2:21</v>
      </c>
      <c r="W310" s="17" t="s">
        <v>2280</v>
      </c>
      <c r="X310" s="221">
        <v>0</v>
      </c>
      <c r="Y310" s="20"/>
      <c r="Z310" s="20" t="s">
        <v>1159</v>
      </c>
      <c r="AA310" s="20"/>
      <c r="AB310" s="17"/>
      <c r="AC310" s="20"/>
      <c r="AD310" s="20"/>
      <c r="AE310" s="20"/>
      <c r="AF310" s="17"/>
      <c r="AG310" s="64" t="s">
        <v>985</v>
      </c>
      <c r="AH310" s="64">
        <v>11</v>
      </c>
      <c r="AI310" s="64">
        <v>12</v>
      </c>
      <c r="AJ310" s="64"/>
      <c r="AK310" s="64"/>
      <c r="AL310" s="264"/>
      <c r="AM310" s="84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</row>
    <row r="311" spans="1:51" s="33" customFormat="1" ht="14.5" x14ac:dyDescent="0.35">
      <c r="A311" s="162" t="str">
        <f>A310</f>
        <v>BBD131</v>
      </c>
      <c r="B311" s="17" t="s">
        <v>2275</v>
      </c>
      <c r="C311" s="18" t="str">
        <f>+C310</f>
        <v>DIO1</v>
      </c>
      <c r="D311" s="18">
        <v>132</v>
      </c>
      <c r="E311" s="84">
        <f>+E310</f>
        <v>2</v>
      </c>
      <c r="F311" s="84">
        <f>+F310</f>
        <v>5</v>
      </c>
      <c r="G311" s="84">
        <v>0</v>
      </c>
      <c r="H311" s="200">
        <f>H307</f>
        <v>2</v>
      </c>
      <c r="I311" s="187">
        <f>+I310+1</f>
        <v>22</v>
      </c>
      <c r="J311" s="205"/>
      <c r="K311" s="79"/>
      <c r="L311" s="17" t="s">
        <v>323</v>
      </c>
      <c r="M311" s="18">
        <v>3</v>
      </c>
      <c r="N311" s="59" t="s">
        <v>2281</v>
      </c>
      <c r="O311" s="18" t="s">
        <v>1049</v>
      </c>
      <c r="P311" s="59" t="s">
        <v>2283</v>
      </c>
      <c r="Q311" s="18" t="s">
        <v>2333</v>
      </c>
      <c r="R311" s="18" t="s">
        <v>308</v>
      </c>
      <c r="S311" s="17"/>
      <c r="T311" s="17" t="s">
        <v>2281</v>
      </c>
      <c r="U311" s="17"/>
      <c r="V311" s="17" t="str">
        <f>+CONCATENATE(E311,".",F311,"\",G311,".",H311,":",I311)</f>
        <v>2.5\0.2:22</v>
      </c>
      <c r="W311" s="17" t="s">
        <v>2280</v>
      </c>
      <c r="X311" s="221">
        <v>0</v>
      </c>
      <c r="Y311" s="17"/>
      <c r="Z311" s="20" t="s">
        <v>1159</v>
      </c>
      <c r="AA311" s="17"/>
      <c r="AB311" s="17"/>
      <c r="AC311" s="17"/>
      <c r="AD311" s="17"/>
      <c r="AE311" s="17"/>
      <c r="AF311" s="17"/>
      <c r="AG311" s="64" t="s">
        <v>985</v>
      </c>
      <c r="AH311" s="64">
        <v>13</v>
      </c>
      <c r="AI311" s="64">
        <v>14</v>
      </c>
      <c r="AJ311" s="64"/>
      <c r="AK311" s="64"/>
      <c r="AL311" s="264"/>
      <c r="AM311" s="84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</row>
    <row r="312" spans="1:51" s="33" customFormat="1" ht="14.5" x14ac:dyDescent="0.35">
      <c r="A312" s="162" t="str">
        <f>A311</f>
        <v>BBD131</v>
      </c>
      <c r="B312" s="17" t="s">
        <v>2275</v>
      </c>
      <c r="C312" s="18" t="str">
        <f>+C311</f>
        <v>DIO1</v>
      </c>
      <c r="D312" s="18">
        <v>132</v>
      </c>
      <c r="E312" s="84">
        <f>+E311</f>
        <v>2</v>
      </c>
      <c r="F312" s="84">
        <f>+F311</f>
        <v>5</v>
      </c>
      <c r="G312" s="84">
        <v>0</v>
      </c>
      <c r="H312" s="200">
        <f>H308</f>
        <v>2</v>
      </c>
      <c r="I312" s="187">
        <f>+I311+1</f>
        <v>23</v>
      </c>
      <c r="J312" s="205"/>
      <c r="K312" s="79"/>
      <c r="L312" s="17" t="s">
        <v>323</v>
      </c>
      <c r="M312" s="18">
        <v>3</v>
      </c>
      <c r="N312" s="59" t="s">
        <v>2281</v>
      </c>
      <c r="O312" s="18" t="s">
        <v>2108</v>
      </c>
      <c r="P312" s="59" t="s">
        <v>2283</v>
      </c>
      <c r="Q312" s="18" t="s">
        <v>2332</v>
      </c>
      <c r="R312" s="18" t="s">
        <v>247</v>
      </c>
      <c r="S312" s="17"/>
      <c r="T312" s="17" t="s">
        <v>2281</v>
      </c>
      <c r="U312" s="17"/>
      <c r="V312" s="17" t="str">
        <f>+CONCATENATE(E312,".",F312,"\",G312,".",H312,":",I312)</f>
        <v>2.5\0.2:23</v>
      </c>
      <c r="W312" s="17" t="s">
        <v>2280</v>
      </c>
      <c r="X312" s="221">
        <v>0</v>
      </c>
      <c r="Y312" s="17"/>
      <c r="Z312" s="20" t="s">
        <v>1159</v>
      </c>
      <c r="AA312" s="17"/>
      <c r="AB312" s="17"/>
      <c r="AC312" s="17"/>
      <c r="AD312" s="17"/>
      <c r="AE312" s="17"/>
      <c r="AF312" s="17"/>
      <c r="AG312" s="64" t="s">
        <v>985</v>
      </c>
      <c r="AH312" s="64">
        <v>15</v>
      </c>
      <c r="AI312" s="64">
        <v>16</v>
      </c>
      <c r="AJ312" s="64"/>
      <c r="AK312" s="64"/>
      <c r="AL312" s="264"/>
      <c r="AM312" s="84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</row>
    <row r="313" spans="1:51" s="33" customFormat="1" ht="14.5" x14ac:dyDescent="0.35">
      <c r="A313" s="162" t="str">
        <f>A312</f>
        <v>BBD131</v>
      </c>
      <c r="B313" s="17" t="s">
        <v>2275</v>
      </c>
      <c r="C313" s="18" t="str">
        <f>+C312</f>
        <v>DIO1</v>
      </c>
      <c r="D313" s="18">
        <v>132</v>
      </c>
      <c r="E313" s="84">
        <f>+E312</f>
        <v>2</v>
      </c>
      <c r="F313" s="84">
        <f>+F312</f>
        <v>5</v>
      </c>
      <c r="G313" s="84">
        <v>0</v>
      </c>
      <c r="H313" s="200">
        <f>H309</f>
        <v>2</v>
      </c>
      <c r="I313" s="187">
        <f>+I312+1</f>
        <v>24</v>
      </c>
      <c r="J313" s="205"/>
      <c r="K313" s="79"/>
      <c r="L313" s="17" t="s">
        <v>323</v>
      </c>
      <c r="M313" s="18">
        <v>3</v>
      </c>
      <c r="N313" s="59" t="s">
        <v>2281</v>
      </c>
      <c r="O313" s="18" t="s">
        <v>567</v>
      </c>
      <c r="P313" s="59" t="s">
        <v>2283</v>
      </c>
      <c r="Q313" s="18" t="s">
        <v>2331</v>
      </c>
      <c r="R313" s="18" t="s">
        <v>457</v>
      </c>
      <c r="S313" s="17"/>
      <c r="T313" s="17" t="s">
        <v>2281</v>
      </c>
      <c r="U313" s="17"/>
      <c r="V313" s="17" t="str">
        <f>+CONCATENATE(E313,".",F313,"\",G313,".",H313,":",I313)</f>
        <v>2.5\0.2:24</v>
      </c>
      <c r="W313" s="17" t="s">
        <v>2280</v>
      </c>
      <c r="X313" s="221">
        <v>0</v>
      </c>
      <c r="Y313" s="17"/>
      <c r="Z313" s="20" t="s">
        <v>1159</v>
      </c>
      <c r="AA313" s="17"/>
      <c r="AB313" s="17"/>
      <c r="AC313" s="17"/>
      <c r="AD313" s="17"/>
      <c r="AE313" s="17"/>
      <c r="AF313" s="17"/>
      <c r="AG313" s="64" t="s">
        <v>985</v>
      </c>
      <c r="AH313" s="64">
        <v>17</v>
      </c>
      <c r="AI313" s="64">
        <v>18</v>
      </c>
      <c r="AJ313" s="64"/>
      <c r="AK313" s="64"/>
      <c r="AL313" s="264"/>
      <c r="AM313" s="84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</row>
    <row r="314" spans="1:51" s="33" customFormat="1" ht="14.5" x14ac:dyDescent="0.35">
      <c r="A314" s="162" t="str">
        <f>A313</f>
        <v>BBD131</v>
      </c>
      <c r="B314" s="17" t="s">
        <v>2275</v>
      </c>
      <c r="C314" s="18" t="str">
        <f>+C313</f>
        <v>DIO1</v>
      </c>
      <c r="D314" s="18">
        <v>132</v>
      </c>
      <c r="E314" s="84">
        <f>+E313</f>
        <v>2</v>
      </c>
      <c r="F314" s="84">
        <f>+F313</f>
        <v>5</v>
      </c>
      <c r="G314" s="84">
        <v>0</v>
      </c>
      <c r="H314" s="200">
        <f>H310</f>
        <v>2</v>
      </c>
      <c r="I314" s="187">
        <f>+I313+1</f>
        <v>25</v>
      </c>
      <c r="J314" s="205"/>
      <c r="K314" s="79"/>
      <c r="L314" s="17" t="s">
        <v>323</v>
      </c>
      <c r="M314" s="18">
        <v>4</v>
      </c>
      <c r="N314" s="59" t="s">
        <v>2281</v>
      </c>
      <c r="O314" s="17" t="s">
        <v>646</v>
      </c>
      <c r="P314" s="59" t="s">
        <v>2283</v>
      </c>
      <c r="Q314" s="17" t="s">
        <v>2330</v>
      </c>
      <c r="R314" s="17" t="s">
        <v>247</v>
      </c>
      <c r="S314" s="17" t="s">
        <v>2329</v>
      </c>
      <c r="T314" s="17" t="s">
        <v>2281</v>
      </c>
      <c r="U314" s="17"/>
      <c r="V314" s="17" t="str">
        <f>+CONCATENATE(E314,".",F314,"\",G314,".",H314,":",I314)</f>
        <v>2.5\0.2:25</v>
      </c>
      <c r="W314" s="17" t="s">
        <v>2280</v>
      </c>
      <c r="X314" s="221">
        <v>0</v>
      </c>
      <c r="Y314" s="17"/>
      <c r="Z314" s="20" t="s">
        <v>1159</v>
      </c>
      <c r="AA314" s="17"/>
      <c r="AB314" s="17"/>
      <c r="AC314" s="17"/>
      <c r="AD314" s="17"/>
      <c r="AE314" s="17"/>
      <c r="AF314" s="17"/>
      <c r="AG314" s="64" t="s">
        <v>985</v>
      </c>
      <c r="AH314" s="64">
        <v>19</v>
      </c>
      <c r="AI314" s="64">
        <v>20</v>
      </c>
      <c r="AJ314" s="64"/>
      <c r="AK314" s="64"/>
      <c r="AL314" s="264"/>
      <c r="AM314" s="84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</row>
    <row r="315" spans="1:51" s="33" customFormat="1" ht="14.5" x14ac:dyDescent="0.35">
      <c r="A315" s="162" t="str">
        <f>A314</f>
        <v>BBD131</v>
      </c>
      <c r="B315" s="17" t="s">
        <v>2275</v>
      </c>
      <c r="C315" s="18" t="str">
        <f>+C314</f>
        <v>DIO1</v>
      </c>
      <c r="D315" s="18">
        <v>132</v>
      </c>
      <c r="E315" s="84">
        <f>+E314</f>
        <v>2</v>
      </c>
      <c r="F315" s="84">
        <f>+F314</f>
        <v>5</v>
      </c>
      <c r="G315" s="84">
        <v>0</v>
      </c>
      <c r="H315" s="200">
        <f>H311</f>
        <v>2</v>
      </c>
      <c r="I315" s="187">
        <f>+I314+1</f>
        <v>26</v>
      </c>
      <c r="J315" s="205"/>
      <c r="K315" s="79"/>
      <c r="L315" s="17" t="s">
        <v>323</v>
      </c>
      <c r="M315" s="18"/>
      <c r="N315" s="32"/>
      <c r="O315" s="17"/>
      <c r="P315" s="59"/>
      <c r="Q315" s="17"/>
      <c r="R315" s="17"/>
      <c r="S315" s="17"/>
      <c r="T315" s="17"/>
      <c r="U315" s="17"/>
      <c r="V315" s="17" t="str">
        <f>+CONCATENATE(E315,".",F315,"\",G315,".",H315,":",I315)</f>
        <v>2.5\0.2:26</v>
      </c>
      <c r="W315" s="17"/>
      <c r="X315" s="17"/>
      <c r="Y315" s="17"/>
      <c r="Z315" s="20" t="s">
        <v>1159</v>
      </c>
      <c r="AA315" s="17"/>
      <c r="AB315" s="17"/>
      <c r="AC315" s="17"/>
      <c r="AD315" s="17"/>
      <c r="AE315" s="17"/>
      <c r="AF315" s="17"/>
      <c r="AG315" s="64" t="s">
        <v>985</v>
      </c>
      <c r="AH315" s="64">
        <v>21</v>
      </c>
      <c r="AI315" s="64">
        <v>22</v>
      </c>
      <c r="AJ315" s="64"/>
      <c r="AK315" s="64"/>
      <c r="AL315" s="264"/>
      <c r="AM315" s="84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</row>
    <row r="316" spans="1:51" s="33" customFormat="1" ht="14.5" x14ac:dyDescent="0.35">
      <c r="A316" s="162" t="str">
        <f>A315</f>
        <v>BBD131</v>
      </c>
      <c r="B316" s="17" t="s">
        <v>2275</v>
      </c>
      <c r="C316" s="18" t="str">
        <f>+C315</f>
        <v>DIO1</v>
      </c>
      <c r="D316" s="18">
        <v>132</v>
      </c>
      <c r="E316" s="84">
        <f>+E315</f>
        <v>2</v>
      </c>
      <c r="F316" s="84">
        <f>+F315</f>
        <v>5</v>
      </c>
      <c r="G316" s="84">
        <v>0</v>
      </c>
      <c r="H316" s="200">
        <f>H312</f>
        <v>2</v>
      </c>
      <c r="I316" s="187">
        <f>+I315+1</f>
        <v>27</v>
      </c>
      <c r="J316" s="205"/>
      <c r="K316" s="79"/>
      <c r="L316" s="17" t="s">
        <v>323</v>
      </c>
      <c r="M316" s="18"/>
      <c r="N316" s="321"/>
      <c r="O316" s="17"/>
      <c r="P316" s="59"/>
      <c r="Q316" s="17"/>
      <c r="R316" s="17"/>
      <c r="S316" s="17"/>
      <c r="T316" s="17"/>
      <c r="U316" s="17"/>
      <c r="V316" s="17" t="str">
        <f>+CONCATENATE(E316,".",F316,"\",G316,".",H316,":",I316)</f>
        <v>2.5\0.2:27</v>
      </c>
      <c r="W316" s="17"/>
      <c r="X316" s="17"/>
      <c r="Y316" s="17"/>
      <c r="Z316" s="20" t="s">
        <v>1159</v>
      </c>
      <c r="AA316" s="17"/>
      <c r="AB316" s="17"/>
      <c r="AC316" s="17"/>
      <c r="AD316" s="17"/>
      <c r="AE316" s="17"/>
      <c r="AF316" s="17"/>
      <c r="AG316" s="64" t="s">
        <v>985</v>
      </c>
      <c r="AH316" s="64">
        <v>23</v>
      </c>
      <c r="AI316" s="64">
        <v>24</v>
      </c>
      <c r="AJ316" s="64"/>
      <c r="AK316" s="64"/>
      <c r="AL316" s="264"/>
      <c r="AM316" s="84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</row>
    <row r="317" spans="1:51" s="33" customFormat="1" ht="14.5" x14ac:dyDescent="0.35">
      <c r="A317" s="162" t="str">
        <f>A316</f>
        <v>BBD131</v>
      </c>
      <c r="B317" s="17" t="s">
        <v>2275</v>
      </c>
      <c r="C317" s="18" t="str">
        <f>+C316</f>
        <v>DIO1</v>
      </c>
      <c r="D317" s="18">
        <v>132</v>
      </c>
      <c r="E317" s="84">
        <f>+E316</f>
        <v>2</v>
      </c>
      <c r="F317" s="84">
        <f>+F316</f>
        <v>5</v>
      </c>
      <c r="G317" s="84">
        <v>0</v>
      </c>
      <c r="H317" s="200">
        <f>H313</f>
        <v>2</v>
      </c>
      <c r="I317" s="187">
        <f>+I316+1</f>
        <v>28</v>
      </c>
      <c r="J317" s="205"/>
      <c r="K317" s="79"/>
      <c r="L317" s="17" t="s">
        <v>323</v>
      </c>
      <c r="M317" s="18"/>
      <c r="N317" s="321"/>
      <c r="O317" s="17"/>
      <c r="P317" s="59"/>
      <c r="Q317" s="17"/>
      <c r="R317" s="17"/>
      <c r="S317" s="17"/>
      <c r="T317" s="17"/>
      <c r="U317" s="17"/>
      <c r="V317" s="17" t="str">
        <f>+CONCATENATE(E317,".",F317,"\",G317,".",H317,":",I317)</f>
        <v>2.5\0.2:28</v>
      </c>
      <c r="W317" s="17"/>
      <c r="X317" s="17"/>
      <c r="Y317" s="17"/>
      <c r="Z317" s="20" t="s">
        <v>1159</v>
      </c>
      <c r="AA317" s="17"/>
      <c r="AB317" s="17"/>
      <c r="AC317" s="17"/>
      <c r="AD317" s="17"/>
      <c r="AE317" s="17"/>
      <c r="AF317" s="17"/>
      <c r="AG317" s="64" t="s">
        <v>985</v>
      </c>
      <c r="AH317" s="64">
        <v>25</v>
      </c>
      <c r="AI317" s="64">
        <v>26</v>
      </c>
      <c r="AJ317" s="64"/>
      <c r="AK317" s="64"/>
      <c r="AL317" s="264"/>
      <c r="AM317" s="84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</row>
    <row r="318" spans="1:51" s="33" customFormat="1" ht="14.5" x14ac:dyDescent="0.35">
      <c r="A318" s="162" t="str">
        <f>A317</f>
        <v>BBD131</v>
      </c>
      <c r="B318" s="17" t="s">
        <v>2275</v>
      </c>
      <c r="C318" s="18" t="str">
        <f>+C317</f>
        <v>DIO1</v>
      </c>
      <c r="D318" s="18">
        <v>132</v>
      </c>
      <c r="E318" s="84">
        <f>+E317</f>
        <v>2</v>
      </c>
      <c r="F318" s="84">
        <f>+F317</f>
        <v>5</v>
      </c>
      <c r="G318" s="84">
        <v>0</v>
      </c>
      <c r="H318" s="200">
        <f>H314</f>
        <v>2</v>
      </c>
      <c r="I318" s="187">
        <f>+I317+1</f>
        <v>29</v>
      </c>
      <c r="J318" s="205"/>
      <c r="K318" s="79"/>
      <c r="L318" s="17" t="s">
        <v>323</v>
      </c>
      <c r="M318" s="18"/>
      <c r="N318" s="321"/>
      <c r="O318" s="17"/>
      <c r="P318" s="59"/>
      <c r="Q318" s="17"/>
      <c r="R318" s="17"/>
      <c r="S318" s="17"/>
      <c r="T318" s="17"/>
      <c r="U318" s="17"/>
      <c r="V318" s="17" t="str">
        <f>+CONCATENATE(E318,".",F318,"\",G318,".",H318,":",I318)</f>
        <v>2.5\0.2:29</v>
      </c>
      <c r="W318" s="17"/>
      <c r="X318" s="17"/>
      <c r="Y318" s="17"/>
      <c r="Z318" s="20" t="s">
        <v>1159</v>
      </c>
      <c r="AA318" s="17"/>
      <c r="AB318" s="17"/>
      <c r="AC318" s="17"/>
      <c r="AD318" s="17"/>
      <c r="AE318" s="17"/>
      <c r="AF318" s="17"/>
      <c r="AG318" s="64" t="s">
        <v>985</v>
      </c>
      <c r="AH318" s="64">
        <v>27</v>
      </c>
      <c r="AI318" s="64">
        <v>28</v>
      </c>
      <c r="AJ318" s="64"/>
      <c r="AK318" s="64"/>
      <c r="AL318" s="264"/>
      <c r="AM318" s="84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</row>
    <row r="319" spans="1:51" s="33" customFormat="1" ht="14.5" x14ac:dyDescent="0.35">
      <c r="A319" s="162" t="str">
        <f>A318</f>
        <v>BBD131</v>
      </c>
      <c r="B319" s="17" t="s">
        <v>2275</v>
      </c>
      <c r="C319" s="18" t="str">
        <f>+C318</f>
        <v>DIO1</v>
      </c>
      <c r="D319" s="18">
        <v>132</v>
      </c>
      <c r="E319" s="84">
        <f>+E318</f>
        <v>2</v>
      </c>
      <c r="F319" s="84">
        <f>+F318</f>
        <v>5</v>
      </c>
      <c r="G319" s="84">
        <v>0</v>
      </c>
      <c r="H319" s="200">
        <f>H315</f>
        <v>2</v>
      </c>
      <c r="I319" s="187">
        <f>+I318+1</f>
        <v>30</v>
      </c>
      <c r="J319" s="205"/>
      <c r="K319" s="79"/>
      <c r="L319" s="17" t="s">
        <v>323</v>
      </c>
      <c r="M319" s="18"/>
      <c r="N319" s="321"/>
      <c r="O319" s="17"/>
      <c r="P319" s="59"/>
      <c r="Q319" s="17"/>
      <c r="R319" s="17"/>
      <c r="S319" s="17"/>
      <c r="T319" s="17"/>
      <c r="U319" s="17"/>
      <c r="V319" s="17" t="str">
        <f>+CONCATENATE(E319,".",F319,"\",G319,".",H319,":",I319)</f>
        <v>2.5\0.2:30</v>
      </c>
      <c r="W319" s="17"/>
      <c r="X319" s="17"/>
      <c r="Y319" s="17"/>
      <c r="Z319" s="20" t="s">
        <v>1159</v>
      </c>
      <c r="AA319" s="17"/>
      <c r="AB319" s="17"/>
      <c r="AC319" s="17"/>
      <c r="AD319" s="17"/>
      <c r="AE319" s="17"/>
      <c r="AF319" s="17"/>
      <c r="AG319" s="64" t="s">
        <v>985</v>
      </c>
      <c r="AH319" s="64">
        <v>29</v>
      </c>
      <c r="AI319" s="64">
        <v>30</v>
      </c>
      <c r="AJ319" s="64"/>
      <c r="AK319" s="64"/>
      <c r="AL319" s="264"/>
      <c r="AM319" s="84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</row>
    <row r="320" spans="1:51" s="33" customFormat="1" ht="15" thickBot="1" x14ac:dyDescent="0.4">
      <c r="A320" s="162" t="str">
        <f>A319</f>
        <v>BBD131</v>
      </c>
      <c r="B320" s="17" t="s">
        <v>2275</v>
      </c>
      <c r="C320" s="18" t="str">
        <f>+C319</f>
        <v>DIO1</v>
      </c>
      <c r="D320" s="18">
        <v>132</v>
      </c>
      <c r="E320" s="84">
        <f>+E319</f>
        <v>2</v>
      </c>
      <c r="F320" s="84">
        <f>+F319</f>
        <v>5</v>
      </c>
      <c r="G320" s="84">
        <v>0</v>
      </c>
      <c r="H320" s="200">
        <f>H316</f>
        <v>2</v>
      </c>
      <c r="I320" s="191">
        <f>+I319+1</f>
        <v>31</v>
      </c>
      <c r="J320" s="203"/>
      <c r="K320" s="79"/>
      <c r="L320" s="17" t="s">
        <v>323</v>
      </c>
      <c r="M320" s="18"/>
      <c r="N320" s="321"/>
      <c r="O320" s="17"/>
      <c r="P320" s="59"/>
      <c r="Q320" s="17"/>
      <c r="R320" s="17"/>
      <c r="S320" s="17"/>
      <c r="T320" s="17"/>
      <c r="U320" s="17"/>
      <c r="V320" s="17" t="str">
        <f>+CONCATENATE(E320,".",F320,"\",G320,".",H320,":",I320)</f>
        <v>2.5\0.2:31</v>
      </c>
      <c r="W320" s="17"/>
      <c r="X320" s="17"/>
      <c r="Y320" s="17"/>
      <c r="Z320" s="20" t="s">
        <v>1159</v>
      </c>
      <c r="AA320" s="17"/>
      <c r="AB320" s="17"/>
      <c r="AC320" s="17"/>
      <c r="AD320" s="17"/>
      <c r="AE320" s="17"/>
      <c r="AF320" s="17"/>
      <c r="AG320" s="64" t="s">
        <v>985</v>
      </c>
      <c r="AH320" s="64">
        <v>31</v>
      </c>
      <c r="AI320" s="64">
        <v>32</v>
      </c>
      <c r="AJ320" s="64"/>
      <c r="AK320" s="64"/>
      <c r="AL320" s="264"/>
      <c r="AM320" s="84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</row>
    <row r="321" spans="1:51" s="33" customFormat="1" x14ac:dyDescent="0.3">
      <c r="A321" s="162" t="str">
        <f>A320</f>
        <v>BBD131</v>
      </c>
      <c r="B321" s="17" t="s">
        <v>2275</v>
      </c>
      <c r="C321" s="18" t="str">
        <f>+C320</f>
        <v>DIO1</v>
      </c>
      <c r="D321" s="18">
        <v>132</v>
      </c>
      <c r="E321" s="84">
        <f>+E320</f>
        <v>2</v>
      </c>
      <c r="F321" s="84">
        <f>+F320</f>
        <v>5</v>
      </c>
      <c r="G321" s="84">
        <v>0</v>
      </c>
      <c r="H321" s="214">
        <v>3</v>
      </c>
      <c r="I321" s="188">
        <v>0</v>
      </c>
      <c r="J321" s="201" t="s">
        <v>722</v>
      </c>
      <c r="K321" s="18" t="s">
        <v>721</v>
      </c>
      <c r="L321" s="79" t="s">
        <v>292</v>
      </c>
      <c r="M321" s="18">
        <v>5</v>
      </c>
      <c r="N321" s="17" t="s">
        <v>2326</v>
      </c>
      <c r="O321" s="17" t="s">
        <v>517</v>
      </c>
      <c r="P321" s="17" t="s">
        <v>2328</v>
      </c>
      <c r="Q321" s="17" t="s">
        <v>2327</v>
      </c>
      <c r="R321" s="17"/>
      <c r="S321" s="17"/>
      <c r="T321" s="17" t="s">
        <v>2326</v>
      </c>
      <c r="U321" s="17"/>
      <c r="V321" s="17" t="str">
        <f>+CONCATENATE(E321,".",F321,"\",G321,".",H321,":",I321)</f>
        <v>2.5\0.3:0</v>
      </c>
      <c r="W321" s="17" t="s">
        <v>2325</v>
      </c>
      <c r="X321" s="17">
        <v>0</v>
      </c>
      <c r="Y321" s="17"/>
      <c r="Z321" s="20" t="s">
        <v>1159</v>
      </c>
      <c r="AA321" s="17"/>
      <c r="AB321" s="17"/>
      <c r="AC321" s="17"/>
      <c r="AD321" s="17"/>
      <c r="AE321" s="17"/>
      <c r="AF321" s="17"/>
      <c r="AG321" s="64" t="s">
        <v>934</v>
      </c>
      <c r="AH321" s="64">
        <v>1</v>
      </c>
      <c r="AI321" s="64">
        <v>2</v>
      </c>
      <c r="AJ321" s="64"/>
      <c r="AK321" s="64"/>
      <c r="AL321" s="264"/>
      <c r="AM321" s="84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</row>
    <row r="322" spans="1:51" s="33" customFormat="1" x14ac:dyDescent="0.3">
      <c r="A322" s="162" t="str">
        <f>A321</f>
        <v>BBD131</v>
      </c>
      <c r="B322" s="17" t="s">
        <v>2275</v>
      </c>
      <c r="C322" s="18" t="str">
        <f>+C321</f>
        <v>DIO1</v>
      </c>
      <c r="D322" s="18">
        <v>132</v>
      </c>
      <c r="E322" s="84">
        <f>+E321</f>
        <v>2</v>
      </c>
      <c r="F322" s="84">
        <f>+F321</f>
        <v>5</v>
      </c>
      <c r="G322" s="84">
        <v>0</v>
      </c>
      <c r="H322" s="200">
        <f>H321</f>
        <v>3</v>
      </c>
      <c r="I322" s="187">
        <f>+I321+1</f>
        <v>1</v>
      </c>
      <c r="J322" s="193"/>
      <c r="K322" s="79"/>
      <c r="L322" s="79" t="s">
        <v>292</v>
      </c>
      <c r="M322" s="18"/>
      <c r="N322" s="18"/>
      <c r="O322" s="18"/>
      <c r="P322" s="18"/>
      <c r="Q322" s="17"/>
      <c r="R322" s="17"/>
      <c r="S322" s="18"/>
      <c r="T322" s="17"/>
      <c r="U322" s="17"/>
      <c r="V322" s="17" t="str">
        <f>+CONCATENATE(E322,".",F322,"\",G322,".",H322,":",I322)</f>
        <v>2.5\0.3:1</v>
      </c>
      <c r="W322" s="17"/>
      <c r="X322" s="17"/>
      <c r="Y322" s="17"/>
      <c r="Z322" s="20" t="s">
        <v>1159</v>
      </c>
      <c r="AA322" s="17"/>
      <c r="AB322" s="17"/>
      <c r="AC322" s="17"/>
      <c r="AD322" s="17"/>
      <c r="AE322" s="17"/>
      <c r="AF322" s="17"/>
      <c r="AG322" s="64" t="s">
        <v>934</v>
      </c>
      <c r="AH322" s="64">
        <v>3</v>
      </c>
      <c r="AI322" s="64">
        <v>4</v>
      </c>
      <c r="AJ322" s="64"/>
      <c r="AK322" s="64"/>
      <c r="AL322" s="264"/>
      <c r="AM322" s="84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</row>
    <row r="323" spans="1:51" s="33" customFormat="1" x14ac:dyDescent="0.3">
      <c r="A323" s="162" t="str">
        <f>A322</f>
        <v>BBD131</v>
      </c>
      <c r="B323" s="17" t="s">
        <v>2275</v>
      </c>
      <c r="C323" s="18" t="str">
        <f>+C322</f>
        <v>DIO1</v>
      </c>
      <c r="D323" s="18">
        <v>132</v>
      </c>
      <c r="E323" s="84">
        <f>+E322</f>
        <v>2</v>
      </c>
      <c r="F323" s="84">
        <f>+F322</f>
        <v>5</v>
      </c>
      <c r="G323" s="84">
        <v>0</v>
      </c>
      <c r="H323" s="186">
        <f>+H322</f>
        <v>3</v>
      </c>
      <c r="I323" s="187">
        <f>+I322+1</f>
        <v>2</v>
      </c>
      <c r="J323" s="193"/>
      <c r="K323" s="65"/>
      <c r="L323" s="79" t="s">
        <v>292</v>
      </c>
      <c r="M323" s="18"/>
      <c r="N323" s="18"/>
      <c r="O323" s="17"/>
      <c r="P323" s="17"/>
      <c r="Q323" s="17"/>
      <c r="R323" s="17"/>
      <c r="S323" s="17"/>
      <c r="T323" s="17"/>
      <c r="U323" s="17"/>
      <c r="V323" s="17" t="str">
        <f>+CONCATENATE(E323,".",F323,"\",G323,".",H323,":",I323)</f>
        <v>2.5\0.3:2</v>
      </c>
      <c r="W323" s="17"/>
      <c r="X323" s="17"/>
      <c r="Y323" s="17"/>
      <c r="Z323" s="20" t="s">
        <v>1159</v>
      </c>
      <c r="AA323" s="17"/>
      <c r="AB323" s="17"/>
      <c r="AC323" s="17"/>
      <c r="AD323" s="17"/>
      <c r="AE323" s="17"/>
      <c r="AF323" s="17"/>
      <c r="AG323" s="64" t="s">
        <v>934</v>
      </c>
      <c r="AH323" s="64">
        <v>5</v>
      </c>
      <c r="AI323" s="64">
        <v>6</v>
      </c>
      <c r="AJ323" s="64"/>
      <c r="AK323" s="64"/>
      <c r="AL323" s="264"/>
      <c r="AM323" s="84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</row>
    <row r="324" spans="1:51" s="33" customFormat="1" x14ac:dyDescent="0.3">
      <c r="A324" s="162" t="str">
        <f>A323</f>
        <v>BBD131</v>
      </c>
      <c r="B324" s="17" t="s">
        <v>2275</v>
      </c>
      <c r="C324" s="18" t="str">
        <f>+C323</f>
        <v>DIO1</v>
      </c>
      <c r="D324" s="18">
        <v>132</v>
      </c>
      <c r="E324" s="84">
        <f>+E323</f>
        <v>2</v>
      </c>
      <c r="F324" s="84">
        <f>+F323</f>
        <v>5</v>
      </c>
      <c r="G324" s="84">
        <v>0</v>
      </c>
      <c r="H324" s="186">
        <f>+H323</f>
        <v>3</v>
      </c>
      <c r="I324" s="187">
        <f>+I323+1</f>
        <v>3</v>
      </c>
      <c r="J324" s="193"/>
      <c r="K324" s="65"/>
      <c r="L324" s="79" t="s">
        <v>292</v>
      </c>
      <c r="M324" s="18"/>
      <c r="N324" s="18"/>
      <c r="O324" s="17"/>
      <c r="P324" s="17"/>
      <c r="Q324" s="17"/>
      <c r="R324" s="17"/>
      <c r="S324" s="17"/>
      <c r="T324" s="17"/>
      <c r="U324" s="17"/>
      <c r="V324" s="17" t="str">
        <f>+CONCATENATE(E324,".",F324,"\",G324,".",H324,":",I324)</f>
        <v>2.5\0.3:3</v>
      </c>
      <c r="W324" s="17"/>
      <c r="X324" s="17"/>
      <c r="Y324" s="17"/>
      <c r="Z324" s="20" t="s">
        <v>1159</v>
      </c>
      <c r="AA324" s="17"/>
      <c r="AB324" s="17"/>
      <c r="AC324" s="17"/>
      <c r="AD324" s="17"/>
      <c r="AE324" s="17"/>
      <c r="AF324" s="17"/>
      <c r="AG324" s="64" t="s">
        <v>934</v>
      </c>
      <c r="AH324" s="64">
        <v>7</v>
      </c>
      <c r="AI324" s="64">
        <v>8</v>
      </c>
      <c r="AJ324" s="64"/>
      <c r="AK324" s="64"/>
      <c r="AL324" s="264"/>
      <c r="AM324" s="84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</row>
    <row r="325" spans="1:51" s="33" customFormat="1" x14ac:dyDescent="0.3">
      <c r="A325" s="162" t="str">
        <f>A324</f>
        <v>BBD131</v>
      </c>
      <c r="B325" s="17" t="s">
        <v>2275</v>
      </c>
      <c r="C325" s="18" t="str">
        <f>+C324</f>
        <v>DIO1</v>
      </c>
      <c r="D325" s="18">
        <v>132</v>
      </c>
      <c r="E325" s="84">
        <f>+E324</f>
        <v>2</v>
      </c>
      <c r="F325" s="84">
        <f>+F324</f>
        <v>5</v>
      </c>
      <c r="G325" s="84">
        <v>0</v>
      </c>
      <c r="H325" s="186">
        <f>+H324</f>
        <v>3</v>
      </c>
      <c r="I325" s="187">
        <f>+I324+1</f>
        <v>4</v>
      </c>
      <c r="J325" s="193"/>
      <c r="K325" s="65"/>
      <c r="L325" s="79" t="s">
        <v>292</v>
      </c>
      <c r="M325" s="18"/>
      <c r="N325" s="18"/>
      <c r="O325" s="17"/>
      <c r="P325" s="17"/>
      <c r="Q325" s="17"/>
      <c r="R325" s="17"/>
      <c r="S325" s="17"/>
      <c r="T325" s="17"/>
      <c r="U325" s="17"/>
      <c r="V325" s="17" t="str">
        <f>+CONCATENATE(E325,".",F325,"\",G325,".",H325,":",I325)</f>
        <v>2.5\0.3:4</v>
      </c>
      <c r="W325" s="17"/>
      <c r="X325" s="17"/>
      <c r="Y325" s="17"/>
      <c r="Z325" s="20" t="s">
        <v>1159</v>
      </c>
      <c r="AA325" s="17"/>
      <c r="AB325" s="17"/>
      <c r="AC325" s="17"/>
      <c r="AD325" s="17"/>
      <c r="AE325" s="17"/>
      <c r="AF325" s="17"/>
      <c r="AG325" s="64" t="s">
        <v>934</v>
      </c>
      <c r="AH325" s="64">
        <v>9</v>
      </c>
      <c r="AI325" s="64">
        <v>10</v>
      </c>
      <c r="AJ325" s="64"/>
      <c r="AK325" s="64"/>
      <c r="AL325" s="264"/>
      <c r="AM325" s="84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</row>
    <row r="326" spans="1:51" s="33" customFormat="1" x14ac:dyDescent="0.3">
      <c r="A326" s="162" t="str">
        <f>A325</f>
        <v>BBD131</v>
      </c>
      <c r="B326" s="17" t="s">
        <v>2275</v>
      </c>
      <c r="C326" s="18" t="str">
        <f>+C325</f>
        <v>DIO1</v>
      </c>
      <c r="D326" s="18">
        <v>132</v>
      </c>
      <c r="E326" s="84">
        <f>+E325</f>
        <v>2</v>
      </c>
      <c r="F326" s="84">
        <f>+F325</f>
        <v>5</v>
      </c>
      <c r="G326" s="84">
        <v>0</v>
      </c>
      <c r="H326" s="186">
        <f>+H325</f>
        <v>3</v>
      </c>
      <c r="I326" s="187">
        <f>+I325+1</f>
        <v>5</v>
      </c>
      <c r="J326" s="193"/>
      <c r="K326" s="65"/>
      <c r="L326" s="79" t="s">
        <v>292</v>
      </c>
      <c r="M326" s="18"/>
      <c r="N326" s="18"/>
      <c r="O326" s="17"/>
      <c r="P326" s="17"/>
      <c r="Q326" s="17"/>
      <c r="R326" s="17"/>
      <c r="S326" s="18"/>
      <c r="T326" s="17"/>
      <c r="U326" s="17"/>
      <c r="V326" s="17" t="str">
        <f>+CONCATENATE(E326,".",F326,"\",G326,".",H326,":",I326)</f>
        <v>2.5\0.3:5</v>
      </c>
      <c r="W326" s="17"/>
      <c r="X326" s="17"/>
      <c r="Y326" s="17"/>
      <c r="Z326" s="20" t="s">
        <v>1159</v>
      </c>
      <c r="AA326" s="17"/>
      <c r="AB326" s="17"/>
      <c r="AC326" s="17"/>
      <c r="AD326" s="17"/>
      <c r="AE326" s="17"/>
      <c r="AF326" s="17"/>
      <c r="AG326" s="64" t="s">
        <v>934</v>
      </c>
      <c r="AH326" s="64">
        <v>11</v>
      </c>
      <c r="AI326" s="64">
        <v>12</v>
      </c>
      <c r="AJ326" s="64"/>
      <c r="AK326" s="64"/>
      <c r="AL326" s="264"/>
      <c r="AM326" s="84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</row>
    <row r="327" spans="1:51" s="33" customFormat="1" x14ac:dyDescent="0.3">
      <c r="A327" s="162" t="str">
        <f>A326</f>
        <v>BBD131</v>
      </c>
      <c r="B327" s="17" t="s">
        <v>2275</v>
      </c>
      <c r="C327" s="18" t="str">
        <f>+C326</f>
        <v>DIO1</v>
      </c>
      <c r="D327" s="18">
        <v>132</v>
      </c>
      <c r="E327" s="84">
        <f>+E326</f>
        <v>2</v>
      </c>
      <c r="F327" s="84">
        <f>+F326</f>
        <v>5</v>
      </c>
      <c r="G327" s="84">
        <v>0</v>
      </c>
      <c r="H327" s="186">
        <f>+H326</f>
        <v>3</v>
      </c>
      <c r="I327" s="187">
        <f>+I326+1</f>
        <v>6</v>
      </c>
      <c r="J327" s="193"/>
      <c r="K327" s="65"/>
      <c r="L327" s="79" t="s">
        <v>292</v>
      </c>
      <c r="M327" s="18"/>
      <c r="N327" s="18"/>
      <c r="O327" s="17"/>
      <c r="P327" s="17"/>
      <c r="Q327" s="17"/>
      <c r="R327" s="17"/>
      <c r="S327" s="17"/>
      <c r="T327" s="17"/>
      <c r="U327" s="17"/>
      <c r="V327" s="17" t="str">
        <f>+CONCATENATE(E327,".",F327,"\",G327,".",H327,":",I327)</f>
        <v>2.5\0.3:6</v>
      </c>
      <c r="W327" s="17"/>
      <c r="X327" s="17"/>
      <c r="Y327" s="17"/>
      <c r="Z327" s="20" t="s">
        <v>1159</v>
      </c>
      <c r="AA327" s="17"/>
      <c r="AB327" s="17"/>
      <c r="AC327" s="17"/>
      <c r="AD327" s="17"/>
      <c r="AE327" s="17"/>
      <c r="AF327" s="17"/>
      <c r="AG327" s="64" t="s">
        <v>934</v>
      </c>
      <c r="AH327" s="64">
        <v>13</v>
      </c>
      <c r="AI327" s="64">
        <v>14</v>
      </c>
      <c r="AJ327" s="64"/>
      <c r="AK327" s="64"/>
      <c r="AL327" s="264"/>
      <c r="AM327" s="84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</row>
    <row r="328" spans="1:51" s="33" customFormat="1" x14ac:dyDescent="0.3">
      <c r="A328" s="162" t="str">
        <f>A327</f>
        <v>BBD131</v>
      </c>
      <c r="B328" s="17" t="s">
        <v>2275</v>
      </c>
      <c r="C328" s="18" t="str">
        <f>+C327</f>
        <v>DIO1</v>
      </c>
      <c r="D328" s="18">
        <v>132</v>
      </c>
      <c r="E328" s="84">
        <f>+E327</f>
        <v>2</v>
      </c>
      <c r="F328" s="84">
        <f>+F327</f>
        <v>5</v>
      </c>
      <c r="G328" s="84">
        <v>0</v>
      </c>
      <c r="H328" s="186">
        <f>+H327</f>
        <v>3</v>
      </c>
      <c r="I328" s="187">
        <f>+I327+1</f>
        <v>7</v>
      </c>
      <c r="J328" s="193"/>
      <c r="K328" s="65"/>
      <c r="L328" s="79" t="s">
        <v>292</v>
      </c>
      <c r="M328" s="18"/>
      <c r="N328" s="18"/>
      <c r="O328" s="17"/>
      <c r="P328" s="17"/>
      <c r="Q328" s="17"/>
      <c r="R328" s="17"/>
      <c r="S328" s="17"/>
      <c r="T328" s="17"/>
      <c r="U328" s="17"/>
      <c r="V328" s="17" t="str">
        <f>+CONCATENATE(E328,".",F328,"\",G328,".",H328,":",I328)</f>
        <v>2.5\0.3:7</v>
      </c>
      <c r="W328" s="17"/>
      <c r="X328" s="17"/>
      <c r="Y328" s="17"/>
      <c r="Z328" s="20" t="s">
        <v>1159</v>
      </c>
      <c r="AA328" s="17"/>
      <c r="AB328" s="17"/>
      <c r="AC328" s="17"/>
      <c r="AD328" s="17"/>
      <c r="AE328" s="17"/>
      <c r="AF328" s="17"/>
      <c r="AG328" s="64" t="s">
        <v>934</v>
      </c>
      <c r="AH328" s="64">
        <v>15</v>
      </c>
      <c r="AI328" s="64">
        <v>16</v>
      </c>
      <c r="AJ328" s="64"/>
      <c r="AK328" s="64"/>
      <c r="AL328" s="264"/>
      <c r="AM328" s="84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</row>
    <row r="329" spans="1:51" s="33" customFormat="1" x14ac:dyDescent="0.3">
      <c r="A329" s="162" t="str">
        <f>A328</f>
        <v>BBD131</v>
      </c>
      <c r="B329" s="17" t="s">
        <v>2275</v>
      </c>
      <c r="C329" s="18" t="str">
        <f>+C328</f>
        <v>DIO1</v>
      </c>
      <c r="D329" s="18">
        <v>132</v>
      </c>
      <c r="E329" s="84">
        <f>+E328</f>
        <v>2</v>
      </c>
      <c r="F329" s="84">
        <f>+F328</f>
        <v>5</v>
      </c>
      <c r="G329" s="84">
        <v>0</v>
      </c>
      <c r="H329" s="186">
        <f>+H328</f>
        <v>3</v>
      </c>
      <c r="I329" s="187">
        <f>+I328+1</f>
        <v>8</v>
      </c>
      <c r="J329" s="193"/>
      <c r="K329" s="65"/>
      <c r="L329" s="79" t="s">
        <v>292</v>
      </c>
      <c r="M329" s="18"/>
      <c r="N329" s="18"/>
      <c r="O329" s="17"/>
      <c r="P329" s="17"/>
      <c r="Q329" s="17"/>
      <c r="R329" s="17"/>
      <c r="S329" s="17"/>
      <c r="T329" s="17"/>
      <c r="U329" s="17"/>
      <c r="V329" s="17" t="str">
        <f>+CONCATENATE(E329,".",F329,"\",G329,".",H329,":",I329)</f>
        <v>2.5\0.3:8</v>
      </c>
      <c r="W329" s="17"/>
      <c r="X329" s="17"/>
      <c r="Y329" s="17"/>
      <c r="Z329" s="20" t="s">
        <v>1159</v>
      </c>
      <c r="AA329" s="17"/>
      <c r="AB329" s="17"/>
      <c r="AC329" s="17"/>
      <c r="AD329" s="17"/>
      <c r="AE329" s="17"/>
      <c r="AF329" s="17"/>
      <c r="AG329" s="64" t="s">
        <v>934</v>
      </c>
      <c r="AH329" s="64">
        <v>17</v>
      </c>
      <c r="AI329" s="64">
        <v>18</v>
      </c>
      <c r="AJ329" s="64"/>
      <c r="AK329" s="64"/>
      <c r="AL329" s="264"/>
      <c r="AM329" s="84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</row>
    <row r="330" spans="1:51" s="33" customFormat="1" x14ac:dyDescent="0.3">
      <c r="A330" s="162" t="str">
        <f>A329</f>
        <v>BBD131</v>
      </c>
      <c r="B330" s="17" t="s">
        <v>2275</v>
      </c>
      <c r="C330" s="18" t="str">
        <f>+C329</f>
        <v>DIO1</v>
      </c>
      <c r="D330" s="18">
        <v>132</v>
      </c>
      <c r="E330" s="84">
        <f>+E329</f>
        <v>2</v>
      </c>
      <c r="F330" s="84">
        <f>+F329</f>
        <v>5</v>
      </c>
      <c r="G330" s="84">
        <v>0</v>
      </c>
      <c r="H330" s="186">
        <f>+H329</f>
        <v>3</v>
      </c>
      <c r="I330" s="187">
        <f>+I329+1</f>
        <v>9</v>
      </c>
      <c r="J330" s="193"/>
      <c r="K330" s="65"/>
      <c r="L330" s="79" t="s">
        <v>292</v>
      </c>
      <c r="M330" s="18"/>
      <c r="N330" s="18"/>
      <c r="O330" s="17"/>
      <c r="P330" s="17"/>
      <c r="Q330" s="17"/>
      <c r="R330" s="17"/>
      <c r="S330" s="17"/>
      <c r="T330" s="17"/>
      <c r="U330" s="17"/>
      <c r="V330" s="17" t="str">
        <f>+CONCATENATE(E330,".",F330,"\",G330,".",H330,":",I330)</f>
        <v>2.5\0.3:9</v>
      </c>
      <c r="W330" s="17"/>
      <c r="X330" s="17"/>
      <c r="Y330" s="17"/>
      <c r="Z330" s="20" t="s">
        <v>1159</v>
      </c>
      <c r="AA330" s="17"/>
      <c r="AB330" s="17"/>
      <c r="AC330" s="17"/>
      <c r="AD330" s="17"/>
      <c r="AE330" s="17"/>
      <c r="AF330" s="17"/>
      <c r="AG330" s="64" t="s">
        <v>934</v>
      </c>
      <c r="AH330" s="64">
        <v>19</v>
      </c>
      <c r="AI330" s="64">
        <v>20</v>
      </c>
      <c r="AJ330" s="64"/>
      <c r="AK330" s="64"/>
      <c r="AL330" s="264"/>
      <c r="AM330" s="84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</row>
    <row r="331" spans="1:51" s="33" customFormat="1" x14ac:dyDescent="0.3">
      <c r="A331" s="162" t="str">
        <f>A330</f>
        <v>BBD131</v>
      </c>
      <c r="B331" s="17" t="s">
        <v>2275</v>
      </c>
      <c r="C331" s="18" t="str">
        <f>+C330</f>
        <v>DIO1</v>
      </c>
      <c r="D331" s="18">
        <v>132</v>
      </c>
      <c r="E331" s="84">
        <f>+E330</f>
        <v>2</v>
      </c>
      <c r="F331" s="84">
        <f>+F330</f>
        <v>5</v>
      </c>
      <c r="G331" s="84">
        <v>0</v>
      </c>
      <c r="H331" s="186">
        <f>+H330</f>
        <v>3</v>
      </c>
      <c r="I331" s="187">
        <f>+I330+1</f>
        <v>10</v>
      </c>
      <c r="J331" s="193"/>
      <c r="K331" s="65"/>
      <c r="L331" s="79" t="s">
        <v>292</v>
      </c>
      <c r="M331" s="18"/>
      <c r="N331" s="18"/>
      <c r="O331" s="17"/>
      <c r="P331" s="17"/>
      <c r="Q331" s="299"/>
      <c r="R331" s="17"/>
      <c r="S331" s="17"/>
      <c r="T331" s="17"/>
      <c r="U331" s="17"/>
      <c r="V331" s="17" t="str">
        <f>+CONCATENATE(E331,".",F331,"\",G331,".",H331,":",I331)</f>
        <v>2.5\0.3:10</v>
      </c>
      <c r="W331" s="17"/>
      <c r="X331" s="17"/>
      <c r="Y331" s="17"/>
      <c r="Z331" s="20" t="s">
        <v>1159</v>
      </c>
      <c r="AA331" s="17"/>
      <c r="AB331" s="17"/>
      <c r="AC331" s="17"/>
      <c r="AD331" s="17"/>
      <c r="AE331" s="17"/>
      <c r="AF331" s="17"/>
      <c r="AG331" s="64" t="s">
        <v>934</v>
      </c>
      <c r="AH331" s="64">
        <v>21</v>
      </c>
      <c r="AI331" s="64">
        <v>22</v>
      </c>
      <c r="AJ331" s="64"/>
      <c r="AK331" s="64"/>
      <c r="AL331" s="264"/>
      <c r="AM331" s="84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</row>
    <row r="332" spans="1:51" s="33" customFormat="1" x14ac:dyDescent="0.3">
      <c r="A332" s="162" t="str">
        <f>A331</f>
        <v>BBD131</v>
      </c>
      <c r="B332" s="17" t="s">
        <v>2275</v>
      </c>
      <c r="C332" s="18" t="str">
        <f>+C331</f>
        <v>DIO1</v>
      </c>
      <c r="D332" s="18">
        <v>132</v>
      </c>
      <c r="E332" s="84">
        <f>+E331</f>
        <v>2</v>
      </c>
      <c r="F332" s="84">
        <f>+F331</f>
        <v>5</v>
      </c>
      <c r="G332" s="84">
        <v>0</v>
      </c>
      <c r="H332" s="186">
        <f>+H331</f>
        <v>3</v>
      </c>
      <c r="I332" s="187">
        <f>+I331+1</f>
        <v>11</v>
      </c>
      <c r="J332" s="193"/>
      <c r="K332" s="65"/>
      <c r="L332" s="79" t="s">
        <v>292</v>
      </c>
      <c r="M332" s="18"/>
      <c r="N332" s="18"/>
      <c r="O332" s="17"/>
      <c r="P332" s="17"/>
      <c r="Q332" s="17"/>
      <c r="R332" s="17"/>
      <c r="S332" s="17"/>
      <c r="T332" s="17"/>
      <c r="U332" s="17"/>
      <c r="V332" s="17" t="str">
        <f>+CONCATENATE(E332,".",F332,"\",G332,".",H332,":",I332)</f>
        <v>2.5\0.3:11</v>
      </c>
      <c r="W332" s="17"/>
      <c r="X332" s="17"/>
      <c r="Y332" s="17"/>
      <c r="Z332" s="20" t="s">
        <v>1159</v>
      </c>
      <c r="AA332" s="17"/>
      <c r="AB332" s="17"/>
      <c r="AC332" s="17"/>
      <c r="AD332" s="17"/>
      <c r="AE332" s="17"/>
      <c r="AF332" s="17"/>
      <c r="AG332" s="64" t="s">
        <v>934</v>
      </c>
      <c r="AH332" s="64">
        <v>23</v>
      </c>
      <c r="AI332" s="64">
        <v>24</v>
      </c>
      <c r="AJ332" s="64"/>
      <c r="AK332" s="64"/>
      <c r="AL332" s="264"/>
      <c r="AM332" s="84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</row>
    <row r="333" spans="1:51" s="33" customFormat="1" x14ac:dyDescent="0.3">
      <c r="A333" s="162" t="str">
        <f>A332</f>
        <v>BBD131</v>
      </c>
      <c r="B333" s="17" t="s">
        <v>2275</v>
      </c>
      <c r="C333" s="18" t="str">
        <f>+C332</f>
        <v>DIO1</v>
      </c>
      <c r="D333" s="18">
        <v>132</v>
      </c>
      <c r="E333" s="84">
        <f>+E332</f>
        <v>2</v>
      </c>
      <c r="F333" s="84">
        <f>+F332</f>
        <v>5</v>
      </c>
      <c r="G333" s="84">
        <v>0</v>
      </c>
      <c r="H333" s="186">
        <f>+H332</f>
        <v>3</v>
      </c>
      <c r="I333" s="187">
        <f>+I332+1</f>
        <v>12</v>
      </c>
      <c r="J333" s="193"/>
      <c r="K333" s="65"/>
      <c r="L333" s="79" t="s">
        <v>292</v>
      </c>
      <c r="M333" s="18"/>
      <c r="N333" s="18"/>
      <c r="O333" s="17"/>
      <c r="P333" s="17"/>
      <c r="Q333" s="17"/>
      <c r="R333" s="17"/>
      <c r="S333" s="17"/>
      <c r="T333" s="17"/>
      <c r="U333" s="17"/>
      <c r="V333" s="17" t="str">
        <f>+CONCATENATE(E333,".",F333,"\",G333,".",H333,":",I333)</f>
        <v>2.5\0.3:12</v>
      </c>
      <c r="W333" s="17"/>
      <c r="X333" s="17"/>
      <c r="Y333" s="17"/>
      <c r="Z333" s="20" t="s">
        <v>1159</v>
      </c>
      <c r="AA333" s="17"/>
      <c r="AB333" s="17"/>
      <c r="AC333" s="17"/>
      <c r="AD333" s="17"/>
      <c r="AE333" s="17"/>
      <c r="AF333" s="17"/>
      <c r="AG333" s="64" t="s">
        <v>934</v>
      </c>
      <c r="AH333" s="64">
        <v>25</v>
      </c>
      <c r="AI333" s="64">
        <v>26</v>
      </c>
      <c r="AJ333" s="64"/>
      <c r="AK333" s="64"/>
      <c r="AL333" s="264"/>
      <c r="AM333" s="84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</row>
    <row r="334" spans="1:51" s="33" customFormat="1" x14ac:dyDescent="0.3">
      <c r="A334" s="162" t="str">
        <f>A333</f>
        <v>BBD131</v>
      </c>
      <c r="B334" s="17" t="s">
        <v>2275</v>
      </c>
      <c r="C334" s="18" t="str">
        <f>+C333</f>
        <v>DIO1</v>
      </c>
      <c r="D334" s="18">
        <v>132</v>
      </c>
      <c r="E334" s="84">
        <f>+E333</f>
        <v>2</v>
      </c>
      <c r="F334" s="84">
        <f>+F333</f>
        <v>5</v>
      </c>
      <c r="G334" s="84">
        <v>0</v>
      </c>
      <c r="H334" s="186">
        <f>+H333</f>
        <v>3</v>
      </c>
      <c r="I334" s="187">
        <f>+I333+1</f>
        <v>13</v>
      </c>
      <c r="J334" s="193"/>
      <c r="K334" s="65"/>
      <c r="L334" s="79" t="s">
        <v>292</v>
      </c>
      <c r="M334" s="18"/>
      <c r="N334" s="18"/>
      <c r="O334" s="17"/>
      <c r="P334" s="17"/>
      <c r="Q334" s="17"/>
      <c r="R334" s="17"/>
      <c r="S334" s="17"/>
      <c r="T334" s="17"/>
      <c r="U334" s="18"/>
      <c r="V334" s="17" t="str">
        <f>+CONCATENATE(E334,".",F334,"\",G334,".",H334,":",I334)</f>
        <v>2.5\0.3:13</v>
      </c>
      <c r="W334" s="18"/>
      <c r="X334" s="18"/>
      <c r="Y334" s="17"/>
      <c r="Z334" s="20" t="s">
        <v>1159</v>
      </c>
      <c r="AA334" s="17"/>
      <c r="AB334" s="17"/>
      <c r="AC334" s="17"/>
      <c r="AD334" s="17"/>
      <c r="AE334" s="17"/>
      <c r="AF334" s="17"/>
      <c r="AG334" s="64" t="s">
        <v>934</v>
      </c>
      <c r="AH334" s="64">
        <v>27</v>
      </c>
      <c r="AI334" s="64">
        <v>28</v>
      </c>
      <c r="AJ334" s="64"/>
      <c r="AK334" s="64"/>
      <c r="AL334" s="264"/>
      <c r="AM334" s="84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</row>
    <row r="335" spans="1:51" s="33" customFormat="1" x14ac:dyDescent="0.3">
      <c r="A335" s="162" t="str">
        <f>A334</f>
        <v>BBD131</v>
      </c>
      <c r="B335" s="17" t="s">
        <v>2275</v>
      </c>
      <c r="C335" s="18" t="str">
        <f>+C334</f>
        <v>DIO1</v>
      </c>
      <c r="D335" s="18">
        <v>132</v>
      </c>
      <c r="E335" s="84">
        <f>+E334</f>
        <v>2</v>
      </c>
      <c r="F335" s="84">
        <f>+F334</f>
        <v>5</v>
      </c>
      <c r="G335" s="84">
        <v>0</v>
      </c>
      <c r="H335" s="186">
        <f>+H334</f>
        <v>3</v>
      </c>
      <c r="I335" s="187">
        <f>+I334+1</f>
        <v>14</v>
      </c>
      <c r="J335" s="193"/>
      <c r="K335" s="65"/>
      <c r="L335" s="79" t="s">
        <v>292</v>
      </c>
      <c r="M335" s="18"/>
      <c r="N335" s="18"/>
      <c r="O335" s="17"/>
      <c r="P335" s="17"/>
      <c r="Q335" s="17"/>
      <c r="R335" s="17"/>
      <c r="S335" s="17"/>
      <c r="T335" s="17"/>
      <c r="U335" s="18"/>
      <c r="V335" s="17" t="str">
        <f>+CONCATENATE(E335,".",F335,"\",G335,".",H335,":",I335)</f>
        <v>2.5\0.3:14</v>
      </c>
      <c r="W335" s="18"/>
      <c r="X335" s="18"/>
      <c r="Y335" s="17"/>
      <c r="Z335" s="20" t="s">
        <v>1159</v>
      </c>
      <c r="AA335" s="17"/>
      <c r="AB335" s="17"/>
      <c r="AC335" s="17"/>
      <c r="AD335" s="17"/>
      <c r="AE335" s="17"/>
      <c r="AF335" s="17"/>
      <c r="AG335" s="64" t="s">
        <v>934</v>
      </c>
      <c r="AH335" s="64">
        <v>29</v>
      </c>
      <c r="AI335" s="64">
        <v>30</v>
      </c>
      <c r="AJ335" s="64"/>
      <c r="AK335" s="64"/>
      <c r="AL335" s="264"/>
      <c r="AM335" s="84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</row>
    <row r="336" spans="1:51" s="33" customFormat="1" ht="13.5" thickBot="1" x14ac:dyDescent="0.35">
      <c r="A336" s="162" t="str">
        <f>A335</f>
        <v>BBD131</v>
      </c>
      <c r="B336" s="17" t="s">
        <v>2275</v>
      </c>
      <c r="C336" s="18" t="str">
        <f>+C335</f>
        <v>DIO1</v>
      </c>
      <c r="D336" s="18">
        <v>132</v>
      </c>
      <c r="E336" s="84">
        <f>+E335</f>
        <v>2</v>
      </c>
      <c r="F336" s="84">
        <f>+F335</f>
        <v>5</v>
      </c>
      <c r="G336" s="84">
        <v>0</v>
      </c>
      <c r="H336" s="186">
        <f>+H335</f>
        <v>3</v>
      </c>
      <c r="I336" s="191">
        <f>+I335+1</f>
        <v>15</v>
      </c>
      <c r="J336" s="190"/>
      <c r="K336" s="65"/>
      <c r="L336" s="79" t="s">
        <v>292</v>
      </c>
      <c r="M336" s="18"/>
      <c r="N336" s="18"/>
      <c r="O336" s="17"/>
      <c r="P336" s="17"/>
      <c r="Q336" s="17"/>
      <c r="R336" s="17"/>
      <c r="S336" s="17"/>
      <c r="T336" s="17"/>
      <c r="U336" s="17"/>
      <c r="V336" s="17" t="str">
        <f>+CONCATENATE(E336,".",F336,"\",G336,".",H336,":",I336)</f>
        <v>2.5\0.3:15</v>
      </c>
      <c r="W336" s="17"/>
      <c r="X336" s="17"/>
      <c r="Y336" s="17"/>
      <c r="Z336" s="20" t="s">
        <v>1159</v>
      </c>
      <c r="AA336" s="17"/>
      <c r="AB336" s="17"/>
      <c r="AC336" s="17"/>
      <c r="AD336" s="17"/>
      <c r="AE336" s="17"/>
      <c r="AF336" s="17"/>
      <c r="AG336" s="64" t="s">
        <v>934</v>
      </c>
      <c r="AH336" s="64">
        <v>31</v>
      </c>
      <c r="AI336" s="64">
        <v>32</v>
      </c>
      <c r="AJ336" s="64"/>
      <c r="AK336" s="64"/>
      <c r="AL336" s="264"/>
      <c r="AM336" s="84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</row>
    <row r="337" spans="1:51" s="33" customFormat="1" ht="14.5" x14ac:dyDescent="0.35">
      <c r="A337" s="162" t="str">
        <f>A336</f>
        <v>BBD131</v>
      </c>
      <c r="B337" s="17" t="s">
        <v>2275</v>
      </c>
      <c r="C337" s="18" t="str">
        <f>+C336</f>
        <v>DIO1</v>
      </c>
      <c r="D337" s="18">
        <v>132</v>
      </c>
      <c r="E337" s="84">
        <f>+E336</f>
        <v>2</v>
      </c>
      <c r="F337" s="84">
        <f>+F336</f>
        <v>5</v>
      </c>
      <c r="G337" s="84">
        <v>0</v>
      </c>
      <c r="H337" s="214">
        <v>4</v>
      </c>
      <c r="I337" s="188">
        <v>0</v>
      </c>
      <c r="J337" s="276" t="s">
        <v>1185</v>
      </c>
      <c r="K337" s="17" t="s">
        <v>1184</v>
      </c>
      <c r="L337" s="79" t="s">
        <v>1170</v>
      </c>
      <c r="M337" s="18">
        <v>4</v>
      </c>
      <c r="N337" s="18" t="s">
        <v>2324</v>
      </c>
      <c r="O337" s="17" t="s">
        <v>1182</v>
      </c>
      <c r="P337" s="59" t="s">
        <v>2288</v>
      </c>
      <c r="Q337" s="18" t="s">
        <v>2291</v>
      </c>
      <c r="R337" s="18"/>
      <c r="S337" s="271" t="s">
        <v>1179</v>
      </c>
      <c r="T337" s="17" t="s">
        <v>2322</v>
      </c>
      <c r="U337" s="17" t="s">
        <v>1177</v>
      </c>
      <c r="V337" s="17" t="str">
        <f>+CONCATENATE(E337,".",F337,"\",G337,".",H337,":",I337)</f>
        <v>2.5\0.4:0</v>
      </c>
      <c r="W337" s="17" t="s">
        <v>2304</v>
      </c>
      <c r="X337" s="17">
        <v>0</v>
      </c>
      <c r="Y337" s="17"/>
      <c r="Z337" s="20" t="s">
        <v>1159</v>
      </c>
      <c r="AA337" s="17"/>
      <c r="AB337" s="17">
        <v>0</v>
      </c>
      <c r="AC337" s="17">
        <v>150</v>
      </c>
      <c r="AD337" s="17">
        <v>0</v>
      </c>
      <c r="AE337" s="17">
        <v>150</v>
      </c>
      <c r="AF337" s="17" t="s">
        <v>1176</v>
      </c>
      <c r="AG337" s="64" t="s">
        <v>844</v>
      </c>
      <c r="AH337" s="64">
        <v>33</v>
      </c>
      <c r="AI337" s="64">
        <v>34</v>
      </c>
      <c r="AJ337" s="64"/>
      <c r="AK337" s="64"/>
      <c r="AL337" s="264"/>
      <c r="AM337" s="84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</row>
    <row r="338" spans="1:51" s="33" customFormat="1" ht="14.5" x14ac:dyDescent="0.35">
      <c r="A338" s="162" t="str">
        <f>A337</f>
        <v>BBD131</v>
      </c>
      <c r="B338" s="17" t="s">
        <v>2275</v>
      </c>
      <c r="C338" s="18" t="str">
        <f>+C337</f>
        <v>DIO1</v>
      </c>
      <c r="D338" s="18">
        <v>132</v>
      </c>
      <c r="E338" s="84">
        <f>+E337</f>
        <v>2</v>
      </c>
      <c r="F338" s="84">
        <f>+F337</f>
        <v>5</v>
      </c>
      <c r="G338" s="84">
        <v>0</v>
      </c>
      <c r="H338" s="186">
        <f>+H337</f>
        <v>4</v>
      </c>
      <c r="I338" s="187">
        <f>+I337+1</f>
        <v>1</v>
      </c>
      <c r="J338" s="275"/>
      <c r="K338" s="18"/>
      <c r="L338" s="79" t="s">
        <v>1170</v>
      </c>
      <c r="M338" s="18">
        <v>4</v>
      </c>
      <c r="N338" s="18" t="s">
        <v>2323</v>
      </c>
      <c r="O338" s="17" t="s">
        <v>2319</v>
      </c>
      <c r="P338" s="59" t="s">
        <v>2288</v>
      </c>
      <c r="Q338" s="17" t="s">
        <v>2318</v>
      </c>
      <c r="R338" s="18"/>
      <c r="S338" s="271" t="s">
        <v>2087</v>
      </c>
      <c r="T338" s="17" t="s">
        <v>2322</v>
      </c>
      <c r="U338" s="17" t="s">
        <v>1177</v>
      </c>
      <c r="V338" s="17" t="str">
        <f>+CONCATENATE(E338,".",F338,"\",G338,".",H338,":",I338)</f>
        <v>2.5\0.4:1</v>
      </c>
      <c r="W338" s="17" t="s">
        <v>2295</v>
      </c>
      <c r="X338" s="17">
        <v>0</v>
      </c>
      <c r="Y338" s="17"/>
      <c r="Z338" s="20" t="s">
        <v>1159</v>
      </c>
      <c r="AA338" s="17"/>
      <c r="AB338" s="17">
        <v>0</v>
      </c>
      <c r="AC338" s="17">
        <v>100</v>
      </c>
      <c r="AD338" s="17">
        <v>0</v>
      </c>
      <c r="AE338" s="17">
        <v>100</v>
      </c>
      <c r="AF338" s="17" t="s">
        <v>1176</v>
      </c>
      <c r="AG338" s="64" t="s">
        <v>844</v>
      </c>
      <c r="AH338" s="64">
        <v>35</v>
      </c>
      <c r="AI338" s="64">
        <v>36</v>
      </c>
      <c r="AJ338" s="64"/>
      <c r="AK338" s="64"/>
      <c r="AL338" s="264"/>
      <c r="AM338" s="84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</row>
    <row r="339" spans="1:51" s="33" customFormat="1" ht="14.5" x14ac:dyDescent="0.35">
      <c r="A339" s="162" t="str">
        <f>A338</f>
        <v>BBD131</v>
      </c>
      <c r="B339" s="17" t="s">
        <v>2275</v>
      </c>
      <c r="C339" s="18" t="str">
        <f>+C338</f>
        <v>DIO1</v>
      </c>
      <c r="D339" s="18">
        <v>132</v>
      </c>
      <c r="E339" s="84">
        <f>+E338</f>
        <v>2</v>
      </c>
      <c r="F339" s="84">
        <f>+F338</f>
        <v>5</v>
      </c>
      <c r="G339" s="84">
        <v>0</v>
      </c>
      <c r="H339" s="186">
        <f>+H338</f>
        <v>4</v>
      </c>
      <c r="I339" s="187">
        <f>+I338+1</f>
        <v>2</v>
      </c>
      <c r="J339" s="275"/>
      <c r="K339" s="18"/>
      <c r="L339" s="79" t="s">
        <v>1170</v>
      </c>
      <c r="M339" s="18">
        <v>4</v>
      </c>
      <c r="N339" s="18" t="s">
        <v>2321</v>
      </c>
      <c r="O339" s="17" t="s">
        <v>1182</v>
      </c>
      <c r="P339" s="59" t="s">
        <v>2286</v>
      </c>
      <c r="Q339" s="17" t="s">
        <v>2291</v>
      </c>
      <c r="S339" s="271" t="s">
        <v>1179</v>
      </c>
      <c r="T339" s="17" t="s">
        <v>2317</v>
      </c>
      <c r="U339" s="17" t="s">
        <v>1177</v>
      </c>
      <c r="V339" s="17" t="str">
        <f>+CONCATENATE(E339,".",F339,"\",G339,".",H339,":",I339)</f>
        <v>2.5\0.4:2</v>
      </c>
      <c r="W339" s="17" t="s">
        <v>2304</v>
      </c>
      <c r="X339" s="17">
        <v>0</v>
      </c>
      <c r="Y339" s="17"/>
      <c r="Z339" s="20" t="s">
        <v>1159</v>
      </c>
      <c r="AA339" s="17"/>
      <c r="AB339" s="17">
        <v>0</v>
      </c>
      <c r="AC339" s="17">
        <v>150</v>
      </c>
      <c r="AD339" s="17">
        <v>0</v>
      </c>
      <c r="AE339" s="17">
        <v>150</v>
      </c>
      <c r="AF339" s="17" t="s">
        <v>1176</v>
      </c>
      <c r="AG339" s="64" t="s">
        <v>844</v>
      </c>
      <c r="AH339" s="64">
        <v>37</v>
      </c>
      <c r="AI339" s="64">
        <v>38</v>
      </c>
      <c r="AJ339" s="64"/>
      <c r="AK339" s="64"/>
      <c r="AL339" s="264"/>
      <c r="AM339" s="84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</row>
    <row r="340" spans="1:51" s="33" customFormat="1" ht="14.5" x14ac:dyDescent="0.35">
      <c r="A340" s="162" t="str">
        <f>A339</f>
        <v>BBD131</v>
      </c>
      <c r="B340" s="17" t="s">
        <v>2275</v>
      </c>
      <c r="C340" s="18" t="str">
        <f>+C339</f>
        <v>DIO1</v>
      </c>
      <c r="D340" s="18">
        <v>132</v>
      </c>
      <c r="E340" s="84">
        <f>+E339</f>
        <v>2</v>
      </c>
      <c r="F340" s="84">
        <f>+F339</f>
        <v>5</v>
      </c>
      <c r="G340" s="84">
        <v>0</v>
      </c>
      <c r="H340" s="186">
        <f>+H339</f>
        <v>4</v>
      </c>
      <c r="I340" s="187">
        <f>+I339+1</f>
        <v>3</v>
      </c>
      <c r="J340" s="275"/>
      <c r="K340" s="18"/>
      <c r="L340" s="79" t="s">
        <v>1170</v>
      </c>
      <c r="M340" s="18">
        <v>4</v>
      </c>
      <c r="N340" s="18" t="s">
        <v>2320</v>
      </c>
      <c r="O340" s="17" t="s">
        <v>2319</v>
      </c>
      <c r="P340" s="59" t="s">
        <v>2286</v>
      </c>
      <c r="Q340" s="17" t="s">
        <v>2318</v>
      </c>
      <c r="R340" s="18"/>
      <c r="S340" s="271" t="s">
        <v>2087</v>
      </c>
      <c r="T340" s="17" t="s">
        <v>2317</v>
      </c>
      <c r="U340" s="17" t="s">
        <v>1177</v>
      </c>
      <c r="V340" s="17" t="str">
        <f>+CONCATENATE(E340,".",F340,"\",G340,".",H340,":",I340)</f>
        <v>2.5\0.4:3</v>
      </c>
      <c r="W340" s="17" t="s">
        <v>2295</v>
      </c>
      <c r="X340" s="17">
        <v>0</v>
      </c>
      <c r="Y340" s="17"/>
      <c r="Z340" s="20" t="s">
        <v>1159</v>
      </c>
      <c r="AA340" s="17"/>
      <c r="AB340" s="17">
        <v>0</v>
      </c>
      <c r="AC340" s="17">
        <v>100</v>
      </c>
      <c r="AD340" s="17">
        <v>0</v>
      </c>
      <c r="AE340" s="17">
        <v>100</v>
      </c>
      <c r="AF340" s="17" t="s">
        <v>1176</v>
      </c>
      <c r="AG340" s="64" t="s">
        <v>844</v>
      </c>
      <c r="AH340" s="64">
        <v>39</v>
      </c>
      <c r="AI340" s="64">
        <v>40</v>
      </c>
      <c r="AJ340" s="64"/>
      <c r="AK340" s="64"/>
      <c r="AL340" s="264"/>
      <c r="AM340" s="84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</row>
    <row r="341" spans="1:51" s="33" customFormat="1" ht="14.5" x14ac:dyDescent="0.35">
      <c r="A341" s="162" t="str">
        <f>A340</f>
        <v>BBD131</v>
      </c>
      <c r="B341" s="17" t="s">
        <v>2275</v>
      </c>
      <c r="C341" s="18" t="str">
        <f>+C340</f>
        <v>DIO1</v>
      </c>
      <c r="D341" s="18">
        <v>132</v>
      </c>
      <c r="E341" s="84">
        <f>+E340</f>
        <v>2</v>
      </c>
      <c r="F341" s="84">
        <f>+F340</f>
        <v>5</v>
      </c>
      <c r="G341" s="84">
        <v>0</v>
      </c>
      <c r="H341" s="186">
        <f>+H340</f>
        <v>4</v>
      </c>
      <c r="I341" s="187">
        <f>+I340+1</f>
        <v>4</v>
      </c>
      <c r="J341" s="275"/>
      <c r="K341" s="18"/>
      <c r="L341" s="79" t="s">
        <v>1170</v>
      </c>
      <c r="M341" s="18">
        <v>3</v>
      </c>
      <c r="N341" s="59" t="s">
        <v>2287</v>
      </c>
      <c r="O341" s="17" t="s">
        <v>2316</v>
      </c>
      <c r="P341" s="59" t="s">
        <v>2288</v>
      </c>
      <c r="Q341" s="17" t="s">
        <v>2315</v>
      </c>
      <c r="R341" s="17"/>
      <c r="S341" s="271" t="s">
        <v>2087</v>
      </c>
      <c r="T341" s="17" t="s">
        <v>2287</v>
      </c>
      <c r="U341" s="17" t="s">
        <v>1177</v>
      </c>
      <c r="V341" s="17" t="str">
        <f>+CONCATENATE(E341,".",F341,"\",G341,".",H341,":",I341)</f>
        <v>2.5\0.4:4</v>
      </c>
      <c r="W341" s="17" t="s">
        <v>2280</v>
      </c>
      <c r="X341" s="17">
        <v>0</v>
      </c>
      <c r="Y341" s="17"/>
      <c r="Z341" s="20" t="s">
        <v>1159</v>
      </c>
      <c r="AA341" s="17"/>
      <c r="AB341" s="17">
        <v>0</v>
      </c>
      <c r="AC341" s="17">
        <v>100</v>
      </c>
      <c r="AD341" s="17">
        <v>0</v>
      </c>
      <c r="AE341" s="17">
        <v>100</v>
      </c>
      <c r="AF341" s="17" t="s">
        <v>1176</v>
      </c>
      <c r="AG341" s="64" t="s">
        <v>844</v>
      </c>
      <c r="AH341" s="64">
        <v>41</v>
      </c>
      <c r="AI341" s="64">
        <v>42</v>
      </c>
      <c r="AJ341" s="64"/>
      <c r="AK341" s="64"/>
      <c r="AL341" s="264"/>
      <c r="AM341" s="84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</row>
    <row r="342" spans="1:51" s="33" customFormat="1" ht="14.5" x14ac:dyDescent="0.35">
      <c r="A342" s="162" t="str">
        <f>A341</f>
        <v>BBD131</v>
      </c>
      <c r="B342" s="17" t="s">
        <v>2275</v>
      </c>
      <c r="C342" s="18" t="str">
        <f>+C341</f>
        <v>DIO1</v>
      </c>
      <c r="D342" s="18">
        <v>132</v>
      </c>
      <c r="E342" s="84">
        <f>+E341</f>
        <v>2</v>
      </c>
      <c r="F342" s="84">
        <f>+F341</f>
        <v>5</v>
      </c>
      <c r="G342" s="84">
        <v>0</v>
      </c>
      <c r="H342" s="186">
        <f>+H341</f>
        <v>4</v>
      </c>
      <c r="I342" s="187">
        <f>+I341+1</f>
        <v>5</v>
      </c>
      <c r="J342" s="275"/>
      <c r="K342" s="18"/>
      <c r="L342" s="79" t="s">
        <v>1170</v>
      </c>
      <c r="M342" s="18">
        <v>3</v>
      </c>
      <c r="N342" s="59" t="s">
        <v>2285</v>
      </c>
      <c r="O342" s="17" t="s">
        <v>2316</v>
      </c>
      <c r="P342" s="59" t="s">
        <v>2286</v>
      </c>
      <c r="Q342" s="17" t="s">
        <v>2315</v>
      </c>
      <c r="R342" s="18"/>
      <c r="S342" s="271" t="s">
        <v>2087</v>
      </c>
      <c r="T342" s="17" t="s">
        <v>2285</v>
      </c>
      <c r="U342" s="17" t="s">
        <v>1177</v>
      </c>
      <c r="V342" s="17" t="str">
        <f>+CONCATENATE(E342,".",F342,"\",G342,".",H342,":",I342)</f>
        <v>2.5\0.4:5</v>
      </c>
      <c r="W342" s="17" t="s">
        <v>2280</v>
      </c>
      <c r="X342" s="17">
        <v>0</v>
      </c>
      <c r="Y342" s="17"/>
      <c r="Z342" s="20" t="s">
        <v>1159</v>
      </c>
      <c r="AA342" s="17"/>
      <c r="AB342" s="17">
        <v>0</v>
      </c>
      <c r="AC342" s="17">
        <v>100</v>
      </c>
      <c r="AD342" s="17">
        <v>0</v>
      </c>
      <c r="AE342" s="17">
        <v>100</v>
      </c>
      <c r="AF342" s="17" t="s">
        <v>1176</v>
      </c>
      <c r="AG342" s="64" t="s">
        <v>844</v>
      </c>
      <c r="AH342" s="64">
        <v>43</v>
      </c>
      <c r="AI342" s="64">
        <v>44</v>
      </c>
      <c r="AJ342" s="64"/>
      <c r="AK342" s="64"/>
      <c r="AL342" s="264"/>
      <c r="AM342" s="84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</row>
    <row r="343" spans="1:51" s="33" customFormat="1" ht="14.5" x14ac:dyDescent="0.35">
      <c r="A343" s="162" t="str">
        <f>A342</f>
        <v>BBD131</v>
      </c>
      <c r="B343" s="17" t="s">
        <v>2275</v>
      </c>
      <c r="C343" s="18" t="str">
        <f>+C342</f>
        <v>DIO1</v>
      </c>
      <c r="D343" s="18">
        <v>132</v>
      </c>
      <c r="E343" s="84">
        <f>+E342</f>
        <v>2</v>
      </c>
      <c r="F343" s="84">
        <f>+F342</f>
        <v>5</v>
      </c>
      <c r="G343" s="84">
        <v>0</v>
      </c>
      <c r="H343" s="186">
        <f>+H342</f>
        <v>4</v>
      </c>
      <c r="I343" s="187">
        <f>+I342+1</f>
        <v>6</v>
      </c>
      <c r="J343" s="275"/>
      <c r="K343" s="18"/>
      <c r="L343" s="79" t="s">
        <v>1170</v>
      </c>
      <c r="M343" s="18">
        <v>3</v>
      </c>
      <c r="N343" s="59" t="s">
        <v>2281</v>
      </c>
      <c r="O343" s="17" t="s">
        <v>2316</v>
      </c>
      <c r="P343" s="59" t="s">
        <v>2283</v>
      </c>
      <c r="Q343" s="17" t="s">
        <v>2315</v>
      </c>
      <c r="R343" s="18"/>
      <c r="S343" s="271" t="s">
        <v>2087</v>
      </c>
      <c r="T343" s="17" t="s">
        <v>2281</v>
      </c>
      <c r="U343" s="17" t="s">
        <v>1177</v>
      </c>
      <c r="V343" s="17" t="str">
        <f>+CONCATENATE(E343,".",F343,"\",G343,".",H343,":",I343)</f>
        <v>2.5\0.4:6</v>
      </c>
      <c r="W343" s="17" t="s">
        <v>2280</v>
      </c>
      <c r="X343" s="17">
        <v>0</v>
      </c>
      <c r="Y343" s="17"/>
      <c r="Z343" s="20" t="s">
        <v>1159</v>
      </c>
      <c r="AA343" s="17"/>
      <c r="AB343" s="17">
        <v>0</v>
      </c>
      <c r="AC343" s="17">
        <v>100</v>
      </c>
      <c r="AD343" s="17">
        <v>0</v>
      </c>
      <c r="AE343" s="17">
        <v>100</v>
      </c>
      <c r="AF343" s="17" t="s">
        <v>1176</v>
      </c>
      <c r="AG343" s="64" t="s">
        <v>844</v>
      </c>
      <c r="AH343" s="64">
        <v>45</v>
      </c>
      <c r="AI343" s="64">
        <v>46</v>
      </c>
      <c r="AJ343" s="64"/>
      <c r="AK343" s="64"/>
      <c r="AL343" s="264"/>
      <c r="AM343" s="84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</row>
    <row r="344" spans="1:51" s="33" customFormat="1" ht="15" thickBot="1" x14ac:dyDescent="0.4">
      <c r="A344" s="162" t="str">
        <f>A343</f>
        <v>BBD131</v>
      </c>
      <c r="B344" s="17" t="s">
        <v>2275</v>
      </c>
      <c r="C344" s="18" t="str">
        <f>+C343</f>
        <v>DIO1</v>
      </c>
      <c r="D344" s="18">
        <v>132</v>
      </c>
      <c r="E344" s="84">
        <f>+E343</f>
        <v>2</v>
      </c>
      <c r="F344" s="84">
        <f>+F343</f>
        <v>5</v>
      </c>
      <c r="G344" s="84">
        <v>0</v>
      </c>
      <c r="H344" s="186">
        <f>+H343</f>
        <v>4</v>
      </c>
      <c r="I344" s="191">
        <f>+I343+1</f>
        <v>7</v>
      </c>
      <c r="J344" s="274"/>
      <c r="K344" s="18"/>
      <c r="L344" s="79" t="s">
        <v>1170</v>
      </c>
      <c r="M344" s="18">
        <v>5</v>
      </c>
      <c r="N344" s="213"/>
      <c r="O344" s="17"/>
      <c r="P344" s="213"/>
      <c r="Q344" s="17"/>
      <c r="R344" s="18"/>
      <c r="S344" s="18"/>
      <c r="T344" s="17"/>
      <c r="U344" s="17"/>
      <c r="V344" s="17" t="str">
        <f>+CONCATENATE(E344,".",F344,"\",G344,".",H344,":",I344)</f>
        <v>2.5\0.4:7</v>
      </c>
      <c r="W344" s="17"/>
      <c r="X344" s="17"/>
      <c r="Y344" s="17"/>
      <c r="Z344" s="20" t="s">
        <v>1159</v>
      </c>
      <c r="AA344" s="17"/>
      <c r="AB344" s="17"/>
      <c r="AC344" s="17"/>
      <c r="AD344" s="17"/>
      <c r="AE344" s="17"/>
      <c r="AF344" s="17"/>
      <c r="AG344" s="64" t="s">
        <v>844</v>
      </c>
      <c r="AH344" s="64">
        <v>47</v>
      </c>
      <c r="AI344" s="64">
        <v>48</v>
      </c>
      <c r="AJ344" s="64"/>
      <c r="AK344" s="64"/>
      <c r="AL344" s="264"/>
      <c r="AM344" s="84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</row>
    <row r="345" spans="1:51" s="33" customFormat="1" ht="14.5" x14ac:dyDescent="0.35">
      <c r="A345" s="162" t="str">
        <f>A344</f>
        <v>BBD131</v>
      </c>
      <c r="B345" s="17" t="s">
        <v>2275</v>
      </c>
      <c r="C345" s="18" t="str">
        <f>+C344</f>
        <v>DIO1</v>
      </c>
      <c r="D345" s="18">
        <v>132</v>
      </c>
      <c r="E345" s="84">
        <f>+E344</f>
        <v>2</v>
      </c>
      <c r="F345" s="84">
        <f>+F344</f>
        <v>5</v>
      </c>
      <c r="G345" s="84">
        <v>0</v>
      </c>
      <c r="H345" s="214">
        <v>5</v>
      </c>
      <c r="I345" s="188">
        <v>0</v>
      </c>
      <c r="J345" s="276" t="s">
        <v>1185</v>
      </c>
      <c r="K345" s="17" t="s">
        <v>1184</v>
      </c>
      <c r="L345" s="79" t="s">
        <v>1170</v>
      </c>
      <c r="M345" s="18">
        <v>4</v>
      </c>
      <c r="N345" s="59" t="s">
        <v>2314</v>
      </c>
      <c r="O345" s="17" t="s">
        <v>2313</v>
      </c>
      <c r="P345" s="59" t="s">
        <v>2301</v>
      </c>
      <c r="Q345" s="18" t="s">
        <v>2297</v>
      </c>
      <c r="R345" s="18"/>
      <c r="S345" s="271" t="s">
        <v>2296</v>
      </c>
      <c r="T345" s="17" t="s">
        <v>623</v>
      </c>
      <c r="U345" s="17" t="s">
        <v>1177</v>
      </c>
      <c r="V345" s="17" t="str">
        <f>+CONCATENATE(E345,".",F345,"\",G345,".",H345,":",I345)</f>
        <v>2.5\0.5:0</v>
      </c>
      <c r="W345" s="17" t="s">
        <v>2295</v>
      </c>
      <c r="X345" s="17">
        <v>0</v>
      </c>
      <c r="Y345" s="17"/>
      <c r="Z345" s="20" t="s">
        <v>1159</v>
      </c>
      <c r="AA345" s="17"/>
      <c r="AB345" s="17">
        <v>0</v>
      </c>
      <c r="AC345" s="17">
        <v>1200</v>
      </c>
      <c r="AD345" s="17">
        <v>0</v>
      </c>
      <c r="AE345" s="17">
        <v>1200</v>
      </c>
      <c r="AF345" s="17" t="s">
        <v>1176</v>
      </c>
      <c r="AG345" s="64" t="s">
        <v>934</v>
      </c>
      <c r="AH345" s="64">
        <v>33</v>
      </c>
      <c r="AI345" s="64">
        <v>34</v>
      </c>
      <c r="AJ345" s="64"/>
      <c r="AK345" s="64"/>
      <c r="AL345" s="264"/>
      <c r="AM345" s="84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</row>
    <row r="346" spans="1:51" s="33" customFormat="1" ht="14.5" x14ac:dyDescent="0.35">
      <c r="A346" s="162" t="str">
        <f>A345</f>
        <v>BBD131</v>
      </c>
      <c r="B346" s="17" t="s">
        <v>2275</v>
      </c>
      <c r="C346" s="18" t="str">
        <f>+C345</f>
        <v>DIO1</v>
      </c>
      <c r="D346" s="18">
        <v>132</v>
      </c>
      <c r="E346" s="84">
        <f>+E345</f>
        <v>2</v>
      </c>
      <c r="F346" s="84">
        <f>+F345</f>
        <v>5</v>
      </c>
      <c r="G346" s="84">
        <v>0</v>
      </c>
      <c r="H346" s="186">
        <f>+H345</f>
        <v>5</v>
      </c>
      <c r="I346" s="187">
        <f>+I345+1</f>
        <v>1</v>
      </c>
      <c r="J346" s="275"/>
      <c r="K346" s="18"/>
      <c r="L346" s="79" t="s">
        <v>1170</v>
      </c>
      <c r="M346" s="18">
        <v>4</v>
      </c>
      <c r="N346" s="59" t="s">
        <v>2312</v>
      </c>
      <c r="O346" s="17" t="s">
        <v>2311</v>
      </c>
      <c r="P346" s="59" t="s">
        <v>2310</v>
      </c>
      <c r="Q346" s="17" t="s">
        <v>2297</v>
      </c>
      <c r="R346" s="18"/>
      <c r="S346" s="271" t="s">
        <v>2296</v>
      </c>
      <c r="T346" s="17" t="s">
        <v>610</v>
      </c>
      <c r="U346" s="17" t="s">
        <v>1177</v>
      </c>
      <c r="V346" s="17" t="str">
        <f>+CONCATENATE(E346,".",F346,"\",G346,".",H346,":",I346)</f>
        <v>2.5\0.5:1</v>
      </c>
      <c r="W346" s="17" t="s">
        <v>2295</v>
      </c>
      <c r="X346" s="17">
        <v>0</v>
      </c>
      <c r="Y346" s="17"/>
      <c r="Z346" s="20" t="s">
        <v>1159</v>
      </c>
      <c r="AA346" s="17"/>
      <c r="AB346" s="17">
        <v>0</v>
      </c>
      <c r="AC346" s="17">
        <v>1200</v>
      </c>
      <c r="AD346" s="17">
        <v>0</v>
      </c>
      <c r="AE346" s="17">
        <v>1200</v>
      </c>
      <c r="AF346" s="17" t="s">
        <v>1176</v>
      </c>
      <c r="AG346" s="64" t="s">
        <v>934</v>
      </c>
      <c r="AH346" s="64">
        <v>35</v>
      </c>
      <c r="AI346" s="64">
        <v>36</v>
      </c>
      <c r="AJ346" s="64"/>
      <c r="AK346" s="64"/>
      <c r="AL346" s="264"/>
      <c r="AM346" s="84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</row>
    <row r="347" spans="1:51" s="33" customFormat="1" ht="14.5" x14ac:dyDescent="0.35">
      <c r="A347" s="162" t="str">
        <f>A346</f>
        <v>BBD131</v>
      </c>
      <c r="B347" s="17" t="s">
        <v>2275</v>
      </c>
      <c r="C347" s="18" t="str">
        <f>+C346</f>
        <v>DIO1</v>
      </c>
      <c r="D347" s="18">
        <v>132</v>
      </c>
      <c r="E347" s="84">
        <f>+E346</f>
        <v>2</v>
      </c>
      <c r="F347" s="84">
        <f>+F346</f>
        <v>5</v>
      </c>
      <c r="G347" s="84">
        <v>0</v>
      </c>
      <c r="H347" s="186">
        <f>+H346</f>
        <v>5</v>
      </c>
      <c r="I347" s="187">
        <f>+I346+1</f>
        <v>2</v>
      </c>
      <c r="J347" s="275"/>
      <c r="K347" s="18"/>
      <c r="L347" s="79" t="s">
        <v>1170</v>
      </c>
      <c r="M347" s="18">
        <v>4</v>
      </c>
      <c r="N347" s="59" t="s">
        <v>2309</v>
      </c>
      <c r="O347" s="17" t="s">
        <v>2308</v>
      </c>
      <c r="P347" s="59" t="s">
        <v>2283</v>
      </c>
      <c r="Q347" s="17" t="s">
        <v>2291</v>
      </c>
      <c r="S347" s="320" t="s">
        <v>2290</v>
      </c>
      <c r="T347" s="17" t="s">
        <v>623</v>
      </c>
      <c r="U347" s="17" t="s">
        <v>1177</v>
      </c>
      <c r="V347" s="17" t="str">
        <f>+CONCATENATE(E347,".",F347,"\",G347,".",H347,":",I347)</f>
        <v>2.5\0.5:2</v>
      </c>
      <c r="W347" s="17" t="s">
        <v>2304</v>
      </c>
      <c r="X347" s="17">
        <v>0</v>
      </c>
      <c r="Y347" s="17"/>
      <c r="Z347" s="20" t="s">
        <v>1159</v>
      </c>
      <c r="AA347" s="17"/>
      <c r="AB347" s="17">
        <v>0</v>
      </c>
      <c r="AC347" s="17">
        <v>50</v>
      </c>
      <c r="AD347" s="17">
        <v>0</v>
      </c>
      <c r="AE347" s="17">
        <v>50</v>
      </c>
      <c r="AF347" s="17" t="s">
        <v>1176</v>
      </c>
      <c r="AG347" s="64" t="s">
        <v>934</v>
      </c>
      <c r="AH347" s="64">
        <v>37</v>
      </c>
      <c r="AI347" s="64">
        <v>38</v>
      </c>
      <c r="AJ347" s="64"/>
      <c r="AK347" s="64"/>
      <c r="AL347" s="264"/>
      <c r="AM347" s="84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</row>
    <row r="348" spans="1:51" s="33" customFormat="1" ht="14.5" x14ac:dyDescent="0.35">
      <c r="A348" s="162" t="str">
        <f>A347</f>
        <v>BBD131</v>
      </c>
      <c r="B348" s="17" t="s">
        <v>2275</v>
      </c>
      <c r="C348" s="18" t="str">
        <f>+C347</f>
        <v>DIO1</v>
      </c>
      <c r="D348" s="18">
        <v>132</v>
      </c>
      <c r="E348" s="84">
        <f>+E347</f>
        <v>2</v>
      </c>
      <c r="F348" s="84">
        <f>+F347</f>
        <v>5</v>
      </c>
      <c r="G348" s="84">
        <v>0</v>
      </c>
      <c r="H348" s="186">
        <f>+H347</f>
        <v>5</v>
      </c>
      <c r="I348" s="187">
        <f>+I347+1</f>
        <v>3</v>
      </c>
      <c r="J348" s="275"/>
      <c r="K348" s="18"/>
      <c r="L348" s="79" t="s">
        <v>1170</v>
      </c>
      <c r="M348" s="18">
        <v>4</v>
      </c>
      <c r="N348" s="59" t="s">
        <v>2307</v>
      </c>
      <c r="O348" s="17" t="s">
        <v>2306</v>
      </c>
      <c r="P348" s="59" t="s">
        <v>2305</v>
      </c>
      <c r="Q348" s="17" t="s">
        <v>2291</v>
      </c>
      <c r="R348" s="18"/>
      <c r="S348" s="320" t="s">
        <v>2290</v>
      </c>
      <c r="T348" s="17" t="s">
        <v>623</v>
      </c>
      <c r="U348" s="17" t="s">
        <v>1177</v>
      </c>
      <c r="V348" s="17" t="str">
        <f>+CONCATENATE(E348,".",F348,"\",G348,".",H348,":",I348)</f>
        <v>2.5\0.5:3</v>
      </c>
      <c r="W348" s="17" t="s">
        <v>2304</v>
      </c>
      <c r="X348" s="17">
        <v>0</v>
      </c>
      <c r="Y348" s="17"/>
      <c r="Z348" s="20" t="s">
        <v>1159</v>
      </c>
      <c r="AA348" s="17"/>
      <c r="AB348" s="17">
        <v>0</v>
      </c>
      <c r="AC348" s="17">
        <v>100</v>
      </c>
      <c r="AD348" s="17">
        <v>0</v>
      </c>
      <c r="AE348" s="17">
        <v>100</v>
      </c>
      <c r="AF348" s="17" t="s">
        <v>1176</v>
      </c>
      <c r="AG348" s="64" t="s">
        <v>934</v>
      </c>
      <c r="AH348" s="64">
        <v>39</v>
      </c>
      <c r="AI348" s="64">
        <v>40</v>
      </c>
      <c r="AJ348" s="64"/>
      <c r="AK348" s="64"/>
      <c r="AL348" s="264"/>
      <c r="AM348" s="84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</row>
    <row r="349" spans="1:51" s="33" customFormat="1" ht="14.5" x14ac:dyDescent="0.35">
      <c r="A349" s="162" t="str">
        <f>A348</f>
        <v>BBD131</v>
      </c>
      <c r="B349" s="17" t="s">
        <v>2275</v>
      </c>
      <c r="C349" s="18" t="str">
        <f>+C348</f>
        <v>DIO1</v>
      </c>
      <c r="D349" s="18">
        <v>132</v>
      </c>
      <c r="E349" s="84">
        <f>+E348</f>
        <v>2</v>
      </c>
      <c r="F349" s="84">
        <f>+F348</f>
        <v>5</v>
      </c>
      <c r="G349" s="84">
        <v>0</v>
      </c>
      <c r="H349" s="186">
        <f>+H348</f>
        <v>5</v>
      </c>
      <c r="I349" s="187">
        <f>+I348+1</f>
        <v>4</v>
      </c>
      <c r="J349" s="275"/>
      <c r="K349" s="18"/>
      <c r="L349" s="79" t="s">
        <v>1170</v>
      </c>
      <c r="M349" s="18">
        <v>4</v>
      </c>
      <c r="N349" s="59" t="s">
        <v>2303</v>
      </c>
      <c r="O349" s="17" t="s">
        <v>2302</v>
      </c>
      <c r="P349" s="59" t="s">
        <v>2301</v>
      </c>
      <c r="Q349" s="17" t="s">
        <v>2297</v>
      </c>
      <c r="R349" s="17"/>
      <c r="S349" s="271" t="s">
        <v>2296</v>
      </c>
      <c r="T349" s="17" t="s">
        <v>623</v>
      </c>
      <c r="U349" s="17" t="s">
        <v>1177</v>
      </c>
      <c r="V349" s="17" t="str">
        <f>+CONCATENATE(E349,".",F349,"\",G349,".",H349,":",I349)</f>
        <v>2.5\0.5:4</v>
      </c>
      <c r="W349" s="17" t="s">
        <v>2295</v>
      </c>
      <c r="X349" s="17">
        <v>0</v>
      </c>
      <c r="Y349" s="17"/>
      <c r="Z349" s="20" t="s">
        <v>1159</v>
      </c>
      <c r="AA349" s="17"/>
      <c r="AB349" s="17">
        <v>0</v>
      </c>
      <c r="AC349" s="17">
        <v>1200</v>
      </c>
      <c r="AD349" s="17">
        <v>0</v>
      </c>
      <c r="AE349" s="17">
        <v>1200</v>
      </c>
      <c r="AF349" s="17" t="s">
        <v>1176</v>
      </c>
      <c r="AG349" s="64" t="s">
        <v>934</v>
      </c>
      <c r="AH349" s="64">
        <v>41</v>
      </c>
      <c r="AI349" s="64">
        <v>42</v>
      </c>
      <c r="AJ349" s="64"/>
      <c r="AK349" s="64"/>
      <c r="AL349" s="264"/>
      <c r="AM349" s="84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</row>
    <row r="350" spans="1:51" s="33" customFormat="1" ht="14.5" x14ac:dyDescent="0.35">
      <c r="A350" s="162" t="str">
        <f>A349</f>
        <v>BBD131</v>
      </c>
      <c r="B350" s="17" t="s">
        <v>2275</v>
      </c>
      <c r="C350" s="18" t="str">
        <f>+C349</f>
        <v>DIO1</v>
      </c>
      <c r="D350" s="18">
        <v>132</v>
      </c>
      <c r="E350" s="84">
        <f>+E349</f>
        <v>2</v>
      </c>
      <c r="F350" s="84">
        <f>+F349</f>
        <v>5</v>
      </c>
      <c r="G350" s="84">
        <v>0</v>
      </c>
      <c r="H350" s="186">
        <f>+H349</f>
        <v>5</v>
      </c>
      <c r="I350" s="187">
        <f>+I349+1</f>
        <v>5</v>
      </c>
      <c r="J350" s="275"/>
      <c r="K350" s="18"/>
      <c r="L350" s="79" t="s">
        <v>1170</v>
      </c>
      <c r="M350" s="18">
        <v>4</v>
      </c>
      <c r="N350" s="59" t="s">
        <v>2300</v>
      </c>
      <c r="O350" s="17" t="s">
        <v>2299</v>
      </c>
      <c r="P350" s="59" t="s">
        <v>2298</v>
      </c>
      <c r="Q350" s="17" t="s">
        <v>2297</v>
      </c>
      <c r="R350" s="18"/>
      <c r="S350" s="271" t="s">
        <v>2296</v>
      </c>
      <c r="T350" s="17" t="s">
        <v>623</v>
      </c>
      <c r="U350" s="17" t="s">
        <v>1177</v>
      </c>
      <c r="V350" s="17" t="str">
        <f>+CONCATENATE(E350,".",F350,"\",G350,".",H350,":",I350)</f>
        <v>2.5\0.5:5</v>
      </c>
      <c r="W350" s="17" t="s">
        <v>2295</v>
      </c>
      <c r="X350" s="17">
        <v>0</v>
      </c>
      <c r="Y350" s="17"/>
      <c r="Z350" s="20" t="s">
        <v>1159</v>
      </c>
      <c r="AA350" s="17"/>
      <c r="AB350" s="17">
        <v>0</v>
      </c>
      <c r="AC350" s="17">
        <v>1200</v>
      </c>
      <c r="AD350" s="17">
        <v>0</v>
      </c>
      <c r="AE350" s="17">
        <v>1200</v>
      </c>
      <c r="AF350" s="17" t="s">
        <v>1176</v>
      </c>
      <c r="AG350" s="64" t="s">
        <v>934</v>
      </c>
      <c r="AH350" s="64">
        <v>43</v>
      </c>
      <c r="AI350" s="64">
        <v>44</v>
      </c>
      <c r="AJ350" s="64"/>
      <c r="AK350" s="64"/>
      <c r="AL350" s="264"/>
      <c r="AM350" s="84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</row>
    <row r="351" spans="1:51" s="33" customFormat="1" ht="14.5" x14ac:dyDescent="0.35">
      <c r="A351" s="162" t="str">
        <f>A350</f>
        <v>BBD131</v>
      </c>
      <c r="B351" s="17" t="s">
        <v>2275</v>
      </c>
      <c r="C351" s="18" t="str">
        <f>+C350</f>
        <v>DIO1</v>
      </c>
      <c r="D351" s="18">
        <v>132</v>
      </c>
      <c r="E351" s="84">
        <f>+E350</f>
        <v>2</v>
      </c>
      <c r="F351" s="84">
        <f>+F350</f>
        <v>5</v>
      </c>
      <c r="G351" s="84">
        <v>0</v>
      </c>
      <c r="H351" s="186">
        <f>+H350</f>
        <v>5</v>
      </c>
      <c r="I351" s="187">
        <f>+I350+1</f>
        <v>6</v>
      </c>
      <c r="J351" s="275"/>
      <c r="K351" s="18"/>
      <c r="L351" s="79" t="s">
        <v>1170</v>
      </c>
      <c r="M351" s="18">
        <v>5</v>
      </c>
      <c r="N351" s="306"/>
      <c r="O351" s="17"/>
      <c r="P351" s="306"/>
      <c r="Q351" s="17"/>
      <c r="R351" s="18"/>
      <c r="S351" s="18"/>
      <c r="T351" s="17"/>
      <c r="U351" s="17"/>
      <c r="V351" s="17" t="str">
        <f>+CONCATENATE(E351,".",F351,"\",G351,".",H351,":",I351)</f>
        <v>2.5\0.5:6</v>
      </c>
      <c r="W351" s="17"/>
      <c r="X351" s="17"/>
      <c r="Y351" s="17"/>
      <c r="Z351" s="20" t="s">
        <v>1159</v>
      </c>
      <c r="AA351" s="17"/>
      <c r="AB351" s="17"/>
      <c r="AC351" s="17"/>
      <c r="AD351" s="17"/>
      <c r="AE351" s="17"/>
      <c r="AF351" s="17"/>
      <c r="AG351" s="64" t="s">
        <v>934</v>
      </c>
      <c r="AH351" s="64">
        <v>45</v>
      </c>
      <c r="AI351" s="64">
        <v>46</v>
      </c>
      <c r="AJ351" s="64"/>
      <c r="AK351" s="64"/>
      <c r="AL351" s="264"/>
      <c r="AM351" s="84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</row>
    <row r="352" spans="1:51" s="33" customFormat="1" ht="15" thickBot="1" x14ac:dyDescent="0.4">
      <c r="A352" s="162" t="str">
        <f>A351</f>
        <v>BBD131</v>
      </c>
      <c r="B352" s="17" t="s">
        <v>2275</v>
      </c>
      <c r="C352" s="18" t="str">
        <f>+C351</f>
        <v>DIO1</v>
      </c>
      <c r="D352" s="18">
        <v>132</v>
      </c>
      <c r="E352" s="84">
        <f>+E351</f>
        <v>2</v>
      </c>
      <c r="F352" s="84">
        <f>+F351</f>
        <v>5</v>
      </c>
      <c r="G352" s="84">
        <v>0</v>
      </c>
      <c r="H352" s="186">
        <f>+H351</f>
        <v>5</v>
      </c>
      <c r="I352" s="191">
        <f>+I351+1</f>
        <v>7</v>
      </c>
      <c r="J352" s="274"/>
      <c r="K352" s="18"/>
      <c r="L352" s="79" t="s">
        <v>1170</v>
      </c>
      <c r="M352" s="18">
        <v>4</v>
      </c>
      <c r="N352" s="59" t="s">
        <v>2294</v>
      </c>
      <c r="O352" s="17" t="s">
        <v>2293</v>
      </c>
      <c r="P352" s="59" t="s">
        <v>2292</v>
      </c>
      <c r="Q352" s="17" t="s">
        <v>2291</v>
      </c>
      <c r="R352" s="18"/>
      <c r="S352" s="319" t="s">
        <v>2290</v>
      </c>
      <c r="T352" s="17" t="s">
        <v>2289</v>
      </c>
      <c r="U352" s="17" t="s">
        <v>1177</v>
      </c>
      <c r="V352" s="17" t="str">
        <f>+CONCATENATE(E352,".",F352,"\",G352,".",H352,":",I352)</f>
        <v>2.5\0.5:7</v>
      </c>
      <c r="W352" s="17" t="s">
        <v>2279</v>
      </c>
      <c r="X352" s="17">
        <v>0</v>
      </c>
      <c r="Y352" s="17"/>
      <c r="Z352" s="20" t="s">
        <v>1159</v>
      </c>
      <c r="AA352" s="17"/>
      <c r="AB352" s="17">
        <v>0</v>
      </c>
      <c r="AC352" s="17">
        <v>2000</v>
      </c>
      <c r="AD352" s="17">
        <v>0</v>
      </c>
      <c r="AE352" s="17">
        <v>2000</v>
      </c>
      <c r="AF352" s="17"/>
      <c r="AG352" s="64" t="s">
        <v>934</v>
      </c>
      <c r="AH352" s="64">
        <v>47</v>
      </c>
      <c r="AI352" s="64">
        <v>48</v>
      </c>
      <c r="AJ352" s="64"/>
      <c r="AK352" s="64"/>
      <c r="AL352" s="264"/>
      <c r="AM352" s="84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</row>
    <row r="353" spans="1:51" s="33" customFormat="1" ht="14.5" x14ac:dyDescent="0.35">
      <c r="A353" s="162" t="str">
        <f>A352</f>
        <v>BBD131</v>
      </c>
      <c r="B353" s="17" t="s">
        <v>2275</v>
      </c>
      <c r="C353" s="18" t="str">
        <f>+C352</f>
        <v>DIO1</v>
      </c>
      <c r="D353" s="18">
        <v>132</v>
      </c>
      <c r="E353" s="84">
        <f>+E352</f>
        <v>2</v>
      </c>
      <c r="F353" s="84">
        <f>+F352</f>
        <v>5</v>
      </c>
      <c r="G353" s="84">
        <v>0</v>
      </c>
      <c r="H353" s="214">
        <v>6</v>
      </c>
      <c r="I353" s="188">
        <v>0</v>
      </c>
      <c r="J353" s="276" t="s">
        <v>1185</v>
      </c>
      <c r="K353" s="17" t="s">
        <v>1184</v>
      </c>
      <c r="L353" s="79" t="s">
        <v>1170</v>
      </c>
      <c r="M353" s="18">
        <v>5</v>
      </c>
      <c r="N353" s="306"/>
      <c r="O353" s="17"/>
      <c r="P353" s="306"/>
      <c r="Q353" s="18"/>
      <c r="R353" s="18"/>
      <c r="S353" s="17"/>
      <c r="T353" s="17"/>
      <c r="U353" s="17"/>
      <c r="V353" s="17" t="str">
        <f>+CONCATENATE(E353,".",F353,"\",G353,".",H353,":",I353)</f>
        <v>2.5\0.6:0</v>
      </c>
      <c r="W353" s="17"/>
      <c r="X353" s="17"/>
      <c r="Y353" s="17"/>
      <c r="Z353" s="20" t="s">
        <v>1159</v>
      </c>
      <c r="AA353" s="17"/>
      <c r="AB353" s="17"/>
      <c r="AC353" s="17"/>
      <c r="AD353" s="17"/>
      <c r="AE353" s="17"/>
      <c r="AF353" s="17" t="s">
        <v>1176</v>
      </c>
      <c r="AG353" s="64" t="s">
        <v>863</v>
      </c>
      <c r="AH353" s="64">
        <v>1</v>
      </c>
      <c r="AI353" s="64">
        <v>2</v>
      </c>
      <c r="AJ353" s="64"/>
      <c r="AK353" s="64"/>
      <c r="AL353" s="264"/>
      <c r="AM353" s="84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</row>
    <row r="354" spans="1:51" s="33" customFormat="1" x14ac:dyDescent="0.3">
      <c r="A354" s="162" t="str">
        <f>A353</f>
        <v>BBD131</v>
      </c>
      <c r="B354" s="17" t="s">
        <v>2275</v>
      </c>
      <c r="C354" s="18" t="str">
        <f>+C353</f>
        <v>DIO1</v>
      </c>
      <c r="D354" s="18">
        <v>132</v>
      </c>
      <c r="E354" s="84">
        <f>+E353</f>
        <v>2</v>
      </c>
      <c r="F354" s="84">
        <f>+F353</f>
        <v>5</v>
      </c>
      <c r="G354" s="84">
        <v>0</v>
      </c>
      <c r="H354" s="186">
        <f>+H353</f>
        <v>6</v>
      </c>
      <c r="I354" s="187">
        <f>+I353+1</f>
        <v>1</v>
      </c>
      <c r="J354" s="275"/>
      <c r="K354" s="18"/>
      <c r="L354" s="79" t="s">
        <v>1170</v>
      </c>
      <c r="M354" s="18"/>
      <c r="N354" s="18"/>
      <c r="O354" s="17"/>
      <c r="P354" s="17"/>
      <c r="Q354" s="17"/>
      <c r="R354" s="18"/>
      <c r="S354" s="17"/>
      <c r="T354" s="17"/>
      <c r="U354" s="17"/>
      <c r="V354" s="17" t="str">
        <f>+CONCATENATE(E354,".",F354,"\",G354,".",H354,":",I354)</f>
        <v>2.5\0.6:1</v>
      </c>
      <c r="W354" s="17"/>
      <c r="X354" s="17"/>
      <c r="Y354" s="17"/>
      <c r="Z354" s="20" t="s">
        <v>1159</v>
      </c>
      <c r="AA354" s="17"/>
      <c r="AB354" s="17"/>
      <c r="AC354" s="17"/>
      <c r="AD354" s="17"/>
      <c r="AE354" s="17"/>
      <c r="AF354" s="17"/>
      <c r="AG354" s="64" t="s">
        <v>863</v>
      </c>
      <c r="AH354" s="64">
        <v>3</v>
      </c>
      <c r="AI354" s="64">
        <v>4</v>
      </c>
      <c r="AJ354" s="64"/>
      <c r="AK354" s="64"/>
      <c r="AL354" s="264"/>
      <c r="AM354" s="84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</row>
    <row r="355" spans="1:51" s="33" customFormat="1" x14ac:dyDescent="0.3">
      <c r="A355" s="162" t="str">
        <f>A354</f>
        <v>BBD131</v>
      </c>
      <c r="B355" s="17" t="s">
        <v>2275</v>
      </c>
      <c r="C355" s="18" t="str">
        <f>+C354</f>
        <v>DIO1</v>
      </c>
      <c r="D355" s="18">
        <v>132</v>
      </c>
      <c r="E355" s="84">
        <f>+E354</f>
        <v>2</v>
      </c>
      <c r="F355" s="84">
        <f>+F354</f>
        <v>5</v>
      </c>
      <c r="G355" s="84">
        <v>0</v>
      </c>
      <c r="H355" s="186">
        <f>+H354</f>
        <v>6</v>
      </c>
      <c r="I355" s="187">
        <f>+I354+1</f>
        <v>2</v>
      </c>
      <c r="J355" s="275"/>
      <c r="K355" s="18"/>
      <c r="L355" s="79" t="s">
        <v>1170</v>
      </c>
      <c r="M355" s="18"/>
      <c r="N355" s="18"/>
      <c r="O355" s="17"/>
      <c r="P355" s="17"/>
      <c r="S355" s="18"/>
      <c r="T355" s="17"/>
      <c r="U355" s="17"/>
      <c r="V355" s="17" t="str">
        <f>+CONCATENATE(E355,".",F355,"\",G355,".",H355,":",I355)</f>
        <v>2.5\0.6:2</v>
      </c>
      <c r="W355" s="17"/>
      <c r="X355" s="17"/>
      <c r="Y355" s="17"/>
      <c r="Z355" s="20" t="s">
        <v>1159</v>
      </c>
      <c r="AA355" s="17"/>
      <c r="AB355" s="17"/>
      <c r="AC355" s="17"/>
      <c r="AD355" s="17"/>
      <c r="AE355" s="17"/>
      <c r="AF355" s="17"/>
      <c r="AG355" s="64" t="s">
        <v>863</v>
      </c>
      <c r="AH355" s="64">
        <v>5</v>
      </c>
      <c r="AI355" s="64">
        <v>6</v>
      </c>
      <c r="AJ355" s="64"/>
      <c r="AK355" s="64"/>
      <c r="AL355" s="264"/>
      <c r="AM355" s="84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</row>
    <row r="356" spans="1:51" s="33" customFormat="1" x14ac:dyDescent="0.3">
      <c r="A356" s="162" t="str">
        <f>A355</f>
        <v>BBD131</v>
      </c>
      <c r="B356" s="17" t="s">
        <v>2275</v>
      </c>
      <c r="C356" s="18" t="str">
        <f>+C355</f>
        <v>DIO1</v>
      </c>
      <c r="D356" s="18">
        <v>132</v>
      </c>
      <c r="E356" s="84">
        <f>+E355</f>
        <v>2</v>
      </c>
      <c r="F356" s="84">
        <f>+F355</f>
        <v>5</v>
      </c>
      <c r="G356" s="84">
        <v>0</v>
      </c>
      <c r="H356" s="186">
        <f>+H355</f>
        <v>6</v>
      </c>
      <c r="I356" s="187">
        <f>+I355+1</f>
        <v>3</v>
      </c>
      <c r="J356" s="275"/>
      <c r="K356" s="18"/>
      <c r="L356" s="79" t="s">
        <v>1170</v>
      </c>
      <c r="M356" s="18"/>
      <c r="N356" s="18"/>
      <c r="O356" s="17"/>
      <c r="P356" s="17"/>
      <c r="Q356" s="17"/>
      <c r="R356" s="18"/>
      <c r="S356" s="18"/>
      <c r="T356" s="17"/>
      <c r="U356" s="17"/>
      <c r="V356" s="17" t="str">
        <f>+CONCATENATE(E356,".",F356,"\",G356,".",H356,":",I356)</f>
        <v>2.5\0.6:3</v>
      </c>
      <c r="W356" s="17"/>
      <c r="X356" s="17"/>
      <c r="Y356" s="17"/>
      <c r="Z356" s="20" t="s">
        <v>1159</v>
      </c>
      <c r="AA356" s="17"/>
      <c r="AB356" s="17"/>
      <c r="AC356" s="17"/>
      <c r="AD356" s="17"/>
      <c r="AE356" s="17"/>
      <c r="AF356" s="17"/>
      <c r="AG356" s="64" t="s">
        <v>863</v>
      </c>
      <c r="AH356" s="64">
        <v>7</v>
      </c>
      <c r="AI356" s="64">
        <v>8</v>
      </c>
      <c r="AJ356" s="64"/>
      <c r="AK356" s="64"/>
      <c r="AL356" s="264"/>
      <c r="AM356" s="84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</row>
    <row r="357" spans="1:51" s="33" customFormat="1" x14ac:dyDescent="0.3">
      <c r="A357" s="162" t="str">
        <f>A356</f>
        <v>BBD131</v>
      </c>
      <c r="B357" s="17" t="s">
        <v>2275</v>
      </c>
      <c r="C357" s="18" t="str">
        <f>+C356</f>
        <v>DIO1</v>
      </c>
      <c r="D357" s="18">
        <v>132</v>
      </c>
      <c r="E357" s="84">
        <f>+E356</f>
        <v>2</v>
      </c>
      <c r="F357" s="84">
        <f>+F356</f>
        <v>5</v>
      </c>
      <c r="G357" s="84">
        <v>0</v>
      </c>
      <c r="H357" s="186">
        <f>+H356</f>
        <v>6</v>
      </c>
      <c r="I357" s="187">
        <f>+I356+1</f>
        <v>4</v>
      </c>
      <c r="J357" s="275"/>
      <c r="K357" s="18"/>
      <c r="L357" s="79" t="s">
        <v>1170</v>
      </c>
      <c r="M357" s="18"/>
      <c r="N357" s="18"/>
      <c r="O357" s="17"/>
      <c r="P357" s="17"/>
      <c r="Q357" s="17"/>
      <c r="R357" s="17"/>
      <c r="S357" s="17"/>
      <c r="T357" s="17"/>
      <c r="U357" s="17"/>
      <c r="V357" s="17" t="str">
        <f>+CONCATENATE(E357,".",F357,"\",G357,".",H357,":",I357)</f>
        <v>2.5\0.6:4</v>
      </c>
      <c r="W357" s="17"/>
      <c r="X357" s="17"/>
      <c r="Y357" s="17"/>
      <c r="Z357" s="20" t="s">
        <v>1159</v>
      </c>
      <c r="AA357" s="17"/>
      <c r="AB357" s="17">
        <v>0</v>
      </c>
      <c r="AC357" s="17">
        <v>100</v>
      </c>
      <c r="AD357" s="17">
        <v>0</v>
      </c>
      <c r="AE357" s="17">
        <v>100</v>
      </c>
      <c r="AF357" s="17" t="s">
        <v>1176</v>
      </c>
      <c r="AG357" s="64" t="s">
        <v>863</v>
      </c>
      <c r="AH357" s="64">
        <v>9</v>
      </c>
      <c r="AI357" s="64">
        <v>10</v>
      </c>
      <c r="AJ357" s="64"/>
      <c r="AK357" s="64"/>
      <c r="AL357" s="264"/>
      <c r="AM357" s="84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</row>
    <row r="358" spans="1:51" s="33" customFormat="1" x14ac:dyDescent="0.3">
      <c r="A358" s="162" t="str">
        <f>A357</f>
        <v>BBD131</v>
      </c>
      <c r="B358" s="17" t="s">
        <v>2275</v>
      </c>
      <c r="C358" s="18" t="str">
        <f>+C357</f>
        <v>DIO1</v>
      </c>
      <c r="D358" s="18">
        <v>132</v>
      </c>
      <c r="E358" s="84">
        <f>+E357</f>
        <v>2</v>
      </c>
      <c r="F358" s="84">
        <f>+F357</f>
        <v>5</v>
      </c>
      <c r="G358" s="84">
        <v>0</v>
      </c>
      <c r="H358" s="186">
        <f>+H357</f>
        <v>6</v>
      </c>
      <c r="I358" s="187">
        <f>+I357+1</f>
        <v>5</v>
      </c>
      <c r="J358" s="275"/>
      <c r="K358" s="18"/>
      <c r="L358" s="79" t="s">
        <v>1170</v>
      </c>
      <c r="M358" s="18"/>
      <c r="N358" s="18"/>
      <c r="O358" s="17"/>
      <c r="P358" s="17"/>
      <c r="Q358" s="17"/>
      <c r="R358" s="18"/>
      <c r="S358" s="18"/>
      <c r="T358" s="17"/>
      <c r="U358" s="17"/>
      <c r="V358" s="17" t="str">
        <f>+CONCATENATE(E358,".",F358,"\",G358,".",H358,":",I358)</f>
        <v>2.5\0.6:5</v>
      </c>
      <c r="W358" s="17"/>
      <c r="X358" s="17"/>
      <c r="Y358" s="17"/>
      <c r="Z358" s="20" t="s">
        <v>1159</v>
      </c>
      <c r="AA358" s="17"/>
      <c r="AB358" s="17"/>
      <c r="AC358" s="17"/>
      <c r="AD358" s="17"/>
      <c r="AE358" s="17"/>
      <c r="AF358" s="17"/>
      <c r="AG358" s="64" t="s">
        <v>863</v>
      </c>
      <c r="AH358" s="64">
        <v>11</v>
      </c>
      <c r="AI358" s="64">
        <v>12</v>
      </c>
      <c r="AJ358" s="64"/>
      <c r="AK358" s="64"/>
      <c r="AL358" s="264"/>
      <c r="AM358" s="84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</row>
    <row r="359" spans="1:51" s="33" customFormat="1" x14ac:dyDescent="0.3">
      <c r="A359" s="162" t="str">
        <f>A358</f>
        <v>BBD131</v>
      </c>
      <c r="B359" s="17" t="s">
        <v>2275</v>
      </c>
      <c r="C359" s="18" t="str">
        <f>+C358</f>
        <v>DIO1</v>
      </c>
      <c r="D359" s="18">
        <v>132</v>
      </c>
      <c r="E359" s="84">
        <f>+E358</f>
        <v>2</v>
      </c>
      <c r="F359" s="84">
        <f>+F358</f>
        <v>5</v>
      </c>
      <c r="G359" s="84">
        <v>0</v>
      </c>
      <c r="H359" s="186">
        <f>+H358</f>
        <v>6</v>
      </c>
      <c r="I359" s="187">
        <f>+I358+1</f>
        <v>6</v>
      </c>
      <c r="J359" s="275"/>
      <c r="K359" s="18"/>
      <c r="L359" s="79" t="s">
        <v>1170</v>
      </c>
      <c r="M359" s="18"/>
      <c r="N359" s="18"/>
      <c r="O359" s="17"/>
      <c r="P359" s="17"/>
      <c r="Q359" s="17"/>
      <c r="R359" s="18"/>
      <c r="S359" s="18"/>
      <c r="T359" s="17"/>
      <c r="U359" s="17"/>
      <c r="V359" s="17" t="str">
        <f>+CONCATENATE(E359,".",F359,"\",G359,".",H359,":",I359)</f>
        <v>2.5\0.6:6</v>
      </c>
      <c r="W359" s="17"/>
      <c r="X359" s="17"/>
      <c r="Y359" s="17"/>
      <c r="Z359" s="20" t="s">
        <v>1159</v>
      </c>
      <c r="AA359" s="17"/>
      <c r="AB359" s="17"/>
      <c r="AC359" s="17"/>
      <c r="AD359" s="17"/>
      <c r="AE359" s="17"/>
      <c r="AF359" s="17"/>
      <c r="AG359" s="64" t="s">
        <v>863</v>
      </c>
      <c r="AH359" s="64">
        <v>13</v>
      </c>
      <c r="AI359" s="64">
        <v>14</v>
      </c>
      <c r="AJ359" s="64"/>
      <c r="AK359" s="64"/>
      <c r="AL359" s="264"/>
      <c r="AM359" s="84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</row>
    <row r="360" spans="1:51" s="33" customFormat="1" ht="13.5" thickBot="1" x14ac:dyDescent="0.35">
      <c r="A360" s="162" t="str">
        <f>A359</f>
        <v>BBD131</v>
      </c>
      <c r="B360" s="17" t="s">
        <v>2275</v>
      </c>
      <c r="C360" s="18" t="str">
        <f>+C359</f>
        <v>DIO1</v>
      </c>
      <c r="D360" s="18">
        <v>132</v>
      </c>
      <c r="E360" s="84">
        <f>+E359</f>
        <v>2</v>
      </c>
      <c r="F360" s="84">
        <f>+F359</f>
        <v>5</v>
      </c>
      <c r="G360" s="84">
        <v>0</v>
      </c>
      <c r="H360" s="186">
        <f>+H359</f>
        <v>6</v>
      </c>
      <c r="I360" s="191">
        <f>+I359+1</f>
        <v>7</v>
      </c>
      <c r="J360" s="274"/>
      <c r="K360" s="18"/>
      <c r="L360" s="79" t="s">
        <v>1170</v>
      </c>
      <c r="M360" s="18"/>
      <c r="N360" s="18"/>
      <c r="O360" s="17"/>
      <c r="P360" s="17"/>
      <c r="Q360" s="17"/>
      <c r="R360" s="18"/>
      <c r="S360" s="18"/>
      <c r="T360" s="17"/>
      <c r="U360" s="17"/>
      <c r="V360" s="17" t="str">
        <f>+CONCATENATE(E360,".",F360,"\",G360,".",H360,":",I360)</f>
        <v>2.5\0.6:7</v>
      </c>
      <c r="W360" s="17"/>
      <c r="X360" s="17"/>
      <c r="Y360" s="17"/>
      <c r="Z360" s="20" t="s">
        <v>1159</v>
      </c>
      <c r="AA360" s="17"/>
      <c r="AB360" s="17"/>
      <c r="AC360" s="17"/>
      <c r="AD360" s="17"/>
      <c r="AE360" s="17"/>
      <c r="AF360" s="17"/>
      <c r="AG360" s="64" t="s">
        <v>863</v>
      </c>
      <c r="AH360" s="64">
        <v>15</v>
      </c>
      <c r="AI360" s="64">
        <v>16</v>
      </c>
      <c r="AJ360" s="64"/>
      <c r="AK360" s="64"/>
      <c r="AL360" s="264"/>
      <c r="AM360" s="84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</row>
    <row r="361" spans="1:51" s="33" customFormat="1" ht="14.5" x14ac:dyDescent="0.35">
      <c r="A361" s="162" t="str">
        <f>A360</f>
        <v>BBD131</v>
      </c>
      <c r="B361" s="17" t="s">
        <v>2275</v>
      </c>
      <c r="C361" s="18" t="str">
        <f>+C360</f>
        <v>DIO1</v>
      </c>
      <c r="D361" s="18">
        <v>132</v>
      </c>
      <c r="E361" s="84">
        <f>+E360</f>
        <v>2</v>
      </c>
      <c r="F361" s="84">
        <f>+F360</f>
        <v>5</v>
      </c>
      <c r="G361" s="84">
        <v>0</v>
      </c>
      <c r="H361" s="214">
        <v>7</v>
      </c>
      <c r="I361" s="318">
        <v>0</v>
      </c>
      <c r="J361" s="317" t="s">
        <v>1185</v>
      </c>
      <c r="K361" s="17" t="s">
        <v>2278</v>
      </c>
      <c r="L361" s="79" t="s">
        <v>2277</v>
      </c>
      <c r="M361" s="18">
        <v>3</v>
      </c>
      <c r="N361" s="59" t="s">
        <v>2287</v>
      </c>
      <c r="O361" s="17" t="s">
        <v>2284</v>
      </c>
      <c r="P361" s="59" t="s">
        <v>2288</v>
      </c>
      <c r="Q361" s="17" t="s">
        <v>2282</v>
      </c>
      <c r="R361" s="18"/>
      <c r="S361" s="18" t="s">
        <v>2087</v>
      </c>
      <c r="T361" s="17" t="s">
        <v>2287</v>
      </c>
      <c r="U361" s="17" t="s">
        <v>1177</v>
      </c>
      <c r="V361" s="17" t="str">
        <f>+CONCATENATE(E361,".",F361,"\",G361,".",H361,":",I361)</f>
        <v>2.5\0.7:0</v>
      </c>
      <c r="W361" s="17" t="s">
        <v>2280</v>
      </c>
      <c r="X361" s="17">
        <v>0</v>
      </c>
      <c r="Y361" s="17"/>
      <c r="Z361" s="20" t="s">
        <v>1159</v>
      </c>
      <c r="AA361" s="17"/>
      <c r="AB361" s="17">
        <v>0</v>
      </c>
      <c r="AC361" s="17">
        <v>110</v>
      </c>
      <c r="AD361" s="17">
        <v>0</v>
      </c>
      <c r="AE361" s="17">
        <v>110</v>
      </c>
      <c r="AF361" s="17" t="s">
        <v>2043</v>
      </c>
      <c r="AG361" s="33" t="s">
        <v>985</v>
      </c>
      <c r="AH361" s="64">
        <v>33</v>
      </c>
      <c r="AI361" s="39">
        <v>34</v>
      </c>
      <c r="AJ361" s="39"/>
      <c r="AK361" s="39"/>
      <c r="AL361" s="312"/>
      <c r="AM361" s="84"/>
      <c r="AN361" s="17"/>
    </row>
    <row r="362" spans="1:51" s="33" customFormat="1" ht="14.5" x14ac:dyDescent="0.35">
      <c r="A362" s="162" t="str">
        <f>A361</f>
        <v>BBD131</v>
      </c>
      <c r="B362" s="17" t="s">
        <v>2275</v>
      </c>
      <c r="C362" s="18" t="str">
        <f>+C361</f>
        <v>DIO1</v>
      </c>
      <c r="D362" s="18">
        <v>132</v>
      </c>
      <c r="E362" s="84">
        <f>+E361</f>
        <v>2</v>
      </c>
      <c r="F362" s="84">
        <f>+F361</f>
        <v>5</v>
      </c>
      <c r="G362" s="84">
        <v>0</v>
      </c>
      <c r="H362" s="186">
        <f>+H361</f>
        <v>7</v>
      </c>
      <c r="I362" s="315">
        <f>+I361+1</f>
        <v>1</v>
      </c>
      <c r="J362" s="316"/>
      <c r="K362" s="18"/>
      <c r="L362" s="79" t="s">
        <v>2277</v>
      </c>
      <c r="M362" s="18">
        <v>3</v>
      </c>
      <c r="N362" s="59" t="s">
        <v>2285</v>
      </c>
      <c r="O362" s="17" t="s">
        <v>2284</v>
      </c>
      <c r="P362" s="59" t="s">
        <v>2286</v>
      </c>
      <c r="Q362" s="17" t="s">
        <v>2282</v>
      </c>
      <c r="R362" s="17"/>
      <c r="S362" s="17"/>
      <c r="T362" s="17" t="s">
        <v>2285</v>
      </c>
      <c r="U362" s="17" t="s">
        <v>1177</v>
      </c>
      <c r="V362" s="17" t="str">
        <f>+CONCATENATE(E362,".",F362,"\",G362,".",H362,":",I362)</f>
        <v>2.5\0.7:1</v>
      </c>
      <c r="W362" s="17" t="s">
        <v>2280</v>
      </c>
      <c r="X362" s="17">
        <v>0</v>
      </c>
      <c r="Y362" s="17"/>
      <c r="Z362" s="20" t="s">
        <v>1159</v>
      </c>
      <c r="AA362" s="17"/>
      <c r="AF362" s="17"/>
      <c r="AG362" s="33" t="s">
        <v>985</v>
      </c>
      <c r="AH362" s="64">
        <v>35</v>
      </c>
      <c r="AI362" s="39">
        <v>36</v>
      </c>
      <c r="AJ362" s="39"/>
      <c r="AK362" s="39"/>
      <c r="AL362" s="312"/>
      <c r="AM362" s="84"/>
      <c r="AN362" s="17"/>
    </row>
    <row r="363" spans="1:51" s="33" customFormat="1" ht="14.5" x14ac:dyDescent="0.35">
      <c r="A363" s="162" t="str">
        <f>A362</f>
        <v>BBD131</v>
      </c>
      <c r="B363" s="17" t="s">
        <v>2275</v>
      </c>
      <c r="C363" s="18" t="str">
        <f>+C362</f>
        <v>DIO1</v>
      </c>
      <c r="D363" s="18">
        <v>132</v>
      </c>
      <c r="E363" s="84">
        <f>+E362</f>
        <v>2</v>
      </c>
      <c r="F363" s="84">
        <f>+F362</f>
        <v>5</v>
      </c>
      <c r="G363" s="84">
        <v>0</v>
      </c>
      <c r="H363" s="186">
        <f>+H362</f>
        <v>7</v>
      </c>
      <c r="I363" s="315">
        <f>+I362+1</f>
        <v>2</v>
      </c>
      <c r="J363" s="316"/>
      <c r="K363" s="18"/>
      <c r="L363" s="79" t="s">
        <v>2277</v>
      </c>
      <c r="M363" s="18">
        <v>3</v>
      </c>
      <c r="N363" s="59" t="s">
        <v>2281</v>
      </c>
      <c r="O363" s="17" t="s">
        <v>2284</v>
      </c>
      <c r="P363" s="59" t="s">
        <v>2283</v>
      </c>
      <c r="Q363" s="17" t="s">
        <v>2282</v>
      </c>
      <c r="R363" s="18"/>
      <c r="S363" s="18"/>
      <c r="T363" s="17" t="s">
        <v>2281</v>
      </c>
      <c r="U363" s="17" t="s">
        <v>1177</v>
      </c>
      <c r="V363" s="17" t="str">
        <f>+CONCATENATE(E363,".",F363,"\",G363,".",H363,":",I363)</f>
        <v>2.5\0.7:2</v>
      </c>
      <c r="W363" s="17" t="s">
        <v>2280</v>
      </c>
      <c r="X363" s="17">
        <v>0</v>
      </c>
      <c r="Y363" s="17"/>
      <c r="Z363" s="20" t="s">
        <v>1159</v>
      </c>
      <c r="AA363" s="17"/>
      <c r="AF363" s="17"/>
      <c r="AG363" s="33" t="s">
        <v>985</v>
      </c>
      <c r="AH363" s="64">
        <v>43</v>
      </c>
      <c r="AI363" s="39">
        <v>44</v>
      </c>
      <c r="AJ363" s="39"/>
      <c r="AK363" s="39"/>
      <c r="AL363" s="312"/>
      <c r="AM363" s="84"/>
      <c r="AN363" s="17"/>
    </row>
    <row r="364" spans="1:51" s="33" customFormat="1" ht="15" thickBot="1" x14ac:dyDescent="0.4">
      <c r="A364" s="162" t="str">
        <f>A363</f>
        <v>BBD131</v>
      </c>
      <c r="B364" s="17" t="s">
        <v>2275</v>
      </c>
      <c r="C364" s="18" t="str">
        <f>+C363</f>
        <v>DIO1</v>
      </c>
      <c r="D364" s="18">
        <v>132</v>
      </c>
      <c r="E364" s="84">
        <f>+E363</f>
        <v>2</v>
      </c>
      <c r="F364" s="84">
        <f>+F363</f>
        <v>5</v>
      </c>
      <c r="G364" s="84">
        <v>0</v>
      </c>
      <c r="H364" s="186">
        <f>+H363</f>
        <v>7</v>
      </c>
      <c r="I364" s="315">
        <f>+I363+1</f>
        <v>3</v>
      </c>
      <c r="J364" s="314"/>
      <c r="K364" s="18"/>
      <c r="L364" s="79" t="s">
        <v>2277</v>
      </c>
      <c r="M364" s="18">
        <v>5</v>
      </c>
      <c r="N364" s="306"/>
      <c r="O364" s="17"/>
      <c r="P364" s="306"/>
      <c r="Q364" s="17"/>
      <c r="R364" s="18"/>
      <c r="S364" s="313"/>
      <c r="T364" s="17"/>
      <c r="U364" s="17" t="s">
        <v>1177</v>
      </c>
      <c r="V364" s="17" t="str">
        <f>+CONCATENATE(E364,".",F364,"\",G364,".",H364,":",I364)</f>
        <v>2.5\0.7:3</v>
      </c>
      <c r="W364" s="17" t="s">
        <v>2279</v>
      </c>
      <c r="X364" s="17"/>
      <c r="Y364" s="17"/>
      <c r="Z364" s="20" t="s">
        <v>1159</v>
      </c>
      <c r="AA364" s="17"/>
      <c r="AF364" s="17"/>
      <c r="AG364" s="33" t="s">
        <v>985</v>
      </c>
      <c r="AH364" s="64">
        <v>49</v>
      </c>
      <c r="AI364" s="39">
        <v>50</v>
      </c>
      <c r="AJ364" s="39"/>
      <c r="AK364" s="39"/>
      <c r="AL364" s="312"/>
      <c r="AM364" s="84"/>
      <c r="AN364" s="17"/>
    </row>
    <row r="365" spans="1:51" s="33" customFormat="1" x14ac:dyDescent="0.3">
      <c r="A365" s="162" t="str">
        <f>A364</f>
        <v>BBD131</v>
      </c>
      <c r="B365" s="17" t="s">
        <v>2275</v>
      </c>
      <c r="C365" s="18" t="str">
        <f>+C364</f>
        <v>DIO1</v>
      </c>
      <c r="D365" s="18">
        <v>132</v>
      </c>
      <c r="E365" s="84">
        <f>+E364</f>
        <v>2</v>
      </c>
      <c r="F365" s="84">
        <f>+F364</f>
        <v>5</v>
      </c>
      <c r="G365" s="84">
        <v>0</v>
      </c>
      <c r="H365" s="214">
        <v>8</v>
      </c>
      <c r="I365" s="188"/>
      <c r="J365" s="267"/>
      <c r="K365" s="68" t="s">
        <v>698</v>
      </c>
      <c r="L365" s="17"/>
      <c r="M365" s="18"/>
      <c r="N365" s="18"/>
      <c r="O365" s="17"/>
      <c r="P365" s="17"/>
      <c r="Q365" s="17" t="s">
        <v>127</v>
      </c>
      <c r="R365" s="18"/>
      <c r="S365" s="18"/>
      <c r="T365" s="17"/>
      <c r="U365" s="17"/>
      <c r="V365" s="17" t="str">
        <f>+CONCATENATE(E365,".",F365,"\",G365,".",H365,":",I365)</f>
        <v>2.5\0.8:</v>
      </c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64"/>
      <c r="AH365" s="64"/>
      <c r="AI365" s="64"/>
      <c r="AJ365" s="64"/>
      <c r="AK365" s="64"/>
      <c r="AL365" s="264"/>
      <c r="AM365" s="84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</row>
    <row r="366" spans="1:51" s="33" customFormat="1" x14ac:dyDescent="0.3">
      <c r="A366" s="162" t="str">
        <f>A365</f>
        <v>BBD131</v>
      </c>
      <c r="B366" s="17" t="s">
        <v>2275</v>
      </c>
      <c r="C366" s="18" t="str">
        <f>+C365</f>
        <v>DIO1</v>
      </c>
      <c r="D366" s="18">
        <v>132</v>
      </c>
      <c r="E366" s="84">
        <f>+E365</f>
        <v>2</v>
      </c>
      <c r="F366" s="84">
        <f>+F365</f>
        <v>5</v>
      </c>
      <c r="G366" s="84">
        <v>0</v>
      </c>
      <c r="H366" s="186">
        <f>+H365</f>
        <v>8</v>
      </c>
      <c r="I366" s="187"/>
      <c r="J366" s="266"/>
      <c r="K366" s="18"/>
      <c r="L366" s="17"/>
      <c r="M366" s="18"/>
      <c r="N366" s="18"/>
      <c r="O366" s="17"/>
      <c r="P366" s="17"/>
      <c r="Q366" s="17" t="s">
        <v>127</v>
      </c>
      <c r="R366" s="18"/>
      <c r="S366" s="18"/>
      <c r="T366" s="17"/>
      <c r="U366" s="17"/>
      <c r="V366" s="17" t="str">
        <f>+CONCATENATE(E366,".",F366,"\",G366,".",H366,":",I366)</f>
        <v>2.5\0.8:</v>
      </c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64"/>
      <c r="AH366" s="64"/>
      <c r="AI366" s="64"/>
      <c r="AJ366" s="64"/>
      <c r="AK366" s="64"/>
      <c r="AL366" s="264"/>
      <c r="AM366" s="84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</row>
    <row r="367" spans="1:51" s="33" customFormat="1" x14ac:dyDescent="0.3">
      <c r="A367" s="162" t="str">
        <f>A366</f>
        <v>BBD131</v>
      </c>
      <c r="B367" s="17" t="s">
        <v>2275</v>
      </c>
      <c r="C367" s="18" t="str">
        <f>+C366</f>
        <v>DIO1</v>
      </c>
      <c r="D367" s="18">
        <v>132</v>
      </c>
      <c r="E367" s="84">
        <f>+E366</f>
        <v>2</v>
      </c>
      <c r="F367" s="84">
        <f>+F366</f>
        <v>5</v>
      </c>
      <c r="G367" s="84">
        <v>0</v>
      </c>
      <c r="H367" s="186">
        <f>+H366</f>
        <v>8</v>
      </c>
      <c r="I367" s="187"/>
      <c r="J367" s="266"/>
      <c r="K367" s="18"/>
      <c r="L367" s="17"/>
      <c r="M367" s="18"/>
      <c r="N367" s="18"/>
      <c r="O367" s="17"/>
      <c r="P367" s="17"/>
      <c r="Q367" s="17" t="s">
        <v>127</v>
      </c>
      <c r="R367" s="18"/>
      <c r="S367" s="18"/>
      <c r="T367" s="17"/>
      <c r="U367" s="17"/>
      <c r="V367" s="17" t="str">
        <f>+CONCATENATE(E367,".",F367,"\",G367,".",H367,":",I367)</f>
        <v>2.5\0.8:</v>
      </c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64"/>
      <c r="AH367" s="64"/>
      <c r="AI367" s="64"/>
      <c r="AJ367" s="64"/>
      <c r="AK367" s="64"/>
      <c r="AL367" s="264"/>
      <c r="AM367" s="84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</row>
    <row r="368" spans="1:51" s="33" customFormat="1" ht="13.5" thickBot="1" x14ac:dyDescent="0.35">
      <c r="A368" s="162" t="str">
        <f>A367</f>
        <v>BBD131</v>
      </c>
      <c r="B368" s="17" t="s">
        <v>2275</v>
      </c>
      <c r="C368" s="18" t="str">
        <f>+C367</f>
        <v>DIO1</v>
      </c>
      <c r="D368" s="18">
        <v>132</v>
      </c>
      <c r="E368" s="84">
        <f>+E367</f>
        <v>2</v>
      </c>
      <c r="F368" s="84">
        <f>+F367</f>
        <v>5</v>
      </c>
      <c r="G368" s="84">
        <v>0</v>
      </c>
      <c r="H368" s="186">
        <f>+H367</f>
        <v>8</v>
      </c>
      <c r="I368" s="191"/>
      <c r="J368" s="265"/>
      <c r="K368" s="18"/>
      <c r="L368" s="17"/>
      <c r="M368" s="18"/>
      <c r="N368" s="18"/>
      <c r="O368" s="17"/>
      <c r="P368" s="17"/>
      <c r="Q368" s="17" t="s">
        <v>127</v>
      </c>
      <c r="R368" s="18"/>
      <c r="S368" s="18"/>
      <c r="T368" s="17"/>
      <c r="U368" s="17"/>
      <c r="V368" s="17" t="str">
        <f>+CONCATENATE(E368,".",F368,"\",G368,".",H368,":",I368)</f>
        <v>2.5\0.8:</v>
      </c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64"/>
      <c r="AH368" s="64"/>
      <c r="AI368" s="64"/>
      <c r="AJ368" s="64"/>
      <c r="AK368" s="64"/>
      <c r="AL368" s="264"/>
      <c r="AM368" s="84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</row>
    <row r="369" spans="1:51" s="33" customFormat="1" ht="14.5" x14ac:dyDescent="0.35">
      <c r="A369" s="162" t="str">
        <f>A368</f>
        <v>BBD131</v>
      </c>
      <c r="B369" s="17" t="s">
        <v>2275</v>
      </c>
      <c r="C369" s="18" t="str">
        <f>+C368</f>
        <v>DIO1</v>
      </c>
      <c r="D369" s="18">
        <v>132</v>
      </c>
      <c r="E369" s="84">
        <f>+E368</f>
        <v>2</v>
      </c>
      <c r="F369" s="84">
        <f>+F368</f>
        <v>5</v>
      </c>
      <c r="G369" s="84">
        <v>0</v>
      </c>
      <c r="H369" s="214">
        <v>9</v>
      </c>
      <c r="I369" s="318">
        <v>0</v>
      </c>
      <c r="J369" s="317" t="s">
        <v>1185</v>
      </c>
      <c r="K369" s="17" t="s">
        <v>2278</v>
      </c>
      <c r="L369" s="79" t="s">
        <v>2277</v>
      </c>
      <c r="M369" s="18">
        <v>5</v>
      </c>
      <c r="N369" s="306"/>
      <c r="O369" s="17"/>
      <c r="P369" s="306"/>
      <c r="Q369" s="18"/>
      <c r="R369" s="18"/>
      <c r="S369" s="18"/>
      <c r="T369" s="17"/>
      <c r="U369" s="17" t="s">
        <v>1177</v>
      </c>
      <c r="V369" s="17" t="str">
        <f>+CONCATENATE(E369,".",F369,"\",G369,".",H369,":",I369)</f>
        <v>2.5\0.9:0</v>
      </c>
      <c r="W369" s="17"/>
      <c r="X369" s="17"/>
      <c r="Y369" s="17"/>
      <c r="Z369" s="20" t="s">
        <v>1159</v>
      </c>
      <c r="AA369" s="17"/>
      <c r="AB369" s="17">
        <v>0</v>
      </c>
      <c r="AC369" s="17">
        <v>110</v>
      </c>
      <c r="AD369" s="17">
        <v>0</v>
      </c>
      <c r="AE369" s="17">
        <v>110</v>
      </c>
      <c r="AF369" s="17" t="s">
        <v>2043</v>
      </c>
      <c r="AG369" s="33" t="s">
        <v>863</v>
      </c>
      <c r="AH369" s="64">
        <v>21</v>
      </c>
      <c r="AI369" s="39">
        <v>22</v>
      </c>
      <c r="AJ369" s="39"/>
      <c r="AK369" s="39"/>
      <c r="AL369" s="312"/>
      <c r="AM369" s="84"/>
      <c r="AN369" s="17"/>
    </row>
    <row r="370" spans="1:51" s="33" customFormat="1" x14ac:dyDescent="0.3">
      <c r="A370" s="162" t="str">
        <f>A369</f>
        <v>BBD131</v>
      </c>
      <c r="B370" s="17" t="s">
        <v>2275</v>
      </c>
      <c r="C370" s="18" t="str">
        <f>+C369</f>
        <v>DIO1</v>
      </c>
      <c r="D370" s="18">
        <v>132</v>
      </c>
      <c r="E370" s="84">
        <f>+E369</f>
        <v>2</v>
      </c>
      <c r="F370" s="84">
        <f>+F369</f>
        <v>5</v>
      </c>
      <c r="G370" s="84">
        <v>0</v>
      </c>
      <c r="H370" s="186">
        <f>+H369</f>
        <v>9</v>
      </c>
      <c r="I370" s="315">
        <f>+I369+1</f>
        <v>1</v>
      </c>
      <c r="J370" s="316"/>
      <c r="K370" s="18"/>
      <c r="L370" s="79" t="s">
        <v>2277</v>
      </c>
      <c r="M370" s="18"/>
      <c r="N370" s="18"/>
      <c r="O370" s="17"/>
      <c r="P370" s="17"/>
      <c r="Q370" s="17"/>
      <c r="R370" s="17"/>
      <c r="S370" s="17"/>
      <c r="T370" s="17"/>
      <c r="U370" s="17" t="s">
        <v>1177</v>
      </c>
      <c r="V370" s="17" t="str">
        <f>+CONCATENATE(E370,".",F370,"\",G370,".",H370,":",I370)</f>
        <v>2.5\0.9:1</v>
      </c>
      <c r="W370" s="17"/>
      <c r="X370" s="17"/>
      <c r="Y370" s="17"/>
      <c r="Z370" s="20" t="s">
        <v>1159</v>
      </c>
      <c r="AA370" s="17"/>
      <c r="AF370" s="17"/>
      <c r="AG370" s="33" t="s">
        <v>863</v>
      </c>
      <c r="AH370" s="64">
        <v>27</v>
      </c>
      <c r="AI370" s="39">
        <v>28</v>
      </c>
      <c r="AJ370" s="39"/>
      <c r="AK370" s="39"/>
      <c r="AL370" s="312"/>
      <c r="AM370" s="84"/>
      <c r="AN370" s="17"/>
    </row>
    <row r="371" spans="1:51" s="33" customFormat="1" x14ac:dyDescent="0.3">
      <c r="A371" s="162" t="str">
        <f>A370</f>
        <v>BBD131</v>
      </c>
      <c r="B371" s="17" t="s">
        <v>2275</v>
      </c>
      <c r="C371" s="18" t="str">
        <f>+C370</f>
        <v>DIO1</v>
      </c>
      <c r="D371" s="18">
        <v>132</v>
      </c>
      <c r="E371" s="84">
        <f>+E370</f>
        <v>2</v>
      </c>
      <c r="F371" s="84">
        <f>+F370</f>
        <v>5</v>
      </c>
      <c r="G371" s="84">
        <v>0</v>
      </c>
      <c r="H371" s="186">
        <f>+H370</f>
        <v>9</v>
      </c>
      <c r="I371" s="315">
        <f>+I370+1</f>
        <v>2</v>
      </c>
      <c r="J371" s="316"/>
      <c r="K371" s="18"/>
      <c r="L371" s="79" t="s">
        <v>2277</v>
      </c>
      <c r="M371" s="18"/>
      <c r="N371" s="18"/>
      <c r="O371" s="17"/>
      <c r="P371" s="17"/>
      <c r="Q371" s="17"/>
      <c r="R371" s="18"/>
      <c r="S371" s="18"/>
      <c r="T371" s="17"/>
      <c r="U371" s="17" t="s">
        <v>1177</v>
      </c>
      <c r="V371" s="17" t="str">
        <f>+CONCATENATE(E371,".",F371,"\",G371,".",H371,":",I371)</f>
        <v>2.5\0.9:2</v>
      </c>
      <c r="W371" s="17"/>
      <c r="X371" s="17"/>
      <c r="Y371" s="17"/>
      <c r="Z371" s="20" t="s">
        <v>1159</v>
      </c>
      <c r="AA371" s="17"/>
      <c r="AF371" s="17"/>
      <c r="AG371" s="33" t="s">
        <v>863</v>
      </c>
      <c r="AH371" s="64">
        <v>31</v>
      </c>
      <c r="AI371" s="39">
        <v>32</v>
      </c>
      <c r="AJ371" s="39"/>
      <c r="AK371" s="39"/>
      <c r="AL371" s="312"/>
      <c r="AM371" s="84"/>
      <c r="AN371" s="17"/>
    </row>
    <row r="372" spans="1:51" s="33" customFormat="1" ht="13.5" thickBot="1" x14ac:dyDescent="0.35">
      <c r="A372" s="162" t="str">
        <f>A371</f>
        <v>BBD131</v>
      </c>
      <c r="B372" s="17" t="s">
        <v>2275</v>
      </c>
      <c r="C372" s="18" t="str">
        <f>+C371</f>
        <v>DIO1</v>
      </c>
      <c r="D372" s="18">
        <v>132</v>
      </c>
      <c r="E372" s="84">
        <f>+E371</f>
        <v>2</v>
      </c>
      <c r="F372" s="84">
        <f>+F371</f>
        <v>5</v>
      </c>
      <c r="G372" s="84">
        <v>0</v>
      </c>
      <c r="H372" s="186">
        <f>+H371</f>
        <v>9</v>
      </c>
      <c r="I372" s="315">
        <f>+I371+1</f>
        <v>3</v>
      </c>
      <c r="J372" s="314"/>
      <c r="K372" s="18"/>
      <c r="L372" s="79" t="s">
        <v>2277</v>
      </c>
      <c r="M372" s="18"/>
      <c r="N372" s="18"/>
      <c r="O372" s="17"/>
      <c r="P372" s="17"/>
      <c r="Q372" s="17"/>
      <c r="R372" s="18"/>
      <c r="S372" s="313"/>
      <c r="T372" s="17"/>
      <c r="U372" s="17" t="s">
        <v>1177</v>
      </c>
      <c r="V372" s="17" t="str">
        <f>+CONCATENATE(E372,".",F372,"\",G372,".",H372,":",I372)</f>
        <v>2.5\0.9:3</v>
      </c>
      <c r="W372" s="17"/>
      <c r="X372" s="17"/>
      <c r="Y372" s="17"/>
      <c r="Z372" s="20" t="s">
        <v>1159</v>
      </c>
      <c r="AA372" s="17"/>
      <c r="AF372" s="17"/>
      <c r="AG372" s="33" t="s">
        <v>863</v>
      </c>
      <c r="AH372" s="64">
        <v>37</v>
      </c>
      <c r="AI372" s="39">
        <v>38</v>
      </c>
      <c r="AJ372" s="39"/>
      <c r="AK372" s="39"/>
      <c r="AL372" s="312"/>
      <c r="AM372" s="84"/>
      <c r="AN372" s="17"/>
    </row>
    <row r="373" spans="1:51" s="33" customFormat="1" x14ac:dyDescent="0.3">
      <c r="A373" s="162" t="str">
        <f>A372</f>
        <v>BBD131</v>
      </c>
      <c r="B373" s="17" t="s">
        <v>2275</v>
      </c>
      <c r="C373" s="18" t="str">
        <f>+C372</f>
        <v>DIO1</v>
      </c>
      <c r="D373" s="18">
        <v>132</v>
      </c>
      <c r="E373" s="84">
        <f>+E372</f>
        <v>2</v>
      </c>
      <c r="F373" s="84">
        <f>+F372</f>
        <v>5</v>
      </c>
      <c r="G373" s="84">
        <v>0</v>
      </c>
      <c r="H373" s="214">
        <v>10</v>
      </c>
      <c r="I373" s="188"/>
      <c r="J373" s="267"/>
      <c r="K373" s="68" t="s">
        <v>698</v>
      </c>
      <c r="L373" s="17"/>
      <c r="M373" s="18"/>
      <c r="N373" s="18"/>
      <c r="O373" s="17"/>
      <c r="P373" s="17"/>
      <c r="Q373" s="17"/>
      <c r="R373" s="18"/>
      <c r="S373" s="18"/>
      <c r="T373" s="17"/>
      <c r="U373" s="17"/>
      <c r="V373" s="17" t="str">
        <f>+CONCATENATE(E373,".",F373,"\",G373,".",H373,":",I373)</f>
        <v>2.5\0.10:</v>
      </c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64"/>
      <c r="AH373" s="64"/>
      <c r="AI373" s="64"/>
      <c r="AJ373" s="64"/>
      <c r="AK373" s="64"/>
      <c r="AL373" s="264"/>
      <c r="AM373" s="84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</row>
    <row r="374" spans="1:51" s="33" customFormat="1" x14ac:dyDescent="0.3">
      <c r="A374" s="162" t="str">
        <f>A373</f>
        <v>BBD131</v>
      </c>
      <c r="B374" s="17" t="s">
        <v>2275</v>
      </c>
      <c r="C374" s="18" t="str">
        <f>+C373</f>
        <v>DIO1</v>
      </c>
      <c r="D374" s="18">
        <v>132</v>
      </c>
      <c r="E374" s="84">
        <f>+E373</f>
        <v>2</v>
      </c>
      <c r="F374" s="84">
        <f>+F373</f>
        <v>5</v>
      </c>
      <c r="G374" s="84">
        <v>0</v>
      </c>
      <c r="H374" s="186">
        <f>+H373</f>
        <v>10</v>
      </c>
      <c r="I374" s="187"/>
      <c r="J374" s="266"/>
      <c r="K374" s="18"/>
      <c r="L374" s="17"/>
      <c r="M374" s="18"/>
      <c r="N374" s="18"/>
      <c r="O374" s="17"/>
      <c r="P374" s="17"/>
      <c r="Q374" s="17"/>
      <c r="R374" s="18"/>
      <c r="S374" s="18"/>
      <c r="T374" s="17"/>
      <c r="U374" s="17"/>
      <c r="V374" s="17" t="str">
        <f>+CONCATENATE(E374,".",F374,"\",G374,".",H374,":",I374)</f>
        <v>2.5\0.10:</v>
      </c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64"/>
      <c r="AH374" s="64"/>
      <c r="AI374" s="64"/>
      <c r="AJ374" s="64"/>
      <c r="AK374" s="64"/>
      <c r="AL374" s="264"/>
      <c r="AM374" s="84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</row>
    <row r="375" spans="1:51" s="33" customFormat="1" x14ac:dyDescent="0.3">
      <c r="A375" s="162" t="str">
        <f>A374</f>
        <v>BBD131</v>
      </c>
      <c r="B375" s="17" t="s">
        <v>2275</v>
      </c>
      <c r="C375" s="18" t="str">
        <f>+C374</f>
        <v>DIO1</v>
      </c>
      <c r="D375" s="18">
        <v>132</v>
      </c>
      <c r="E375" s="84">
        <f>+E374</f>
        <v>2</v>
      </c>
      <c r="F375" s="84">
        <f>+F374</f>
        <v>5</v>
      </c>
      <c r="G375" s="84">
        <v>0</v>
      </c>
      <c r="H375" s="186">
        <f>+H374</f>
        <v>10</v>
      </c>
      <c r="I375" s="187"/>
      <c r="J375" s="266"/>
      <c r="K375" s="18"/>
      <c r="L375" s="17"/>
      <c r="M375" s="18"/>
      <c r="N375" s="18"/>
      <c r="O375" s="17"/>
      <c r="P375" s="17"/>
      <c r="Q375" s="17"/>
      <c r="R375" s="18"/>
      <c r="S375" s="18"/>
      <c r="T375" s="17"/>
      <c r="U375" s="17"/>
      <c r="V375" s="17" t="str">
        <f>+CONCATENATE(E375,".",F375,"\",G375,".",H375,":",I375)</f>
        <v>2.5\0.10:</v>
      </c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64"/>
      <c r="AH375" s="64"/>
      <c r="AI375" s="64"/>
      <c r="AJ375" s="64"/>
      <c r="AK375" s="64"/>
      <c r="AL375" s="264"/>
      <c r="AM375" s="84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</row>
    <row r="376" spans="1:51" s="33" customFormat="1" ht="13.5" thickBot="1" x14ac:dyDescent="0.35">
      <c r="A376" s="162" t="str">
        <f>A375</f>
        <v>BBD131</v>
      </c>
      <c r="B376" s="17" t="s">
        <v>2275</v>
      </c>
      <c r="C376" s="18" t="str">
        <f>+C375</f>
        <v>DIO1</v>
      </c>
      <c r="D376" s="18">
        <v>132</v>
      </c>
      <c r="E376" s="84">
        <f>+E375</f>
        <v>2</v>
      </c>
      <c r="F376" s="84">
        <f>+F375</f>
        <v>5</v>
      </c>
      <c r="G376" s="84">
        <v>0</v>
      </c>
      <c r="H376" s="186">
        <f>+H375</f>
        <v>10</v>
      </c>
      <c r="I376" s="191"/>
      <c r="J376" s="265"/>
      <c r="K376" s="18"/>
      <c r="L376" s="17"/>
      <c r="M376" s="18"/>
      <c r="N376" s="18"/>
      <c r="O376" s="17"/>
      <c r="P376" s="17"/>
      <c r="Q376" s="17"/>
      <c r="R376" s="18"/>
      <c r="S376" s="18"/>
      <c r="T376" s="18"/>
      <c r="U376" s="17"/>
      <c r="V376" s="17" t="str">
        <f>+CONCATENATE(E376,".",F376,"\",G376,".",H376,":",I376)</f>
        <v>2.5\0.10:</v>
      </c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64"/>
      <c r="AH376" s="64"/>
      <c r="AI376" s="64"/>
      <c r="AJ376" s="64"/>
      <c r="AK376" s="64"/>
      <c r="AL376" s="264"/>
      <c r="AM376" s="84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</row>
    <row r="377" spans="1:51" s="33" customFormat="1" x14ac:dyDescent="0.3">
      <c r="A377" s="162" t="str">
        <f>A376</f>
        <v>BBD131</v>
      </c>
      <c r="B377" s="17" t="s">
        <v>2275</v>
      </c>
      <c r="C377" s="18" t="str">
        <f>+C376</f>
        <v>DIO1</v>
      </c>
      <c r="D377" s="18">
        <v>132</v>
      </c>
      <c r="E377" s="84">
        <f>+E376</f>
        <v>2</v>
      </c>
      <c r="F377" s="84">
        <f>+F376</f>
        <v>5</v>
      </c>
      <c r="G377" s="84">
        <v>0</v>
      </c>
      <c r="H377" s="214">
        <v>11</v>
      </c>
      <c r="I377" s="188"/>
      <c r="J377" s="267"/>
      <c r="K377" s="68" t="s">
        <v>698</v>
      </c>
      <c r="L377" s="17"/>
      <c r="M377" s="18"/>
      <c r="N377" s="18"/>
      <c r="O377" s="17"/>
      <c r="P377" s="17"/>
      <c r="Q377" s="17"/>
      <c r="R377" s="18"/>
      <c r="S377" s="18"/>
      <c r="T377" s="18"/>
      <c r="U377" s="17"/>
      <c r="V377" s="17" t="str">
        <f>+CONCATENATE(E377,".",F377,"\",G377,".",H377,":",I377)</f>
        <v>2.5\0.11:</v>
      </c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64"/>
      <c r="AH377" s="64"/>
      <c r="AI377" s="64"/>
      <c r="AJ377" s="64"/>
      <c r="AK377" s="64"/>
      <c r="AL377" s="264"/>
      <c r="AM377" s="84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</row>
    <row r="378" spans="1:51" s="33" customFormat="1" x14ac:dyDescent="0.3">
      <c r="A378" s="162" t="str">
        <f>A377</f>
        <v>BBD131</v>
      </c>
      <c r="B378" s="17" t="s">
        <v>2275</v>
      </c>
      <c r="C378" s="18" t="str">
        <f>+C377</f>
        <v>DIO1</v>
      </c>
      <c r="D378" s="18">
        <v>132</v>
      </c>
      <c r="E378" s="84">
        <f>+E377</f>
        <v>2</v>
      </c>
      <c r="F378" s="84">
        <f>+F377</f>
        <v>5</v>
      </c>
      <c r="G378" s="84">
        <v>0</v>
      </c>
      <c r="H378" s="186">
        <f>+H377</f>
        <v>11</v>
      </c>
      <c r="I378" s="187"/>
      <c r="J378" s="266"/>
      <c r="K378" s="18"/>
      <c r="L378" s="17"/>
      <c r="M378" s="18"/>
      <c r="N378" s="18"/>
      <c r="O378" s="17"/>
      <c r="P378" s="17"/>
      <c r="Q378" s="17"/>
      <c r="R378" s="18"/>
      <c r="S378" s="18"/>
      <c r="T378" s="18"/>
      <c r="U378" s="17"/>
      <c r="V378" s="17" t="str">
        <f>+CONCATENATE(E378,".",F378,"\",G378,".",H378,":",I378)</f>
        <v>2.5\0.11:</v>
      </c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64"/>
      <c r="AH378" s="64"/>
      <c r="AI378" s="64"/>
      <c r="AJ378" s="64"/>
      <c r="AK378" s="64"/>
      <c r="AL378" s="264"/>
      <c r="AM378" s="84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</row>
    <row r="379" spans="1:51" s="33" customFormat="1" x14ac:dyDescent="0.3">
      <c r="A379" s="162" t="str">
        <f>A378</f>
        <v>BBD131</v>
      </c>
      <c r="B379" s="17" t="s">
        <v>2275</v>
      </c>
      <c r="C379" s="18" t="str">
        <f>+C378</f>
        <v>DIO1</v>
      </c>
      <c r="D379" s="18">
        <v>132</v>
      </c>
      <c r="E379" s="84">
        <f>+E378</f>
        <v>2</v>
      </c>
      <c r="F379" s="84">
        <f>+F378</f>
        <v>5</v>
      </c>
      <c r="G379" s="84">
        <v>0</v>
      </c>
      <c r="H379" s="186">
        <f>+H378</f>
        <v>11</v>
      </c>
      <c r="I379" s="187"/>
      <c r="J379" s="266"/>
      <c r="K379" s="18"/>
      <c r="L379" s="17"/>
      <c r="M379" s="18"/>
      <c r="N379" s="18"/>
      <c r="O379" s="17"/>
      <c r="P379" s="17"/>
      <c r="Q379" s="17"/>
      <c r="R379" s="18"/>
      <c r="S379" s="18"/>
      <c r="T379" s="18"/>
      <c r="U379" s="17"/>
      <c r="V379" s="17" t="str">
        <f>+CONCATENATE(E379,".",F379,"\",G379,".",H379,":",I379)</f>
        <v>2.5\0.11:</v>
      </c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64"/>
      <c r="AH379" s="64"/>
      <c r="AI379" s="64"/>
      <c r="AJ379" s="64"/>
      <c r="AK379" s="64"/>
      <c r="AL379" s="264"/>
      <c r="AM379" s="84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</row>
    <row r="380" spans="1:51" s="33" customFormat="1" ht="13.5" thickBot="1" x14ac:dyDescent="0.35">
      <c r="A380" s="162" t="str">
        <f>A379</f>
        <v>BBD131</v>
      </c>
      <c r="B380" s="17" t="s">
        <v>2275</v>
      </c>
      <c r="C380" s="18" t="str">
        <f>+C379</f>
        <v>DIO1</v>
      </c>
      <c r="D380" s="18">
        <v>132</v>
      </c>
      <c r="E380" s="84">
        <f>+E379</f>
        <v>2</v>
      </c>
      <c r="F380" s="84">
        <f>+F379</f>
        <v>5</v>
      </c>
      <c r="G380" s="84">
        <v>0</v>
      </c>
      <c r="H380" s="186">
        <f>+H379</f>
        <v>11</v>
      </c>
      <c r="I380" s="191"/>
      <c r="J380" s="265"/>
      <c r="K380" s="18"/>
      <c r="L380" s="17"/>
      <c r="M380" s="18"/>
      <c r="N380" s="18"/>
      <c r="O380" s="17"/>
      <c r="P380" s="17"/>
      <c r="Q380" s="17"/>
      <c r="R380" s="18"/>
      <c r="S380" s="18"/>
      <c r="T380" s="18"/>
      <c r="U380" s="17"/>
      <c r="V380" s="17" t="str">
        <f>+CONCATENATE(E380,".",F380,"\",G380,".",H380,":",I380)</f>
        <v>2.5\0.11:</v>
      </c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64"/>
      <c r="AH380" s="64"/>
      <c r="AI380" s="64"/>
      <c r="AJ380" s="64"/>
      <c r="AK380" s="64"/>
      <c r="AL380" s="264"/>
      <c r="AM380" s="84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</row>
    <row r="381" spans="1:51" s="33" customFormat="1" x14ac:dyDescent="0.3">
      <c r="A381" s="162"/>
      <c r="B381" s="17"/>
      <c r="C381" s="63"/>
      <c r="D381" s="18"/>
      <c r="E381" s="288"/>
      <c r="F381" s="288"/>
      <c r="G381" s="288"/>
      <c r="H381" s="63"/>
      <c r="I381" s="63"/>
      <c r="J381" s="63"/>
      <c r="K381" s="65"/>
      <c r="L381" s="79"/>
      <c r="M381" s="17"/>
      <c r="N381" s="17"/>
      <c r="O381" s="18"/>
      <c r="P381" s="18"/>
      <c r="Q381" s="18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64"/>
      <c r="AH381" s="64"/>
      <c r="AI381" s="64"/>
      <c r="AJ381" s="64"/>
      <c r="AK381" s="64"/>
      <c r="AL381" s="264"/>
      <c r="AM381" s="84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</row>
    <row r="382" spans="1:51" s="33" customFormat="1" ht="14.5" x14ac:dyDescent="0.35">
      <c r="A382" s="162" t="str">
        <f>+A380</f>
        <v>BBD131</v>
      </c>
      <c r="B382" s="17" t="s">
        <v>2275</v>
      </c>
      <c r="C382" s="17"/>
      <c r="D382" s="18">
        <v>132</v>
      </c>
      <c r="E382" s="65"/>
      <c r="F382" s="65"/>
      <c r="G382" s="65"/>
      <c r="H382" s="63"/>
      <c r="I382" s="18"/>
      <c r="J382" s="18"/>
      <c r="K382" s="18"/>
      <c r="L382" s="17"/>
      <c r="M382" s="18">
        <v>5</v>
      </c>
      <c r="N382" s="59" t="s">
        <v>93</v>
      </c>
      <c r="O382" s="17" t="s">
        <v>794</v>
      </c>
      <c r="P382" s="17"/>
      <c r="Q382" s="33" t="s">
        <v>2276</v>
      </c>
      <c r="R382" s="18"/>
      <c r="S382" s="17" t="s">
        <v>2273</v>
      </c>
      <c r="T382" s="17" t="s">
        <v>623</v>
      </c>
      <c r="U382" s="17"/>
      <c r="V382" s="17"/>
      <c r="W382" s="17" t="s">
        <v>98</v>
      </c>
      <c r="X382" s="17"/>
      <c r="Y382" s="17"/>
      <c r="Z382" s="17"/>
      <c r="AA382" s="17"/>
      <c r="AB382" s="17"/>
      <c r="AC382" s="17"/>
      <c r="AD382" s="17"/>
      <c r="AE382" s="17"/>
      <c r="AF382" s="17"/>
      <c r="AG382" s="23" t="s">
        <v>838</v>
      </c>
      <c r="AH382" s="23" t="s">
        <v>190</v>
      </c>
      <c r="AI382" s="23" t="s">
        <v>189</v>
      </c>
      <c r="AJ382" s="23" t="s">
        <v>188</v>
      </c>
      <c r="AK382" s="23">
        <v>4</v>
      </c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</row>
    <row r="383" spans="1:51" s="33" customFormat="1" ht="14.5" x14ac:dyDescent="0.35">
      <c r="A383" s="162" t="str">
        <f>A382</f>
        <v>BBD131</v>
      </c>
      <c r="B383" s="17" t="s">
        <v>2275</v>
      </c>
      <c r="C383" s="17"/>
      <c r="D383" s="18">
        <v>132</v>
      </c>
      <c r="E383" s="65"/>
      <c r="F383" s="65"/>
      <c r="G383" s="65"/>
      <c r="H383" s="63"/>
      <c r="I383" s="18"/>
      <c r="J383" s="18"/>
      <c r="K383" s="65"/>
      <c r="L383" s="79"/>
      <c r="M383" s="17">
        <v>5</v>
      </c>
      <c r="N383" s="59" t="s">
        <v>86</v>
      </c>
      <c r="O383" s="18" t="s">
        <v>794</v>
      </c>
      <c r="P383" s="18"/>
      <c r="Q383" s="33" t="s">
        <v>2274</v>
      </c>
      <c r="R383" s="17"/>
      <c r="S383" s="17" t="s">
        <v>2273</v>
      </c>
      <c r="T383" s="17" t="s">
        <v>610</v>
      </c>
      <c r="U383" s="17"/>
      <c r="V383" s="17"/>
      <c r="W383" s="17" t="s">
        <v>91</v>
      </c>
      <c r="X383" s="17"/>
      <c r="Y383" s="17"/>
      <c r="Z383" s="17"/>
      <c r="AA383" s="17"/>
      <c r="AB383" s="17"/>
      <c r="AC383" s="17"/>
      <c r="AD383" s="17"/>
      <c r="AE383" s="17"/>
      <c r="AF383" s="17"/>
      <c r="AG383" s="23" t="s">
        <v>838</v>
      </c>
      <c r="AH383" s="23" t="s">
        <v>183</v>
      </c>
      <c r="AI383" s="23" t="s">
        <v>182</v>
      </c>
      <c r="AJ383" s="23" t="s">
        <v>181</v>
      </c>
      <c r="AK383" s="23">
        <v>8</v>
      </c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</row>
    <row r="384" spans="1:51" s="33" customFormat="1" x14ac:dyDescent="0.3">
      <c r="A384" s="63"/>
      <c r="B384" s="17"/>
      <c r="C384" s="63"/>
      <c r="D384" s="18"/>
      <c r="E384" s="288"/>
      <c r="F384" s="288"/>
      <c r="G384" s="288"/>
      <c r="H384" s="63"/>
      <c r="I384" s="18"/>
      <c r="J384" s="18"/>
      <c r="K384" s="84"/>
      <c r="L384" s="64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7"/>
      <c r="AA384" s="17"/>
      <c r="AB384" s="17"/>
      <c r="AC384" s="17"/>
      <c r="AD384" s="17"/>
      <c r="AE384" s="17"/>
      <c r="AF384" s="17"/>
      <c r="AG384" s="23" t="s">
        <v>838</v>
      </c>
      <c r="AH384" s="23" t="s">
        <v>176</v>
      </c>
      <c r="AI384" s="23" t="s">
        <v>175</v>
      </c>
      <c r="AJ384" s="23" t="s">
        <v>174</v>
      </c>
      <c r="AK384" s="23">
        <v>12</v>
      </c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</row>
    <row r="385" spans="1:51" s="33" customFormat="1" x14ac:dyDescent="0.3">
      <c r="A385" s="63"/>
      <c r="B385" s="17"/>
      <c r="C385" s="63"/>
      <c r="D385" s="18"/>
      <c r="E385" s="288"/>
      <c r="F385" s="288"/>
      <c r="G385" s="288"/>
      <c r="H385" s="63"/>
      <c r="I385" s="63"/>
      <c r="J385" s="17"/>
      <c r="K385" s="84"/>
      <c r="L385" s="64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7"/>
      <c r="AE385" s="17"/>
      <c r="AF385" s="17"/>
      <c r="AG385" s="23" t="s">
        <v>838</v>
      </c>
      <c r="AH385" s="23" t="s">
        <v>169</v>
      </c>
      <c r="AI385" s="23" t="s">
        <v>168</v>
      </c>
      <c r="AJ385" s="23" t="s">
        <v>167</v>
      </c>
      <c r="AK385" s="23">
        <v>16</v>
      </c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</row>
    <row r="386" spans="1:51" s="33" customFormat="1" x14ac:dyDescent="0.3">
      <c r="A386" s="63"/>
      <c r="B386" s="17"/>
      <c r="C386" s="17"/>
      <c r="D386" s="18"/>
      <c r="E386" s="84"/>
      <c r="F386" s="84"/>
      <c r="G386" s="84"/>
      <c r="H386" s="17"/>
      <c r="I386" s="17"/>
      <c r="J386" s="17"/>
      <c r="K386" s="17"/>
      <c r="L386" s="17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7"/>
      <c r="AE386" s="17"/>
      <c r="AF386" s="17"/>
      <c r="AG386" s="23" t="s">
        <v>838</v>
      </c>
      <c r="AH386" s="23" t="s">
        <v>161</v>
      </c>
      <c r="AI386" s="23" t="s">
        <v>160</v>
      </c>
      <c r="AJ386" s="23" t="s">
        <v>159</v>
      </c>
      <c r="AK386" s="23">
        <v>20</v>
      </c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</row>
    <row r="387" spans="1:51" s="33" customFormat="1" x14ac:dyDescent="0.3">
      <c r="A387" s="63"/>
      <c r="B387" s="17"/>
      <c r="C387" s="17"/>
      <c r="D387" s="18"/>
      <c r="E387" s="84"/>
      <c r="F387" s="84"/>
      <c r="G387" s="84"/>
      <c r="H387" s="17"/>
      <c r="I387" s="17"/>
      <c r="J387" s="17"/>
      <c r="K387" s="17"/>
      <c r="L387" s="17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7"/>
      <c r="AE387" s="17"/>
      <c r="AF387" s="17"/>
      <c r="AG387" s="23" t="s">
        <v>838</v>
      </c>
      <c r="AH387" s="23" t="s">
        <v>154</v>
      </c>
      <c r="AI387" s="23" t="s">
        <v>153</v>
      </c>
      <c r="AJ387" s="23" t="s">
        <v>152</v>
      </c>
      <c r="AK387" s="23">
        <v>24</v>
      </c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</row>
    <row r="388" spans="1:51" s="33" customFormat="1" x14ac:dyDescent="0.3">
      <c r="A388" s="63"/>
      <c r="B388" s="17"/>
      <c r="C388" s="17"/>
      <c r="D388" s="18"/>
      <c r="E388" s="84"/>
      <c r="F388" s="84"/>
      <c r="G388" s="84"/>
      <c r="H388" s="17"/>
      <c r="I388" s="17"/>
      <c r="J388" s="17"/>
      <c r="K388" s="17"/>
      <c r="L388" s="17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7"/>
      <c r="AE388" s="17"/>
      <c r="AF388" s="17"/>
      <c r="AG388" s="23" t="s">
        <v>838</v>
      </c>
      <c r="AH388" s="23" t="s">
        <v>150</v>
      </c>
      <c r="AI388" s="23" t="s">
        <v>149</v>
      </c>
      <c r="AJ388" s="23" t="s">
        <v>148</v>
      </c>
      <c r="AK388" s="23">
        <v>28</v>
      </c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</row>
    <row r="389" spans="1:51" s="33" customFormat="1" x14ac:dyDescent="0.3">
      <c r="A389" s="63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7"/>
      <c r="AE389" s="17"/>
      <c r="AF389" s="17"/>
      <c r="AG389" s="23" t="s">
        <v>838</v>
      </c>
      <c r="AH389" s="23" t="s">
        <v>144</v>
      </c>
      <c r="AI389" s="23" t="s">
        <v>143</v>
      </c>
      <c r="AJ389" s="23" t="s">
        <v>142</v>
      </c>
      <c r="AK389" s="23">
        <v>32</v>
      </c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</row>
    <row r="390" spans="1:51" s="33" customFormat="1" x14ac:dyDescent="0.3">
      <c r="A390" s="63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7"/>
      <c r="AE390" s="17"/>
      <c r="AF390" s="17"/>
      <c r="AG390" s="23" t="s">
        <v>838</v>
      </c>
      <c r="AH390" s="23" t="s">
        <v>137</v>
      </c>
      <c r="AI390" s="23" t="s">
        <v>136</v>
      </c>
      <c r="AJ390" s="23" t="s">
        <v>135</v>
      </c>
      <c r="AK390" s="23">
        <v>36</v>
      </c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</row>
    <row r="391" spans="1:51" s="33" customFormat="1" x14ac:dyDescent="0.3">
      <c r="A391" s="63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7"/>
      <c r="AE391" s="17"/>
      <c r="AF391" s="17"/>
      <c r="AG391" s="23" t="s">
        <v>838</v>
      </c>
      <c r="AH391" s="23" t="s">
        <v>134</v>
      </c>
      <c r="AI391" s="23" t="s">
        <v>133</v>
      </c>
      <c r="AJ391" s="23" t="s">
        <v>132</v>
      </c>
      <c r="AK391" s="23">
        <v>40</v>
      </c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</row>
    <row r="392" spans="1:51" s="33" customFormat="1" x14ac:dyDescent="0.3">
      <c r="A392" s="63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7"/>
      <c r="AE392" s="17"/>
      <c r="AF392" s="17"/>
      <c r="AG392" s="23" t="s">
        <v>838</v>
      </c>
      <c r="AH392" s="23" t="s">
        <v>130</v>
      </c>
      <c r="AI392" s="23" t="s">
        <v>129</v>
      </c>
      <c r="AJ392" s="23" t="s">
        <v>128</v>
      </c>
      <c r="AK392" s="23">
        <v>44</v>
      </c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</row>
    <row r="393" spans="1:51" s="33" customFormat="1" x14ac:dyDescent="0.3">
      <c r="A393" s="63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7"/>
      <c r="AE393" s="17"/>
      <c r="AF393" s="17"/>
      <c r="AG393" s="23" t="s">
        <v>838</v>
      </c>
      <c r="AH393" s="23" t="s">
        <v>125</v>
      </c>
      <c r="AI393" s="23" t="s">
        <v>124</v>
      </c>
      <c r="AJ393" s="23" t="s">
        <v>123</v>
      </c>
      <c r="AK393" s="23">
        <v>48</v>
      </c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</row>
    <row r="394" spans="1:51" s="33" customFormat="1" x14ac:dyDescent="0.3">
      <c r="A394" s="63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7"/>
      <c r="AE394" s="17"/>
      <c r="AF394" s="17"/>
      <c r="AG394" s="64"/>
      <c r="AH394" s="64"/>
      <c r="AI394" s="64"/>
      <c r="AJ394" s="64"/>
      <c r="AK394" s="64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</row>
    <row r="395" spans="1:51" s="33" customFormat="1" x14ac:dyDescent="0.3">
      <c r="A395" s="63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46"/>
      <c r="AC395" s="17"/>
      <c r="AD395" s="17"/>
      <c r="AE395" s="17"/>
      <c r="AF395" s="17"/>
      <c r="AG395" s="64"/>
      <c r="AH395" s="64"/>
      <c r="AI395" s="64"/>
      <c r="AJ395" s="64"/>
      <c r="AK395" s="64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</row>
    <row r="396" spans="1:51" s="33" customFormat="1" x14ac:dyDescent="0.3">
      <c r="A396" s="63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46"/>
      <c r="AC396" s="17"/>
      <c r="AD396" s="17"/>
      <c r="AE396" s="17"/>
      <c r="AF396" s="17"/>
      <c r="AG396" s="64"/>
      <c r="AH396" s="64"/>
      <c r="AI396" s="64"/>
      <c r="AJ396" s="64"/>
      <c r="AK396" s="64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</row>
    <row r="397" spans="1:51" s="83" customFormat="1" ht="15.5" x14ac:dyDescent="0.35">
      <c r="A397" s="256"/>
      <c r="B397" s="96" t="s">
        <v>2272</v>
      </c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87"/>
      <c r="O397" s="256"/>
      <c r="P397" s="287"/>
      <c r="Q397" s="256"/>
      <c r="R397" s="256"/>
      <c r="S397" s="256"/>
      <c r="T397" s="256"/>
      <c r="U397" s="256"/>
      <c r="V397" s="256"/>
      <c r="W397" s="287"/>
      <c r="X397" s="256"/>
      <c r="Y397" s="256"/>
      <c r="Z397" s="46"/>
      <c r="AA397" s="46"/>
      <c r="AB397" s="20"/>
      <c r="AC397" s="46"/>
      <c r="AD397" s="46"/>
      <c r="AE397" s="46"/>
      <c r="AF397" s="46"/>
      <c r="AG397" s="92"/>
      <c r="AH397" s="92"/>
      <c r="AI397" s="92"/>
      <c r="AJ397" s="92"/>
      <c r="AK397" s="92"/>
      <c r="AL397" s="284"/>
      <c r="AM397" s="94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</row>
    <row r="398" spans="1:51" s="83" customFormat="1" ht="13.5" thickBot="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Y398" s="46"/>
      <c r="Z398" s="46"/>
      <c r="AA398" s="46"/>
      <c r="AB398" s="20"/>
      <c r="AC398" s="46"/>
      <c r="AD398" s="46"/>
      <c r="AE398" s="46"/>
      <c r="AF398" s="46"/>
      <c r="AG398" s="92"/>
      <c r="AH398" s="92"/>
      <c r="AI398" s="92"/>
      <c r="AJ398" s="92"/>
      <c r="AK398" s="92"/>
      <c r="AL398" s="284"/>
      <c r="AM398" s="94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</row>
    <row r="399" spans="1:51" s="33" customFormat="1" ht="13.5" thickBot="1" x14ac:dyDescent="0.35">
      <c r="A399" s="162" t="s">
        <v>2271</v>
      </c>
      <c r="B399" s="17" t="s">
        <v>2175</v>
      </c>
      <c r="C399" s="18" t="s">
        <v>723</v>
      </c>
      <c r="D399" s="18">
        <v>132</v>
      </c>
      <c r="E399" s="84">
        <v>2</v>
      </c>
      <c r="F399" s="84">
        <v>6</v>
      </c>
      <c r="G399" s="84">
        <v>0</v>
      </c>
      <c r="H399" s="214"/>
      <c r="I399" s="245"/>
      <c r="J399" s="244"/>
      <c r="K399" s="18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20"/>
      <c r="Z399" s="20"/>
      <c r="AA399" s="20"/>
      <c r="AB399" s="20"/>
      <c r="AC399" s="20"/>
      <c r="AD399" s="20"/>
      <c r="AE399" s="20"/>
      <c r="AF399" s="20"/>
      <c r="AG399" s="92"/>
      <c r="AH399" s="92"/>
      <c r="AI399" s="92"/>
      <c r="AJ399" s="92"/>
      <c r="AK399" s="92"/>
      <c r="AL399" s="284"/>
      <c r="AM399" s="17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</row>
    <row r="400" spans="1:51" s="33" customFormat="1" ht="13.5" thickBot="1" x14ac:dyDescent="0.35">
      <c r="A400" s="268" t="s">
        <v>194</v>
      </c>
      <c r="B400" s="17" t="s">
        <v>2175</v>
      </c>
      <c r="C400" s="18" t="str">
        <f>+C399</f>
        <v>DIO1</v>
      </c>
      <c r="D400" s="18">
        <v>132</v>
      </c>
      <c r="E400" s="84">
        <f>+E399</f>
        <v>2</v>
      </c>
      <c r="F400" s="84">
        <f>+F399</f>
        <v>6</v>
      </c>
      <c r="G400" s="84">
        <v>0</v>
      </c>
      <c r="H400" s="83"/>
      <c r="I400" s="245" t="s">
        <v>1090</v>
      </c>
      <c r="J400" s="246"/>
      <c r="K400" s="17" t="s">
        <v>1089</v>
      </c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20"/>
      <c r="Z400" s="20"/>
      <c r="AA400" s="20"/>
      <c r="AB400" s="17"/>
      <c r="AC400" s="20"/>
      <c r="AD400" s="20"/>
      <c r="AE400" s="20"/>
      <c r="AF400" s="20"/>
      <c r="AG400" s="92"/>
      <c r="AH400" s="92"/>
      <c r="AI400" s="92"/>
      <c r="AJ400" s="92"/>
      <c r="AK400" s="92"/>
      <c r="AL400" s="284"/>
      <c r="AM400" s="17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</row>
    <row r="401" spans="1:51" s="33" customFormat="1" ht="13.5" thickBot="1" x14ac:dyDescent="0.35">
      <c r="A401" s="268" t="s">
        <v>194</v>
      </c>
      <c r="B401" s="17" t="s">
        <v>2175</v>
      </c>
      <c r="C401" s="18" t="str">
        <f>+C400</f>
        <v>DIO1</v>
      </c>
      <c r="D401" s="18">
        <v>132</v>
      </c>
      <c r="E401" s="84">
        <f>+E400</f>
        <v>2</v>
      </c>
      <c r="F401" s="84">
        <f>+F400</f>
        <v>6</v>
      </c>
      <c r="G401" s="84">
        <v>0</v>
      </c>
      <c r="H401" s="83"/>
      <c r="I401" s="245" t="s">
        <v>1088</v>
      </c>
      <c r="J401" s="246"/>
      <c r="K401" s="18" t="s">
        <v>1087</v>
      </c>
      <c r="L401" s="83"/>
      <c r="M401" s="242" t="s">
        <v>1086</v>
      </c>
      <c r="N401" s="84"/>
      <c r="O401" s="242" t="s">
        <v>1085</v>
      </c>
      <c r="P401" s="84"/>
      <c r="Q401" s="242" t="s">
        <v>1084</v>
      </c>
      <c r="R401" s="83"/>
      <c r="S401" s="83"/>
      <c r="T401" s="83"/>
      <c r="U401" s="83"/>
      <c r="V401" s="83"/>
      <c r="W401" s="83"/>
      <c r="X401" s="83"/>
      <c r="Y401" s="64" t="s">
        <v>2270</v>
      </c>
      <c r="Z401" s="64"/>
      <c r="AA401" s="64"/>
      <c r="AB401" s="17"/>
      <c r="AC401" s="20"/>
      <c r="AD401" s="20"/>
      <c r="AE401" s="20"/>
      <c r="AF401" s="17"/>
      <c r="AG401" s="92"/>
      <c r="AH401" s="92"/>
      <c r="AI401" s="92"/>
      <c r="AJ401" s="92"/>
      <c r="AK401" s="92"/>
      <c r="AL401" s="284"/>
      <c r="AM401" s="17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</row>
    <row r="402" spans="1:51" s="33" customFormat="1" ht="13.5" thickBot="1" x14ac:dyDescent="0.35">
      <c r="A402" s="268" t="s">
        <v>194</v>
      </c>
      <c r="B402" s="17" t="s">
        <v>2175</v>
      </c>
      <c r="C402" s="18" t="str">
        <f>+C401</f>
        <v>DIO1</v>
      </c>
      <c r="D402" s="18">
        <v>132</v>
      </c>
      <c r="E402" s="84">
        <f>+E401</f>
        <v>2</v>
      </c>
      <c r="F402" s="84">
        <f>+F401</f>
        <v>6</v>
      </c>
      <c r="G402" s="84">
        <v>0</v>
      </c>
      <c r="H402" s="65">
        <v>0</v>
      </c>
      <c r="I402" s="245" t="s">
        <v>1083</v>
      </c>
      <c r="J402" s="244"/>
      <c r="K402" s="17" t="s">
        <v>1082</v>
      </c>
      <c r="L402" s="99" t="s">
        <v>1314</v>
      </c>
      <c r="M402" s="242">
        <f>+COUNTA(L403:L538)</f>
        <v>128</v>
      </c>
      <c r="N402" s="84"/>
      <c r="O402" s="242">
        <f>+COUNTBLANK(O403:O538)</f>
        <v>72</v>
      </c>
      <c r="P402" s="84"/>
      <c r="Q402" s="241">
        <f>+O402/M402</f>
        <v>0.5625</v>
      </c>
      <c r="R402" s="17"/>
      <c r="S402" s="17"/>
      <c r="T402" s="17"/>
      <c r="U402" s="17"/>
      <c r="V402" s="17"/>
      <c r="W402" s="17"/>
      <c r="X402" s="17"/>
      <c r="Y402" s="20" t="s">
        <v>2269</v>
      </c>
      <c r="Z402" s="20"/>
      <c r="AA402" s="20"/>
      <c r="AB402" s="17"/>
      <c r="AC402" s="20"/>
      <c r="AD402" s="20"/>
      <c r="AE402" s="20"/>
      <c r="AF402" s="17"/>
      <c r="AG402" s="64"/>
      <c r="AH402" s="64"/>
      <c r="AI402" s="64"/>
      <c r="AJ402" s="64"/>
      <c r="AK402" s="64"/>
      <c r="AL402" s="264"/>
      <c r="AM402" s="17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</row>
    <row r="403" spans="1:51" s="33" customFormat="1" ht="14.5" x14ac:dyDescent="0.35">
      <c r="A403" s="268" t="s">
        <v>194</v>
      </c>
      <c r="B403" s="17" t="s">
        <v>2175</v>
      </c>
      <c r="C403" s="18" t="str">
        <f>+C402</f>
        <v>DIO1</v>
      </c>
      <c r="D403" s="18">
        <v>132</v>
      </c>
      <c r="E403" s="84">
        <f>+E402</f>
        <v>2</v>
      </c>
      <c r="F403" s="84">
        <f>+F402</f>
        <v>6</v>
      </c>
      <c r="G403" s="84">
        <v>0</v>
      </c>
      <c r="H403" s="214">
        <v>1</v>
      </c>
      <c r="I403" s="188">
        <v>0</v>
      </c>
      <c r="J403" s="205" t="s">
        <v>767</v>
      </c>
      <c r="K403" s="18" t="s">
        <v>766</v>
      </c>
      <c r="L403" s="17" t="s">
        <v>323</v>
      </c>
      <c r="M403" s="18">
        <v>4</v>
      </c>
      <c r="N403" s="300"/>
      <c r="O403" s="18" t="s">
        <v>646</v>
      </c>
      <c r="P403" s="59"/>
      <c r="Q403" s="18" t="s">
        <v>2268</v>
      </c>
      <c r="R403" s="18" t="s">
        <v>247</v>
      </c>
      <c r="S403" s="97" t="s">
        <v>1312</v>
      </c>
      <c r="T403" s="97" t="s">
        <v>9</v>
      </c>
      <c r="U403" s="97"/>
      <c r="V403" s="17" t="str">
        <f>+CONCATENATE(E403,".",F403,"\",G403,".",H403,":",I403)</f>
        <v>2.6\0.1:0</v>
      </c>
      <c r="W403" s="17" t="s">
        <v>2265</v>
      </c>
      <c r="X403" s="17">
        <v>0</v>
      </c>
      <c r="Y403" s="20"/>
      <c r="Z403" s="20" t="s">
        <v>1200</v>
      </c>
      <c r="AA403" s="20"/>
      <c r="AB403" s="20"/>
      <c r="AC403" s="20"/>
      <c r="AD403" s="20"/>
      <c r="AE403" s="20"/>
      <c r="AF403" s="17"/>
      <c r="AG403" s="64" t="s">
        <v>1079</v>
      </c>
      <c r="AH403" s="64"/>
      <c r="AI403" s="64">
        <v>1</v>
      </c>
      <c r="AJ403" s="64"/>
      <c r="AK403" s="64"/>
      <c r="AL403" s="264"/>
      <c r="AM403" s="84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</row>
    <row r="404" spans="1:51" s="33" customFormat="1" ht="14.5" x14ac:dyDescent="0.35">
      <c r="A404" s="268" t="s">
        <v>194</v>
      </c>
      <c r="B404" s="17" t="s">
        <v>2175</v>
      </c>
      <c r="C404" s="18" t="str">
        <f>+C403</f>
        <v>DIO1</v>
      </c>
      <c r="D404" s="18">
        <v>132</v>
      </c>
      <c r="E404" s="84">
        <f>+E403</f>
        <v>2</v>
      </c>
      <c r="F404" s="84">
        <f>+F403</f>
        <v>6</v>
      </c>
      <c r="G404" s="84">
        <v>0</v>
      </c>
      <c r="H404" s="200">
        <f>H403</f>
        <v>1</v>
      </c>
      <c r="I404" s="187">
        <f>+I403+1</f>
        <v>1</v>
      </c>
      <c r="J404" s="205"/>
      <c r="K404" s="17"/>
      <c r="L404" s="17" t="s">
        <v>323</v>
      </c>
      <c r="M404" s="18">
        <v>4</v>
      </c>
      <c r="N404" s="300"/>
      <c r="O404" s="97" t="s">
        <v>770</v>
      </c>
      <c r="P404" s="59"/>
      <c r="Q404" s="283" t="s">
        <v>1311</v>
      </c>
      <c r="R404" s="97" t="s">
        <v>211</v>
      </c>
      <c r="S404" s="97" t="s">
        <v>1310</v>
      </c>
      <c r="T404" s="97" t="s">
        <v>9</v>
      </c>
      <c r="U404" s="97"/>
      <c r="V404" s="17" t="str">
        <f>+CONCATENATE(E404,".",F404,"\",G404,".",H404,":",I404)</f>
        <v>2.6\0.1:1</v>
      </c>
      <c r="W404" s="17" t="s">
        <v>2265</v>
      </c>
      <c r="X404" s="17">
        <v>0</v>
      </c>
      <c r="Y404" s="20"/>
      <c r="Z404" s="20" t="s">
        <v>1200</v>
      </c>
      <c r="AA404" s="20"/>
      <c r="AB404" s="20"/>
      <c r="AC404" s="20"/>
      <c r="AD404" s="20"/>
      <c r="AE404" s="20"/>
      <c r="AF404" s="17"/>
      <c r="AG404" s="64" t="s">
        <v>1079</v>
      </c>
      <c r="AH404" s="64"/>
      <c r="AI404" s="64">
        <v>2</v>
      </c>
      <c r="AJ404" s="64"/>
      <c r="AK404" s="64"/>
      <c r="AL404" s="282"/>
      <c r="AM404" s="84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</row>
    <row r="405" spans="1:51" s="33" customFormat="1" ht="14.5" x14ac:dyDescent="0.35">
      <c r="A405" s="63" t="str">
        <f>A404</f>
        <v>BCV131</v>
      </c>
      <c r="B405" s="17" t="s">
        <v>2175</v>
      </c>
      <c r="C405" s="18" t="str">
        <f>+C404</f>
        <v>DIO1</v>
      </c>
      <c r="D405" s="18">
        <v>132</v>
      </c>
      <c r="E405" s="84">
        <f>+E404</f>
        <v>2</v>
      </c>
      <c r="F405" s="84">
        <f>+F404</f>
        <v>6</v>
      </c>
      <c r="G405" s="84">
        <v>0</v>
      </c>
      <c r="H405" s="200">
        <f>H403</f>
        <v>1</v>
      </c>
      <c r="I405" s="187">
        <f>+I404+1</f>
        <v>2</v>
      </c>
      <c r="J405" s="205"/>
      <c r="K405" s="79"/>
      <c r="L405" s="17" t="s">
        <v>323</v>
      </c>
      <c r="M405" s="18">
        <v>4</v>
      </c>
      <c r="N405" s="300"/>
      <c r="O405" s="97" t="s">
        <v>837</v>
      </c>
      <c r="P405" s="59"/>
      <c r="Q405" s="17" t="s">
        <v>1309</v>
      </c>
      <c r="R405" s="97" t="s">
        <v>211</v>
      </c>
      <c r="S405" s="97" t="s">
        <v>1308</v>
      </c>
      <c r="T405" s="97" t="s">
        <v>9</v>
      </c>
      <c r="U405" s="97"/>
      <c r="V405" s="17" t="str">
        <f>+CONCATENATE(E405,".",F405,"\",G405,".",H405,":",I405)</f>
        <v>2.6\0.1:2</v>
      </c>
      <c r="W405" s="17" t="s">
        <v>2265</v>
      </c>
      <c r="X405" s="17">
        <v>0</v>
      </c>
      <c r="Y405" s="20"/>
      <c r="Z405" s="20" t="s">
        <v>1200</v>
      </c>
      <c r="AA405" s="20"/>
      <c r="AB405" s="20"/>
      <c r="AC405" s="20"/>
      <c r="AD405" s="20"/>
      <c r="AE405" s="20"/>
      <c r="AF405" s="17"/>
      <c r="AG405" s="64" t="s">
        <v>1079</v>
      </c>
      <c r="AH405" s="64"/>
      <c r="AI405" s="64">
        <v>3</v>
      </c>
      <c r="AJ405" s="64"/>
      <c r="AK405" s="64"/>
      <c r="AL405" s="282"/>
      <c r="AM405" s="84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</row>
    <row r="406" spans="1:51" s="33" customFormat="1" ht="14.5" x14ac:dyDescent="0.35">
      <c r="A406" s="63" t="str">
        <f>A405</f>
        <v>BCV131</v>
      </c>
      <c r="B406" s="17" t="s">
        <v>2175</v>
      </c>
      <c r="C406" s="18" t="str">
        <f>+C405</f>
        <v>DIO1</v>
      </c>
      <c r="D406" s="18">
        <v>132</v>
      </c>
      <c r="E406" s="84">
        <f>+E405</f>
        <v>2</v>
      </c>
      <c r="F406" s="84">
        <f>+F405</f>
        <v>6</v>
      </c>
      <c r="G406" s="84">
        <v>0</v>
      </c>
      <c r="H406" s="200">
        <f>H403</f>
        <v>1</v>
      </c>
      <c r="I406" s="187">
        <f>+I405+1</f>
        <v>3</v>
      </c>
      <c r="J406" s="205"/>
      <c r="K406" s="79"/>
      <c r="L406" s="17" t="s">
        <v>323</v>
      </c>
      <c r="M406" s="18">
        <v>4</v>
      </c>
      <c r="N406" s="300"/>
      <c r="O406" s="97" t="s">
        <v>832</v>
      </c>
      <c r="P406" s="59"/>
      <c r="Q406" s="17" t="s">
        <v>1307</v>
      </c>
      <c r="R406" s="97" t="s">
        <v>211</v>
      </c>
      <c r="S406" s="97" t="s">
        <v>1306</v>
      </c>
      <c r="T406" s="97" t="s">
        <v>9</v>
      </c>
      <c r="U406" s="97"/>
      <c r="V406" s="17" t="str">
        <f>+CONCATENATE(E406,".",F406,"\",G406,".",H406,":",I406)</f>
        <v>2.6\0.1:3</v>
      </c>
      <c r="W406" s="17" t="s">
        <v>2265</v>
      </c>
      <c r="X406" s="17">
        <v>0</v>
      </c>
      <c r="Y406" s="20"/>
      <c r="Z406" s="20" t="s">
        <v>1200</v>
      </c>
      <c r="AA406" s="20"/>
      <c r="AB406" s="20"/>
      <c r="AC406" s="20"/>
      <c r="AD406" s="20"/>
      <c r="AE406" s="20"/>
      <c r="AF406" s="17"/>
      <c r="AG406" s="64" t="s">
        <v>1079</v>
      </c>
      <c r="AH406" s="64"/>
      <c r="AI406" s="64">
        <v>4</v>
      </c>
      <c r="AJ406" s="64"/>
      <c r="AK406" s="64"/>
      <c r="AL406" s="282"/>
      <c r="AM406" s="84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</row>
    <row r="407" spans="1:51" s="33" customFormat="1" ht="14.5" x14ac:dyDescent="0.35">
      <c r="A407" s="63" t="str">
        <f>A406</f>
        <v>BCV131</v>
      </c>
      <c r="B407" s="17" t="s">
        <v>2175</v>
      </c>
      <c r="C407" s="18" t="str">
        <f>+C406</f>
        <v>DIO1</v>
      </c>
      <c r="D407" s="18">
        <v>132</v>
      </c>
      <c r="E407" s="84">
        <f>+E406</f>
        <v>2</v>
      </c>
      <c r="F407" s="84">
        <f>+F406</f>
        <v>6</v>
      </c>
      <c r="G407" s="84">
        <v>0</v>
      </c>
      <c r="H407" s="200">
        <f>H404</f>
        <v>1</v>
      </c>
      <c r="I407" s="187">
        <f>+I406+1</f>
        <v>4</v>
      </c>
      <c r="J407" s="205"/>
      <c r="K407" s="79"/>
      <c r="L407" s="17" t="s">
        <v>323</v>
      </c>
      <c r="M407" s="18">
        <v>4</v>
      </c>
      <c r="N407" s="300"/>
      <c r="O407" s="97" t="s">
        <v>828</v>
      </c>
      <c r="P407" s="59"/>
      <c r="Q407" s="17" t="s">
        <v>1305</v>
      </c>
      <c r="R407" s="97" t="s">
        <v>211</v>
      </c>
      <c r="S407" s="97" t="s">
        <v>1304</v>
      </c>
      <c r="T407" s="97" t="s">
        <v>9</v>
      </c>
      <c r="U407" s="97"/>
      <c r="V407" s="17" t="str">
        <f>+CONCATENATE(E407,".",F407,"\",G407,".",H407,":",I407)</f>
        <v>2.6\0.1:4</v>
      </c>
      <c r="W407" s="17" t="s">
        <v>2265</v>
      </c>
      <c r="X407" s="17">
        <v>0</v>
      </c>
      <c r="Y407" s="20"/>
      <c r="Z407" s="20" t="s">
        <v>1200</v>
      </c>
      <c r="AA407" s="20"/>
      <c r="AB407" s="20"/>
      <c r="AC407" s="20"/>
      <c r="AD407" s="20"/>
      <c r="AE407" s="20"/>
      <c r="AF407" s="17"/>
      <c r="AG407" s="64" t="s">
        <v>1079</v>
      </c>
      <c r="AH407" s="64"/>
      <c r="AI407" s="64">
        <v>5</v>
      </c>
      <c r="AJ407" s="64"/>
      <c r="AK407" s="64"/>
      <c r="AL407" s="264"/>
      <c r="AM407" s="84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</row>
    <row r="408" spans="1:51" s="33" customFormat="1" ht="14.5" x14ac:dyDescent="0.35">
      <c r="A408" s="63" t="str">
        <f>A407</f>
        <v>BCV131</v>
      </c>
      <c r="B408" s="17" t="s">
        <v>2175</v>
      </c>
      <c r="C408" s="18" t="str">
        <f>+C407</f>
        <v>DIO1</v>
      </c>
      <c r="D408" s="18">
        <v>132</v>
      </c>
      <c r="E408" s="84">
        <f>+E407</f>
        <v>2</v>
      </c>
      <c r="F408" s="84">
        <f>+F407</f>
        <v>6</v>
      </c>
      <c r="G408" s="84">
        <v>0</v>
      </c>
      <c r="H408" s="200">
        <f>H405</f>
        <v>1</v>
      </c>
      <c r="I408" s="187">
        <f>+I407+1</f>
        <v>5</v>
      </c>
      <c r="J408" s="205"/>
      <c r="K408" s="79"/>
      <c r="L408" s="17" t="s">
        <v>323</v>
      </c>
      <c r="M408" s="18">
        <v>4</v>
      </c>
      <c r="N408" s="18"/>
      <c r="O408" s="97" t="s">
        <v>824</v>
      </c>
      <c r="P408" s="59"/>
      <c r="Q408" s="17" t="s">
        <v>2267</v>
      </c>
      <c r="R408" s="97" t="s">
        <v>211</v>
      </c>
      <c r="S408" s="97" t="s">
        <v>1302</v>
      </c>
      <c r="T408" s="97" t="s">
        <v>9</v>
      </c>
      <c r="U408" s="97"/>
      <c r="V408" s="17" t="str">
        <f>+CONCATENATE(E408,".",F408,"\",G408,".",H408,":",I408)</f>
        <v>2.6\0.1:5</v>
      </c>
      <c r="W408" s="17" t="s">
        <v>2265</v>
      </c>
      <c r="X408" s="17">
        <v>0</v>
      </c>
      <c r="Y408" s="20"/>
      <c r="Z408" s="20" t="s">
        <v>1200</v>
      </c>
      <c r="AA408" s="20"/>
      <c r="AB408" s="20"/>
      <c r="AC408" s="20"/>
      <c r="AD408" s="20"/>
      <c r="AE408" s="20"/>
      <c r="AF408" s="17"/>
      <c r="AG408" s="64" t="s">
        <v>1079</v>
      </c>
      <c r="AH408" s="64"/>
      <c r="AI408" s="64">
        <v>6</v>
      </c>
      <c r="AJ408" s="64"/>
      <c r="AK408" s="64"/>
      <c r="AL408" s="264"/>
      <c r="AM408" s="84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</row>
    <row r="409" spans="1:51" s="33" customFormat="1" ht="14.5" x14ac:dyDescent="0.35">
      <c r="A409" s="63" t="str">
        <f>A408</f>
        <v>BCV131</v>
      </c>
      <c r="B409" s="17" t="s">
        <v>2175</v>
      </c>
      <c r="C409" s="18" t="str">
        <f>+C408</f>
        <v>DIO1</v>
      </c>
      <c r="D409" s="18">
        <v>132</v>
      </c>
      <c r="E409" s="84">
        <f>+E408</f>
        <v>2</v>
      </c>
      <c r="F409" s="84">
        <f>+F408</f>
        <v>6</v>
      </c>
      <c r="G409" s="84">
        <v>0</v>
      </c>
      <c r="H409" s="200">
        <f>H406</f>
        <v>1</v>
      </c>
      <c r="I409" s="187">
        <f>+I408+1</f>
        <v>6</v>
      </c>
      <c r="J409" s="205"/>
      <c r="K409" s="79"/>
      <c r="L409" s="17" t="s">
        <v>323</v>
      </c>
      <c r="M409" s="18">
        <v>4</v>
      </c>
      <c r="N409" s="18"/>
      <c r="O409" s="97" t="s">
        <v>820</v>
      </c>
      <c r="P409" s="59"/>
      <c r="Q409" s="17" t="s">
        <v>2266</v>
      </c>
      <c r="R409" s="97" t="s">
        <v>211</v>
      </c>
      <c r="S409" s="97" t="s">
        <v>1300</v>
      </c>
      <c r="T409" s="97" t="s">
        <v>9</v>
      </c>
      <c r="U409" s="97"/>
      <c r="V409" s="17" t="str">
        <f>+CONCATENATE(E409,".",F409,"\",G409,".",H409,":",I409)</f>
        <v>2.6\0.1:6</v>
      </c>
      <c r="W409" s="17" t="s">
        <v>2265</v>
      </c>
      <c r="X409" s="17">
        <v>0</v>
      </c>
      <c r="Y409" s="20"/>
      <c r="Z409" s="20" t="s">
        <v>1200</v>
      </c>
      <c r="AA409" s="20"/>
      <c r="AB409" s="20"/>
      <c r="AC409" s="20"/>
      <c r="AD409" s="20"/>
      <c r="AE409" s="20"/>
      <c r="AF409" s="17"/>
      <c r="AG409" s="64" t="s">
        <v>1079</v>
      </c>
      <c r="AH409" s="64"/>
      <c r="AI409" s="64">
        <v>7</v>
      </c>
      <c r="AJ409" s="64"/>
      <c r="AK409" s="64"/>
      <c r="AL409" s="264"/>
      <c r="AM409" s="84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</row>
    <row r="410" spans="1:51" s="33" customFormat="1" ht="14.5" x14ac:dyDescent="0.35">
      <c r="A410" s="63" t="str">
        <f>A409</f>
        <v>BCV131</v>
      </c>
      <c r="B410" s="17" t="s">
        <v>2175</v>
      </c>
      <c r="C410" s="18" t="str">
        <f>+C409</f>
        <v>DIO1</v>
      </c>
      <c r="D410" s="18">
        <v>132</v>
      </c>
      <c r="E410" s="84">
        <f>+E409</f>
        <v>2</v>
      </c>
      <c r="F410" s="84">
        <f>+F409</f>
        <v>6</v>
      </c>
      <c r="G410" s="84">
        <v>0</v>
      </c>
      <c r="H410" s="200">
        <f>H407</f>
        <v>1</v>
      </c>
      <c r="I410" s="187">
        <f>+I409+1</f>
        <v>7</v>
      </c>
      <c r="J410" s="205"/>
      <c r="K410" s="79"/>
      <c r="L410" s="17" t="s">
        <v>323</v>
      </c>
      <c r="M410" s="18">
        <v>4</v>
      </c>
      <c r="N410" s="18"/>
      <c r="O410" s="97" t="s">
        <v>817</v>
      </c>
      <c r="P410" s="59"/>
      <c r="Q410" s="17" t="s">
        <v>1295</v>
      </c>
      <c r="R410" s="97" t="s">
        <v>211</v>
      </c>
      <c r="S410" s="97" t="s">
        <v>976</v>
      </c>
      <c r="T410" s="97" t="s">
        <v>9</v>
      </c>
      <c r="U410" s="97"/>
      <c r="V410" s="17" t="str">
        <f>+CONCATENATE(E410,".",F410,"\",G410,".",H410,":",I410)</f>
        <v>2.6\0.1:7</v>
      </c>
      <c r="W410" s="17" t="s">
        <v>2265</v>
      </c>
      <c r="X410" s="17">
        <v>0</v>
      </c>
      <c r="Y410" s="20"/>
      <c r="Z410" s="20" t="s">
        <v>1200</v>
      </c>
      <c r="AA410" s="20"/>
      <c r="AB410" s="20"/>
      <c r="AC410" s="20"/>
      <c r="AD410" s="20"/>
      <c r="AE410" s="20"/>
      <c r="AF410" s="17"/>
      <c r="AG410" s="64" t="s">
        <v>1079</v>
      </c>
      <c r="AH410" s="64"/>
      <c r="AI410" s="64">
        <v>8</v>
      </c>
      <c r="AJ410" s="64"/>
      <c r="AK410" s="64"/>
      <c r="AL410" s="264"/>
      <c r="AM410" s="84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</row>
    <row r="411" spans="1:51" s="33" customFormat="1" ht="14.5" x14ac:dyDescent="0.35">
      <c r="A411" s="63" t="str">
        <f>A410</f>
        <v>BCV131</v>
      </c>
      <c r="B411" s="17" t="s">
        <v>2175</v>
      </c>
      <c r="C411" s="18" t="str">
        <f>+C410</f>
        <v>DIO1</v>
      </c>
      <c r="D411" s="18">
        <v>132</v>
      </c>
      <c r="E411" s="84">
        <f>+E410</f>
        <v>2</v>
      </c>
      <c r="F411" s="84">
        <f>+F410</f>
        <v>6</v>
      </c>
      <c r="G411" s="84">
        <v>0</v>
      </c>
      <c r="H411" s="200">
        <f>H408</f>
        <v>1</v>
      </c>
      <c r="I411" s="187">
        <f>+I410+1</f>
        <v>8</v>
      </c>
      <c r="J411" s="205"/>
      <c r="K411" s="79"/>
      <c r="L411" s="17" t="s">
        <v>323</v>
      </c>
      <c r="M411" s="18">
        <v>4</v>
      </c>
      <c r="N411" s="18"/>
      <c r="O411" s="97" t="s">
        <v>814</v>
      </c>
      <c r="P411" s="59"/>
      <c r="Q411" s="17" t="s">
        <v>1295</v>
      </c>
      <c r="R411" s="97" t="s">
        <v>211</v>
      </c>
      <c r="S411" s="97" t="s">
        <v>1298</v>
      </c>
      <c r="T411" s="97" t="s">
        <v>9</v>
      </c>
      <c r="U411" s="97"/>
      <c r="V411" s="17" t="str">
        <f>+CONCATENATE(E411,".",F411,"\",G411,".",H411,":",I411)</f>
        <v>2.6\0.1:8</v>
      </c>
      <c r="W411" s="17" t="s">
        <v>2265</v>
      </c>
      <c r="X411" s="17">
        <v>0</v>
      </c>
      <c r="Y411" s="20"/>
      <c r="Z411" s="20" t="s">
        <v>1200</v>
      </c>
      <c r="AA411" s="20"/>
      <c r="AB411" s="20"/>
      <c r="AC411" s="20"/>
      <c r="AD411" s="20"/>
      <c r="AE411" s="20"/>
      <c r="AF411" s="17"/>
      <c r="AG411" s="64" t="s">
        <v>1079</v>
      </c>
      <c r="AH411" s="64"/>
      <c r="AI411" s="64">
        <v>9</v>
      </c>
      <c r="AJ411" s="64"/>
      <c r="AK411" s="64"/>
      <c r="AL411" s="264"/>
      <c r="AM411" s="84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</row>
    <row r="412" spans="1:51" s="33" customFormat="1" ht="14.5" x14ac:dyDescent="0.35">
      <c r="A412" s="63" t="str">
        <f>A411</f>
        <v>BCV131</v>
      </c>
      <c r="B412" s="17" t="s">
        <v>2175</v>
      </c>
      <c r="C412" s="18" t="str">
        <f>+C411</f>
        <v>DIO1</v>
      </c>
      <c r="D412" s="18">
        <v>132</v>
      </c>
      <c r="E412" s="84">
        <f>+E411</f>
        <v>2</v>
      </c>
      <c r="F412" s="84">
        <f>+F411</f>
        <v>6</v>
      </c>
      <c r="G412" s="84">
        <v>0</v>
      </c>
      <c r="H412" s="200">
        <f>H409</f>
        <v>1</v>
      </c>
      <c r="I412" s="187">
        <f>+I411+1</f>
        <v>9</v>
      </c>
      <c r="J412" s="205"/>
      <c r="K412" s="79"/>
      <c r="L412" s="17" t="s">
        <v>323</v>
      </c>
      <c r="M412" s="18">
        <v>4</v>
      </c>
      <c r="N412" s="18"/>
      <c r="O412" s="97" t="s">
        <v>811</v>
      </c>
      <c r="P412" s="59"/>
      <c r="Q412" s="17" t="s">
        <v>1295</v>
      </c>
      <c r="R412" s="97" t="s">
        <v>211</v>
      </c>
      <c r="S412" s="97" t="s">
        <v>1297</v>
      </c>
      <c r="T412" s="97" t="s">
        <v>9</v>
      </c>
      <c r="U412" s="97"/>
      <c r="V412" s="17" t="str">
        <f>+CONCATENATE(E412,".",F412,"\",G412,".",H412,":",I412)</f>
        <v>2.6\0.1:9</v>
      </c>
      <c r="W412" s="17" t="s">
        <v>2265</v>
      </c>
      <c r="X412" s="17">
        <v>0</v>
      </c>
      <c r="Y412" s="20"/>
      <c r="Z412" s="20" t="s">
        <v>1200</v>
      </c>
      <c r="AA412" s="20"/>
      <c r="AB412" s="20"/>
      <c r="AC412" s="20"/>
      <c r="AD412" s="20"/>
      <c r="AE412" s="20"/>
      <c r="AF412" s="17"/>
      <c r="AG412" s="64" t="s">
        <v>1079</v>
      </c>
      <c r="AH412" s="64"/>
      <c r="AI412" s="64">
        <v>10</v>
      </c>
      <c r="AJ412" s="64"/>
      <c r="AK412" s="64"/>
      <c r="AL412" s="264"/>
      <c r="AM412" s="84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</row>
    <row r="413" spans="1:51" s="33" customFormat="1" ht="14.5" x14ac:dyDescent="0.35">
      <c r="A413" s="63" t="str">
        <f>A412</f>
        <v>BCV131</v>
      </c>
      <c r="B413" s="17" t="s">
        <v>2175</v>
      </c>
      <c r="C413" s="18" t="str">
        <f>+C412</f>
        <v>DIO1</v>
      </c>
      <c r="D413" s="18">
        <v>132</v>
      </c>
      <c r="E413" s="84">
        <f>+E412</f>
        <v>2</v>
      </c>
      <c r="F413" s="84">
        <f>+F412</f>
        <v>6</v>
      </c>
      <c r="G413" s="84">
        <v>0</v>
      </c>
      <c r="H413" s="200">
        <f>H410</f>
        <v>1</v>
      </c>
      <c r="I413" s="187">
        <f>+I412+1</f>
        <v>10</v>
      </c>
      <c r="J413" s="205"/>
      <c r="K413" s="79"/>
      <c r="L413" s="17" t="s">
        <v>323</v>
      </c>
      <c r="M413" s="18">
        <v>4</v>
      </c>
      <c r="N413" s="18"/>
      <c r="O413" s="97" t="s">
        <v>808</v>
      </c>
      <c r="P413" s="59"/>
      <c r="Q413" s="17" t="s">
        <v>1295</v>
      </c>
      <c r="R413" s="97" t="s">
        <v>211</v>
      </c>
      <c r="S413" s="97" t="s">
        <v>1296</v>
      </c>
      <c r="T413" s="17" t="s">
        <v>9</v>
      </c>
      <c r="U413" s="17"/>
      <c r="V413" s="17" t="str">
        <f>+CONCATENATE(E413,".",F413,"\",G413,".",H413,":",I413)</f>
        <v>2.6\0.1:10</v>
      </c>
      <c r="W413" s="17" t="s">
        <v>2265</v>
      </c>
      <c r="X413" s="17">
        <v>0</v>
      </c>
      <c r="Y413" s="20"/>
      <c r="Z413" s="20" t="s">
        <v>1200</v>
      </c>
      <c r="AA413" s="20"/>
      <c r="AB413" s="20"/>
      <c r="AC413" s="20"/>
      <c r="AD413" s="20"/>
      <c r="AE413" s="20"/>
      <c r="AF413" s="17"/>
      <c r="AG413" s="64" t="s">
        <v>1079</v>
      </c>
      <c r="AH413" s="64"/>
      <c r="AI413" s="64">
        <v>11</v>
      </c>
      <c r="AJ413" s="64"/>
      <c r="AK413" s="64"/>
      <c r="AL413" s="264"/>
      <c r="AM413" s="84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</row>
    <row r="414" spans="1:51" s="33" customFormat="1" ht="14.5" x14ac:dyDescent="0.35">
      <c r="A414" s="63" t="str">
        <f>A413</f>
        <v>BCV131</v>
      </c>
      <c r="B414" s="17" t="s">
        <v>2175</v>
      </c>
      <c r="C414" s="18" t="str">
        <f>+C413</f>
        <v>DIO1</v>
      </c>
      <c r="D414" s="18">
        <v>132</v>
      </c>
      <c r="E414" s="84">
        <f>+E413</f>
        <v>2</v>
      </c>
      <c r="F414" s="84">
        <f>+F413</f>
        <v>6</v>
      </c>
      <c r="G414" s="84">
        <v>0</v>
      </c>
      <c r="H414" s="200">
        <f>H411</f>
        <v>1</v>
      </c>
      <c r="I414" s="187">
        <f>+I413+1</f>
        <v>11</v>
      </c>
      <c r="J414" s="205"/>
      <c r="K414" s="79"/>
      <c r="L414" s="17" t="s">
        <v>323</v>
      </c>
      <c r="M414" s="18">
        <v>4</v>
      </c>
      <c r="N414" s="18"/>
      <c r="O414" s="97" t="s">
        <v>805</v>
      </c>
      <c r="P414" s="59"/>
      <c r="Q414" s="281" t="s">
        <v>1295</v>
      </c>
      <c r="R414" s="97" t="s">
        <v>211</v>
      </c>
      <c r="S414" s="97" t="s">
        <v>1294</v>
      </c>
      <c r="T414" s="17" t="s">
        <v>9</v>
      </c>
      <c r="U414" s="17"/>
      <c r="V414" s="17" t="str">
        <f>+CONCATENATE(E414,".",F414,"\",G414,".",H414,":",I414)</f>
        <v>2.6\0.1:11</v>
      </c>
      <c r="W414" s="17" t="s">
        <v>2265</v>
      </c>
      <c r="X414" s="17">
        <v>0</v>
      </c>
      <c r="Y414" s="20"/>
      <c r="Z414" s="20" t="s">
        <v>1200</v>
      </c>
      <c r="AA414" s="20"/>
      <c r="AB414" s="20"/>
      <c r="AC414" s="20"/>
      <c r="AD414" s="20"/>
      <c r="AE414" s="20"/>
      <c r="AF414" s="17"/>
      <c r="AG414" s="64" t="s">
        <v>1079</v>
      </c>
      <c r="AH414" s="64"/>
      <c r="AI414" s="64">
        <v>12</v>
      </c>
      <c r="AJ414" s="64"/>
      <c r="AK414" s="64"/>
      <c r="AL414" s="264"/>
      <c r="AM414" s="84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</row>
    <row r="415" spans="1:51" s="33" customFormat="1" ht="14.5" x14ac:dyDescent="0.35">
      <c r="A415" s="63" t="str">
        <f>A414</f>
        <v>BCV131</v>
      </c>
      <c r="B415" s="17" t="s">
        <v>2175</v>
      </c>
      <c r="C415" s="18" t="str">
        <f>+C414</f>
        <v>DIO1</v>
      </c>
      <c r="D415" s="18">
        <v>132</v>
      </c>
      <c r="E415" s="84">
        <f>+E414</f>
        <v>2</v>
      </c>
      <c r="F415" s="84">
        <f>+F414</f>
        <v>6</v>
      </c>
      <c r="G415" s="84">
        <v>0</v>
      </c>
      <c r="H415" s="200">
        <f>H412</f>
        <v>1</v>
      </c>
      <c r="I415" s="187">
        <f>+I414+1</f>
        <v>12</v>
      </c>
      <c r="J415" s="205"/>
      <c r="K415" s="79"/>
      <c r="L415" s="17" t="s">
        <v>323</v>
      </c>
      <c r="M415" s="18"/>
      <c r="N415" s="18"/>
      <c r="O415" s="97"/>
      <c r="P415" s="59"/>
      <c r="Q415" s="17" t="s">
        <v>127</v>
      </c>
      <c r="R415" s="97" t="s">
        <v>127</v>
      </c>
      <c r="S415" s="18"/>
      <c r="T415" s="17"/>
      <c r="U415" s="17"/>
      <c r="V415" s="17" t="str">
        <f>+CONCATENATE(E415,".",F415,"\",G415,".",H415,":",I415)</f>
        <v>2.6\0.1:12</v>
      </c>
      <c r="W415" s="17"/>
      <c r="X415" s="17"/>
      <c r="Y415" s="20"/>
      <c r="Z415" s="20" t="s">
        <v>1159</v>
      </c>
      <c r="AA415" s="20"/>
      <c r="AB415" s="20"/>
      <c r="AC415" s="20"/>
      <c r="AD415" s="20"/>
      <c r="AE415" s="20"/>
      <c r="AF415" s="17"/>
      <c r="AG415" s="64" t="s">
        <v>1079</v>
      </c>
      <c r="AH415" s="64"/>
      <c r="AI415" s="64">
        <v>13</v>
      </c>
      <c r="AJ415" s="64"/>
      <c r="AK415" s="64"/>
      <c r="AL415" s="264"/>
      <c r="AM415" s="84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</row>
    <row r="416" spans="1:51" s="33" customFormat="1" ht="14.5" x14ac:dyDescent="0.35">
      <c r="A416" s="63" t="str">
        <f>A415</f>
        <v>BCV131</v>
      </c>
      <c r="B416" s="17" t="s">
        <v>2175</v>
      </c>
      <c r="C416" s="18" t="str">
        <f>+C415</f>
        <v>DIO1</v>
      </c>
      <c r="D416" s="18">
        <v>132</v>
      </c>
      <c r="E416" s="84">
        <f>+E415</f>
        <v>2</v>
      </c>
      <c r="F416" s="84">
        <f>+F415</f>
        <v>6</v>
      </c>
      <c r="G416" s="84">
        <v>0</v>
      </c>
      <c r="H416" s="200">
        <f>H413</f>
        <v>1</v>
      </c>
      <c r="I416" s="187">
        <f>+I415+1</f>
        <v>13</v>
      </c>
      <c r="J416" s="205"/>
      <c r="K416" s="79"/>
      <c r="L416" s="17" t="s">
        <v>323</v>
      </c>
      <c r="M416" s="18"/>
      <c r="N416" s="18"/>
      <c r="O416" s="97"/>
      <c r="P416" s="59"/>
      <c r="Q416" s="17" t="s">
        <v>127</v>
      </c>
      <c r="R416" s="97" t="s">
        <v>127</v>
      </c>
      <c r="S416" s="18"/>
      <c r="T416" s="17"/>
      <c r="U416" s="17"/>
      <c r="V416" s="17" t="str">
        <f>+CONCATENATE(E416,".",F416,"\",G416,".",H416,":",I416)</f>
        <v>2.6\0.1:13</v>
      </c>
      <c r="W416" s="17"/>
      <c r="X416" s="17"/>
      <c r="Y416" s="20"/>
      <c r="Z416" s="20" t="s">
        <v>1159</v>
      </c>
      <c r="AA416" s="20"/>
      <c r="AB416" s="20"/>
      <c r="AC416" s="20"/>
      <c r="AD416" s="20"/>
      <c r="AE416" s="20"/>
      <c r="AF416" s="17"/>
      <c r="AG416" s="64" t="s">
        <v>1079</v>
      </c>
      <c r="AH416" s="64"/>
      <c r="AI416" s="64">
        <v>14</v>
      </c>
      <c r="AJ416" s="64"/>
      <c r="AK416" s="64"/>
      <c r="AL416" s="264"/>
      <c r="AM416" s="84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</row>
    <row r="417" spans="1:51" s="33" customFormat="1" ht="14.5" x14ac:dyDescent="0.35">
      <c r="A417" s="63" t="str">
        <f>A416</f>
        <v>BCV131</v>
      </c>
      <c r="B417" s="17" t="s">
        <v>2175</v>
      </c>
      <c r="C417" s="18" t="str">
        <f>+C416</f>
        <v>DIO1</v>
      </c>
      <c r="D417" s="18">
        <v>132</v>
      </c>
      <c r="E417" s="84">
        <f>+E416</f>
        <v>2</v>
      </c>
      <c r="F417" s="84">
        <f>+F416</f>
        <v>6</v>
      </c>
      <c r="G417" s="84">
        <v>0</v>
      </c>
      <c r="H417" s="200">
        <f>H414</f>
        <v>1</v>
      </c>
      <c r="I417" s="187">
        <f>+I416+1</f>
        <v>14</v>
      </c>
      <c r="J417" s="205"/>
      <c r="K417" s="79"/>
      <c r="L417" s="17" t="s">
        <v>323</v>
      </c>
      <c r="M417" s="18"/>
      <c r="N417" s="18"/>
      <c r="O417" s="97"/>
      <c r="P417" s="59"/>
      <c r="Q417" s="17" t="s">
        <v>127</v>
      </c>
      <c r="R417" s="97" t="s">
        <v>127</v>
      </c>
      <c r="S417" s="18"/>
      <c r="T417" s="17"/>
      <c r="U417" s="17"/>
      <c r="V417" s="17" t="str">
        <f>+CONCATENATE(E417,".",F417,"\",G417,".",H417,":",I417)</f>
        <v>2.6\0.1:14</v>
      </c>
      <c r="W417" s="17"/>
      <c r="X417" s="17"/>
      <c r="Y417" s="20"/>
      <c r="Z417" s="20" t="s">
        <v>1159</v>
      </c>
      <c r="AA417" s="20"/>
      <c r="AB417" s="20"/>
      <c r="AC417" s="20"/>
      <c r="AD417" s="20"/>
      <c r="AE417" s="20"/>
      <c r="AF417" s="17"/>
      <c r="AG417" s="64" t="s">
        <v>1079</v>
      </c>
      <c r="AH417" s="64"/>
      <c r="AI417" s="64">
        <v>15</v>
      </c>
      <c r="AJ417" s="64"/>
      <c r="AK417" s="64"/>
      <c r="AL417" s="264"/>
      <c r="AM417" s="84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</row>
    <row r="418" spans="1:51" s="33" customFormat="1" ht="14.5" x14ac:dyDescent="0.35">
      <c r="A418" s="63" t="str">
        <f>A417</f>
        <v>BCV131</v>
      </c>
      <c r="B418" s="17" t="s">
        <v>2175</v>
      </c>
      <c r="C418" s="18" t="str">
        <f>+C417</f>
        <v>DIO1</v>
      </c>
      <c r="D418" s="18">
        <v>132</v>
      </c>
      <c r="E418" s="84">
        <f>+E417</f>
        <v>2</v>
      </c>
      <c r="F418" s="84">
        <f>+F417</f>
        <v>6</v>
      </c>
      <c r="G418" s="84">
        <v>0</v>
      </c>
      <c r="H418" s="200">
        <f>H414</f>
        <v>1</v>
      </c>
      <c r="I418" s="187">
        <f>+I417+1</f>
        <v>15</v>
      </c>
      <c r="J418" s="205"/>
      <c r="K418" s="79"/>
      <c r="L418" s="17" t="s">
        <v>323</v>
      </c>
      <c r="M418" s="18"/>
      <c r="N418" s="18"/>
      <c r="O418" s="97"/>
      <c r="P418" s="59"/>
      <c r="Q418" s="18" t="s">
        <v>127</v>
      </c>
      <c r="R418" s="97" t="s">
        <v>127</v>
      </c>
      <c r="S418" s="18"/>
      <c r="T418" s="17"/>
      <c r="U418" s="17"/>
      <c r="V418" s="17" t="str">
        <f>+CONCATENATE(E418,".",F418,"\",G418,".",H418,":",I418)</f>
        <v>2.6\0.1:15</v>
      </c>
      <c r="W418" s="17"/>
      <c r="X418" s="17"/>
      <c r="Y418" s="20"/>
      <c r="Z418" s="20" t="s">
        <v>1159</v>
      </c>
      <c r="AA418" s="20"/>
      <c r="AB418" s="20"/>
      <c r="AC418" s="20"/>
      <c r="AD418" s="20"/>
      <c r="AE418" s="20"/>
      <c r="AF418" s="17"/>
      <c r="AG418" s="64" t="s">
        <v>1079</v>
      </c>
      <c r="AH418" s="64"/>
      <c r="AI418" s="64">
        <v>16</v>
      </c>
      <c r="AJ418" s="64"/>
      <c r="AK418" s="64"/>
      <c r="AL418" s="264"/>
      <c r="AM418" s="84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</row>
    <row r="419" spans="1:51" s="33" customFormat="1" ht="14.5" x14ac:dyDescent="0.35">
      <c r="A419" s="63" t="str">
        <f>A418</f>
        <v>BCV131</v>
      </c>
      <c r="B419" s="17" t="s">
        <v>2175</v>
      </c>
      <c r="C419" s="18" t="str">
        <f>+C418</f>
        <v>DIO1</v>
      </c>
      <c r="D419" s="18">
        <v>132</v>
      </c>
      <c r="E419" s="84">
        <f>+E418</f>
        <v>2</v>
      </c>
      <c r="F419" s="84">
        <f>+F418</f>
        <v>6</v>
      </c>
      <c r="G419" s="84">
        <v>0</v>
      </c>
      <c r="H419" s="200">
        <f>H415</f>
        <v>1</v>
      </c>
      <c r="I419" s="187">
        <f>+I418+1</f>
        <v>16</v>
      </c>
      <c r="J419" s="205"/>
      <c r="K419" s="18"/>
      <c r="L419" s="17" t="s">
        <v>323</v>
      </c>
      <c r="M419" s="18">
        <v>4</v>
      </c>
      <c r="N419" s="59" t="s">
        <v>2008</v>
      </c>
      <c r="O419" s="68" t="s">
        <v>1242</v>
      </c>
      <c r="P419" s="59" t="s">
        <v>2207</v>
      </c>
      <c r="Q419" s="68" t="s">
        <v>2128</v>
      </c>
      <c r="R419" s="68" t="s">
        <v>299</v>
      </c>
      <c r="S419" s="68"/>
      <c r="T419" s="17" t="s">
        <v>609</v>
      </c>
      <c r="U419" s="17"/>
      <c r="V419" s="17" t="str">
        <f>+CONCATENATE(E419,".",F419,"\",G419,".",H419,":",I419)</f>
        <v>2.6\0.1:16</v>
      </c>
      <c r="W419" s="17" t="s">
        <v>2176</v>
      </c>
      <c r="X419" s="17">
        <v>0</v>
      </c>
      <c r="Y419" s="20"/>
      <c r="Z419" s="20" t="s">
        <v>1159</v>
      </c>
      <c r="AA419" s="20"/>
      <c r="AB419" s="20"/>
      <c r="AC419" s="20"/>
      <c r="AD419" s="20"/>
      <c r="AE419" s="20"/>
      <c r="AF419" s="17"/>
      <c r="AG419" s="64" t="s">
        <v>1079</v>
      </c>
      <c r="AH419" s="64">
        <v>17</v>
      </c>
      <c r="AI419" s="64">
        <v>18</v>
      </c>
      <c r="AJ419" s="64"/>
      <c r="AK419" s="64"/>
      <c r="AL419" s="264"/>
      <c r="AM419" s="84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</row>
    <row r="420" spans="1:51" s="33" customFormat="1" ht="14.5" x14ac:dyDescent="0.35">
      <c r="A420" s="63" t="str">
        <f>A419</f>
        <v>BCV131</v>
      </c>
      <c r="B420" s="17" t="s">
        <v>2175</v>
      </c>
      <c r="C420" s="18" t="str">
        <f>+C419</f>
        <v>DIO1</v>
      </c>
      <c r="D420" s="18">
        <v>132</v>
      </c>
      <c r="E420" s="84">
        <f>+E419</f>
        <v>2</v>
      </c>
      <c r="F420" s="84">
        <f>+F419</f>
        <v>6</v>
      </c>
      <c r="G420" s="84">
        <v>0</v>
      </c>
      <c r="H420" s="200">
        <f>H416</f>
        <v>1</v>
      </c>
      <c r="I420" s="187">
        <f>+I419+1</f>
        <v>17</v>
      </c>
      <c r="J420" s="205"/>
      <c r="K420" s="79"/>
      <c r="L420" s="17" t="s">
        <v>323</v>
      </c>
      <c r="M420" s="18">
        <v>4</v>
      </c>
      <c r="N420" s="59" t="s">
        <v>2008</v>
      </c>
      <c r="O420" s="68" t="s">
        <v>1239</v>
      </c>
      <c r="P420" s="59" t="s">
        <v>2207</v>
      </c>
      <c r="Q420" s="68" t="s">
        <v>2126</v>
      </c>
      <c r="R420" s="68" t="s">
        <v>299</v>
      </c>
      <c r="S420" s="68"/>
      <c r="T420" s="17" t="s">
        <v>609</v>
      </c>
      <c r="U420" s="17"/>
      <c r="V420" s="17" t="str">
        <f>+CONCATENATE(E420,".",F420,"\",G420,".",H420,":",I420)</f>
        <v>2.6\0.1:17</v>
      </c>
      <c r="W420" s="17" t="s">
        <v>2176</v>
      </c>
      <c r="X420" s="17">
        <v>0</v>
      </c>
      <c r="Y420" s="20"/>
      <c r="Z420" s="20" t="s">
        <v>1159</v>
      </c>
      <c r="AA420" s="20"/>
      <c r="AB420" s="20"/>
      <c r="AC420" s="20"/>
      <c r="AD420" s="20"/>
      <c r="AE420" s="20"/>
      <c r="AF420" s="17"/>
      <c r="AG420" s="64" t="s">
        <v>1079</v>
      </c>
      <c r="AH420" s="64">
        <v>19</v>
      </c>
      <c r="AI420" s="64">
        <v>20</v>
      </c>
      <c r="AJ420" s="64"/>
      <c r="AK420" s="64"/>
      <c r="AL420" s="264"/>
      <c r="AM420" s="84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</row>
    <row r="421" spans="1:51" s="33" customFormat="1" ht="14.5" x14ac:dyDescent="0.35">
      <c r="A421" s="63" t="str">
        <f>A420</f>
        <v>BCV131</v>
      </c>
      <c r="B421" s="17" t="s">
        <v>2175</v>
      </c>
      <c r="C421" s="18" t="str">
        <f>+C420</f>
        <v>DIO1</v>
      </c>
      <c r="D421" s="18">
        <v>132</v>
      </c>
      <c r="E421" s="84">
        <f>+E420</f>
        <v>2</v>
      </c>
      <c r="F421" s="84">
        <f>+F420</f>
        <v>6</v>
      </c>
      <c r="G421" s="84">
        <v>0</v>
      </c>
      <c r="H421" s="200">
        <f>H417</f>
        <v>1</v>
      </c>
      <c r="I421" s="187">
        <f>+I420+1</f>
        <v>18</v>
      </c>
      <c r="J421" s="205"/>
      <c r="K421" s="79"/>
      <c r="L421" s="17" t="s">
        <v>323</v>
      </c>
      <c r="M421" s="18">
        <v>4</v>
      </c>
      <c r="N421" s="59" t="s">
        <v>15</v>
      </c>
      <c r="O421" s="68" t="s">
        <v>1242</v>
      </c>
      <c r="P421" s="59" t="s">
        <v>2264</v>
      </c>
      <c r="Q421" s="17" t="s">
        <v>2125</v>
      </c>
      <c r="R421" s="17" t="s">
        <v>299</v>
      </c>
      <c r="S421" s="17"/>
      <c r="T421" s="17" t="s">
        <v>675</v>
      </c>
      <c r="U421" s="17"/>
      <c r="V421" s="17" t="str">
        <f>+CONCATENATE(E421,".",F421,"\",G421,".",H421,":",I421)</f>
        <v>2.6\0.1:18</v>
      </c>
      <c r="W421" s="17" t="s">
        <v>674</v>
      </c>
      <c r="X421" s="17">
        <v>0</v>
      </c>
      <c r="Y421" s="20"/>
      <c r="Z421" s="20" t="s">
        <v>1159</v>
      </c>
      <c r="AA421" s="20"/>
      <c r="AB421" s="20"/>
      <c r="AC421" s="20"/>
      <c r="AD421" s="20"/>
      <c r="AE421" s="20"/>
      <c r="AF421" s="17"/>
      <c r="AG421" s="64" t="s">
        <v>1079</v>
      </c>
      <c r="AH421" s="64">
        <v>21</v>
      </c>
      <c r="AI421" s="64">
        <v>22</v>
      </c>
      <c r="AJ421" s="64"/>
      <c r="AK421" s="64"/>
      <c r="AL421" s="264"/>
      <c r="AM421" s="84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</row>
    <row r="422" spans="1:51" s="33" customFormat="1" ht="14.5" x14ac:dyDescent="0.35">
      <c r="A422" s="63" t="str">
        <f>A421</f>
        <v>BCV131</v>
      </c>
      <c r="B422" s="17" t="s">
        <v>2175</v>
      </c>
      <c r="C422" s="18" t="str">
        <f>+C421</f>
        <v>DIO1</v>
      </c>
      <c r="D422" s="18">
        <v>132</v>
      </c>
      <c r="E422" s="84">
        <f>+E421</f>
        <v>2</v>
      </c>
      <c r="F422" s="84">
        <f>+F421</f>
        <v>6</v>
      </c>
      <c r="G422" s="84">
        <v>0</v>
      </c>
      <c r="H422" s="200">
        <f>H418</f>
        <v>1</v>
      </c>
      <c r="I422" s="187">
        <f>+I421+1</f>
        <v>19</v>
      </c>
      <c r="J422" s="205"/>
      <c r="K422" s="79"/>
      <c r="L422" s="17" t="s">
        <v>323</v>
      </c>
      <c r="M422" s="18">
        <v>4</v>
      </c>
      <c r="N422" s="59" t="s">
        <v>15</v>
      </c>
      <c r="O422" s="68" t="s">
        <v>1239</v>
      </c>
      <c r="P422" s="59" t="s">
        <v>2264</v>
      </c>
      <c r="Q422" s="68" t="s">
        <v>2123</v>
      </c>
      <c r="R422" s="17" t="s">
        <v>299</v>
      </c>
      <c r="S422" s="17"/>
      <c r="T422" s="17" t="s">
        <v>675</v>
      </c>
      <c r="U422" s="17"/>
      <c r="V422" s="17" t="str">
        <f>+CONCATENATE(E422,".",F422,"\",G422,".",H422,":",I422)</f>
        <v>2.6\0.1:19</v>
      </c>
      <c r="W422" s="17" t="s">
        <v>674</v>
      </c>
      <c r="X422" s="17">
        <v>0</v>
      </c>
      <c r="Y422" s="20"/>
      <c r="Z422" s="20" t="s">
        <v>1159</v>
      </c>
      <c r="AA422" s="20"/>
      <c r="AB422" s="20"/>
      <c r="AC422" s="20"/>
      <c r="AD422" s="20"/>
      <c r="AE422" s="20"/>
      <c r="AF422" s="17"/>
      <c r="AG422" s="64" t="s">
        <v>1079</v>
      </c>
      <c r="AH422" s="64">
        <v>23</v>
      </c>
      <c r="AI422" s="64">
        <v>24</v>
      </c>
      <c r="AJ422" s="64"/>
      <c r="AK422" s="64"/>
      <c r="AL422" s="264"/>
      <c r="AM422" s="84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</row>
    <row r="423" spans="1:51" s="33" customFormat="1" ht="14.5" x14ac:dyDescent="0.35">
      <c r="A423" s="63" t="str">
        <f>A422</f>
        <v>BCV131</v>
      </c>
      <c r="B423" s="17" t="s">
        <v>2175</v>
      </c>
      <c r="C423" s="18" t="str">
        <f>+C422</f>
        <v>DIO1</v>
      </c>
      <c r="D423" s="18">
        <v>132</v>
      </c>
      <c r="E423" s="84">
        <f>+E422</f>
        <v>2</v>
      </c>
      <c r="F423" s="84">
        <f>+F422</f>
        <v>6</v>
      </c>
      <c r="G423" s="84">
        <v>0</v>
      </c>
      <c r="H423" s="200">
        <f>H419</f>
        <v>1</v>
      </c>
      <c r="I423" s="187">
        <f>+I422+1</f>
        <v>20</v>
      </c>
      <c r="J423" s="205"/>
      <c r="K423" s="79"/>
      <c r="L423" s="17" t="s">
        <v>323</v>
      </c>
      <c r="M423" s="18">
        <v>4</v>
      </c>
      <c r="N423" s="59" t="s">
        <v>62</v>
      </c>
      <c r="O423" s="68" t="s">
        <v>1242</v>
      </c>
      <c r="P423" s="59" t="s">
        <v>2263</v>
      </c>
      <c r="Q423" s="68" t="s">
        <v>2122</v>
      </c>
      <c r="R423" s="17" t="s">
        <v>299</v>
      </c>
      <c r="S423" s="17"/>
      <c r="T423" s="17" t="s">
        <v>673</v>
      </c>
      <c r="U423" s="17"/>
      <c r="V423" s="17" t="str">
        <f>+CONCATENATE(E423,".",F423,"\",G423,".",H423,":",I423)</f>
        <v>2.6\0.1:20</v>
      </c>
      <c r="W423" s="17" t="s">
        <v>672</v>
      </c>
      <c r="X423" s="17">
        <v>0</v>
      </c>
      <c r="Y423" s="20"/>
      <c r="Z423" s="20" t="s">
        <v>1159</v>
      </c>
      <c r="AA423" s="20"/>
      <c r="AB423" s="20"/>
      <c r="AC423" s="20"/>
      <c r="AD423" s="20"/>
      <c r="AE423" s="20"/>
      <c r="AF423" s="17"/>
      <c r="AG423" s="64" t="s">
        <v>1079</v>
      </c>
      <c r="AH423" s="64">
        <v>25</v>
      </c>
      <c r="AI423" s="64">
        <v>26</v>
      </c>
      <c r="AJ423" s="64"/>
      <c r="AK423" s="64"/>
      <c r="AL423" s="264"/>
      <c r="AM423" s="84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</row>
    <row r="424" spans="1:51" s="33" customFormat="1" ht="14.5" x14ac:dyDescent="0.35">
      <c r="A424" s="63" t="str">
        <f>A423</f>
        <v>BCV131</v>
      </c>
      <c r="B424" s="17" t="s">
        <v>2175</v>
      </c>
      <c r="C424" s="18" t="str">
        <f>+C423</f>
        <v>DIO1</v>
      </c>
      <c r="D424" s="18">
        <v>132</v>
      </c>
      <c r="E424" s="84">
        <f>+E423</f>
        <v>2</v>
      </c>
      <c r="F424" s="84">
        <f>+F423</f>
        <v>6</v>
      </c>
      <c r="G424" s="84">
        <v>0</v>
      </c>
      <c r="H424" s="200">
        <f>H420</f>
        <v>1</v>
      </c>
      <c r="I424" s="187">
        <f>+I423+1</f>
        <v>21</v>
      </c>
      <c r="J424" s="205"/>
      <c r="K424" s="79"/>
      <c r="L424" s="17" t="s">
        <v>323</v>
      </c>
      <c r="M424" s="18">
        <v>4</v>
      </c>
      <c r="N424" s="59" t="s">
        <v>62</v>
      </c>
      <c r="O424" s="68" t="s">
        <v>1239</v>
      </c>
      <c r="P424" s="59" t="s">
        <v>2263</v>
      </c>
      <c r="Q424" s="17" t="s">
        <v>2120</v>
      </c>
      <c r="R424" s="17" t="s">
        <v>299</v>
      </c>
      <c r="S424" s="17"/>
      <c r="T424" s="17" t="s">
        <v>673</v>
      </c>
      <c r="U424" s="17"/>
      <c r="V424" s="17" t="str">
        <f>+CONCATENATE(E424,".",F424,"\",G424,".",H424,":",I424)</f>
        <v>2.6\0.1:21</v>
      </c>
      <c r="W424" s="17" t="s">
        <v>672</v>
      </c>
      <c r="X424" s="17">
        <v>0</v>
      </c>
      <c r="Y424" s="20"/>
      <c r="Z424" s="20" t="s">
        <v>1159</v>
      </c>
      <c r="AA424" s="20"/>
      <c r="AB424" s="20"/>
      <c r="AC424" s="20"/>
      <c r="AD424" s="20"/>
      <c r="AE424" s="20"/>
      <c r="AF424" s="17"/>
      <c r="AG424" s="64" t="s">
        <v>1079</v>
      </c>
      <c r="AH424" s="64">
        <v>27</v>
      </c>
      <c r="AI424" s="64">
        <v>28</v>
      </c>
      <c r="AJ424" s="64"/>
      <c r="AK424" s="64"/>
      <c r="AL424" s="264"/>
      <c r="AM424" s="84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</row>
    <row r="425" spans="1:51" s="33" customFormat="1" ht="14.5" x14ac:dyDescent="0.35">
      <c r="A425" s="63" t="str">
        <f>A424</f>
        <v>BCV131</v>
      </c>
      <c r="B425" s="17" t="s">
        <v>2175</v>
      </c>
      <c r="C425" s="18" t="str">
        <f>+C424</f>
        <v>DIO1</v>
      </c>
      <c r="D425" s="18">
        <v>132</v>
      </c>
      <c r="E425" s="84">
        <f>+E424</f>
        <v>2</v>
      </c>
      <c r="F425" s="84">
        <f>+F424</f>
        <v>6</v>
      </c>
      <c r="G425" s="84">
        <v>0</v>
      </c>
      <c r="H425" s="200">
        <f>H421</f>
        <v>1</v>
      </c>
      <c r="I425" s="187">
        <f>+I424+1</f>
        <v>22</v>
      </c>
      <c r="J425" s="205"/>
      <c r="K425" s="79"/>
      <c r="L425" s="17" t="s">
        <v>323</v>
      </c>
      <c r="M425" s="83">
        <v>5</v>
      </c>
      <c r="N425" s="306"/>
      <c r="O425" s="78"/>
      <c r="P425" s="306"/>
      <c r="Q425" s="211"/>
      <c r="R425" s="78"/>
      <c r="S425" s="78"/>
      <c r="T425" s="78"/>
      <c r="U425" s="78"/>
      <c r="V425" s="17" t="str">
        <f>+CONCATENATE(E425,".",F425,"\",G425,".",H425,":",I425)</f>
        <v>2.6\0.1:22</v>
      </c>
      <c r="W425" s="78" t="s">
        <v>670</v>
      </c>
      <c r="X425" s="17"/>
      <c r="Y425" s="20"/>
      <c r="Z425" s="20" t="s">
        <v>1159</v>
      </c>
      <c r="AA425" s="20"/>
      <c r="AB425" s="20"/>
      <c r="AC425" s="20"/>
      <c r="AD425" s="20"/>
      <c r="AE425" s="20"/>
      <c r="AF425" s="17"/>
      <c r="AG425" s="64" t="s">
        <v>1079</v>
      </c>
      <c r="AH425" s="64">
        <v>29</v>
      </c>
      <c r="AI425" s="64">
        <v>30</v>
      </c>
      <c r="AJ425" s="64"/>
      <c r="AK425" s="64"/>
      <c r="AL425" s="264"/>
      <c r="AM425" s="84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</row>
    <row r="426" spans="1:51" s="33" customFormat="1" ht="14.5" x14ac:dyDescent="0.35">
      <c r="A426" s="63" t="str">
        <f>A425</f>
        <v>BCV131</v>
      </c>
      <c r="B426" s="17" t="s">
        <v>2175</v>
      </c>
      <c r="C426" s="18" t="str">
        <f>+C425</f>
        <v>DIO1</v>
      </c>
      <c r="D426" s="18">
        <v>132</v>
      </c>
      <c r="E426" s="84">
        <f>+E425</f>
        <v>2</v>
      </c>
      <c r="F426" s="84">
        <f>+F425</f>
        <v>6</v>
      </c>
      <c r="G426" s="84">
        <v>0</v>
      </c>
      <c r="H426" s="200">
        <f>H422</f>
        <v>1</v>
      </c>
      <c r="I426" s="187">
        <f>+I425+1</f>
        <v>23</v>
      </c>
      <c r="J426" s="205"/>
      <c r="K426" s="79"/>
      <c r="L426" s="17" t="s">
        <v>323</v>
      </c>
      <c r="M426" s="83">
        <v>5</v>
      </c>
      <c r="N426" s="306"/>
      <c r="O426" s="78"/>
      <c r="P426" s="306"/>
      <c r="Q426" s="211"/>
      <c r="R426" s="78"/>
      <c r="S426" s="78"/>
      <c r="T426" s="78"/>
      <c r="U426" s="78"/>
      <c r="V426" s="17" t="str">
        <f>+CONCATENATE(E426,".",F426,"\",G426,".",H426,":",I426)</f>
        <v>2.6\0.1:23</v>
      </c>
      <c r="W426" s="78" t="s">
        <v>670</v>
      </c>
      <c r="X426" s="17"/>
      <c r="Y426" s="20"/>
      <c r="Z426" s="20" t="s">
        <v>1159</v>
      </c>
      <c r="AA426" s="20"/>
      <c r="AB426" s="20"/>
      <c r="AC426" s="20"/>
      <c r="AD426" s="20"/>
      <c r="AE426" s="20"/>
      <c r="AF426" s="17"/>
      <c r="AG426" s="64" t="s">
        <v>1079</v>
      </c>
      <c r="AH426" s="64">
        <v>31</v>
      </c>
      <c r="AI426" s="64">
        <v>32</v>
      </c>
      <c r="AJ426" s="64"/>
      <c r="AK426" s="64"/>
      <c r="AL426" s="264"/>
      <c r="AM426" s="84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</row>
    <row r="427" spans="1:51" s="33" customFormat="1" ht="14.5" x14ac:dyDescent="0.35">
      <c r="A427" s="63" t="str">
        <f>A426</f>
        <v>BCV131</v>
      </c>
      <c r="B427" s="17" t="s">
        <v>2175</v>
      </c>
      <c r="C427" s="18" t="str">
        <f>+C426</f>
        <v>DIO1</v>
      </c>
      <c r="D427" s="18">
        <v>132</v>
      </c>
      <c r="E427" s="84">
        <f>+E426</f>
        <v>2</v>
      </c>
      <c r="F427" s="84">
        <f>+F426</f>
        <v>6</v>
      </c>
      <c r="G427" s="84">
        <v>0</v>
      </c>
      <c r="H427" s="200">
        <f>H423</f>
        <v>1</v>
      </c>
      <c r="I427" s="187">
        <f>+I426+1</f>
        <v>24</v>
      </c>
      <c r="J427" s="205"/>
      <c r="K427" s="79"/>
      <c r="L427" s="17" t="s">
        <v>323</v>
      </c>
      <c r="M427" s="18">
        <v>4</v>
      </c>
      <c r="N427" s="59" t="s">
        <v>15</v>
      </c>
      <c r="O427" s="68" t="s">
        <v>2104</v>
      </c>
      <c r="P427" s="59" t="s">
        <v>2100</v>
      </c>
      <c r="Q427" s="68" t="s">
        <v>2103</v>
      </c>
      <c r="R427" s="17" t="s">
        <v>299</v>
      </c>
      <c r="S427" s="17"/>
      <c r="T427" s="59" t="s">
        <v>669</v>
      </c>
      <c r="U427" s="17"/>
      <c r="V427" s="17" t="str">
        <f>+CONCATENATE(E427,".",F427,"\",G427,".",H427,":",I427)</f>
        <v>2.6\0.1:24</v>
      </c>
      <c r="W427" s="64" t="s">
        <v>668</v>
      </c>
      <c r="X427" s="83">
        <v>0</v>
      </c>
      <c r="Y427" s="20" t="s">
        <v>2248</v>
      </c>
      <c r="Z427" s="20" t="s">
        <v>1159</v>
      </c>
      <c r="AA427" s="20"/>
      <c r="AB427" s="20"/>
      <c r="AC427" s="20"/>
      <c r="AD427" s="20"/>
      <c r="AE427" s="20"/>
      <c r="AF427" s="17"/>
      <c r="AG427" s="64" t="s">
        <v>1079</v>
      </c>
      <c r="AH427" s="64">
        <v>33</v>
      </c>
      <c r="AI427" s="64">
        <v>34</v>
      </c>
      <c r="AJ427" s="64"/>
      <c r="AK427" s="64"/>
      <c r="AL427" s="264"/>
      <c r="AM427" s="84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</row>
    <row r="428" spans="1:51" s="33" customFormat="1" ht="14.5" x14ac:dyDescent="0.35">
      <c r="A428" s="63" t="str">
        <f>A427</f>
        <v>BCV131</v>
      </c>
      <c r="B428" s="17" t="s">
        <v>2175</v>
      </c>
      <c r="C428" s="18" t="str">
        <f>+C427</f>
        <v>DIO1</v>
      </c>
      <c r="D428" s="18">
        <v>132</v>
      </c>
      <c r="E428" s="84">
        <f>+E427</f>
        <v>2</v>
      </c>
      <c r="F428" s="84">
        <f>+F427</f>
        <v>6</v>
      </c>
      <c r="G428" s="84">
        <v>0</v>
      </c>
      <c r="H428" s="200">
        <f>H424</f>
        <v>1</v>
      </c>
      <c r="I428" s="187">
        <f>+I427+1</f>
        <v>25</v>
      </c>
      <c r="J428" s="205"/>
      <c r="K428" s="79"/>
      <c r="L428" s="17" t="s">
        <v>323</v>
      </c>
      <c r="M428" s="18">
        <v>4</v>
      </c>
      <c r="N428" s="59" t="s">
        <v>15</v>
      </c>
      <c r="O428" s="68" t="s">
        <v>2101</v>
      </c>
      <c r="P428" s="59" t="s">
        <v>2100</v>
      </c>
      <c r="Q428" s="68" t="s">
        <v>2099</v>
      </c>
      <c r="R428" s="17" t="s">
        <v>299</v>
      </c>
      <c r="S428" s="17"/>
      <c r="T428" s="59" t="s">
        <v>669</v>
      </c>
      <c r="U428" s="17"/>
      <c r="V428" s="17" t="str">
        <f>+CONCATENATE(E428,".",F428,"\",G428,".",H428,":",I428)</f>
        <v>2.6\0.1:25</v>
      </c>
      <c r="W428" s="64" t="s">
        <v>668</v>
      </c>
      <c r="X428" s="83">
        <v>0</v>
      </c>
      <c r="Y428" s="20" t="s">
        <v>2246</v>
      </c>
      <c r="Z428" s="20" t="s">
        <v>1159</v>
      </c>
      <c r="AA428" s="20"/>
      <c r="AB428" s="20"/>
      <c r="AC428" s="20"/>
      <c r="AD428" s="20"/>
      <c r="AE428" s="20"/>
      <c r="AF428" s="17"/>
      <c r="AG428" s="64" t="s">
        <v>1079</v>
      </c>
      <c r="AH428" s="64">
        <v>35</v>
      </c>
      <c r="AI428" s="64">
        <v>36</v>
      </c>
      <c r="AJ428" s="64"/>
      <c r="AK428" s="64"/>
      <c r="AL428" s="264"/>
      <c r="AM428" s="84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</row>
    <row r="429" spans="1:51" s="33" customFormat="1" x14ac:dyDescent="0.3">
      <c r="A429" s="63" t="str">
        <f>A428</f>
        <v>BCV131</v>
      </c>
      <c r="B429" s="17" t="s">
        <v>2175</v>
      </c>
      <c r="C429" s="18" t="str">
        <f>+C428</f>
        <v>DIO1</v>
      </c>
      <c r="D429" s="18">
        <v>132</v>
      </c>
      <c r="E429" s="84">
        <f>+E428</f>
        <v>2</v>
      </c>
      <c r="F429" s="84">
        <f>+F428</f>
        <v>6</v>
      </c>
      <c r="G429" s="84">
        <v>0</v>
      </c>
      <c r="H429" s="200">
        <f>H425</f>
        <v>1</v>
      </c>
      <c r="I429" s="187">
        <f>+I428+1</f>
        <v>26</v>
      </c>
      <c r="J429" s="205"/>
      <c r="K429" s="79"/>
      <c r="L429" s="17" t="s">
        <v>323</v>
      </c>
      <c r="M429" s="18"/>
      <c r="N429" s="18"/>
      <c r="O429" s="17"/>
      <c r="P429" s="18" t="s">
        <v>127</v>
      </c>
      <c r="Q429" s="17"/>
      <c r="R429" s="17"/>
      <c r="S429" s="17"/>
      <c r="T429" s="17"/>
      <c r="U429" s="17"/>
      <c r="V429" s="17" t="str">
        <f>+CONCATENATE(E429,".",F429,"\",G429,".",H429,":",I429)</f>
        <v>2.6\0.1:26</v>
      </c>
      <c r="W429" s="17"/>
      <c r="X429" s="17"/>
      <c r="Y429" s="20"/>
      <c r="Z429" s="20" t="s">
        <v>1159</v>
      </c>
      <c r="AA429" s="20"/>
      <c r="AB429" s="17"/>
      <c r="AC429" s="20"/>
      <c r="AD429" s="20"/>
      <c r="AE429" s="20"/>
      <c r="AF429" s="17"/>
      <c r="AG429" s="64" t="s">
        <v>1079</v>
      </c>
      <c r="AH429" s="64">
        <v>37</v>
      </c>
      <c r="AI429" s="64">
        <v>38</v>
      </c>
      <c r="AJ429" s="64"/>
      <c r="AK429" s="64"/>
      <c r="AL429" s="264"/>
      <c r="AM429" s="84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</row>
    <row r="430" spans="1:51" s="33" customFormat="1" x14ac:dyDescent="0.3">
      <c r="A430" s="63" t="str">
        <f>A429</f>
        <v>BCV131</v>
      </c>
      <c r="B430" s="17" t="s">
        <v>2175</v>
      </c>
      <c r="C430" s="18" t="str">
        <f>+C429</f>
        <v>DIO1</v>
      </c>
      <c r="D430" s="18">
        <v>132</v>
      </c>
      <c r="E430" s="84">
        <f>+E429</f>
        <v>2</v>
      </c>
      <c r="F430" s="84">
        <f>+F429</f>
        <v>6</v>
      </c>
      <c r="G430" s="84">
        <v>0</v>
      </c>
      <c r="H430" s="200">
        <f>H426</f>
        <v>1</v>
      </c>
      <c r="I430" s="187">
        <f>+I429+1</f>
        <v>27</v>
      </c>
      <c r="J430" s="205"/>
      <c r="K430" s="79"/>
      <c r="L430" s="17" t="s">
        <v>323</v>
      </c>
      <c r="M430" s="18"/>
      <c r="N430" s="18"/>
      <c r="O430" s="17"/>
      <c r="P430" s="18" t="s">
        <v>127</v>
      </c>
      <c r="Q430" s="206"/>
      <c r="R430" s="280"/>
      <c r="S430" s="17"/>
      <c r="T430" s="17"/>
      <c r="U430" s="17"/>
      <c r="V430" s="17" t="str">
        <f>+CONCATENATE(E430,".",F430,"\",G430,".",H430,":",I430)</f>
        <v>2.6\0.1:27</v>
      </c>
      <c r="W430" s="17"/>
      <c r="X430" s="17"/>
      <c r="Y430" s="20"/>
      <c r="Z430" s="20" t="s">
        <v>1159</v>
      </c>
      <c r="AA430" s="20"/>
      <c r="AB430" s="17"/>
      <c r="AC430" s="20"/>
      <c r="AD430" s="20"/>
      <c r="AE430" s="20"/>
      <c r="AF430" s="17"/>
      <c r="AG430" s="64" t="s">
        <v>1079</v>
      </c>
      <c r="AH430" s="64">
        <v>39</v>
      </c>
      <c r="AI430" s="64">
        <v>40</v>
      </c>
      <c r="AJ430" s="64"/>
      <c r="AK430" s="64"/>
      <c r="AL430" s="264"/>
      <c r="AM430" s="84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</row>
    <row r="431" spans="1:51" s="33" customFormat="1" x14ac:dyDescent="0.3">
      <c r="A431" s="63" t="str">
        <f>A430</f>
        <v>BCV131</v>
      </c>
      <c r="B431" s="17" t="s">
        <v>2175</v>
      </c>
      <c r="C431" s="18" t="str">
        <f>+C430</f>
        <v>DIO1</v>
      </c>
      <c r="D431" s="18">
        <v>132</v>
      </c>
      <c r="E431" s="84">
        <f>+E430</f>
        <v>2</v>
      </c>
      <c r="F431" s="84">
        <f>+F430</f>
        <v>6</v>
      </c>
      <c r="G431" s="84">
        <v>0</v>
      </c>
      <c r="H431" s="200">
        <f>H427</f>
        <v>1</v>
      </c>
      <c r="I431" s="187">
        <f>+I430+1</f>
        <v>28</v>
      </c>
      <c r="J431" s="205"/>
      <c r="K431" s="79"/>
      <c r="L431" s="17" t="s">
        <v>323</v>
      </c>
      <c r="M431" s="18"/>
      <c r="N431" s="18"/>
      <c r="O431" s="17"/>
      <c r="P431" s="18"/>
      <c r="Q431" s="68"/>
      <c r="R431" s="17"/>
      <c r="S431" s="17"/>
      <c r="T431" s="17"/>
      <c r="U431" s="17"/>
      <c r="V431" s="17" t="str">
        <f>+CONCATENATE(E431,".",F431,"\",G431,".",H431,":",I431)</f>
        <v>2.6\0.1:28</v>
      </c>
      <c r="W431" s="17"/>
      <c r="X431" s="17"/>
      <c r="Y431" s="20"/>
      <c r="Z431" s="20" t="s">
        <v>1159</v>
      </c>
      <c r="AA431" s="20"/>
      <c r="AB431" s="17"/>
      <c r="AC431" s="20"/>
      <c r="AD431" s="20"/>
      <c r="AE431" s="20"/>
      <c r="AF431" s="17"/>
      <c r="AG431" s="64" t="s">
        <v>1079</v>
      </c>
      <c r="AH431" s="64">
        <v>41</v>
      </c>
      <c r="AI431" s="64">
        <v>42</v>
      </c>
      <c r="AJ431" s="64"/>
      <c r="AK431" s="64"/>
      <c r="AL431" s="264"/>
      <c r="AM431" s="84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</row>
    <row r="432" spans="1:51" s="33" customFormat="1" x14ac:dyDescent="0.3">
      <c r="A432" s="63" t="str">
        <f>A431</f>
        <v>BCV131</v>
      </c>
      <c r="B432" s="17" t="s">
        <v>2175</v>
      </c>
      <c r="C432" s="18" t="str">
        <f>+C431</f>
        <v>DIO1</v>
      </c>
      <c r="D432" s="18">
        <v>132</v>
      </c>
      <c r="E432" s="84">
        <f>+E431</f>
        <v>2</v>
      </c>
      <c r="F432" s="84">
        <f>+F431</f>
        <v>6</v>
      </c>
      <c r="G432" s="84">
        <v>0</v>
      </c>
      <c r="H432" s="200">
        <f>H428</f>
        <v>1</v>
      </c>
      <c r="I432" s="187">
        <f>+I431+1</f>
        <v>29</v>
      </c>
      <c r="J432" s="205"/>
      <c r="K432" s="79"/>
      <c r="L432" s="17" t="s">
        <v>323</v>
      </c>
      <c r="M432" s="18"/>
      <c r="N432" s="18"/>
      <c r="O432" s="17"/>
      <c r="P432" s="18"/>
      <c r="Q432" s="68"/>
      <c r="R432" s="17"/>
      <c r="S432" s="17"/>
      <c r="T432" s="17"/>
      <c r="U432" s="17"/>
      <c r="V432" s="17" t="str">
        <f>+CONCATENATE(E432,".",F432,"\",G432,".",H432,":",I432)</f>
        <v>2.6\0.1:29</v>
      </c>
      <c r="W432" s="17"/>
      <c r="X432" s="17"/>
      <c r="Y432" s="20"/>
      <c r="Z432" s="20" t="s">
        <v>1159</v>
      </c>
      <c r="AA432" s="20"/>
      <c r="AB432" s="17"/>
      <c r="AC432" s="20"/>
      <c r="AD432" s="20"/>
      <c r="AE432" s="20"/>
      <c r="AF432" s="17"/>
      <c r="AG432" s="64" t="s">
        <v>1079</v>
      </c>
      <c r="AH432" s="64">
        <v>43</v>
      </c>
      <c r="AI432" s="64">
        <v>44</v>
      </c>
      <c r="AJ432" s="64"/>
      <c r="AK432" s="64"/>
      <c r="AL432" s="264"/>
      <c r="AM432" s="84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</row>
    <row r="433" spans="1:51" s="33" customFormat="1" x14ac:dyDescent="0.3">
      <c r="A433" s="63" t="str">
        <f>A432</f>
        <v>BCV131</v>
      </c>
      <c r="B433" s="17" t="s">
        <v>2175</v>
      </c>
      <c r="C433" s="18" t="str">
        <f>+C432</f>
        <v>DIO1</v>
      </c>
      <c r="D433" s="18">
        <v>132</v>
      </c>
      <c r="E433" s="84">
        <f>+E432</f>
        <v>2</v>
      </c>
      <c r="F433" s="84">
        <f>+F432</f>
        <v>6</v>
      </c>
      <c r="G433" s="84">
        <v>0</v>
      </c>
      <c r="H433" s="200">
        <f>H429</f>
        <v>1</v>
      </c>
      <c r="I433" s="187">
        <f>+I432+1</f>
        <v>30</v>
      </c>
      <c r="J433" s="205"/>
      <c r="K433" s="79"/>
      <c r="L433" s="17" t="s">
        <v>323</v>
      </c>
      <c r="M433" s="18"/>
      <c r="N433" s="18"/>
      <c r="O433" s="17"/>
      <c r="P433" s="18"/>
      <c r="Q433" s="206"/>
      <c r="R433" s="280"/>
      <c r="S433" s="17"/>
      <c r="T433" s="17"/>
      <c r="U433" s="17"/>
      <c r="V433" s="17" t="str">
        <f>+CONCATENATE(E433,".",F433,"\",G433,".",H433,":",I433)</f>
        <v>2.6\0.1:30</v>
      </c>
      <c r="W433" s="17"/>
      <c r="X433" s="17"/>
      <c r="Y433" s="20"/>
      <c r="Z433" s="20" t="s">
        <v>1159</v>
      </c>
      <c r="AA433" s="20"/>
      <c r="AB433" s="17"/>
      <c r="AC433" s="20"/>
      <c r="AD433" s="20"/>
      <c r="AE433" s="20"/>
      <c r="AF433" s="17"/>
      <c r="AG433" s="64" t="s">
        <v>1079</v>
      </c>
      <c r="AH433" s="64">
        <v>45</v>
      </c>
      <c r="AI433" s="64">
        <v>46</v>
      </c>
      <c r="AJ433" s="64"/>
      <c r="AK433" s="64"/>
      <c r="AL433" s="264"/>
      <c r="AM433" s="84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</row>
    <row r="434" spans="1:51" s="33" customFormat="1" ht="13.5" thickBot="1" x14ac:dyDescent="0.35">
      <c r="A434" s="63" t="str">
        <f>A433</f>
        <v>BCV131</v>
      </c>
      <c r="B434" s="17" t="s">
        <v>2175</v>
      </c>
      <c r="C434" s="18" t="str">
        <f>+C433</f>
        <v>DIO1</v>
      </c>
      <c r="D434" s="18">
        <v>132</v>
      </c>
      <c r="E434" s="84">
        <f>+E433</f>
        <v>2</v>
      </c>
      <c r="F434" s="84">
        <f>+F433</f>
        <v>6</v>
      </c>
      <c r="G434" s="84">
        <v>0</v>
      </c>
      <c r="H434" s="200">
        <f>H430</f>
        <v>1</v>
      </c>
      <c r="I434" s="191">
        <f>+I433+1</f>
        <v>31</v>
      </c>
      <c r="J434" s="203"/>
      <c r="K434" s="79"/>
      <c r="L434" s="17" t="s">
        <v>323</v>
      </c>
      <c r="M434" s="18"/>
      <c r="N434" s="18"/>
      <c r="O434" s="18"/>
      <c r="P434" s="18"/>
      <c r="Q434" s="17"/>
      <c r="R434" s="17"/>
      <c r="S434" s="18"/>
      <c r="T434" s="18"/>
      <c r="U434" s="17"/>
      <c r="V434" s="17" t="str">
        <f>+CONCATENATE(E434,".",F434,"\",G434,".",H434,":",I434)</f>
        <v>2.6\0.1:31</v>
      </c>
      <c r="W434" s="17"/>
      <c r="X434" s="17"/>
      <c r="Y434" s="20"/>
      <c r="Z434" s="20" t="s">
        <v>1159</v>
      </c>
      <c r="AA434" s="20"/>
      <c r="AB434" s="17"/>
      <c r="AC434" s="20"/>
      <c r="AD434" s="20"/>
      <c r="AE434" s="20"/>
      <c r="AF434" s="17"/>
      <c r="AG434" s="64" t="s">
        <v>1079</v>
      </c>
      <c r="AH434" s="64">
        <v>47</v>
      </c>
      <c r="AI434" s="64">
        <v>48</v>
      </c>
      <c r="AJ434" s="64"/>
      <c r="AK434" s="64"/>
      <c r="AL434" s="264"/>
      <c r="AM434" s="84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</row>
    <row r="435" spans="1:51" s="33" customFormat="1" x14ac:dyDescent="0.3">
      <c r="A435" s="268" t="s">
        <v>194</v>
      </c>
      <c r="B435" s="17" t="s">
        <v>2175</v>
      </c>
      <c r="C435" s="18" t="str">
        <f>+C434</f>
        <v>DIO1</v>
      </c>
      <c r="D435" s="18">
        <v>132</v>
      </c>
      <c r="E435" s="84">
        <f>+E434</f>
        <v>2</v>
      </c>
      <c r="F435" s="84">
        <f>+F434</f>
        <v>6</v>
      </c>
      <c r="G435" s="84">
        <v>0</v>
      </c>
      <c r="H435" s="202">
        <f>+H419+1</f>
        <v>2</v>
      </c>
      <c r="I435" s="188">
        <v>0</v>
      </c>
      <c r="J435" s="279" t="s">
        <v>767</v>
      </c>
      <c r="K435" s="18" t="s">
        <v>766</v>
      </c>
      <c r="L435" s="17" t="s">
        <v>323</v>
      </c>
      <c r="M435" s="18">
        <v>4</v>
      </c>
      <c r="N435" s="17" t="s">
        <v>2006</v>
      </c>
      <c r="O435" s="68" t="s">
        <v>1242</v>
      </c>
      <c r="P435" s="17" t="s">
        <v>2183</v>
      </c>
      <c r="Q435" s="17" t="s">
        <v>2128</v>
      </c>
      <c r="R435" s="17" t="s">
        <v>299</v>
      </c>
      <c r="S435" s="17"/>
      <c r="T435" s="17" t="s">
        <v>602</v>
      </c>
      <c r="U435" s="17"/>
      <c r="V435" s="17" t="str">
        <f>+CONCATENATE(E435,".",F435,"\",G435,".",H435,":",I435)</f>
        <v>2.6\0.2:0</v>
      </c>
      <c r="W435" s="17" t="s">
        <v>2176</v>
      </c>
      <c r="X435" s="221">
        <v>0</v>
      </c>
      <c r="Y435" s="20"/>
      <c r="Z435" s="20" t="s">
        <v>1159</v>
      </c>
      <c r="AA435" s="20"/>
      <c r="AB435" s="17"/>
      <c r="AC435" s="20"/>
      <c r="AD435" s="20"/>
      <c r="AE435" s="20"/>
      <c r="AF435" s="17"/>
      <c r="AG435" s="64" t="s">
        <v>1045</v>
      </c>
      <c r="AH435" s="64">
        <v>1</v>
      </c>
      <c r="AI435" s="64">
        <v>2</v>
      </c>
      <c r="AJ435" s="64"/>
      <c r="AK435" s="64"/>
      <c r="AL435" s="264"/>
      <c r="AM435" s="84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</row>
    <row r="436" spans="1:51" s="33" customFormat="1" x14ac:dyDescent="0.3">
      <c r="A436" s="63" t="str">
        <f>A435</f>
        <v>BCV131</v>
      </c>
      <c r="B436" s="17" t="s">
        <v>2175</v>
      </c>
      <c r="C436" s="18" t="str">
        <f>+C435</f>
        <v>DIO1</v>
      </c>
      <c r="D436" s="18">
        <v>132</v>
      </c>
      <c r="E436" s="84">
        <f>+E435</f>
        <v>2</v>
      </c>
      <c r="F436" s="84">
        <f>+F435</f>
        <v>6</v>
      </c>
      <c r="G436" s="84">
        <v>0</v>
      </c>
      <c r="H436" s="200">
        <f>H435</f>
        <v>2</v>
      </c>
      <c r="I436" s="187">
        <f>+I435+1</f>
        <v>1</v>
      </c>
      <c r="J436" s="205"/>
      <c r="K436" s="17"/>
      <c r="L436" s="17" t="s">
        <v>323</v>
      </c>
      <c r="M436" s="18">
        <v>4</v>
      </c>
      <c r="N436" s="17" t="s">
        <v>2006</v>
      </c>
      <c r="O436" s="68" t="s">
        <v>1239</v>
      </c>
      <c r="P436" s="17" t="s">
        <v>2183</v>
      </c>
      <c r="Q436" s="17" t="s">
        <v>2126</v>
      </c>
      <c r="R436" s="17" t="s">
        <v>299</v>
      </c>
      <c r="S436" s="17"/>
      <c r="T436" s="17" t="s">
        <v>602</v>
      </c>
      <c r="U436" s="17"/>
      <c r="V436" s="17" t="str">
        <f>+CONCATENATE(E436,".",F436,"\",G436,".",H436,":",I436)</f>
        <v>2.6\0.2:1</v>
      </c>
      <c r="W436" s="17" t="s">
        <v>2176</v>
      </c>
      <c r="X436" s="221">
        <v>0</v>
      </c>
      <c r="Y436" s="20"/>
      <c r="Z436" s="20" t="s">
        <v>1159</v>
      </c>
      <c r="AA436" s="20"/>
      <c r="AB436" s="17"/>
      <c r="AC436" s="20"/>
      <c r="AD436" s="20"/>
      <c r="AE436" s="20"/>
      <c r="AF436" s="17"/>
      <c r="AG436" s="64" t="s">
        <v>1045</v>
      </c>
      <c r="AH436" s="64">
        <v>3</v>
      </c>
      <c r="AI436" s="64">
        <v>4</v>
      </c>
      <c r="AJ436" s="64"/>
      <c r="AK436" s="64"/>
      <c r="AL436" s="264"/>
      <c r="AM436" s="84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</row>
    <row r="437" spans="1:51" s="33" customFormat="1" ht="14.5" x14ac:dyDescent="0.35">
      <c r="A437" s="63" t="str">
        <f>A436</f>
        <v>BCV131</v>
      </c>
      <c r="B437" s="17" t="s">
        <v>2175</v>
      </c>
      <c r="C437" s="18" t="str">
        <f>+C436</f>
        <v>DIO1</v>
      </c>
      <c r="D437" s="18">
        <v>132</v>
      </c>
      <c r="E437" s="84">
        <f>+E436</f>
        <v>2</v>
      </c>
      <c r="F437" s="84">
        <f>+F436</f>
        <v>6</v>
      </c>
      <c r="G437" s="84">
        <v>0</v>
      </c>
      <c r="H437" s="200">
        <f>H435</f>
        <v>2</v>
      </c>
      <c r="I437" s="187">
        <f>+I436+1</f>
        <v>2</v>
      </c>
      <c r="J437" s="205"/>
      <c r="K437" s="79"/>
      <c r="L437" s="17" t="s">
        <v>323</v>
      </c>
      <c r="M437" s="18">
        <v>4</v>
      </c>
      <c r="N437" s="59" t="s">
        <v>11</v>
      </c>
      <c r="O437" s="68" t="s">
        <v>1242</v>
      </c>
      <c r="P437" s="59" t="s">
        <v>2262</v>
      </c>
      <c r="Q437" s="17" t="s">
        <v>2125</v>
      </c>
      <c r="R437" s="17" t="s">
        <v>299</v>
      </c>
      <c r="S437" s="17"/>
      <c r="T437" s="17" t="s">
        <v>667</v>
      </c>
      <c r="U437" s="17"/>
      <c r="V437" s="17" t="str">
        <f>+CONCATENATE(E437,".",F437,"\",G437,".",H437,":",I437)</f>
        <v>2.6\0.2:2</v>
      </c>
      <c r="W437" s="17" t="s">
        <v>666</v>
      </c>
      <c r="X437" s="221" t="s">
        <v>289</v>
      </c>
      <c r="Y437" s="20"/>
      <c r="Z437" s="20" t="s">
        <v>1159</v>
      </c>
      <c r="AA437" s="20"/>
      <c r="AB437" s="17"/>
      <c r="AC437" s="20"/>
      <c r="AD437" s="20"/>
      <c r="AE437" s="20"/>
      <c r="AF437" s="17"/>
      <c r="AG437" s="64" t="s">
        <v>1045</v>
      </c>
      <c r="AH437" s="64">
        <v>5</v>
      </c>
      <c r="AI437" s="64">
        <v>6</v>
      </c>
      <c r="AJ437" s="64"/>
      <c r="AK437" s="64"/>
      <c r="AL437" s="264"/>
      <c r="AM437" s="84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</row>
    <row r="438" spans="1:51" s="33" customFormat="1" ht="14.5" x14ac:dyDescent="0.35">
      <c r="A438" s="63" t="str">
        <f>A437</f>
        <v>BCV131</v>
      </c>
      <c r="B438" s="17" t="s">
        <v>2175</v>
      </c>
      <c r="C438" s="18" t="str">
        <f>+C437</f>
        <v>DIO1</v>
      </c>
      <c r="D438" s="18">
        <v>132</v>
      </c>
      <c r="E438" s="84">
        <f>+E437</f>
        <v>2</v>
      </c>
      <c r="F438" s="84">
        <f>+F437</f>
        <v>6</v>
      </c>
      <c r="G438" s="84">
        <v>0</v>
      </c>
      <c r="H438" s="200">
        <f>H435</f>
        <v>2</v>
      </c>
      <c r="I438" s="187">
        <f>+I437+1</f>
        <v>3</v>
      </c>
      <c r="J438" s="205"/>
      <c r="K438" s="79"/>
      <c r="L438" s="17" t="s">
        <v>323</v>
      </c>
      <c r="M438" s="18">
        <v>4</v>
      </c>
      <c r="N438" s="59" t="s">
        <v>11</v>
      </c>
      <c r="O438" s="68" t="s">
        <v>1239</v>
      </c>
      <c r="P438" s="59" t="s">
        <v>2262</v>
      </c>
      <c r="Q438" s="17" t="s">
        <v>2123</v>
      </c>
      <c r="R438" s="17" t="s">
        <v>299</v>
      </c>
      <c r="S438" s="17"/>
      <c r="T438" s="17" t="s">
        <v>667</v>
      </c>
      <c r="U438" s="17"/>
      <c r="V438" s="17" t="str">
        <f>+CONCATENATE(E438,".",F438,"\",G438,".",H438,":",I438)</f>
        <v>2.6\0.2:3</v>
      </c>
      <c r="W438" s="17" t="s">
        <v>666</v>
      </c>
      <c r="X438" s="221" t="s">
        <v>289</v>
      </c>
      <c r="Y438" s="20"/>
      <c r="Z438" s="20" t="s">
        <v>1159</v>
      </c>
      <c r="AA438" s="20"/>
      <c r="AB438" s="17"/>
      <c r="AC438" s="20"/>
      <c r="AD438" s="20"/>
      <c r="AE438" s="20"/>
      <c r="AF438" s="17"/>
      <c r="AG438" s="64" t="s">
        <v>1045</v>
      </c>
      <c r="AH438" s="64">
        <v>7</v>
      </c>
      <c r="AI438" s="64">
        <v>8</v>
      </c>
      <c r="AJ438" s="64"/>
      <c r="AK438" s="64"/>
      <c r="AL438" s="264"/>
      <c r="AM438" s="84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</row>
    <row r="439" spans="1:51" s="33" customFormat="1" ht="14.5" x14ac:dyDescent="0.35">
      <c r="A439" s="63" t="str">
        <f>A438</f>
        <v>BCV131</v>
      </c>
      <c r="B439" s="17" t="s">
        <v>2175</v>
      </c>
      <c r="C439" s="18" t="str">
        <f>+C438</f>
        <v>DIO1</v>
      </c>
      <c r="D439" s="18">
        <v>132</v>
      </c>
      <c r="E439" s="84">
        <f>+E438</f>
        <v>2</v>
      </c>
      <c r="F439" s="84">
        <f>+F438</f>
        <v>6</v>
      </c>
      <c r="G439" s="84">
        <v>0</v>
      </c>
      <c r="H439" s="200">
        <f>H436</f>
        <v>2</v>
      </c>
      <c r="I439" s="187">
        <f>+I438+1</f>
        <v>4</v>
      </c>
      <c r="J439" s="205"/>
      <c r="K439" s="79"/>
      <c r="L439" s="17" t="s">
        <v>323</v>
      </c>
      <c r="M439" s="18">
        <v>4</v>
      </c>
      <c r="N439" s="59" t="s">
        <v>46</v>
      </c>
      <c r="O439" s="68" t="s">
        <v>1242</v>
      </c>
      <c r="P439" s="59" t="s">
        <v>2261</v>
      </c>
      <c r="Q439" s="17" t="s">
        <v>2122</v>
      </c>
      <c r="R439" s="17" t="s">
        <v>299</v>
      </c>
      <c r="S439" s="17"/>
      <c r="T439" s="17" t="s">
        <v>665</v>
      </c>
      <c r="U439" s="17"/>
      <c r="V439" s="17" t="str">
        <f>+CONCATENATE(E439,".",F439,"\",G439,".",H439,":",I439)</f>
        <v>2.6\0.2:4</v>
      </c>
      <c r="W439" s="17" t="s">
        <v>664</v>
      </c>
      <c r="X439" s="221" t="s">
        <v>289</v>
      </c>
      <c r="Y439" s="20"/>
      <c r="Z439" s="20" t="s">
        <v>1159</v>
      </c>
      <c r="AA439" s="20"/>
      <c r="AB439" s="17"/>
      <c r="AC439" s="20"/>
      <c r="AD439" s="20"/>
      <c r="AE439" s="20"/>
      <c r="AF439" s="17"/>
      <c r="AG439" s="64" t="s">
        <v>1045</v>
      </c>
      <c r="AH439" s="64">
        <v>9</v>
      </c>
      <c r="AI439" s="64">
        <v>10</v>
      </c>
      <c r="AJ439" s="64"/>
      <c r="AK439" s="64"/>
      <c r="AL439" s="264"/>
      <c r="AM439" s="84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</row>
    <row r="440" spans="1:51" s="33" customFormat="1" ht="14.5" x14ac:dyDescent="0.35">
      <c r="A440" s="63" t="str">
        <f>A439</f>
        <v>BCV131</v>
      </c>
      <c r="B440" s="17" t="s">
        <v>2175</v>
      </c>
      <c r="C440" s="18" t="str">
        <f>+C439</f>
        <v>DIO1</v>
      </c>
      <c r="D440" s="18">
        <v>132</v>
      </c>
      <c r="E440" s="84">
        <f>+E439</f>
        <v>2</v>
      </c>
      <c r="F440" s="84">
        <f>+F439</f>
        <v>6</v>
      </c>
      <c r="G440" s="84">
        <v>0</v>
      </c>
      <c r="H440" s="200">
        <f>H437</f>
        <v>2</v>
      </c>
      <c r="I440" s="187">
        <f>+I439+1</f>
        <v>5</v>
      </c>
      <c r="J440" s="205"/>
      <c r="K440" s="79"/>
      <c r="L440" s="17" t="s">
        <v>323</v>
      </c>
      <c r="M440" s="18">
        <v>4</v>
      </c>
      <c r="N440" s="59" t="s">
        <v>46</v>
      </c>
      <c r="O440" s="68" t="s">
        <v>1239</v>
      </c>
      <c r="P440" s="59" t="s">
        <v>2261</v>
      </c>
      <c r="Q440" s="17" t="s">
        <v>2120</v>
      </c>
      <c r="R440" s="17" t="s">
        <v>299</v>
      </c>
      <c r="S440" s="17"/>
      <c r="T440" s="17" t="s">
        <v>665</v>
      </c>
      <c r="U440" s="17"/>
      <c r="V440" s="17" t="str">
        <f>+CONCATENATE(E440,".",F440,"\",G440,".",H440,":",I440)</f>
        <v>2.6\0.2:5</v>
      </c>
      <c r="W440" s="17" t="s">
        <v>664</v>
      </c>
      <c r="X440" s="221" t="s">
        <v>289</v>
      </c>
      <c r="Y440" s="20"/>
      <c r="Z440" s="20" t="s">
        <v>1159</v>
      </c>
      <c r="AA440" s="20"/>
      <c r="AB440" s="17"/>
      <c r="AC440" s="20"/>
      <c r="AD440" s="20"/>
      <c r="AE440" s="20"/>
      <c r="AF440" s="17"/>
      <c r="AG440" s="64" t="s">
        <v>1045</v>
      </c>
      <c r="AH440" s="64">
        <v>11</v>
      </c>
      <c r="AI440" s="64">
        <v>12</v>
      </c>
      <c r="AJ440" s="64"/>
      <c r="AK440" s="64"/>
      <c r="AL440" s="264"/>
      <c r="AM440" s="84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</row>
    <row r="441" spans="1:51" s="33" customFormat="1" ht="14.5" x14ac:dyDescent="0.35">
      <c r="A441" s="63" t="str">
        <f>A440</f>
        <v>BCV131</v>
      </c>
      <c r="B441" s="17" t="s">
        <v>2175</v>
      </c>
      <c r="C441" s="18" t="str">
        <f>+C440</f>
        <v>DIO1</v>
      </c>
      <c r="D441" s="18">
        <v>132</v>
      </c>
      <c r="E441" s="84">
        <f>+E440</f>
        <v>2</v>
      </c>
      <c r="F441" s="84">
        <f>+F440</f>
        <v>6</v>
      </c>
      <c r="G441" s="84">
        <v>0</v>
      </c>
      <c r="H441" s="200">
        <f>H438</f>
        <v>2</v>
      </c>
      <c r="I441" s="187">
        <f>+I440+1</f>
        <v>6</v>
      </c>
      <c r="J441" s="205"/>
      <c r="K441" s="79"/>
      <c r="L441" s="17" t="s">
        <v>323</v>
      </c>
      <c r="M441" s="83">
        <v>5</v>
      </c>
      <c r="N441" s="306"/>
      <c r="O441" s="311"/>
      <c r="P441" s="306"/>
      <c r="Q441" s="78"/>
      <c r="R441" s="78"/>
      <c r="S441" s="78"/>
      <c r="T441" s="78"/>
      <c r="U441" s="17"/>
      <c r="V441" s="17" t="str">
        <f>+CONCATENATE(E441,".",F441,"\",G441,".",H441,":",I441)</f>
        <v>2.6\0.2:6</v>
      </c>
      <c r="W441" s="78" t="s">
        <v>662</v>
      </c>
      <c r="X441" s="221"/>
      <c r="Y441" s="20"/>
      <c r="Z441" s="20" t="s">
        <v>1159</v>
      </c>
      <c r="AA441" s="20"/>
      <c r="AB441" s="17"/>
      <c r="AC441" s="20"/>
      <c r="AD441" s="20"/>
      <c r="AE441" s="20"/>
      <c r="AF441" s="17"/>
      <c r="AG441" s="64" t="s">
        <v>1045</v>
      </c>
      <c r="AH441" s="64">
        <v>13</v>
      </c>
      <c r="AI441" s="64">
        <v>14</v>
      </c>
      <c r="AJ441" s="64"/>
      <c r="AK441" s="64"/>
      <c r="AL441" s="264"/>
      <c r="AM441" s="84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</row>
    <row r="442" spans="1:51" s="33" customFormat="1" ht="14.5" x14ac:dyDescent="0.35">
      <c r="A442" s="63" t="str">
        <f>A441</f>
        <v>BCV131</v>
      </c>
      <c r="B442" s="17" t="s">
        <v>2175</v>
      </c>
      <c r="C442" s="18" t="str">
        <f>+C441</f>
        <v>DIO1</v>
      </c>
      <c r="D442" s="18">
        <v>132</v>
      </c>
      <c r="E442" s="84">
        <f>+E441</f>
        <v>2</v>
      </c>
      <c r="F442" s="84">
        <f>+F441</f>
        <v>6</v>
      </c>
      <c r="G442" s="84">
        <v>0</v>
      </c>
      <c r="H442" s="200">
        <f>H439</f>
        <v>2</v>
      </c>
      <c r="I442" s="187">
        <f>+I441+1</f>
        <v>7</v>
      </c>
      <c r="J442" s="205"/>
      <c r="K442" s="79"/>
      <c r="L442" s="17" t="s">
        <v>323</v>
      </c>
      <c r="M442" s="83">
        <v>5</v>
      </c>
      <c r="N442" s="306"/>
      <c r="O442" s="311"/>
      <c r="P442" s="306"/>
      <c r="Q442" s="78"/>
      <c r="R442" s="78"/>
      <c r="S442" s="78"/>
      <c r="T442" s="78"/>
      <c r="U442" s="17"/>
      <c r="V442" s="17" t="str">
        <f>+CONCATENATE(E442,".",F442,"\",G442,".",H442,":",I442)</f>
        <v>2.6\0.2:7</v>
      </c>
      <c r="W442" s="78" t="s">
        <v>662</v>
      </c>
      <c r="X442" s="221"/>
      <c r="Y442" s="20"/>
      <c r="Z442" s="20" t="s">
        <v>1159</v>
      </c>
      <c r="AA442" s="20"/>
      <c r="AB442" s="17"/>
      <c r="AC442" s="20"/>
      <c r="AD442" s="20"/>
      <c r="AE442" s="20"/>
      <c r="AF442" s="17"/>
      <c r="AG442" s="64" t="s">
        <v>1045</v>
      </c>
      <c r="AH442" s="64">
        <v>15</v>
      </c>
      <c r="AI442" s="64">
        <v>16</v>
      </c>
      <c r="AJ442" s="64"/>
      <c r="AK442" s="64"/>
      <c r="AL442" s="264"/>
      <c r="AM442" s="84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</row>
    <row r="443" spans="1:51" s="33" customFormat="1" x14ac:dyDescent="0.3">
      <c r="A443" s="63" t="str">
        <f>A442</f>
        <v>BCV131</v>
      </c>
      <c r="B443" s="17" t="s">
        <v>2175</v>
      </c>
      <c r="C443" s="18" t="str">
        <f>+C442</f>
        <v>DIO1</v>
      </c>
      <c r="D443" s="18">
        <v>132</v>
      </c>
      <c r="E443" s="84">
        <f>+E442</f>
        <v>2</v>
      </c>
      <c r="F443" s="84">
        <f>+F442</f>
        <v>6</v>
      </c>
      <c r="G443" s="84">
        <v>0</v>
      </c>
      <c r="H443" s="200">
        <f>H440</f>
        <v>2</v>
      </c>
      <c r="I443" s="187">
        <f>+I442+1</f>
        <v>8</v>
      </c>
      <c r="J443" s="205"/>
      <c r="K443" s="79"/>
      <c r="L443" s="17" t="s">
        <v>323</v>
      </c>
      <c r="M443" s="18">
        <v>4</v>
      </c>
      <c r="N443" s="18" t="s">
        <v>2260</v>
      </c>
      <c r="O443" s="17" t="s">
        <v>2259</v>
      </c>
      <c r="P443" s="18" t="s">
        <v>1163</v>
      </c>
      <c r="Q443" s="17" t="s">
        <v>2258</v>
      </c>
      <c r="R443" s="17" t="s">
        <v>211</v>
      </c>
      <c r="S443" s="17"/>
      <c r="T443" s="17" t="s">
        <v>194</v>
      </c>
      <c r="U443" s="17"/>
      <c r="V443" s="17" t="str">
        <f>+CONCATENATE(E443,".",F443,"\",G443,".",H443,":",I443)</f>
        <v>2.6\0.2:8</v>
      </c>
      <c r="W443" s="17" t="s">
        <v>2176</v>
      </c>
      <c r="X443" s="221">
        <v>0</v>
      </c>
      <c r="Y443" s="20"/>
      <c r="Z443" s="20" t="s">
        <v>1159</v>
      </c>
      <c r="AA443" s="20"/>
      <c r="AB443" s="17"/>
      <c r="AC443" s="20"/>
      <c r="AD443" s="20"/>
      <c r="AE443" s="20"/>
      <c r="AF443" s="17"/>
      <c r="AG443" s="64" t="s">
        <v>1045</v>
      </c>
      <c r="AH443" s="64">
        <v>17</v>
      </c>
      <c r="AI443" s="64">
        <v>18</v>
      </c>
      <c r="AJ443" s="64"/>
      <c r="AK443" s="64"/>
      <c r="AL443" s="264"/>
      <c r="AM443" s="84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</row>
    <row r="444" spans="1:51" s="33" customFormat="1" x14ac:dyDescent="0.3">
      <c r="A444" s="63" t="str">
        <f>A443</f>
        <v>BCV131</v>
      </c>
      <c r="B444" s="17" t="s">
        <v>2175</v>
      </c>
      <c r="C444" s="18" t="str">
        <f>+C443</f>
        <v>DIO1</v>
      </c>
      <c r="D444" s="18">
        <v>132</v>
      </c>
      <c r="E444" s="84">
        <f>+E443</f>
        <v>2</v>
      </c>
      <c r="F444" s="84">
        <f>+F443</f>
        <v>6</v>
      </c>
      <c r="G444" s="84">
        <v>0</v>
      </c>
      <c r="H444" s="200">
        <f>H441</f>
        <v>2</v>
      </c>
      <c r="I444" s="187">
        <f>+I443+1</f>
        <v>9</v>
      </c>
      <c r="J444" s="205"/>
      <c r="K444" s="79"/>
      <c r="L444" s="17" t="s">
        <v>323</v>
      </c>
      <c r="M444" s="18">
        <v>4</v>
      </c>
      <c r="N444" s="18" t="s">
        <v>2257</v>
      </c>
      <c r="O444" s="17" t="s">
        <v>2256</v>
      </c>
      <c r="P444" s="18" t="s">
        <v>1163</v>
      </c>
      <c r="Q444" s="17" t="s">
        <v>2255</v>
      </c>
      <c r="R444" s="17" t="s">
        <v>211</v>
      </c>
      <c r="S444" s="17"/>
      <c r="T444" s="17" t="s">
        <v>194</v>
      </c>
      <c r="U444" s="17"/>
      <c r="V444" s="17" t="str">
        <f>+CONCATENATE(E444,".",F444,"\",G444,".",H444,":",I444)</f>
        <v>2.6\0.2:9</v>
      </c>
      <c r="W444" s="17" t="s">
        <v>2176</v>
      </c>
      <c r="X444" s="221">
        <v>0</v>
      </c>
      <c r="Y444" s="20"/>
      <c r="Z444" s="20" t="s">
        <v>1159</v>
      </c>
      <c r="AA444" s="20"/>
      <c r="AB444" s="17"/>
      <c r="AC444" s="20"/>
      <c r="AD444" s="20"/>
      <c r="AE444" s="20"/>
      <c r="AF444" s="17"/>
      <c r="AG444" s="64" t="s">
        <v>1045</v>
      </c>
      <c r="AH444" s="64">
        <v>19</v>
      </c>
      <c r="AI444" s="64">
        <v>20</v>
      </c>
      <c r="AJ444" s="64"/>
      <c r="AK444" s="64"/>
      <c r="AL444" s="264"/>
      <c r="AM444" s="84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</row>
    <row r="445" spans="1:51" s="33" customFormat="1" x14ac:dyDescent="0.3">
      <c r="A445" s="63" t="str">
        <f>A444</f>
        <v>BCV131</v>
      </c>
      <c r="B445" s="17" t="s">
        <v>2175</v>
      </c>
      <c r="C445" s="18" t="str">
        <f>+C444</f>
        <v>DIO1</v>
      </c>
      <c r="D445" s="18">
        <v>132</v>
      </c>
      <c r="E445" s="84">
        <f>+E444</f>
        <v>2</v>
      </c>
      <c r="F445" s="84">
        <f>+F444</f>
        <v>6</v>
      </c>
      <c r="G445" s="84">
        <v>0</v>
      </c>
      <c r="H445" s="200">
        <f>H442</f>
        <v>2</v>
      </c>
      <c r="I445" s="187">
        <f>+I444+1</f>
        <v>10</v>
      </c>
      <c r="J445" s="205"/>
      <c r="K445" s="79"/>
      <c r="L445" s="17" t="s">
        <v>323</v>
      </c>
      <c r="M445" s="18">
        <v>4</v>
      </c>
      <c r="N445" s="18" t="s">
        <v>2254</v>
      </c>
      <c r="O445" s="280" t="s">
        <v>2253</v>
      </c>
      <c r="P445" s="18" t="s">
        <v>1163</v>
      </c>
      <c r="Q445" s="17" t="s">
        <v>2252</v>
      </c>
      <c r="R445" s="17" t="s">
        <v>211</v>
      </c>
      <c r="S445" s="17"/>
      <c r="T445" s="17" t="s">
        <v>194</v>
      </c>
      <c r="U445" s="17"/>
      <c r="V445" s="17" t="str">
        <f>+CONCATENATE(E445,".",F445,"\",G445,".",H445,":",I445)</f>
        <v>2.6\0.2:10</v>
      </c>
      <c r="W445" s="17" t="s">
        <v>2176</v>
      </c>
      <c r="X445" s="221">
        <v>0</v>
      </c>
      <c r="Y445" s="17"/>
      <c r="Z445" s="20" t="s">
        <v>1159</v>
      </c>
      <c r="AA445" s="17"/>
      <c r="AB445" s="17"/>
      <c r="AC445" s="20"/>
      <c r="AD445" s="20"/>
      <c r="AE445" s="20"/>
      <c r="AF445" s="17"/>
      <c r="AG445" s="64" t="s">
        <v>1045</v>
      </c>
      <c r="AH445" s="64">
        <v>21</v>
      </c>
      <c r="AI445" s="64">
        <v>22</v>
      </c>
      <c r="AJ445" s="64"/>
      <c r="AK445" s="64"/>
      <c r="AL445" s="264"/>
      <c r="AM445" s="84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</row>
    <row r="446" spans="1:51" s="33" customFormat="1" x14ac:dyDescent="0.3">
      <c r="A446" s="63" t="str">
        <f>A445</f>
        <v>BCV131</v>
      </c>
      <c r="B446" s="17" t="s">
        <v>2175</v>
      </c>
      <c r="C446" s="18" t="str">
        <f>+C445</f>
        <v>DIO1</v>
      </c>
      <c r="D446" s="18">
        <v>132</v>
      </c>
      <c r="E446" s="84">
        <f>+E445</f>
        <v>2</v>
      </c>
      <c r="F446" s="84">
        <f>+F445</f>
        <v>6</v>
      </c>
      <c r="G446" s="84">
        <v>0</v>
      </c>
      <c r="H446" s="200">
        <f>H443</f>
        <v>2</v>
      </c>
      <c r="I446" s="187">
        <f>+I445+1</f>
        <v>11</v>
      </c>
      <c r="J446" s="205"/>
      <c r="K446" s="79"/>
      <c r="L446" s="17" t="s">
        <v>323</v>
      </c>
      <c r="M446" s="18">
        <v>4</v>
      </c>
      <c r="N446" s="18" t="s">
        <v>2251</v>
      </c>
      <c r="O446" s="280" t="s">
        <v>2250</v>
      </c>
      <c r="P446" s="18" t="s">
        <v>1163</v>
      </c>
      <c r="Q446" s="17" t="s">
        <v>2249</v>
      </c>
      <c r="R446" s="17" t="s">
        <v>211</v>
      </c>
      <c r="S446" s="17"/>
      <c r="T446" s="17" t="s">
        <v>194</v>
      </c>
      <c r="U446" s="17"/>
      <c r="V446" s="17" t="str">
        <f>+CONCATENATE(E446,".",F446,"\",G446,".",H446,":",I446)</f>
        <v>2.6\0.2:11</v>
      </c>
      <c r="W446" s="17" t="s">
        <v>2176</v>
      </c>
      <c r="X446" s="221">
        <v>0</v>
      </c>
      <c r="Y446" s="17"/>
      <c r="Z446" s="20" t="s">
        <v>1159</v>
      </c>
      <c r="AA446" s="17"/>
      <c r="AB446" s="17"/>
      <c r="AC446" s="20"/>
      <c r="AD446" s="20"/>
      <c r="AE446" s="20"/>
      <c r="AF446" s="17"/>
      <c r="AG446" s="64" t="s">
        <v>1045</v>
      </c>
      <c r="AH446" s="64">
        <v>23</v>
      </c>
      <c r="AI446" s="64">
        <v>24</v>
      </c>
      <c r="AJ446" s="64"/>
      <c r="AK446" s="64"/>
      <c r="AL446" s="264"/>
      <c r="AM446" s="84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</row>
    <row r="447" spans="1:51" s="33" customFormat="1" x14ac:dyDescent="0.3">
      <c r="A447" s="63" t="str">
        <f>A446</f>
        <v>BCV131</v>
      </c>
      <c r="B447" s="17" t="s">
        <v>2175</v>
      </c>
      <c r="C447" s="18" t="str">
        <f>+C446</f>
        <v>DIO1</v>
      </c>
      <c r="D447" s="18">
        <v>132</v>
      </c>
      <c r="E447" s="84">
        <f>+E446</f>
        <v>2</v>
      </c>
      <c r="F447" s="84">
        <f>+F446</f>
        <v>6</v>
      </c>
      <c r="G447" s="84">
        <v>0</v>
      </c>
      <c r="H447" s="200">
        <f>H444</f>
        <v>2</v>
      </c>
      <c r="I447" s="187">
        <f>+I446+1</f>
        <v>12</v>
      </c>
      <c r="J447" s="205"/>
      <c r="K447" s="79"/>
      <c r="L447" s="17" t="s">
        <v>323</v>
      </c>
      <c r="M447" s="18">
        <v>4</v>
      </c>
      <c r="N447" s="17" t="s">
        <v>78</v>
      </c>
      <c r="O447" s="68" t="s">
        <v>1242</v>
      </c>
      <c r="P447" s="17" t="s">
        <v>2244</v>
      </c>
      <c r="Q447" s="17" t="s">
        <v>2128</v>
      </c>
      <c r="R447" s="17" t="s">
        <v>299</v>
      </c>
      <c r="S447" s="17"/>
      <c r="T447" s="17" t="s">
        <v>696</v>
      </c>
      <c r="U447" s="17"/>
      <c r="V447" s="17" t="str">
        <f>+CONCATENATE(E447,".",F447,"\",G447,".",H447,":",I447)</f>
        <v>2.6\0.2:12</v>
      </c>
      <c r="W447" s="17" t="s">
        <v>695</v>
      </c>
      <c r="X447" s="221" t="s">
        <v>289</v>
      </c>
      <c r="Y447" s="20"/>
      <c r="Z447" s="20" t="s">
        <v>1159</v>
      </c>
      <c r="AA447" s="20"/>
      <c r="AB447" s="17"/>
      <c r="AC447" s="20"/>
      <c r="AD447" s="20"/>
      <c r="AE447" s="20"/>
      <c r="AF447" s="17"/>
      <c r="AG447" s="64" t="s">
        <v>1045</v>
      </c>
      <c r="AH447" s="64">
        <v>25</v>
      </c>
      <c r="AI447" s="64">
        <v>26</v>
      </c>
      <c r="AJ447" s="64"/>
      <c r="AK447" s="64"/>
      <c r="AL447" s="264"/>
      <c r="AM447" s="84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</row>
    <row r="448" spans="1:51" s="33" customFormat="1" x14ac:dyDescent="0.3">
      <c r="A448" s="63" t="str">
        <f>A447</f>
        <v>BCV131</v>
      </c>
      <c r="B448" s="17" t="s">
        <v>2175</v>
      </c>
      <c r="C448" s="18" t="str">
        <f>+C447</f>
        <v>DIO1</v>
      </c>
      <c r="D448" s="18">
        <v>132</v>
      </c>
      <c r="E448" s="84">
        <f>+E447</f>
        <v>2</v>
      </c>
      <c r="F448" s="84">
        <f>+F447</f>
        <v>6</v>
      </c>
      <c r="G448" s="84">
        <v>0</v>
      </c>
      <c r="H448" s="200">
        <f>H445</f>
        <v>2</v>
      </c>
      <c r="I448" s="187">
        <f>+I447+1</f>
        <v>13</v>
      </c>
      <c r="J448" s="205"/>
      <c r="K448" s="79"/>
      <c r="L448" s="17" t="s">
        <v>323</v>
      </c>
      <c r="M448" s="18">
        <v>4</v>
      </c>
      <c r="N448" s="17" t="s">
        <v>78</v>
      </c>
      <c r="O448" s="68" t="s">
        <v>1239</v>
      </c>
      <c r="P448" s="17" t="s">
        <v>2244</v>
      </c>
      <c r="Q448" s="17" t="s">
        <v>2126</v>
      </c>
      <c r="R448" s="17" t="s">
        <v>299</v>
      </c>
      <c r="S448" s="17"/>
      <c r="T448" s="17" t="s">
        <v>696</v>
      </c>
      <c r="U448" s="17"/>
      <c r="V448" s="17" t="str">
        <f>+CONCATENATE(E448,".",F448,"\",G448,".",H448,":",I448)</f>
        <v>2.6\0.2:13</v>
      </c>
      <c r="W448" s="17" t="s">
        <v>695</v>
      </c>
      <c r="X448" s="221" t="s">
        <v>289</v>
      </c>
      <c r="Y448" s="20"/>
      <c r="Z448" s="20" t="s">
        <v>1159</v>
      </c>
      <c r="AA448" s="20"/>
      <c r="AB448" s="17"/>
      <c r="AC448" s="20"/>
      <c r="AD448" s="20"/>
      <c r="AE448" s="20"/>
      <c r="AF448" s="17"/>
      <c r="AG448" s="64" t="s">
        <v>1045</v>
      </c>
      <c r="AH448" s="64">
        <v>27</v>
      </c>
      <c r="AI448" s="64">
        <v>28</v>
      </c>
      <c r="AJ448" s="64"/>
      <c r="AK448" s="64"/>
      <c r="AL448" s="264"/>
      <c r="AM448" s="84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</row>
    <row r="449" spans="1:51" s="33" customFormat="1" x14ac:dyDescent="0.3">
      <c r="A449" s="63" t="str">
        <f>A448</f>
        <v>BCV131</v>
      </c>
      <c r="B449" s="17" t="s">
        <v>2175</v>
      </c>
      <c r="C449" s="18" t="str">
        <f>+C448</f>
        <v>DIO1</v>
      </c>
      <c r="D449" s="18">
        <v>132</v>
      </c>
      <c r="E449" s="84">
        <f>+E448</f>
        <v>2</v>
      </c>
      <c r="F449" s="84">
        <f>+F448</f>
        <v>6</v>
      </c>
      <c r="G449" s="84">
        <v>0</v>
      </c>
      <c r="H449" s="200">
        <f>H446</f>
        <v>2</v>
      </c>
      <c r="I449" s="187">
        <f>+I448+1</f>
        <v>14</v>
      </c>
      <c r="J449" s="205"/>
      <c r="K449" s="79"/>
      <c r="L449" s="17" t="s">
        <v>323</v>
      </c>
      <c r="M449" s="18">
        <v>4</v>
      </c>
      <c r="N449" s="17" t="s">
        <v>78</v>
      </c>
      <c r="O449" s="97" t="s">
        <v>616</v>
      </c>
      <c r="P449" s="18" t="s">
        <v>2244</v>
      </c>
      <c r="Q449" s="97" t="s">
        <v>2095</v>
      </c>
      <c r="R449" s="97" t="s">
        <v>247</v>
      </c>
      <c r="S449" s="17"/>
      <c r="T449" s="17" t="s">
        <v>696</v>
      </c>
      <c r="U449" s="17"/>
      <c r="V449" s="17" t="str">
        <f>+CONCATENATE(E449,".",F449,"\",G449,".",H449,":",I449)</f>
        <v>2.6\0.2:14</v>
      </c>
      <c r="W449" s="17" t="s">
        <v>695</v>
      </c>
      <c r="X449" s="221" t="s">
        <v>289</v>
      </c>
      <c r="Y449" s="20"/>
      <c r="Z449" s="20" t="s">
        <v>1159</v>
      </c>
      <c r="AA449" s="20"/>
      <c r="AB449" s="17"/>
      <c r="AC449" s="20"/>
      <c r="AD449" s="20"/>
      <c r="AE449" s="20"/>
      <c r="AF449" s="17"/>
      <c r="AG449" s="64" t="s">
        <v>1045</v>
      </c>
      <c r="AH449" s="64">
        <v>29</v>
      </c>
      <c r="AI449" s="64">
        <v>30</v>
      </c>
      <c r="AJ449" s="64"/>
      <c r="AK449" s="64"/>
      <c r="AL449" s="264"/>
      <c r="AM449" s="84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</row>
    <row r="450" spans="1:51" s="33" customFormat="1" x14ac:dyDescent="0.3">
      <c r="A450" s="63" t="str">
        <f>A449</f>
        <v>BCV131</v>
      </c>
      <c r="B450" s="17" t="s">
        <v>2175</v>
      </c>
      <c r="C450" s="18" t="str">
        <f>+C449</f>
        <v>DIO1</v>
      </c>
      <c r="D450" s="18">
        <v>132</v>
      </c>
      <c r="E450" s="84">
        <f>+E449</f>
        <v>2</v>
      </c>
      <c r="F450" s="84">
        <f>+F449</f>
        <v>6</v>
      </c>
      <c r="G450" s="84">
        <v>0</v>
      </c>
      <c r="H450" s="200">
        <f>H446</f>
        <v>2</v>
      </c>
      <c r="I450" s="187">
        <f>+I449+1</f>
        <v>15</v>
      </c>
      <c r="J450" s="205"/>
      <c r="K450" s="79"/>
      <c r="L450" s="17" t="s">
        <v>323</v>
      </c>
      <c r="M450" s="18">
        <v>5</v>
      </c>
      <c r="N450" s="18"/>
      <c r="O450" s="211"/>
      <c r="P450" s="18"/>
      <c r="Q450" s="78"/>
      <c r="R450" s="78"/>
      <c r="S450" s="78"/>
      <c r="T450" s="78"/>
      <c r="U450" s="17"/>
      <c r="V450" s="17" t="str">
        <f>+CONCATENATE(E450,".",F450,"\",G450,".",H450,":",I450)</f>
        <v>2.6\0.2:15</v>
      </c>
      <c r="W450" s="17"/>
      <c r="X450" s="17"/>
      <c r="Y450" s="20"/>
      <c r="Z450" s="20" t="s">
        <v>1159</v>
      </c>
      <c r="AA450" s="20"/>
      <c r="AB450" s="17"/>
      <c r="AC450" s="20"/>
      <c r="AD450" s="20"/>
      <c r="AE450" s="20"/>
      <c r="AF450" s="17"/>
      <c r="AG450" s="64" t="s">
        <v>1045</v>
      </c>
      <c r="AH450" s="64">
        <v>31</v>
      </c>
      <c r="AI450" s="64">
        <v>32</v>
      </c>
      <c r="AJ450" s="64"/>
      <c r="AK450" s="64"/>
      <c r="AL450" s="264"/>
      <c r="AM450" s="84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</row>
    <row r="451" spans="1:51" s="33" customFormat="1" ht="14.5" x14ac:dyDescent="0.35">
      <c r="A451" s="63" t="str">
        <f>A450</f>
        <v>BCV131</v>
      </c>
      <c r="B451" s="17" t="s">
        <v>2175</v>
      </c>
      <c r="C451" s="18" t="str">
        <f>+C450</f>
        <v>DIO1</v>
      </c>
      <c r="D451" s="18">
        <v>132</v>
      </c>
      <c r="E451" s="84">
        <f>+E450</f>
        <v>2</v>
      </c>
      <c r="F451" s="84">
        <f>+F450</f>
        <v>6</v>
      </c>
      <c r="G451" s="84">
        <v>0</v>
      </c>
      <c r="H451" s="200">
        <f>H447</f>
        <v>2</v>
      </c>
      <c r="I451" s="187">
        <f>+I450+1</f>
        <v>16</v>
      </c>
      <c r="J451" s="205"/>
      <c r="K451" s="18"/>
      <c r="L451" s="17" t="s">
        <v>323</v>
      </c>
      <c r="M451" s="17">
        <v>4</v>
      </c>
      <c r="N451" s="59" t="s">
        <v>11</v>
      </c>
      <c r="O451" s="68" t="s">
        <v>2104</v>
      </c>
      <c r="P451" s="59" t="s">
        <v>2247</v>
      </c>
      <c r="Q451" s="17" t="s">
        <v>2103</v>
      </c>
      <c r="R451" s="17" t="s">
        <v>299</v>
      </c>
      <c r="S451" s="17"/>
      <c r="T451" s="59" t="s">
        <v>661</v>
      </c>
      <c r="U451" s="17"/>
      <c r="V451" s="17" t="str">
        <f>+CONCATENATE(E451,".",F451,"\",G451,".",H451,":",I451)</f>
        <v>2.6\0.2:16</v>
      </c>
      <c r="W451" s="17" t="s">
        <v>660</v>
      </c>
      <c r="X451" s="221" t="s">
        <v>289</v>
      </c>
      <c r="Y451" s="20" t="s">
        <v>2248</v>
      </c>
      <c r="Z451" s="20" t="s">
        <v>1159</v>
      </c>
      <c r="AA451" s="20"/>
      <c r="AB451" s="17"/>
      <c r="AC451" s="20"/>
      <c r="AD451" s="20"/>
      <c r="AE451" s="20"/>
      <c r="AF451" s="17"/>
      <c r="AG451" s="64" t="s">
        <v>985</v>
      </c>
      <c r="AH451" s="64">
        <v>1</v>
      </c>
      <c r="AI451" s="64">
        <v>2</v>
      </c>
      <c r="AJ451" s="64"/>
      <c r="AK451" s="64"/>
      <c r="AL451" s="264"/>
      <c r="AM451" s="84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</row>
    <row r="452" spans="1:51" s="33" customFormat="1" ht="14.5" x14ac:dyDescent="0.35">
      <c r="A452" s="63" t="str">
        <f>A451</f>
        <v>BCV131</v>
      </c>
      <c r="B452" s="17" t="s">
        <v>2175</v>
      </c>
      <c r="C452" s="18" t="str">
        <f>+C451</f>
        <v>DIO1</v>
      </c>
      <c r="D452" s="18">
        <v>132</v>
      </c>
      <c r="E452" s="84">
        <f>+E451</f>
        <v>2</v>
      </c>
      <c r="F452" s="84">
        <f>+F451</f>
        <v>6</v>
      </c>
      <c r="G452" s="84">
        <v>0</v>
      </c>
      <c r="H452" s="200">
        <f>H448</f>
        <v>2</v>
      </c>
      <c r="I452" s="187">
        <f>+I451+1</f>
        <v>17</v>
      </c>
      <c r="J452" s="205"/>
      <c r="K452" s="79"/>
      <c r="L452" s="17" t="s">
        <v>323</v>
      </c>
      <c r="M452" s="17">
        <v>4</v>
      </c>
      <c r="N452" s="59" t="s">
        <v>11</v>
      </c>
      <c r="O452" s="68" t="s">
        <v>2101</v>
      </c>
      <c r="P452" s="59" t="s">
        <v>2247</v>
      </c>
      <c r="Q452" s="17" t="s">
        <v>2099</v>
      </c>
      <c r="R452" s="17" t="s">
        <v>299</v>
      </c>
      <c r="S452" s="78"/>
      <c r="T452" s="59" t="s">
        <v>661</v>
      </c>
      <c r="U452" s="17"/>
      <c r="V452" s="17" t="str">
        <f>+CONCATENATE(E452,".",F452,"\",G452,".",H452,":",I452)</f>
        <v>2.6\0.2:17</v>
      </c>
      <c r="W452" s="17" t="s">
        <v>660</v>
      </c>
      <c r="X452" s="221" t="s">
        <v>289</v>
      </c>
      <c r="Y452" s="20" t="s">
        <v>2246</v>
      </c>
      <c r="Z452" s="20" t="s">
        <v>1159</v>
      </c>
      <c r="AA452" s="20"/>
      <c r="AB452" s="17"/>
      <c r="AC452" s="20"/>
      <c r="AD452" s="20"/>
      <c r="AE452" s="20"/>
      <c r="AF452" s="17"/>
      <c r="AG452" s="64" t="s">
        <v>985</v>
      </c>
      <c r="AH452" s="64">
        <v>3</v>
      </c>
      <c r="AI452" s="64">
        <v>4</v>
      </c>
      <c r="AJ452" s="64"/>
      <c r="AK452" s="64"/>
      <c r="AL452" s="264"/>
      <c r="AM452" s="84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</row>
    <row r="453" spans="1:51" s="33" customFormat="1" x14ac:dyDescent="0.3">
      <c r="A453" s="63" t="str">
        <f>A452</f>
        <v>BCV131</v>
      </c>
      <c r="B453" s="17" t="s">
        <v>2175</v>
      </c>
      <c r="C453" s="18" t="str">
        <f>+C452</f>
        <v>DIO1</v>
      </c>
      <c r="D453" s="18">
        <v>132</v>
      </c>
      <c r="E453" s="84">
        <f>+E452</f>
        <v>2</v>
      </c>
      <c r="F453" s="84">
        <f>+F452</f>
        <v>6</v>
      </c>
      <c r="G453" s="84">
        <v>0</v>
      </c>
      <c r="H453" s="200">
        <f>H449</f>
        <v>2</v>
      </c>
      <c r="I453" s="187">
        <f>+I452+1</f>
        <v>18</v>
      </c>
      <c r="J453" s="205"/>
      <c r="K453" s="79"/>
      <c r="L453" s="17" t="s">
        <v>323</v>
      </c>
      <c r="M453" s="18"/>
      <c r="N453" s="18"/>
      <c r="O453" s="97"/>
      <c r="P453" s="18"/>
      <c r="Q453" s="97"/>
      <c r="R453" s="97"/>
      <c r="S453" s="17"/>
      <c r="T453" s="17"/>
      <c r="U453" s="17"/>
      <c r="V453" s="17" t="str">
        <f>+CONCATENATE(E453,".",F453,"\",G453,".",H453,":",I453)</f>
        <v>2.6\0.2:18</v>
      </c>
      <c r="W453" s="17"/>
      <c r="X453" s="17"/>
      <c r="Y453" s="20"/>
      <c r="Z453" s="20" t="s">
        <v>1159</v>
      </c>
      <c r="AA453" s="20"/>
      <c r="AB453" s="17"/>
      <c r="AC453" s="20"/>
      <c r="AD453" s="20"/>
      <c r="AE453" s="20"/>
      <c r="AF453" s="17"/>
      <c r="AG453" s="64" t="s">
        <v>985</v>
      </c>
      <c r="AH453" s="64">
        <v>5</v>
      </c>
      <c r="AI453" s="64">
        <v>6</v>
      </c>
      <c r="AJ453" s="64"/>
      <c r="AK453" s="64"/>
      <c r="AL453" s="264"/>
      <c r="AM453" s="84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</row>
    <row r="454" spans="1:51" s="33" customFormat="1" x14ac:dyDescent="0.3">
      <c r="A454" s="63" t="str">
        <f>A453</f>
        <v>BCV131</v>
      </c>
      <c r="B454" s="17" t="s">
        <v>2175</v>
      </c>
      <c r="C454" s="18" t="str">
        <f>+C453</f>
        <v>DIO1</v>
      </c>
      <c r="D454" s="18">
        <v>132</v>
      </c>
      <c r="E454" s="84">
        <f>+E453</f>
        <v>2</v>
      </c>
      <c r="F454" s="84">
        <f>+F453</f>
        <v>6</v>
      </c>
      <c r="G454" s="84">
        <v>0</v>
      </c>
      <c r="H454" s="200">
        <f>H450</f>
        <v>2</v>
      </c>
      <c r="I454" s="187">
        <f>+I453+1</f>
        <v>19</v>
      </c>
      <c r="J454" s="205"/>
      <c r="K454" s="79"/>
      <c r="L454" s="17" t="s">
        <v>323</v>
      </c>
      <c r="M454" s="18"/>
      <c r="N454" s="18"/>
      <c r="O454" s="280"/>
      <c r="P454" s="18"/>
      <c r="Q454" s="206"/>
      <c r="R454" s="280"/>
      <c r="S454" s="17"/>
      <c r="T454" s="17"/>
      <c r="U454" s="17"/>
      <c r="V454" s="17" t="str">
        <f>+CONCATENATE(E454,".",F454,"\",G454,".",H454,":",I454)</f>
        <v>2.6\0.2:19</v>
      </c>
      <c r="W454" s="17"/>
      <c r="X454" s="17"/>
      <c r="Y454" s="20"/>
      <c r="Z454" s="20" t="s">
        <v>1159</v>
      </c>
      <c r="AA454" s="20"/>
      <c r="AB454" s="17"/>
      <c r="AC454" s="20"/>
      <c r="AD454" s="20"/>
      <c r="AE454" s="20"/>
      <c r="AF454" s="17"/>
      <c r="AG454" s="64" t="s">
        <v>985</v>
      </c>
      <c r="AH454" s="64">
        <v>7</v>
      </c>
      <c r="AI454" s="64">
        <v>8</v>
      </c>
      <c r="AJ454" s="64"/>
      <c r="AK454" s="64"/>
      <c r="AL454" s="264"/>
      <c r="AM454" s="84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</row>
    <row r="455" spans="1:51" s="33" customFormat="1" x14ac:dyDescent="0.3">
      <c r="A455" s="63" t="str">
        <f>A454</f>
        <v>BCV131</v>
      </c>
      <c r="B455" s="17" t="s">
        <v>2175</v>
      </c>
      <c r="C455" s="18" t="str">
        <f>+C454</f>
        <v>DIO1</v>
      </c>
      <c r="D455" s="18">
        <v>132</v>
      </c>
      <c r="E455" s="84">
        <f>+E454</f>
        <v>2</v>
      </c>
      <c r="F455" s="84">
        <f>+F454</f>
        <v>6</v>
      </c>
      <c r="G455" s="84">
        <v>0</v>
      </c>
      <c r="H455" s="200">
        <f>H451</f>
        <v>2</v>
      </c>
      <c r="I455" s="187">
        <f>+I454+1</f>
        <v>20</v>
      </c>
      <c r="J455" s="205"/>
      <c r="K455" s="79"/>
      <c r="L455" s="17" t="s">
        <v>323</v>
      </c>
      <c r="M455" s="18"/>
      <c r="N455" s="18"/>
      <c r="O455" s="18"/>
      <c r="P455" s="18"/>
      <c r="Q455" s="18"/>
      <c r="R455" s="18"/>
      <c r="S455" s="17"/>
      <c r="T455" s="17"/>
      <c r="U455" s="17"/>
      <c r="V455" s="17" t="str">
        <f>+CONCATENATE(E455,".",F455,"\",G455,".",H455,":",I455)</f>
        <v>2.6\0.2:20</v>
      </c>
      <c r="W455" s="17"/>
      <c r="X455" s="17"/>
      <c r="Y455" s="20"/>
      <c r="Z455" s="20" t="s">
        <v>1159</v>
      </c>
      <c r="AA455" s="20"/>
      <c r="AB455" s="17"/>
      <c r="AC455" s="20"/>
      <c r="AD455" s="20"/>
      <c r="AE455" s="20"/>
      <c r="AF455" s="17"/>
      <c r="AG455" s="64" t="s">
        <v>985</v>
      </c>
      <c r="AH455" s="64">
        <v>9</v>
      </c>
      <c r="AI455" s="64">
        <v>10</v>
      </c>
      <c r="AJ455" s="64"/>
      <c r="AK455" s="64"/>
      <c r="AL455" s="264"/>
      <c r="AM455" s="84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</row>
    <row r="456" spans="1:51" s="33" customFormat="1" x14ac:dyDescent="0.3">
      <c r="A456" s="63" t="str">
        <f>A455</f>
        <v>BCV131</v>
      </c>
      <c r="B456" s="17" t="s">
        <v>2175</v>
      </c>
      <c r="C456" s="18" t="str">
        <f>+C455</f>
        <v>DIO1</v>
      </c>
      <c r="D456" s="18">
        <v>132</v>
      </c>
      <c r="E456" s="84">
        <f>+E455</f>
        <v>2</v>
      </c>
      <c r="F456" s="84">
        <f>+F455</f>
        <v>6</v>
      </c>
      <c r="G456" s="84">
        <v>0</v>
      </c>
      <c r="H456" s="200">
        <f>H452</f>
        <v>2</v>
      </c>
      <c r="I456" s="187">
        <f>+I455+1</f>
        <v>21</v>
      </c>
      <c r="J456" s="205"/>
      <c r="K456" s="79"/>
      <c r="L456" s="17" t="s">
        <v>323</v>
      </c>
      <c r="M456" s="18"/>
      <c r="N456" s="18"/>
      <c r="O456" s="18"/>
      <c r="P456" s="18"/>
      <c r="Q456" s="18"/>
      <c r="R456" s="18"/>
      <c r="S456" s="17"/>
      <c r="T456" s="17"/>
      <c r="U456" s="17"/>
      <c r="V456" s="17" t="str">
        <f>+CONCATENATE(E456,".",F456,"\",G456,".",H456,":",I456)</f>
        <v>2.6\0.2:21</v>
      </c>
      <c r="W456" s="17"/>
      <c r="X456" s="17"/>
      <c r="Y456" s="20"/>
      <c r="Z456" s="20" t="s">
        <v>1159</v>
      </c>
      <c r="AA456" s="20"/>
      <c r="AB456" s="17"/>
      <c r="AC456" s="20"/>
      <c r="AD456" s="20"/>
      <c r="AE456" s="20"/>
      <c r="AF456" s="17"/>
      <c r="AG456" s="64" t="s">
        <v>985</v>
      </c>
      <c r="AH456" s="64">
        <v>11</v>
      </c>
      <c r="AI456" s="64">
        <v>12</v>
      </c>
      <c r="AJ456" s="64"/>
      <c r="AK456" s="64"/>
      <c r="AL456" s="264"/>
      <c r="AM456" s="84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</row>
    <row r="457" spans="1:51" s="33" customFormat="1" x14ac:dyDescent="0.3">
      <c r="A457" s="63" t="str">
        <f>A456</f>
        <v>BCV131</v>
      </c>
      <c r="B457" s="17" t="s">
        <v>2175</v>
      </c>
      <c r="C457" s="18" t="str">
        <f>+C456</f>
        <v>DIO1</v>
      </c>
      <c r="D457" s="18">
        <v>132</v>
      </c>
      <c r="E457" s="84">
        <f>+E456</f>
        <v>2</v>
      </c>
      <c r="F457" s="84">
        <f>+F456</f>
        <v>6</v>
      </c>
      <c r="G457" s="84">
        <v>0</v>
      </c>
      <c r="H457" s="200">
        <f>H453</f>
        <v>2</v>
      </c>
      <c r="I457" s="187">
        <f>+I456+1</f>
        <v>22</v>
      </c>
      <c r="J457" s="205"/>
      <c r="K457" s="79"/>
      <c r="L457" s="17" t="s">
        <v>323</v>
      </c>
      <c r="M457" s="18"/>
      <c r="N457" s="18"/>
      <c r="O457" s="18"/>
      <c r="P457" s="18"/>
      <c r="Q457" s="18"/>
      <c r="R457" s="18"/>
      <c r="S457" s="17"/>
      <c r="T457" s="17"/>
      <c r="U457" s="17"/>
      <c r="V457" s="17" t="str">
        <f>+CONCATENATE(E457,".",F457,"\",G457,".",H457,":",I457)</f>
        <v>2.6\0.2:22</v>
      </c>
      <c r="W457" s="17"/>
      <c r="X457" s="17"/>
      <c r="Y457" s="17"/>
      <c r="Z457" s="20" t="s">
        <v>1159</v>
      </c>
      <c r="AA457" s="17"/>
      <c r="AB457" s="17"/>
      <c r="AC457" s="17"/>
      <c r="AD457" s="17"/>
      <c r="AE457" s="17"/>
      <c r="AF457" s="17"/>
      <c r="AG457" s="64" t="s">
        <v>985</v>
      </c>
      <c r="AH457" s="64">
        <v>13</v>
      </c>
      <c r="AI457" s="64">
        <v>14</v>
      </c>
      <c r="AJ457" s="64"/>
      <c r="AK457" s="64"/>
      <c r="AL457" s="264"/>
      <c r="AM457" s="84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</row>
    <row r="458" spans="1:51" s="33" customFormat="1" x14ac:dyDescent="0.3">
      <c r="A458" s="63" t="str">
        <f>A457</f>
        <v>BCV131</v>
      </c>
      <c r="B458" s="17" t="s">
        <v>2175</v>
      </c>
      <c r="C458" s="18" t="str">
        <f>+C457</f>
        <v>DIO1</v>
      </c>
      <c r="D458" s="18">
        <v>132</v>
      </c>
      <c r="E458" s="84">
        <f>+E457</f>
        <v>2</v>
      </c>
      <c r="F458" s="84">
        <f>+F457</f>
        <v>6</v>
      </c>
      <c r="G458" s="84">
        <v>0</v>
      </c>
      <c r="H458" s="200">
        <f>H454</f>
        <v>2</v>
      </c>
      <c r="I458" s="187">
        <f>+I457+1</f>
        <v>23</v>
      </c>
      <c r="J458" s="205"/>
      <c r="K458" s="79"/>
      <c r="L458" s="17" t="s">
        <v>323</v>
      </c>
      <c r="M458" s="18"/>
      <c r="N458" s="18"/>
      <c r="O458" s="18"/>
      <c r="P458" s="18"/>
      <c r="Q458" s="18"/>
      <c r="R458" s="18"/>
      <c r="S458" s="17"/>
      <c r="T458" s="17"/>
      <c r="U458" s="17"/>
      <c r="V458" s="17" t="str">
        <f>+CONCATENATE(E458,".",F458,"\",G458,".",H458,":",I458)</f>
        <v>2.6\0.2:23</v>
      </c>
      <c r="W458" s="17"/>
      <c r="X458" s="17"/>
      <c r="Y458" s="17"/>
      <c r="Z458" s="20" t="s">
        <v>1159</v>
      </c>
      <c r="AA458" s="17"/>
      <c r="AB458" s="17"/>
      <c r="AC458" s="17"/>
      <c r="AD458" s="17"/>
      <c r="AE458" s="17"/>
      <c r="AF458" s="17"/>
      <c r="AG458" s="64" t="s">
        <v>985</v>
      </c>
      <c r="AH458" s="64">
        <v>15</v>
      </c>
      <c r="AI458" s="64">
        <v>16</v>
      </c>
      <c r="AJ458" s="64"/>
      <c r="AK458" s="64"/>
      <c r="AL458" s="264"/>
      <c r="AM458" s="84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</row>
    <row r="459" spans="1:51" s="33" customFormat="1" x14ac:dyDescent="0.3">
      <c r="A459" s="63" t="str">
        <f>A458</f>
        <v>BCV131</v>
      </c>
      <c r="B459" s="17" t="s">
        <v>2175</v>
      </c>
      <c r="C459" s="18" t="str">
        <f>+C458</f>
        <v>DIO1</v>
      </c>
      <c r="D459" s="18">
        <v>132</v>
      </c>
      <c r="E459" s="84">
        <f>+E458</f>
        <v>2</v>
      </c>
      <c r="F459" s="84">
        <f>+F458</f>
        <v>6</v>
      </c>
      <c r="G459" s="84">
        <v>0</v>
      </c>
      <c r="H459" s="200">
        <f>H455</f>
        <v>2</v>
      </c>
      <c r="I459" s="187">
        <f>+I458+1</f>
        <v>24</v>
      </c>
      <c r="J459" s="205"/>
      <c r="K459" s="79"/>
      <c r="L459" s="17" t="s">
        <v>323</v>
      </c>
      <c r="M459" s="18"/>
      <c r="N459" s="18"/>
      <c r="O459" s="18"/>
      <c r="P459" s="18"/>
      <c r="Q459" s="18"/>
      <c r="R459" s="18"/>
      <c r="S459" s="17"/>
      <c r="T459" s="17"/>
      <c r="U459" s="17"/>
      <c r="V459" s="17" t="str">
        <f>+CONCATENATE(E459,".",F459,"\",G459,".",H459,":",I459)</f>
        <v>2.6\0.2:24</v>
      </c>
      <c r="W459" s="17"/>
      <c r="X459" s="17"/>
      <c r="Y459" s="17"/>
      <c r="Z459" s="20" t="s">
        <v>1159</v>
      </c>
      <c r="AA459" s="17"/>
      <c r="AB459" s="17"/>
      <c r="AC459" s="17"/>
      <c r="AD459" s="17"/>
      <c r="AE459" s="17"/>
      <c r="AF459" s="17"/>
      <c r="AG459" s="64" t="s">
        <v>985</v>
      </c>
      <c r="AH459" s="64">
        <v>17</v>
      </c>
      <c r="AI459" s="64">
        <v>18</v>
      </c>
      <c r="AJ459" s="64"/>
      <c r="AK459" s="64"/>
      <c r="AL459" s="264"/>
      <c r="AM459" s="84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</row>
    <row r="460" spans="1:51" s="33" customFormat="1" x14ac:dyDescent="0.3">
      <c r="A460" s="63" t="str">
        <f>A459</f>
        <v>BCV131</v>
      </c>
      <c r="B460" s="17" t="s">
        <v>2175</v>
      </c>
      <c r="C460" s="18" t="str">
        <f>+C459</f>
        <v>DIO1</v>
      </c>
      <c r="D460" s="18">
        <v>132</v>
      </c>
      <c r="E460" s="84">
        <f>+E459</f>
        <v>2</v>
      </c>
      <c r="F460" s="84">
        <f>+F459</f>
        <v>6</v>
      </c>
      <c r="G460" s="84">
        <v>0</v>
      </c>
      <c r="H460" s="200">
        <f>H456</f>
        <v>2</v>
      </c>
      <c r="I460" s="187">
        <f>+I459+1</f>
        <v>25</v>
      </c>
      <c r="J460" s="205"/>
      <c r="K460" s="79"/>
      <c r="L460" s="17" t="s">
        <v>323</v>
      </c>
      <c r="M460" s="18"/>
      <c r="N460" s="18"/>
      <c r="O460" s="17"/>
      <c r="P460" s="18"/>
      <c r="Q460" s="17"/>
      <c r="R460" s="17"/>
      <c r="S460" s="17"/>
      <c r="T460" s="17"/>
      <c r="U460" s="17"/>
      <c r="V460" s="17" t="str">
        <f>+CONCATENATE(E460,".",F460,"\",G460,".",H460,":",I460)</f>
        <v>2.6\0.2:25</v>
      </c>
      <c r="W460" s="17"/>
      <c r="X460" s="17"/>
      <c r="Y460" s="17"/>
      <c r="Z460" s="20" t="s">
        <v>1159</v>
      </c>
      <c r="AA460" s="17"/>
      <c r="AB460" s="17"/>
      <c r="AC460" s="17"/>
      <c r="AD460" s="17"/>
      <c r="AE460" s="17"/>
      <c r="AF460" s="17"/>
      <c r="AG460" s="64" t="s">
        <v>985</v>
      </c>
      <c r="AH460" s="64">
        <v>19</v>
      </c>
      <c r="AI460" s="64">
        <v>20</v>
      </c>
      <c r="AJ460" s="64"/>
      <c r="AK460" s="64"/>
      <c r="AL460" s="264"/>
      <c r="AM460" s="84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</row>
    <row r="461" spans="1:51" s="33" customFormat="1" x14ac:dyDescent="0.3">
      <c r="A461" s="63" t="str">
        <f>A460</f>
        <v>BCV131</v>
      </c>
      <c r="B461" s="17" t="s">
        <v>2175</v>
      </c>
      <c r="C461" s="18" t="str">
        <f>+C460</f>
        <v>DIO1</v>
      </c>
      <c r="D461" s="18">
        <v>132</v>
      </c>
      <c r="E461" s="84">
        <f>+E460</f>
        <v>2</v>
      </c>
      <c r="F461" s="84">
        <f>+F460</f>
        <v>6</v>
      </c>
      <c r="G461" s="84">
        <v>0</v>
      </c>
      <c r="H461" s="200">
        <f>H457</f>
        <v>2</v>
      </c>
      <c r="I461" s="187">
        <f>+I460+1</f>
        <v>26</v>
      </c>
      <c r="J461" s="205"/>
      <c r="K461" s="79"/>
      <c r="L461" s="17" t="s">
        <v>323</v>
      </c>
      <c r="M461" s="18"/>
      <c r="N461" s="18"/>
      <c r="O461" s="17"/>
      <c r="P461" s="18"/>
      <c r="Q461" s="17"/>
      <c r="R461" s="17"/>
      <c r="S461" s="17"/>
      <c r="T461" s="17"/>
      <c r="U461" s="17"/>
      <c r="V461" s="17" t="str">
        <f>+CONCATENATE(E461,".",F461,"\",G461,".",H461,":",I461)</f>
        <v>2.6\0.2:26</v>
      </c>
      <c r="W461" s="17"/>
      <c r="X461" s="17"/>
      <c r="Y461" s="17"/>
      <c r="Z461" s="20" t="s">
        <v>1159</v>
      </c>
      <c r="AA461" s="17"/>
      <c r="AB461" s="17"/>
      <c r="AC461" s="17"/>
      <c r="AD461" s="17"/>
      <c r="AE461" s="17"/>
      <c r="AF461" s="17"/>
      <c r="AG461" s="64" t="s">
        <v>985</v>
      </c>
      <c r="AH461" s="64">
        <v>21</v>
      </c>
      <c r="AI461" s="64">
        <v>22</v>
      </c>
      <c r="AJ461" s="64"/>
      <c r="AK461" s="64"/>
      <c r="AL461" s="264"/>
      <c r="AM461" s="84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</row>
    <row r="462" spans="1:51" s="33" customFormat="1" x14ac:dyDescent="0.3">
      <c r="A462" s="63" t="str">
        <f>A461</f>
        <v>BCV131</v>
      </c>
      <c r="B462" s="17" t="s">
        <v>2175</v>
      </c>
      <c r="C462" s="18" t="str">
        <f>+C461</f>
        <v>DIO1</v>
      </c>
      <c r="D462" s="18">
        <v>132</v>
      </c>
      <c r="E462" s="84">
        <f>+E461</f>
        <v>2</v>
      </c>
      <c r="F462" s="84">
        <f>+F461</f>
        <v>6</v>
      </c>
      <c r="G462" s="84">
        <v>0</v>
      </c>
      <c r="H462" s="200">
        <f>H458</f>
        <v>2</v>
      </c>
      <c r="I462" s="187">
        <f>+I461+1</f>
        <v>27</v>
      </c>
      <c r="J462" s="205"/>
      <c r="K462" s="79"/>
      <c r="L462" s="17" t="s">
        <v>323</v>
      </c>
      <c r="M462" s="18"/>
      <c r="N462" s="18"/>
      <c r="O462" s="17"/>
      <c r="P462" s="18"/>
      <c r="Q462" s="17"/>
      <c r="R462" s="17"/>
      <c r="S462" s="17"/>
      <c r="T462" s="17"/>
      <c r="U462" s="17"/>
      <c r="V462" s="17" t="str">
        <f>+CONCATENATE(E462,".",F462,"\",G462,".",H462,":",I462)</f>
        <v>2.6\0.2:27</v>
      </c>
      <c r="W462" s="17"/>
      <c r="X462" s="17"/>
      <c r="Y462" s="17"/>
      <c r="Z462" s="20" t="s">
        <v>1159</v>
      </c>
      <c r="AA462" s="17"/>
      <c r="AB462" s="17"/>
      <c r="AC462" s="17"/>
      <c r="AD462" s="17"/>
      <c r="AE462" s="17"/>
      <c r="AF462" s="17"/>
      <c r="AG462" s="64" t="s">
        <v>985</v>
      </c>
      <c r="AH462" s="64">
        <v>23</v>
      </c>
      <c r="AI462" s="64">
        <v>24</v>
      </c>
      <c r="AJ462" s="64"/>
      <c r="AK462" s="64"/>
      <c r="AL462" s="264"/>
      <c r="AM462" s="84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</row>
    <row r="463" spans="1:51" s="33" customFormat="1" x14ac:dyDescent="0.3">
      <c r="A463" s="63" t="str">
        <f>A462</f>
        <v>BCV131</v>
      </c>
      <c r="B463" s="17" t="s">
        <v>2175</v>
      </c>
      <c r="C463" s="18" t="str">
        <f>+C462</f>
        <v>DIO1</v>
      </c>
      <c r="D463" s="18">
        <v>132</v>
      </c>
      <c r="E463" s="84">
        <f>+E462</f>
        <v>2</v>
      </c>
      <c r="F463" s="84">
        <f>+F462</f>
        <v>6</v>
      </c>
      <c r="G463" s="84">
        <v>0</v>
      </c>
      <c r="H463" s="200">
        <f>H459</f>
        <v>2</v>
      </c>
      <c r="I463" s="187">
        <f>+I462+1</f>
        <v>28</v>
      </c>
      <c r="J463" s="205"/>
      <c r="K463" s="79"/>
      <c r="L463" s="17" t="s">
        <v>323</v>
      </c>
      <c r="M463" s="18"/>
      <c r="N463" s="18"/>
      <c r="O463" s="17"/>
      <c r="P463" s="18"/>
      <c r="Q463" s="17"/>
      <c r="R463" s="17"/>
      <c r="S463" s="17"/>
      <c r="T463" s="17"/>
      <c r="U463" s="17"/>
      <c r="V463" s="17" t="str">
        <f>+CONCATENATE(E463,".",F463,"\",G463,".",H463,":",I463)</f>
        <v>2.6\0.2:28</v>
      </c>
      <c r="W463" s="17"/>
      <c r="X463" s="17"/>
      <c r="Y463" s="17"/>
      <c r="Z463" s="20" t="s">
        <v>1159</v>
      </c>
      <c r="AA463" s="17"/>
      <c r="AB463" s="17"/>
      <c r="AC463" s="17"/>
      <c r="AD463" s="17"/>
      <c r="AE463" s="17"/>
      <c r="AF463" s="17"/>
      <c r="AG463" s="64" t="s">
        <v>985</v>
      </c>
      <c r="AH463" s="64">
        <v>25</v>
      </c>
      <c r="AI463" s="64">
        <v>26</v>
      </c>
      <c r="AJ463" s="64"/>
      <c r="AK463" s="64"/>
      <c r="AL463" s="264"/>
      <c r="AM463" s="84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</row>
    <row r="464" spans="1:51" s="33" customFormat="1" x14ac:dyDescent="0.3">
      <c r="A464" s="63" t="str">
        <f>A463</f>
        <v>BCV131</v>
      </c>
      <c r="B464" s="17" t="s">
        <v>2175</v>
      </c>
      <c r="C464" s="18" t="str">
        <f>+C463</f>
        <v>DIO1</v>
      </c>
      <c r="D464" s="18">
        <v>132</v>
      </c>
      <c r="E464" s="84">
        <f>+E463</f>
        <v>2</v>
      </c>
      <c r="F464" s="84">
        <f>+F463</f>
        <v>6</v>
      </c>
      <c r="G464" s="84">
        <v>0</v>
      </c>
      <c r="H464" s="200">
        <f>H460</f>
        <v>2</v>
      </c>
      <c r="I464" s="187">
        <f>+I463+1</f>
        <v>29</v>
      </c>
      <c r="J464" s="205"/>
      <c r="K464" s="79"/>
      <c r="L464" s="17" t="s">
        <v>323</v>
      </c>
      <c r="M464" s="18"/>
      <c r="N464" s="18"/>
      <c r="O464" s="17"/>
      <c r="P464" s="18"/>
      <c r="Q464" s="17"/>
      <c r="R464" s="17"/>
      <c r="S464" s="17"/>
      <c r="T464" s="17"/>
      <c r="U464" s="17"/>
      <c r="V464" s="17" t="str">
        <f>+CONCATENATE(E464,".",F464,"\",G464,".",H464,":",I464)</f>
        <v>2.6\0.2:29</v>
      </c>
      <c r="W464" s="17"/>
      <c r="X464" s="17"/>
      <c r="Y464" s="17"/>
      <c r="Z464" s="20" t="s">
        <v>1159</v>
      </c>
      <c r="AA464" s="17"/>
      <c r="AB464" s="17"/>
      <c r="AC464" s="17"/>
      <c r="AD464" s="17"/>
      <c r="AE464" s="17"/>
      <c r="AF464" s="17"/>
      <c r="AG464" s="64" t="s">
        <v>985</v>
      </c>
      <c r="AH464" s="64">
        <v>27</v>
      </c>
      <c r="AI464" s="64">
        <v>28</v>
      </c>
      <c r="AJ464" s="64"/>
      <c r="AK464" s="64"/>
      <c r="AL464" s="264"/>
      <c r="AM464" s="84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</row>
    <row r="465" spans="1:51" s="33" customFormat="1" x14ac:dyDescent="0.3">
      <c r="A465" s="63" t="str">
        <f>A464</f>
        <v>BCV131</v>
      </c>
      <c r="B465" s="17" t="s">
        <v>2175</v>
      </c>
      <c r="C465" s="18" t="str">
        <f>+C464</f>
        <v>DIO1</v>
      </c>
      <c r="D465" s="18">
        <v>132</v>
      </c>
      <c r="E465" s="84">
        <f>+E464</f>
        <v>2</v>
      </c>
      <c r="F465" s="84">
        <f>+F464</f>
        <v>6</v>
      </c>
      <c r="G465" s="84">
        <v>0</v>
      </c>
      <c r="H465" s="200">
        <f>H461</f>
        <v>2</v>
      </c>
      <c r="I465" s="187">
        <f>+I464+1</f>
        <v>30</v>
      </c>
      <c r="J465" s="205"/>
      <c r="K465" s="79"/>
      <c r="L465" s="17" t="s">
        <v>323</v>
      </c>
      <c r="M465" s="18"/>
      <c r="N465" s="18"/>
      <c r="O465" s="17"/>
      <c r="P465" s="18"/>
      <c r="Q465" s="17"/>
      <c r="R465" s="17"/>
      <c r="S465" s="17"/>
      <c r="T465" s="17"/>
      <c r="U465" s="17"/>
      <c r="V465" s="17" t="str">
        <f>+CONCATENATE(E465,".",F465,"\",G465,".",H465,":",I465)</f>
        <v>2.6\0.2:30</v>
      </c>
      <c r="W465" s="17"/>
      <c r="X465" s="17"/>
      <c r="Y465" s="17"/>
      <c r="Z465" s="20" t="s">
        <v>1159</v>
      </c>
      <c r="AA465" s="17"/>
      <c r="AB465" s="17"/>
      <c r="AC465" s="17"/>
      <c r="AD465" s="17"/>
      <c r="AE465" s="17"/>
      <c r="AF465" s="17"/>
      <c r="AG465" s="64" t="s">
        <v>985</v>
      </c>
      <c r="AH465" s="64">
        <v>29</v>
      </c>
      <c r="AI465" s="64">
        <v>30</v>
      </c>
      <c r="AJ465" s="64"/>
      <c r="AK465" s="64"/>
      <c r="AL465" s="264"/>
      <c r="AM465" s="84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</row>
    <row r="466" spans="1:51" s="33" customFormat="1" ht="13.5" thickBot="1" x14ac:dyDescent="0.35">
      <c r="A466" s="63" t="str">
        <f>A465</f>
        <v>BCV131</v>
      </c>
      <c r="B466" s="17" t="s">
        <v>2175</v>
      </c>
      <c r="C466" s="18" t="str">
        <f>+C465</f>
        <v>DIO1</v>
      </c>
      <c r="D466" s="18">
        <v>132</v>
      </c>
      <c r="E466" s="84">
        <f>+E465</f>
        <v>2</v>
      </c>
      <c r="F466" s="84">
        <f>+F465</f>
        <v>6</v>
      </c>
      <c r="G466" s="84">
        <v>0</v>
      </c>
      <c r="H466" s="200">
        <f>H462</f>
        <v>2</v>
      </c>
      <c r="I466" s="191">
        <f>+I465+1</f>
        <v>31</v>
      </c>
      <c r="J466" s="203"/>
      <c r="K466" s="79"/>
      <c r="L466" s="17" t="s">
        <v>323</v>
      </c>
      <c r="M466" s="18"/>
      <c r="N466" s="18"/>
      <c r="O466" s="17"/>
      <c r="P466" s="18"/>
      <c r="Q466" s="17"/>
      <c r="R466" s="17"/>
      <c r="S466" s="17"/>
      <c r="T466" s="17"/>
      <c r="U466" s="17"/>
      <c r="V466" s="17" t="str">
        <f>+CONCATENATE(E466,".",F466,"\",G466,".",H466,":",I466)</f>
        <v>2.6\0.2:31</v>
      </c>
      <c r="W466" s="17"/>
      <c r="X466" s="17"/>
      <c r="Y466" s="17"/>
      <c r="Z466" s="20" t="s">
        <v>1159</v>
      </c>
      <c r="AA466" s="17"/>
      <c r="AB466" s="17"/>
      <c r="AC466" s="17"/>
      <c r="AD466" s="17"/>
      <c r="AE466" s="17"/>
      <c r="AF466" s="17"/>
      <c r="AG466" s="64" t="s">
        <v>985</v>
      </c>
      <c r="AH466" s="64">
        <v>31</v>
      </c>
      <c r="AI466" s="64">
        <v>32</v>
      </c>
      <c r="AJ466" s="64"/>
      <c r="AK466" s="64"/>
      <c r="AL466" s="264"/>
      <c r="AM466" s="84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</row>
    <row r="467" spans="1:51" s="33" customFormat="1" ht="14.5" x14ac:dyDescent="0.35">
      <c r="A467" s="268" t="s">
        <v>194</v>
      </c>
      <c r="B467" s="17" t="s">
        <v>2175</v>
      </c>
      <c r="C467" s="18" t="str">
        <f>+C466</f>
        <v>DIO1</v>
      </c>
      <c r="D467" s="18">
        <v>132</v>
      </c>
      <c r="E467" s="84">
        <f>+E466</f>
        <v>2</v>
      </c>
      <c r="F467" s="84">
        <f>+F466</f>
        <v>6</v>
      </c>
      <c r="G467" s="84">
        <v>0</v>
      </c>
      <c r="H467" s="214">
        <v>3</v>
      </c>
      <c r="I467" s="188">
        <v>0</v>
      </c>
      <c r="J467" s="201" t="s">
        <v>722</v>
      </c>
      <c r="K467" s="18" t="s">
        <v>721</v>
      </c>
      <c r="L467" s="79" t="s">
        <v>292</v>
      </c>
      <c r="M467" s="18">
        <v>4</v>
      </c>
      <c r="N467" s="59" t="s">
        <v>2245</v>
      </c>
      <c r="O467" s="17" t="s">
        <v>1198</v>
      </c>
      <c r="P467" s="18" t="s">
        <v>2244</v>
      </c>
      <c r="Q467" s="17" t="s">
        <v>2092</v>
      </c>
      <c r="R467" s="17" t="s">
        <v>308</v>
      </c>
      <c r="S467" s="17"/>
      <c r="T467" s="17" t="s">
        <v>696</v>
      </c>
      <c r="U467" s="17"/>
      <c r="V467" s="17" t="str">
        <f>+CONCATENATE(E467,".",F467,"\",G467,".",H467,":",I467)</f>
        <v>2.6\0.3:0</v>
      </c>
      <c r="W467" s="17" t="s">
        <v>2176</v>
      </c>
      <c r="X467" s="221">
        <v>0</v>
      </c>
      <c r="Y467" s="17"/>
      <c r="Z467" s="20" t="s">
        <v>1159</v>
      </c>
      <c r="AA467" s="17"/>
      <c r="AB467" s="17"/>
      <c r="AC467" s="17"/>
      <c r="AD467" s="17"/>
      <c r="AE467" s="17"/>
      <c r="AF467" s="17"/>
      <c r="AG467" s="64" t="s">
        <v>844</v>
      </c>
      <c r="AH467" s="64">
        <v>1</v>
      </c>
      <c r="AI467" s="64">
        <v>2</v>
      </c>
      <c r="AJ467" s="64"/>
      <c r="AK467" s="64"/>
      <c r="AL467" s="264"/>
      <c r="AM467" s="84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</row>
    <row r="468" spans="1:51" s="33" customFormat="1" ht="14.5" x14ac:dyDescent="0.35">
      <c r="A468" s="63" t="str">
        <f>A467</f>
        <v>BCV131</v>
      </c>
      <c r="B468" s="17" t="s">
        <v>2175</v>
      </c>
      <c r="C468" s="18" t="str">
        <f>+C467</f>
        <v>DIO1</v>
      </c>
      <c r="D468" s="18">
        <v>132</v>
      </c>
      <c r="E468" s="84">
        <f>+E467</f>
        <v>2</v>
      </c>
      <c r="F468" s="84">
        <f>+F467</f>
        <v>6</v>
      </c>
      <c r="G468" s="84">
        <v>0</v>
      </c>
      <c r="H468" s="200">
        <f>H467</f>
        <v>3</v>
      </c>
      <c r="I468" s="187">
        <f>+I467+1</f>
        <v>1</v>
      </c>
      <c r="J468" s="193"/>
      <c r="K468" s="79"/>
      <c r="L468" s="79" t="s">
        <v>292</v>
      </c>
      <c r="M468" s="18"/>
      <c r="N468" s="310"/>
      <c r="O468" s="17"/>
      <c r="P468" s="219"/>
      <c r="Q468" s="17" t="s">
        <v>127</v>
      </c>
      <c r="R468" s="17" t="s">
        <v>127</v>
      </c>
      <c r="S468" s="17"/>
      <c r="T468" s="17"/>
      <c r="U468" s="17"/>
      <c r="V468" s="17" t="str">
        <f>+CONCATENATE(E468,".",F468,"\",G468,".",H468,":",I468)</f>
        <v>2.6\0.3:1</v>
      </c>
      <c r="W468" s="17"/>
      <c r="X468" s="17"/>
      <c r="Y468" s="17"/>
      <c r="Z468" s="20" t="s">
        <v>1159</v>
      </c>
      <c r="AA468" s="17"/>
      <c r="AB468" s="17"/>
      <c r="AC468" s="17"/>
      <c r="AD468" s="17"/>
      <c r="AE468" s="17"/>
      <c r="AF468" s="17"/>
      <c r="AG468" s="64" t="s">
        <v>844</v>
      </c>
      <c r="AH468" s="64">
        <v>3</v>
      </c>
      <c r="AI468" s="64">
        <v>4</v>
      </c>
      <c r="AJ468" s="64"/>
      <c r="AK468" s="64"/>
      <c r="AL468" s="264"/>
      <c r="AM468" s="84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</row>
    <row r="469" spans="1:51" s="33" customFormat="1" ht="14.5" x14ac:dyDescent="0.3">
      <c r="A469" s="63" t="str">
        <f>A468</f>
        <v>BCV131</v>
      </c>
      <c r="B469" s="17" t="s">
        <v>2175</v>
      </c>
      <c r="C469" s="18" t="str">
        <f>+C468</f>
        <v>DIO1</v>
      </c>
      <c r="D469" s="18">
        <v>132</v>
      </c>
      <c r="E469" s="84">
        <f>+E468</f>
        <v>2</v>
      </c>
      <c r="F469" s="84">
        <f>+F468</f>
        <v>6</v>
      </c>
      <c r="G469" s="84">
        <v>0</v>
      </c>
      <c r="H469" s="186">
        <f>+H468</f>
        <v>3</v>
      </c>
      <c r="I469" s="187">
        <f>+I468+1</f>
        <v>2</v>
      </c>
      <c r="J469" s="193"/>
      <c r="K469" s="65"/>
      <c r="L469" s="79" t="s">
        <v>292</v>
      </c>
      <c r="M469" s="18"/>
      <c r="N469" s="309"/>
      <c r="O469" s="17"/>
      <c r="P469" s="308"/>
      <c r="Q469" s="17" t="s">
        <v>127</v>
      </c>
      <c r="R469" s="17" t="s">
        <v>127</v>
      </c>
      <c r="S469" s="17"/>
      <c r="T469" s="17"/>
      <c r="U469" s="17"/>
      <c r="V469" s="17" t="str">
        <f>+CONCATENATE(E469,".",F469,"\",G469,".",H469,":",I469)</f>
        <v>2.6\0.3:2</v>
      </c>
      <c r="W469" s="17"/>
      <c r="X469" s="17"/>
      <c r="Y469" s="17"/>
      <c r="Z469" s="20" t="s">
        <v>1159</v>
      </c>
      <c r="AA469" s="17"/>
      <c r="AB469" s="17"/>
      <c r="AC469" s="17"/>
      <c r="AD469" s="17"/>
      <c r="AE469" s="17"/>
      <c r="AF469" s="17"/>
      <c r="AG469" s="64" t="s">
        <v>844</v>
      </c>
      <c r="AH469" s="64">
        <v>5</v>
      </c>
      <c r="AI469" s="64">
        <v>6</v>
      </c>
      <c r="AJ469" s="64"/>
      <c r="AK469" s="64"/>
      <c r="AL469" s="264"/>
      <c r="AM469" s="84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</row>
    <row r="470" spans="1:51" s="33" customFormat="1" ht="14.5" x14ac:dyDescent="0.35">
      <c r="A470" s="63" t="str">
        <f>A469</f>
        <v>BCV131</v>
      </c>
      <c r="B470" s="17" t="s">
        <v>2175</v>
      </c>
      <c r="C470" s="18" t="str">
        <f>+C469</f>
        <v>DIO1</v>
      </c>
      <c r="D470" s="18">
        <v>132</v>
      </c>
      <c r="E470" s="84">
        <f>+E469</f>
        <v>2</v>
      </c>
      <c r="F470" s="84">
        <f>+F469</f>
        <v>6</v>
      </c>
      <c r="G470" s="84">
        <v>0</v>
      </c>
      <c r="H470" s="186">
        <f>+H469</f>
        <v>3</v>
      </c>
      <c r="I470" s="187">
        <f>+I469+1</f>
        <v>3</v>
      </c>
      <c r="J470" s="193"/>
      <c r="K470" s="65"/>
      <c r="L470" s="79" t="s">
        <v>292</v>
      </c>
      <c r="M470" s="18">
        <v>5</v>
      </c>
      <c r="N470" s="305" t="s">
        <v>860</v>
      </c>
      <c r="O470" s="17" t="s">
        <v>517</v>
      </c>
      <c r="P470" s="59"/>
      <c r="Q470" s="33" t="s">
        <v>2243</v>
      </c>
      <c r="R470" s="17" t="s">
        <v>299</v>
      </c>
      <c r="S470" s="33" t="s">
        <v>2242</v>
      </c>
      <c r="T470" s="17" t="s">
        <v>860</v>
      </c>
      <c r="U470" s="17"/>
      <c r="V470" s="17" t="str">
        <f>+CONCATENATE(E470,".",F470,"\",G470,".",H470,":",I470)</f>
        <v>2.6\0.3:3</v>
      </c>
      <c r="W470" s="17" t="s">
        <v>2241</v>
      </c>
      <c r="X470" s="17"/>
      <c r="Y470" s="17"/>
      <c r="Z470" s="20" t="s">
        <v>1159</v>
      </c>
      <c r="AA470" s="17"/>
      <c r="AB470" s="17"/>
      <c r="AC470" s="17"/>
      <c r="AD470" s="17"/>
      <c r="AE470" s="17"/>
      <c r="AF470" s="17"/>
      <c r="AG470" s="64" t="s">
        <v>844</v>
      </c>
      <c r="AH470" s="64">
        <v>7</v>
      </c>
      <c r="AI470" s="64">
        <v>8</v>
      </c>
      <c r="AJ470" s="64"/>
      <c r="AK470" s="64"/>
      <c r="AL470" s="264"/>
      <c r="AM470" s="84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</row>
    <row r="471" spans="1:51" s="33" customFormat="1" x14ac:dyDescent="0.3">
      <c r="A471" s="63" t="str">
        <f>A470</f>
        <v>BCV131</v>
      </c>
      <c r="B471" s="17" t="s">
        <v>2175</v>
      </c>
      <c r="C471" s="18" t="str">
        <f>+C470</f>
        <v>DIO1</v>
      </c>
      <c r="D471" s="18">
        <v>132</v>
      </c>
      <c r="E471" s="84">
        <f>+E470</f>
        <v>2</v>
      </c>
      <c r="F471" s="84">
        <f>+F470</f>
        <v>6</v>
      </c>
      <c r="G471" s="84">
        <v>0</v>
      </c>
      <c r="H471" s="186">
        <f>+H470</f>
        <v>3</v>
      </c>
      <c r="I471" s="187">
        <f>+I470+1</f>
        <v>4</v>
      </c>
      <c r="J471" s="193"/>
      <c r="K471" s="65"/>
      <c r="L471" s="79" t="s">
        <v>292</v>
      </c>
      <c r="M471" s="18"/>
      <c r="N471" s="18"/>
      <c r="O471" s="17"/>
      <c r="P471" s="18"/>
      <c r="T471" s="17"/>
      <c r="U471" s="17"/>
      <c r="V471" s="17" t="str">
        <f>+CONCATENATE(E471,".",F471,"\",G471,".",H471,":",I471)</f>
        <v>2.6\0.3:4</v>
      </c>
      <c r="W471" s="17"/>
      <c r="X471" s="17"/>
      <c r="Y471" s="17"/>
      <c r="Z471" s="20" t="s">
        <v>1159</v>
      </c>
      <c r="AA471" s="17"/>
      <c r="AB471" s="17"/>
      <c r="AC471" s="17"/>
      <c r="AD471" s="17"/>
      <c r="AE471" s="17"/>
      <c r="AF471" s="17"/>
      <c r="AG471" s="64" t="s">
        <v>844</v>
      </c>
      <c r="AH471" s="64">
        <v>9</v>
      </c>
      <c r="AI471" s="64">
        <v>10</v>
      </c>
      <c r="AJ471" s="64"/>
      <c r="AK471" s="64"/>
      <c r="AL471" s="264"/>
      <c r="AM471" s="84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</row>
    <row r="472" spans="1:51" s="33" customFormat="1" x14ac:dyDescent="0.3">
      <c r="A472" s="63" t="str">
        <f>A471</f>
        <v>BCV131</v>
      </c>
      <c r="B472" s="17" t="s">
        <v>2175</v>
      </c>
      <c r="C472" s="18" t="str">
        <f>+C471</f>
        <v>DIO1</v>
      </c>
      <c r="D472" s="18">
        <v>132</v>
      </c>
      <c r="E472" s="84">
        <f>+E471</f>
        <v>2</v>
      </c>
      <c r="F472" s="84">
        <f>+F471</f>
        <v>6</v>
      </c>
      <c r="G472" s="84">
        <v>0</v>
      </c>
      <c r="H472" s="186">
        <f>+H471</f>
        <v>3</v>
      </c>
      <c r="I472" s="187">
        <f>+I471+1</f>
        <v>5</v>
      </c>
      <c r="J472" s="193"/>
      <c r="K472" s="65"/>
      <c r="L472" s="79" t="s">
        <v>292</v>
      </c>
      <c r="M472" s="18"/>
      <c r="N472" s="18"/>
      <c r="O472" s="17"/>
      <c r="P472" s="18"/>
      <c r="Q472" s="17"/>
      <c r="R472" s="17"/>
      <c r="S472" s="18"/>
      <c r="T472" s="17"/>
      <c r="U472" s="17"/>
      <c r="V472" s="17" t="str">
        <f>+CONCATENATE(E472,".",F472,"\",G472,".",H472,":",I472)</f>
        <v>2.6\0.3:5</v>
      </c>
      <c r="W472" s="17"/>
      <c r="X472" s="17"/>
      <c r="Y472" s="17"/>
      <c r="Z472" s="20" t="s">
        <v>1159</v>
      </c>
      <c r="AA472" s="17"/>
      <c r="AB472" s="17"/>
      <c r="AC472" s="17"/>
      <c r="AD472" s="17"/>
      <c r="AE472" s="17"/>
      <c r="AF472" s="17"/>
      <c r="AG472" s="64" t="s">
        <v>844</v>
      </c>
      <c r="AH472" s="64">
        <v>11</v>
      </c>
      <c r="AI472" s="64">
        <v>12</v>
      </c>
      <c r="AJ472" s="64"/>
      <c r="AK472" s="64"/>
      <c r="AL472" s="264"/>
      <c r="AM472" s="84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</row>
    <row r="473" spans="1:51" s="33" customFormat="1" x14ac:dyDescent="0.3">
      <c r="A473" s="63" t="str">
        <f>A472</f>
        <v>BCV131</v>
      </c>
      <c r="B473" s="17" t="s">
        <v>2175</v>
      </c>
      <c r="C473" s="18" t="str">
        <f>+C472</f>
        <v>DIO1</v>
      </c>
      <c r="D473" s="18">
        <v>132</v>
      </c>
      <c r="E473" s="84">
        <f>+E472</f>
        <v>2</v>
      </c>
      <c r="F473" s="84">
        <f>+F472</f>
        <v>6</v>
      </c>
      <c r="G473" s="84">
        <v>0</v>
      </c>
      <c r="H473" s="186">
        <f>+H472</f>
        <v>3</v>
      </c>
      <c r="I473" s="187">
        <f>+I472+1</f>
        <v>6</v>
      </c>
      <c r="J473" s="193"/>
      <c r="K473" s="65"/>
      <c r="L473" s="79" t="s">
        <v>292</v>
      </c>
      <c r="M473" s="18"/>
      <c r="N473" s="18"/>
      <c r="O473" s="17"/>
      <c r="P473" s="18"/>
      <c r="Q473" s="17"/>
      <c r="R473" s="17"/>
      <c r="S473" s="17"/>
      <c r="T473" s="17"/>
      <c r="U473" s="17"/>
      <c r="V473" s="17" t="str">
        <f>+CONCATENATE(E473,".",F473,"\",G473,".",H473,":",I473)</f>
        <v>2.6\0.3:6</v>
      </c>
      <c r="W473" s="17"/>
      <c r="X473" s="17"/>
      <c r="Y473" s="17"/>
      <c r="Z473" s="20" t="s">
        <v>1159</v>
      </c>
      <c r="AA473" s="17"/>
      <c r="AB473" s="17"/>
      <c r="AC473" s="17"/>
      <c r="AD473" s="17"/>
      <c r="AE473" s="17"/>
      <c r="AF473" s="17"/>
      <c r="AG473" s="64" t="s">
        <v>844</v>
      </c>
      <c r="AH473" s="64">
        <v>13</v>
      </c>
      <c r="AI473" s="64">
        <v>14</v>
      </c>
      <c r="AJ473" s="64"/>
      <c r="AK473" s="64"/>
      <c r="AL473" s="264"/>
      <c r="AM473" s="17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</row>
    <row r="474" spans="1:51" s="33" customFormat="1" x14ac:dyDescent="0.3">
      <c r="A474" s="63" t="str">
        <f>A473</f>
        <v>BCV131</v>
      </c>
      <c r="B474" s="17" t="s">
        <v>2175</v>
      </c>
      <c r="C474" s="18" t="str">
        <f>+C473</f>
        <v>DIO1</v>
      </c>
      <c r="D474" s="18">
        <v>132</v>
      </c>
      <c r="E474" s="84">
        <f>+E473</f>
        <v>2</v>
      </c>
      <c r="F474" s="84">
        <f>+F473</f>
        <v>6</v>
      </c>
      <c r="G474" s="84">
        <v>0</v>
      </c>
      <c r="H474" s="186">
        <f>+H473</f>
        <v>3</v>
      </c>
      <c r="I474" s="187">
        <f>+I473+1</f>
        <v>7</v>
      </c>
      <c r="J474" s="193"/>
      <c r="K474" s="65"/>
      <c r="L474" s="79" t="s">
        <v>292</v>
      </c>
      <c r="M474" s="18"/>
      <c r="N474" s="18"/>
      <c r="O474" s="17"/>
      <c r="P474" s="18"/>
      <c r="Q474" s="17"/>
      <c r="R474" s="17"/>
      <c r="S474" s="17"/>
      <c r="T474" s="17"/>
      <c r="U474" s="17"/>
      <c r="V474" s="17" t="str">
        <f>+CONCATENATE(E474,".",F474,"\",G474,".",H474,":",I474)</f>
        <v>2.6\0.3:7</v>
      </c>
      <c r="W474" s="17"/>
      <c r="X474" s="17"/>
      <c r="Y474" s="17"/>
      <c r="Z474" s="20" t="s">
        <v>1159</v>
      </c>
      <c r="AA474" s="17"/>
      <c r="AB474" s="17"/>
      <c r="AC474" s="17"/>
      <c r="AD474" s="17"/>
      <c r="AE474" s="17"/>
      <c r="AF474" s="17"/>
      <c r="AG474" s="64" t="s">
        <v>844</v>
      </c>
      <c r="AH474" s="64">
        <v>15</v>
      </c>
      <c r="AI474" s="64">
        <v>16</v>
      </c>
      <c r="AJ474" s="64"/>
      <c r="AK474" s="64"/>
      <c r="AL474" s="264"/>
      <c r="AM474" s="84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</row>
    <row r="475" spans="1:51" s="33" customFormat="1" x14ac:dyDescent="0.3">
      <c r="A475" s="63" t="str">
        <f>A474</f>
        <v>BCV131</v>
      </c>
      <c r="B475" s="17" t="s">
        <v>2175</v>
      </c>
      <c r="C475" s="18" t="str">
        <f>+C474</f>
        <v>DIO1</v>
      </c>
      <c r="D475" s="18">
        <v>132</v>
      </c>
      <c r="E475" s="84">
        <f>+E474</f>
        <v>2</v>
      </c>
      <c r="F475" s="84">
        <f>+F474</f>
        <v>6</v>
      </c>
      <c r="G475" s="84">
        <v>0</v>
      </c>
      <c r="H475" s="186">
        <f>+H474</f>
        <v>3</v>
      </c>
      <c r="I475" s="187">
        <f>+I474+1</f>
        <v>8</v>
      </c>
      <c r="J475" s="193"/>
      <c r="K475" s="65"/>
      <c r="L475" s="79" t="s">
        <v>292</v>
      </c>
      <c r="M475" s="18"/>
      <c r="N475" s="18"/>
      <c r="O475" s="17"/>
      <c r="P475" s="18"/>
      <c r="Q475" s="17"/>
      <c r="R475" s="17"/>
      <c r="S475" s="17"/>
      <c r="T475" s="17"/>
      <c r="U475" s="17"/>
      <c r="V475" s="17" t="str">
        <f>+CONCATENATE(E475,".",F475,"\",G475,".",H475,":",I475)</f>
        <v>2.6\0.3:8</v>
      </c>
      <c r="W475" s="17"/>
      <c r="X475" s="17"/>
      <c r="Y475" s="17"/>
      <c r="Z475" s="20" t="s">
        <v>1159</v>
      </c>
      <c r="AA475" s="17"/>
      <c r="AB475" s="17"/>
      <c r="AC475" s="17"/>
      <c r="AD475" s="17"/>
      <c r="AE475" s="17"/>
      <c r="AF475" s="17"/>
      <c r="AG475" s="64" t="s">
        <v>844</v>
      </c>
      <c r="AH475" s="64">
        <v>17</v>
      </c>
      <c r="AI475" s="64">
        <v>18</v>
      </c>
      <c r="AJ475" s="64"/>
      <c r="AK475" s="64"/>
      <c r="AL475" s="264"/>
      <c r="AM475" s="84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</row>
    <row r="476" spans="1:51" s="33" customFormat="1" x14ac:dyDescent="0.3">
      <c r="A476" s="63" t="str">
        <f>A475</f>
        <v>BCV131</v>
      </c>
      <c r="B476" s="17" t="s">
        <v>2175</v>
      </c>
      <c r="C476" s="18" t="str">
        <f>+C475</f>
        <v>DIO1</v>
      </c>
      <c r="D476" s="18">
        <v>132</v>
      </c>
      <c r="E476" s="84">
        <f>+E475</f>
        <v>2</v>
      </c>
      <c r="F476" s="84">
        <f>+F475</f>
        <v>6</v>
      </c>
      <c r="G476" s="84">
        <v>0</v>
      </c>
      <c r="H476" s="186">
        <f>+H475</f>
        <v>3</v>
      </c>
      <c r="I476" s="187">
        <f>+I475+1</f>
        <v>9</v>
      </c>
      <c r="J476" s="193"/>
      <c r="K476" s="65"/>
      <c r="L476" s="79" t="s">
        <v>292</v>
      </c>
      <c r="M476" s="18"/>
      <c r="N476" s="18"/>
      <c r="O476" s="17"/>
      <c r="P476" s="18"/>
      <c r="Q476" s="17"/>
      <c r="R476" s="17"/>
      <c r="S476" s="17"/>
      <c r="T476" s="17"/>
      <c r="U476" s="17"/>
      <c r="V476" s="17" t="str">
        <f>+CONCATENATE(E476,".",F476,"\",G476,".",H476,":",I476)</f>
        <v>2.6\0.3:9</v>
      </c>
      <c r="W476" s="17"/>
      <c r="X476" s="17"/>
      <c r="Y476" s="17"/>
      <c r="Z476" s="20" t="s">
        <v>1159</v>
      </c>
      <c r="AA476" s="17"/>
      <c r="AB476" s="17"/>
      <c r="AC476" s="17"/>
      <c r="AD476" s="17"/>
      <c r="AE476" s="17"/>
      <c r="AF476" s="17"/>
      <c r="AG476" s="64" t="s">
        <v>844</v>
      </c>
      <c r="AH476" s="64">
        <v>19</v>
      </c>
      <c r="AI476" s="64">
        <v>20</v>
      </c>
      <c r="AJ476" s="64"/>
      <c r="AK476" s="64"/>
      <c r="AL476" s="264"/>
      <c r="AM476" s="84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</row>
    <row r="477" spans="1:51" s="33" customFormat="1" x14ac:dyDescent="0.3">
      <c r="A477" s="63" t="str">
        <f>A476</f>
        <v>BCV131</v>
      </c>
      <c r="B477" s="17" t="s">
        <v>2175</v>
      </c>
      <c r="C477" s="18" t="str">
        <f>+C476</f>
        <v>DIO1</v>
      </c>
      <c r="D477" s="18">
        <v>132</v>
      </c>
      <c r="E477" s="84">
        <f>+E476</f>
        <v>2</v>
      </c>
      <c r="F477" s="84">
        <f>+F476</f>
        <v>6</v>
      </c>
      <c r="G477" s="84">
        <v>0</v>
      </c>
      <c r="H477" s="186">
        <f>+H476</f>
        <v>3</v>
      </c>
      <c r="I477" s="187">
        <f>+I476+1</f>
        <v>10</v>
      </c>
      <c r="J477" s="193"/>
      <c r="K477" s="65"/>
      <c r="L477" s="79" t="s">
        <v>292</v>
      </c>
      <c r="M477" s="18"/>
      <c r="N477" s="18"/>
      <c r="O477" s="17"/>
      <c r="P477" s="18"/>
      <c r="Q477" s="299"/>
      <c r="R477" s="17"/>
      <c r="S477" s="17"/>
      <c r="T477" s="17"/>
      <c r="U477" s="17"/>
      <c r="V477" s="17" t="str">
        <f>+CONCATENATE(E477,".",F477,"\",G477,".",H477,":",I477)</f>
        <v>2.6\0.3:10</v>
      </c>
      <c r="W477" s="17"/>
      <c r="X477" s="17"/>
      <c r="Y477" s="17"/>
      <c r="Z477" s="20" t="s">
        <v>1159</v>
      </c>
      <c r="AA477" s="17"/>
      <c r="AB477" s="17"/>
      <c r="AC477" s="17"/>
      <c r="AD477" s="17"/>
      <c r="AE477" s="17"/>
      <c r="AF477" s="17"/>
      <c r="AG477" s="64" t="s">
        <v>844</v>
      </c>
      <c r="AH477" s="64">
        <v>21</v>
      </c>
      <c r="AI477" s="64">
        <v>22</v>
      </c>
      <c r="AJ477" s="64"/>
      <c r="AK477" s="64"/>
      <c r="AL477" s="264"/>
      <c r="AM477" s="84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</row>
    <row r="478" spans="1:51" s="33" customFormat="1" x14ac:dyDescent="0.3">
      <c r="A478" s="63" t="str">
        <f>A477</f>
        <v>BCV131</v>
      </c>
      <c r="B478" s="17" t="s">
        <v>2175</v>
      </c>
      <c r="C478" s="18" t="str">
        <f>+C477</f>
        <v>DIO1</v>
      </c>
      <c r="D478" s="18">
        <v>132</v>
      </c>
      <c r="E478" s="84">
        <f>+E477</f>
        <v>2</v>
      </c>
      <c r="F478" s="84">
        <f>+F477</f>
        <v>6</v>
      </c>
      <c r="G478" s="84">
        <v>0</v>
      </c>
      <c r="H478" s="186">
        <f>+H477</f>
        <v>3</v>
      </c>
      <c r="I478" s="187">
        <f>+I477+1</f>
        <v>11</v>
      </c>
      <c r="J478" s="193"/>
      <c r="K478" s="65"/>
      <c r="L478" s="79" t="s">
        <v>292</v>
      </c>
      <c r="M478" s="18"/>
      <c r="N478" s="18"/>
      <c r="O478" s="17"/>
      <c r="P478" s="18"/>
      <c r="Q478" s="17"/>
      <c r="R478" s="17"/>
      <c r="S478" s="17"/>
      <c r="T478" s="17"/>
      <c r="U478" s="17"/>
      <c r="V478" s="17" t="str">
        <f>+CONCATENATE(E478,".",F478,"\",G478,".",H478,":",I478)</f>
        <v>2.6\0.3:11</v>
      </c>
      <c r="W478" s="17"/>
      <c r="X478" s="17"/>
      <c r="Y478" s="17"/>
      <c r="Z478" s="20" t="s">
        <v>1159</v>
      </c>
      <c r="AA478" s="17"/>
      <c r="AB478" s="17"/>
      <c r="AC478" s="17"/>
      <c r="AD478" s="17"/>
      <c r="AE478" s="17"/>
      <c r="AF478" s="17"/>
      <c r="AG478" s="64" t="s">
        <v>844</v>
      </c>
      <c r="AH478" s="64">
        <v>23</v>
      </c>
      <c r="AI478" s="64">
        <v>24</v>
      </c>
      <c r="AJ478" s="64"/>
      <c r="AK478" s="64"/>
      <c r="AL478" s="264"/>
      <c r="AM478" s="84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</row>
    <row r="479" spans="1:51" s="33" customFormat="1" x14ac:dyDescent="0.3">
      <c r="A479" s="63" t="str">
        <f>A478</f>
        <v>BCV131</v>
      </c>
      <c r="B479" s="17" t="s">
        <v>2175</v>
      </c>
      <c r="C479" s="18" t="str">
        <f>+C478</f>
        <v>DIO1</v>
      </c>
      <c r="D479" s="18">
        <v>132</v>
      </c>
      <c r="E479" s="84">
        <f>+E478</f>
        <v>2</v>
      </c>
      <c r="F479" s="84">
        <f>+F478</f>
        <v>6</v>
      </c>
      <c r="G479" s="84">
        <v>0</v>
      </c>
      <c r="H479" s="186">
        <f>+H478</f>
        <v>3</v>
      </c>
      <c r="I479" s="187">
        <f>+I478+1</f>
        <v>12</v>
      </c>
      <c r="J479" s="193"/>
      <c r="K479" s="65"/>
      <c r="L479" s="79" t="s">
        <v>292</v>
      </c>
      <c r="M479" s="18"/>
      <c r="N479" s="18"/>
      <c r="O479" s="17"/>
      <c r="P479" s="18"/>
      <c r="Q479" s="17"/>
      <c r="R479" s="17"/>
      <c r="S479" s="17"/>
      <c r="T479" s="17"/>
      <c r="U479" s="17"/>
      <c r="V479" s="17" t="str">
        <f>+CONCATENATE(E479,".",F479,"\",G479,".",H479,":",I479)</f>
        <v>2.6\0.3:12</v>
      </c>
      <c r="W479" s="17"/>
      <c r="X479" s="17"/>
      <c r="Y479" s="17"/>
      <c r="Z479" s="20" t="s">
        <v>1159</v>
      </c>
      <c r="AA479" s="17"/>
      <c r="AB479" s="17"/>
      <c r="AC479" s="17"/>
      <c r="AD479" s="17"/>
      <c r="AE479" s="17"/>
      <c r="AF479" s="17"/>
      <c r="AG479" s="64" t="s">
        <v>844</v>
      </c>
      <c r="AH479" s="64">
        <v>25</v>
      </c>
      <c r="AI479" s="64">
        <v>26</v>
      </c>
      <c r="AJ479" s="64"/>
      <c r="AK479" s="64"/>
      <c r="AL479" s="264"/>
      <c r="AM479" s="84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</row>
    <row r="480" spans="1:51" s="33" customFormat="1" x14ac:dyDescent="0.3">
      <c r="A480" s="63" t="str">
        <f>A479</f>
        <v>BCV131</v>
      </c>
      <c r="B480" s="17" t="s">
        <v>2175</v>
      </c>
      <c r="C480" s="18" t="str">
        <f>+C479</f>
        <v>DIO1</v>
      </c>
      <c r="D480" s="18">
        <v>132</v>
      </c>
      <c r="E480" s="84">
        <f>+E479</f>
        <v>2</v>
      </c>
      <c r="F480" s="84">
        <f>+F479</f>
        <v>6</v>
      </c>
      <c r="G480" s="84">
        <v>0</v>
      </c>
      <c r="H480" s="186">
        <f>+H479</f>
        <v>3</v>
      </c>
      <c r="I480" s="187">
        <f>+I479+1</f>
        <v>13</v>
      </c>
      <c r="J480" s="193"/>
      <c r="K480" s="65"/>
      <c r="L480" s="79" t="s">
        <v>292</v>
      </c>
      <c r="M480" s="18"/>
      <c r="N480" s="18"/>
      <c r="O480" s="17"/>
      <c r="P480" s="18"/>
      <c r="Q480" s="17"/>
      <c r="R480" s="17"/>
      <c r="S480" s="17"/>
      <c r="T480" s="17"/>
      <c r="U480" s="18"/>
      <c r="V480" s="17" t="str">
        <f>+CONCATENATE(E480,".",F480,"\",G480,".",H480,":",I480)</f>
        <v>2.6\0.3:13</v>
      </c>
      <c r="W480" s="18"/>
      <c r="X480" s="18"/>
      <c r="Y480" s="17"/>
      <c r="Z480" s="20" t="s">
        <v>1159</v>
      </c>
      <c r="AA480" s="17"/>
      <c r="AB480" s="17"/>
      <c r="AC480" s="17"/>
      <c r="AD480" s="17"/>
      <c r="AE480" s="17"/>
      <c r="AF480" s="17"/>
      <c r="AG480" s="64" t="s">
        <v>844</v>
      </c>
      <c r="AH480" s="64">
        <v>27</v>
      </c>
      <c r="AI480" s="64">
        <v>28</v>
      </c>
      <c r="AJ480" s="64"/>
      <c r="AK480" s="64"/>
      <c r="AL480" s="264"/>
      <c r="AM480" s="84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</row>
    <row r="481" spans="1:51" s="33" customFormat="1" x14ac:dyDescent="0.3">
      <c r="A481" s="63" t="str">
        <f>A480</f>
        <v>BCV131</v>
      </c>
      <c r="B481" s="17" t="s">
        <v>2175</v>
      </c>
      <c r="C481" s="18" t="str">
        <f>+C480</f>
        <v>DIO1</v>
      </c>
      <c r="D481" s="18">
        <v>132</v>
      </c>
      <c r="E481" s="84">
        <f>+E480</f>
        <v>2</v>
      </c>
      <c r="F481" s="84">
        <f>+F480</f>
        <v>6</v>
      </c>
      <c r="G481" s="84">
        <v>0</v>
      </c>
      <c r="H481" s="186">
        <f>+H480</f>
        <v>3</v>
      </c>
      <c r="I481" s="187">
        <f>+I480+1</f>
        <v>14</v>
      </c>
      <c r="J481" s="193"/>
      <c r="K481" s="65"/>
      <c r="L481" s="79" t="s">
        <v>292</v>
      </c>
      <c r="M481" s="18"/>
      <c r="N481" s="18"/>
      <c r="O481" s="17"/>
      <c r="P481" s="18"/>
      <c r="Q481" s="17"/>
      <c r="R481" s="17"/>
      <c r="S481" s="17"/>
      <c r="T481" s="17"/>
      <c r="U481" s="18"/>
      <c r="V481" s="17" t="str">
        <f>+CONCATENATE(E481,".",F481,"\",G481,".",H481,":",I481)</f>
        <v>2.6\0.3:14</v>
      </c>
      <c r="W481" s="18"/>
      <c r="X481" s="18"/>
      <c r="Y481" s="17"/>
      <c r="Z481" s="20" t="s">
        <v>1159</v>
      </c>
      <c r="AA481" s="17"/>
      <c r="AB481" s="17"/>
      <c r="AC481" s="17"/>
      <c r="AD481" s="17"/>
      <c r="AE481" s="17"/>
      <c r="AF481" s="17"/>
      <c r="AG481" s="64" t="s">
        <v>844</v>
      </c>
      <c r="AH481" s="64">
        <v>29</v>
      </c>
      <c r="AI481" s="64">
        <v>30</v>
      </c>
      <c r="AJ481" s="64"/>
      <c r="AK481" s="64"/>
      <c r="AL481" s="264"/>
      <c r="AM481" s="84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</row>
    <row r="482" spans="1:51" s="33" customFormat="1" ht="13.5" thickBot="1" x14ac:dyDescent="0.35">
      <c r="A482" s="63" t="str">
        <f>A481</f>
        <v>BCV131</v>
      </c>
      <c r="B482" s="17" t="s">
        <v>2175</v>
      </c>
      <c r="C482" s="18" t="str">
        <f>+C481</f>
        <v>DIO1</v>
      </c>
      <c r="D482" s="18">
        <v>132</v>
      </c>
      <c r="E482" s="84">
        <f>+E481</f>
        <v>2</v>
      </c>
      <c r="F482" s="84">
        <f>+F481</f>
        <v>6</v>
      </c>
      <c r="G482" s="84">
        <v>0</v>
      </c>
      <c r="H482" s="186">
        <f>+H481</f>
        <v>3</v>
      </c>
      <c r="I482" s="191">
        <f>+I481+1</f>
        <v>15</v>
      </c>
      <c r="J482" s="190"/>
      <c r="K482" s="65"/>
      <c r="L482" s="79" t="s">
        <v>292</v>
      </c>
      <c r="M482" s="18"/>
      <c r="N482" s="18"/>
      <c r="O482" s="17"/>
      <c r="P482" s="18"/>
      <c r="Q482" s="17"/>
      <c r="R482" s="17"/>
      <c r="S482" s="17"/>
      <c r="T482" s="17"/>
      <c r="U482" s="17"/>
      <c r="V482" s="17" t="str">
        <f>+CONCATENATE(E482,".",F482,"\",G482,".",H482,":",I482)</f>
        <v>2.6\0.3:15</v>
      </c>
      <c r="W482" s="17"/>
      <c r="X482" s="17"/>
      <c r="Y482" s="17"/>
      <c r="Z482" s="20" t="s">
        <v>1159</v>
      </c>
      <c r="AA482" s="17"/>
      <c r="AB482" s="17"/>
      <c r="AC482" s="17"/>
      <c r="AD482" s="17"/>
      <c r="AE482" s="17"/>
      <c r="AF482" s="17"/>
      <c r="AG482" s="64" t="s">
        <v>844</v>
      </c>
      <c r="AH482" s="64">
        <v>31</v>
      </c>
      <c r="AI482" s="64">
        <v>32</v>
      </c>
      <c r="AJ482" s="64"/>
      <c r="AK482" s="64"/>
      <c r="AL482" s="264"/>
      <c r="AM482" s="84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</row>
    <row r="483" spans="1:51" s="33" customFormat="1" x14ac:dyDescent="0.3">
      <c r="A483" s="268" t="s">
        <v>194</v>
      </c>
      <c r="B483" s="17" t="s">
        <v>2175</v>
      </c>
      <c r="C483" s="18" t="str">
        <f>+C482</f>
        <v>DIO1</v>
      </c>
      <c r="D483" s="18">
        <v>132</v>
      </c>
      <c r="E483" s="84">
        <f>+E482</f>
        <v>2</v>
      </c>
      <c r="F483" s="84">
        <f>+F482</f>
        <v>6</v>
      </c>
      <c r="G483" s="84">
        <v>0</v>
      </c>
      <c r="H483" s="214">
        <v>4</v>
      </c>
      <c r="I483" s="188">
        <v>0</v>
      </c>
      <c r="J483" s="276" t="s">
        <v>1185</v>
      </c>
      <c r="K483" s="17" t="s">
        <v>1184</v>
      </c>
      <c r="L483" s="79" t="s">
        <v>1170</v>
      </c>
      <c r="M483" s="18">
        <v>4</v>
      </c>
      <c r="N483" s="17" t="s">
        <v>2240</v>
      </c>
      <c r="O483" s="17" t="s">
        <v>2239</v>
      </c>
      <c r="P483" s="17" t="s">
        <v>2238</v>
      </c>
      <c r="Q483" s="17" t="s">
        <v>2237</v>
      </c>
      <c r="R483" s="18"/>
      <c r="S483" s="271" t="s">
        <v>2087</v>
      </c>
      <c r="T483" s="17" t="s">
        <v>2236</v>
      </c>
      <c r="U483" s="17" t="s">
        <v>1177</v>
      </c>
      <c r="V483" s="17" t="str">
        <f>+CONCATENATE(E483,".",F483,"\",G483,".",H483,":",I483)</f>
        <v>2.6\0.4:0</v>
      </c>
      <c r="W483" s="17" t="s">
        <v>2176</v>
      </c>
      <c r="X483" s="221">
        <v>0</v>
      </c>
      <c r="Y483" s="17"/>
      <c r="Z483" s="20" t="s">
        <v>1159</v>
      </c>
      <c r="AA483" s="17"/>
      <c r="AB483" s="17">
        <v>0</v>
      </c>
      <c r="AC483" s="17">
        <v>100</v>
      </c>
      <c r="AD483" s="17">
        <v>0</v>
      </c>
      <c r="AE483" s="17">
        <v>100</v>
      </c>
      <c r="AF483" s="17" t="s">
        <v>1176</v>
      </c>
      <c r="AG483" s="64" t="s">
        <v>844</v>
      </c>
      <c r="AH483" s="64">
        <v>33</v>
      </c>
      <c r="AI483" s="64">
        <v>34</v>
      </c>
      <c r="AJ483" s="64"/>
      <c r="AK483" s="64"/>
      <c r="AL483" s="264"/>
      <c r="AM483" s="84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</row>
    <row r="484" spans="1:51" s="33" customFormat="1" ht="14.5" x14ac:dyDescent="0.35">
      <c r="A484" s="63" t="str">
        <f>A483</f>
        <v>BCV131</v>
      </c>
      <c r="B484" s="17" t="s">
        <v>2175</v>
      </c>
      <c r="C484" s="18" t="str">
        <f>+C483</f>
        <v>DIO1</v>
      </c>
      <c r="D484" s="18">
        <v>132</v>
      </c>
      <c r="E484" s="84">
        <f>+E483</f>
        <v>2</v>
      </c>
      <c r="F484" s="84">
        <f>+F483</f>
        <v>6</v>
      </c>
      <c r="G484" s="84">
        <v>0</v>
      </c>
      <c r="H484" s="186">
        <f>+H483</f>
        <v>4</v>
      </c>
      <c r="I484" s="187">
        <f>+I483+1</f>
        <v>1</v>
      </c>
      <c r="J484" s="275"/>
      <c r="K484" s="18"/>
      <c r="L484" s="79" t="s">
        <v>1170</v>
      </c>
      <c r="M484" s="18">
        <v>5</v>
      </c>
      <c r="N484" s="59" t="s">
        <v>2235</v>
      </c>
      <c r="O484" s="17" t="s">
        <v>1182</v>
      </c>
      <c r="P484" s="59" t="s">
        <v>2234</v>
      </c>
      <c r="Q484" s="17" t="s">
        <v>2231</v>
      </c>
      <c r="R484" s="18"/>
      <c r="S484" s="17" t="s">
        <v>2081</v>
      </c>
      <c r="T484" s="17" t="s">
        <v>669</v>
      </c>
      <c r="U484" s="17" t="s">
        <v>1177</v>
      </c>
      <c r="V484" s="17" t="str">
        <f>+CONCATENATE(E484,".",F484,"\",G484,".",H484,":",I484)</f>
        <v>2.6\0.4:1</v>
      </c>
      <c r="W484" s="17" t="s">
        <v>2230</v>
      </c>
      <c r="X484" s="221">
        <v>0</v>
      </c>
      <c r="Y484" s="17" t="s">
        <v>2229</v>
      </c>
      <c r="Z484" s="20" t="s">
        <v>1159</v>
      </c>
      <c r="AA484" s="17"/>
      <c r="AB484" s="17">
        <v>0</v>
      </c>
      <c r="AC484" s="17">
        <v>25</v>
      </c>
      <c r="AD484" s="17">
        <v>0</v>
      </c>
      <c r="AE484" s="17">
        <v>25</v>
      </c>
      <c r="AF484" s="17" t="s">
        <v>1176</v>
      </c>
      <c r="AG484" s="64" t="s">
        <v>844</v>
      </c>
      <c r="AH484" s="64">
        <v>35</v>
      </c>
      <c r="AI484" s="64">
        <v>36</v>
      </c>
      <c r="AJ484" s="64"/>
      <c r="AK484" s="64"/>
      <c r="AL484" s="264"/>
      <c r="AM484" s="84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</row>
    <row r="485" spans="1:51" s="33" customFormat="1" ht="14.5" x14ac:dyDescent="0.35">
      <c r="A485" s="63" t="str">
        <f>A484</f>
        <v>BCV131</v>
      </c>
      <c r="B485" s="17" t="s">
        <v>2175</v>
      </c>
      <c r="C485" s="18" t="str">
        <f>+C484</f>
        <v>DIO1</v>
      </c>
      <c r="D485" s="18">
        <v>132</v>
      </c>
      <c r="E485" s="84">
        <f>+E484</f>
        <v>2</v>
      </c>
      <c r="F485" s="84">
        <f>+F484</f>
        <v>6</v>
      </c>
      <c r="G485" s="84">
        <v>0</v>
      </c>
      <c r="H485" s="186">
        <f>+H484</f>
        <v>4</v>
      </c>
      <c r="I485" s="187">
        <f>+I484+1</f>
        <v>2</v>
      </c>
      <c r="J485" s="275"/>
      <c r="K485" s="18"/>
      <c r="L485" s="79" t="s">
        <v>1170</v>
      </c>
      <c r="M485" s="18">
        <v>5</v>
      </c>
      <c r="N485" s="59" t="s">
        <v>2233</v>
      </c>
      <c r="O485" s="17" t="s">
        <v>1182</v>
      </c>
      <c r="P485" s="59" t="s">
        <v>2232</v>
      </c>
      <c r="Q485" s="17" t="s">
        <v>2231</v>
      </c>
      <c r="S485" s="17" t="s">
        <v>2081</v>
      </c>
      <c r="T485" s="17" t="s">
        <v>661</v>
      </c>
      <c r="U485" s="17" t="s">
        <v>1177</v>
      </c>
      <c r="V485" s="17" t="str">
        <f>+CONCATENATE(E485,".",F485,"\",G485,".",H485,":",I485)</f>
        <v>2.6\0.4:2</v>
      </c>
      <c r="W485" s="17" t="s">
        <v>2230</v>
      </c>
      <c r="X485" s="221">
        <v>0</v>
      </c>
      <c r="Y485" s="17" t="s">
        <v>2229</v>
      </c>
      <c r="Z485" s="20" t="s">
        <v>1159</v>
      </c>
      <c r="AA485" s="17"/>
      <c r="AB485" s="17">
        <v>0</v>
      </c>
      <c r="AC485" s="17">
        <v>25</v>
      </c>
      <c r="AD485" s="17">
        <v>0</v>
      </c>
      <c r="AE485" s="17">
        <v>25</v>
      </c>
      <c r="AF485" s="17" t="s">
        <v>1176</v>
      </c>
      <c r="AG485" s="64" t="s">
        <v>844</v>
      </c>
      <c r="AH485" s="64">
        <v>37</v>
      </c>
      <c r="AI485" s="64">
        <v>38</v>
      </c>
      <c r="AJ485" s="64"/>
      <c r="AK485" s="64"/>
      <c r="AL485" s="264"/>
      <c r="AM485" s="84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</row>
    <row r="486" spans="1:51" s="33" customFormat="1" x14ac:dyDescent="0.3">
      <c r="A486" s="63" t="str">
        <f>A485</f>
        <v>BCV131</v>
      </c>
      <c r="B486" s="17" t="s">
        <v>2175</v>
      </c>
      <c r="C486" s="18" t="str">
        <f>+C485</f>
        <v>DIO1</v>
      </c>
      <c r="D486" s="18">
        <v>132</v>
      </c>
      <c r="E486" s="84">
        <f>+E485</f>
        <v>2</v>
      </c>
      <c r="F486" s="84">
        <f>+F485</f>
        <v>6</v>
      </c>
      <c r="G486" s="84">
        <v>0</v>
      </c>
      <c r="H486" s="186">
        <f>+H485</f>
        <v>4</v>
      </c>
      <c r="I486" s="187">
        <f>+I485+1</f>
        <v>3</v>
      </c>
      <c r="J486" s="275"/>
      <c r="K486" s="18"/>
      <c r="L486" s="79" t="s">
        <v>1170</v>
      </c>
      <c r="M486" s="18"/>
      <c r="N486" s="18"/>
      <c r="O486" s="17"/>
      <c r="P486" s="18"/>
      <c r="Q486" s="17"/>
      <c r="R486" s="18"/>
      <c r="S486" s="18"/>
      <c r="T486" s="17"/>
      <c r="U486" s="17"/>
      <c r="V486" s="17" t="str">
        <f>+CONCATENATE(E486,".",F486,"\",G486,".",H486,":",I486)</f>
        <v>2.6\0.4:3</v>
      </c>
      <c r="W486" s="17"/>
      <c r="X486" s="17"/>
      <c r="Y486" s="17"/>
      <c r="Z486" s="20" t="s">
        <v>1159</v>
      </c>
      <c r="AA486" s="17"/>
      <c r="AB486" s="17"/>
      <c r="AC486" s="17"/>
      <c r="AD486" s="17"/>
      <c r="AE486" s="17"/>
      <c r="AF486" s="17"/>
      <c r="AG486" s="64" t="s">
        <v>844</v>
      </c>
      <c r="AH486" s="64">
        <v>39</v>
      </c>
      <c r="AI486" s="64">
        <v>40</v>
      </c>
      <c r="AJ486" s="64"/>
      <c r="AK486" s="64"/>
      <c r="AL486" s="264"/>
      <c r="AM486" s="84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</row>
    <row r="487" spans="1:51" s="33" customFormat="1" x14ac:dyDescent="0.3">
      <c r="A487" s="63" t="str">
        <f>A486</f>
        <v>BCV131</v>
      </c>
      <c r="B487" s="17" t="s">
        <v>2175</v>
      </c>
      <c r="C487" s="18" t="str">
        <f>+C486</f>
        <v>DIO1</v>
      </c>
      <c r="D487" s="18">
        <v>132</v>
      </c>
      <c r="E487" s="84">
        <f>+E486</f>
        <v>2</v>
      </c>
      <c r="F487" s="84">
        <f>+F486</f>
        <v>6</v>
      </c>
      <c r="G487" s="84">
        <v>0</v>
      </c>
      <c r="H487" s="186">
        <f>+H486</f>
        <v>4</v>
      </c>
      <c r="I487" s="187">
        <f>+I486+1</f>
        <v>4</v>
      </c>
      <c r="J487" s="275"/>
      <c r="K487" s="18"/>
      <c r="L487" s="79" t="s">
        <v>1170</v>
      </c>
      <c r="M487" s="18"/>
      <c r="N487" s="18"/>
      <c r="O487" s="17"/>
      <c r="P487" s="18"/>
      <c r="Q487" s="17"/>
      <c r="R487" s="17"/>
      <c r="S487" s="17"/>
      <c r="T487" s="17"/>
      <c r="U487" s="17"/>
      <c r="V487" s="17" t="str">
        <f>+CONCATENATE(E487,".",F487,"\",G487,".",H487,":",I487)</f>
        <v>2.6\0.4:4</v>
      </c>
      <c r="W487" s="17"/>
      <c r="X487" s="17"/>
      <c r="Y487" s="17"/>
      <c r="Z487" s="20" t="s">
        <v>1159</v>
      </c>
      <c r="AA487" s="17"/>
      <c r="AB487" s="17"/>
      <c r="AC487" s="17"/>
      <c r="AD487" s="17"/>
      <c r="AE487" s="17"/>
      <c r="AF487" s="17"/>
      <c r="AG487" s="64" t="s">
        <v>844</v>
      </c>
      <c r="AH487" s="64">
        <v>41</v>
      </c>
      <c r="AI487" s="64">
        <v>42</v>
      </c>
      <c r="AJ487" s="64"/>
      <c r="AK487" s="64"/>
      <c r="AL487" s="264"/>
      <c r="AM487" s="84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</row>
    <row r="488" spans="1:51" s="33" customFormat="1" x14ac:dyDescent="0.3">
      <c r="A488" s="63" t="str">
        <f>A487</f>
        <v>BCV131</v>
      </c>
      <c r="B488" s="17" t="s">
        <v>2175</v>
      </c>
      <c r="C488" s="18" t="str">
        <f>+C487</f>
        <v>DIO1</v>
      </c>
      <c r="D488" s="18">
        <v>132</v>
      </c>
      <c r="E488" s="84">
        <f>+E487</f>
        <v>2</v>
      </c>
      <c r="F488" s="84">
        <f>+F487</f>
        <v>6</v>
      </c>
      <c r="G488" s="84">
        <v>0</v>
      </c>
      <c r="H488" s="186">
        <f>+H487</f>
        <v>4</v>
      </c>
      <c r="I488" s="187">
        <f>+I487+1</f>
        <v>5</v>
      </c>
      <c r="J488" s="275"/>
      <c r="K488" s="18"/>
      <c r="L488" s="79" t="s">
        <v>1170</v>
      </c>
      <c r="M488" s="18"/>
      <c r="N488" s="18"/>
      <c r="O488" s="17"/>
      <c r="P488" s="18"/>
      <c r="Q488" s="17"/>
      <c r="R488" s="18"/>
      <c r="S488" s="18"/>
      <c r="T488" s="17"/>
      <c r="U488" s="17"/>
      <c r="V488" s="17" t="str">
        <f>+CONCATENATE(E488,".",F488,"\",G488,".",H488,":",I488)</f>
        <v>2.6\0.4:5</v>
      </c>
      <c r="W488" s="17"/>
      <c r="X488" s="17"/>
      <c r="Y488" s="17"/>
      <c r="Z488" s="20" t="s">
        <v>1159</v>
      </c>
      <c r="AA488" s="17"/>
      <c r="AB488" s="17"/>
      <c r="AC488" s="17"/>
      <c r="AD488" s="17"/>
      <c r="AE488" s="17"/>
      <c r="AF488" s="17"/>
      <c r="AG488" s="64" t="s">
        <v>844</v>
      </c>
      <c r="AH488" s="64">
        <v>43</v>
      </c>
      <c r="AI488" s="64">
        <v>44</v>
      </c>
      <c r="AJ488" s="64"/>
      <c r="AK488" s="64"/>
      <c r="AL488" s="264"/>
      <c r="AM488" s="84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</row>
    <row r="489" spans="1:51" s="33" customFormat="1" x14ac:dyDescent="0.3">
      <c r="A489" s="63" t="str">
        <f>A488</f>
        <v>BCV131</v>
      </c>
      <c r="B489" s="17" t="s">
        <v>2175</v>
      </c>
      <c r="C489" s="18" t="str">
        <f>+C488</f>
        <v>DIO1</v>
      </c>
      <c r="D489" s="18">
        <v>132</v>
      </c>
      <c r="E489" s="84">
        <f>+E488</f>
        <v>2</v>
      </c>
      <c r="F489" s="84">
        <f>+F488</f>
        <v>6</v>
      </c>
      <c r="G489" s="84">
        <v>0</v>
      </c>
      <c r="H489" s="186">
        <f>+H488</f>
        <v>4</v>
      </c>
      <c r="I489" s="187">
        <f>+I488+1</f>
        <v>6</v>
      </c>
      <c r="J489" s="275"/>
      <c r="K489" s="18"/>
      <c r="L489" s="79" t="s">
        <v>1170</v>
      </c>
      <c r="M489" s="18"/>
      <c r="N489" s="18"/>
      <c r="O489" s="17"/>
      <c r="P489" s="18"/>
      <c r="Q489" s="17"/>
      <c r="R489" s="18"/>
      <c r="S489" s="18"/>
      <c r="T489" s="17"/>
      <c r="U489" s="17"/>
      <c r="V489" s="17" t="str">
        <f>+CONCATENATE(E489,".",F489,"\",G489,".",H489,":",I489)</f>
        <v>2.6\0.4:6</v>
      </c>
      <c r="W489" s="17"/>
      <c r="X489" s="17"/>
      <c r="Y489" s="17"/>
      <c r="Z489" s="20" t="s">
        <v>1159</v>
      </c>
      <c r="AA489" s="17"/>
      <c r="AB489" s="17"/>
      <c r="AC489" s="17"/>
      <c r="AD489" s="17"/>
      <c r="AE489" s="17"/>
      <c r="AF489" s="17"/>
      <c r="AG489" s="64" t="s">
        <v>844</v>
      </c>
      <c r="AH489" s="64">
        <v>45</v>
      </c>
      <c r="AI489" s="64">
        <v>46</v>
      </c>
      <c r="AJ489" s="64"/>
      <c r="AK489" s="64"/>
      <c r="AL489" s="264"/>
      <c r="AM489" s="84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</row>
    <row r="490" spans="1:51" s="33" customFormat="1" ht="13.5" thickBot="1" x14ac:dyDescent="0.35">
      <c r="A490" s="63" t="str">
        <f>A489</f>
        <v>BCV131</v>
      </c>
      <c r="B490" s="17" t="s">
        <v>2175</v>
      </c>
      <c r="C490" s="18" t="str">
        <f>+C489</f>
        <v>DIO1</v>
      </c>
      <c r="D490" s="18">
        <v>132</v>
      </c>
      <c r="E490" s="84">
        <f>+E489</f>
        <v>2</v>
      </c>
      <c r="F490" s="84">
        <f>+F489</f>
        <v>6</v>
      </c>
      <c r="G490" s="84">
        <v>0</v>
      </c>
      <c r="H490" s="186">
        <f>+H489</f>
        <v>4</v>
      </c>
      <c r="I490" s="191">
        <f>+I489+1</f>
        <v>7</v>
      </c>
      <c r="J490" s="274"/>
      <c r="K490" s="18"/>
      <c r="L490" s="79" t="s">
        <v>1170</v>
      </c>
      <c r="M490" s="18"/>
      <c r="N490" s="18"/>
      <c r="O490" s="17"/>
      <c r="P490" s="18"/>
      <c r="Q490" s="17"/>
      <c r="R490" s="18"/>
      <c r="S490" s="18"/>
      <c r="T490" s="17"/>
      <c r="U490" s="17"/>
      <c r="V490" s="17" t="str">
        <f>+CONCATENATE(E490,".",F490,"\",G490,".",H490,":",I490)</f>
        <v>2.6\0.4:7</v>
      </c>
      <c r="W490" s="17"/>
      <c r="X490" s="17"/>
      <c r="Y490" s="17"/>
      <c r="Z490" s="20" t="s">
        <v>1159</v>
      </c>
      <c r="AA490" s="17"/>
      <c r="AB490" s="17"/>
      <c r="AC490" s="17"/>
      <c r="AD490" s="17"/>
      <c r="AE490" s="17"/>
      <c r="AF490" s="17"/>
      <c r="AG490" s="64" t="s">
        <v>844</v>
      </c>
      <c r="AH490" s="64">
        <v>47</v>
      </c>
      <c r="AI490" s="64">
        <v>48</v>
      </c>
      <c r="AJ490" s="64"/>
      <c r="AK490" s="64"/>
      <c r="AL490" s="264"/>
      <c r="AM490" s="84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</row>
    <row r="491" spans="1:51" s="33" customFormat="1" ht="14.5" x14ac:dyDescent="0.35">
      <c r="A491" s="268" t="s">
        <v>194</v>
      </c>
      <c r="B491" s="17" t="s">
        <v>2175</v>
      </c>
      <c r="C491" s="18" t="str">
        <f>+C490</f>
        <v>DIO1</v>
      </c>
      <c r="D491" s="18">
        <v>132</v>
      </c>
      <c r="E491" s="84">
        <f>+E490</f>
        <v>2</v>
      </c>
      <c r="F491" s="84">
        <f>+F490</f>
        <v>6</v>
      </c>
      <c r="G491" s="84">
        <v>0</v>
      </c>
      <c r="H491" s="304">
        <v>5</v>
      </c>
      <c r="I491" s="188">
        <v>0</v>
      </c>
      <c r="J491" s="303" t="s">
        <v>2052</v>
      </c>
      <c r="K491" s="18" t="s">
        <v>2056</v>
      </c>
      <c r="L491" s="79" t="s">
        <v>2042</v>
      </c>
      <c r="M491" s="18">
        <v>4</v>
      </c>
      <c r="N491" s="59" t="s">
        <v>2228</v>
      </c>
      <c r="O491" s="17" t="s">
        <v>2051</v>
      </c>
      <c r="P491" s="18" t="s">
        <v>2207</v>
      </c>
      <c r="Q491" s="139" t="s">
        <v>2227</v>
      </c>
      <c r="R491" s="17"/>
      <c r="S491" s="139" t="s">
        <v>322</v>
      </c>
      <c r="T491" s="17" t="s">
        <v>609</v>
      </c>
      <c r="U491" s="17" t="s">
        <v>1177</v>
      </c>
      <c r="V491" s="17" t="str">
        <f>+CONCATENATE(E491,".",F491,"\",G491,".",H491,":",I491)</f>
        <v>2.6\0.5:0</v>
      </c>
      <c r="W491" s="17" t="s">
        <v>2205</v>
      </c>
      <c r="X491" s="221">
        <v>0</v>
      </c>
      <c r="Y491" s="17"/>
      <c r="Z491" s="20" t="s">
        <v>1159</v>
      </c>
      <c r="AA491" s="17"/>
      <c r="AB491" s="17">
        <v>0</v>
      </c>
      <c r="AC491" s="17">
        <v>200</v>
      </c>
      <c r="AD491" s="17">
        <v>0</v>
      </c>
      <c r="AE491" s="17">
        <v>200</v>
      </c>
      <c r="AF491" s="17" t="s">
        <v>2043</v>
      </c>
      <c r="AG491" s="64" t="s">
        <v>863</v>
      </c>
      <c r="AH491" s="64">
        <v>1</v>
      </c>
      <c r="AI491" s="64">
        <v>2</v>
      </c>
      <c r="AJ491" s="64">
        <v>3</v>
      </c>
      <c r="AK491" s="64"/>
      <c r="AL491" s="79"/>
      <c r="AM491" s="17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</row>
    <row r="492" spans="1:51" s="33" customFormat="1" ht="14.5" x14ac:dyDescent="0.35">
      <c r="A492" s="63" t="str">
        <f>A491</f>
        <v>BCV131</v>
      </c>
      <c r="B492" s="17" t="s">
        <v>2175</v>
      </c>
      <c r="C492" s="18" t="str">
        <f>+C491</f>
        <v>DIO1</v>
      </c>
      <c r="D492" s="18">
        <v>132</v>
      </c>
      <c r="E492" s="84">
        <f>+E491</f>
        <v>2</v>
      </c>
      <c r="F492" s="84">
        <f>+F491</f>
        <v>6</v>
      </c>
      <c r="G492" s="84">
        <v>0</v>
      </c>
      <c r="H492" s="186">
        <f>+H491</f>
        <v>5</v>
      </c>
      <c r="I492" s="187">
        <f>+I491+1</f>
        <v>1</v>
      </c>
      <c r="J492" s="303" t="s">
        <v>2052</v>
      </c>
      <c r="K492" s="18"/>
      <c r="L492" s="79" t="s">
        <v>2042</v>
      </c>
      <c r="M492" s="18">
        <v>4</v>
      </c>
      <c r="N492" s="59" t="s">
        <v>2226</v>
      </c>
      <c r="O492" s="17" t="s">
        <v>2048</v>
      </c>
      <c r="P492" s="18" t="s">
        <v>2207</v>
      </c>
      <c r="Q492" s="139" t="s">
        <v>2225</v>
      </c>
      <c r="R492" s="17"/>
      <c r="S492" s="139" t="s">
        <v>322</v>
      </c>
      <c r="T492" s="17" t="s">
        <v>609</v>
      </c>
      <c r="U492" s="17" t="s">
        <v>1177</v>
      </c>
      <c r="V492" s="17" t="str">
        <f>+CONCATENATE(E492,".",F492,"\",G492,".",H492,":",I492)</f>
        <v>2.6\0.5:1</v>
      </c>
      <c r="W492" s="17" t="s">
        <v>2205</v>
      </c>
      <c r="X492" s="221">
        <v>0</v>
      </c>
      <c r="Y492" s="17"/>
      <c r="Z492" s="20" t="s">
        <v>1159</v>
      </c>
      <c r="AA492" s="17"/>
      <c r="AB492" s="17">
        <v>0</v>
      </c>
      <c r="AC492" s="17">
        <v>200</v>
      </c>
      <c r="AD492" s="17">
        <v>0</v>
      </c>
      <c r="AE492" s="17">
        <v>200</v>
      </c>
      <c r="AF492" s="17" t="s">
        <v>2043</v>
      </c>
      <c r="AG492" s="64" t="s">
        <v>863</v>
      </c>
      <c r="AH492" s="64">
        <v>4</v>
      </c>
      <c r="AI492" s="64">
        <v>5</v>
      </c>
      <c r="AJ492" s="64">
        <v>6</v>
      </c>
      <c r="AK492" s="64"/>
      <c r="AL492" s="79"/>
      <c r="AM492" s="17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</row>
    <row r="493" spans="1:51" s="33" customFormat="1" ht="14.5" x14ac:dyDescent="0.35">
      <c r="A493" s="63" t="str">
        <f>A492</f>
        <v>BCV131</v>
      </c>
      <c r="B493" s="17" t="s">
        <v>2175</v>
      </c>
      <c r="C493" s="18" t="str">
        <f>+C492</f>
        <v>DIO1</v>
      </c>
      <c r="D493" s="18">
        <v>132</v>
      </c>
      <c r="E493" s="84">
        <f>+E492</f>
        <v>2</v>
      </c>
      <c r="F493" s="84">
        <f>+F492</f>
        <v>6</v>
      </c>
      <c r="G493" s="84">
        <v>0</v>
      </c>
      <c r="H493" s="186">
        <f>+H492</f>
        <v>5</v>
      </c>
      <c r="I493" s="187">
        <f>+I492+1</f>
        <v>2</v>
      </c>
      <c r="J493" s="303"/>
      <c r="K493" s="18"/>
      <c r="L493" s="79" t="s">
        <v>2042</v>
      </c>
      <c r="M493" s="18">
        <v>4</v>
      </c>
      <c r="N493" s="59" t="s">
        <v>2224</v>
      </c>
      <c r="O493" s="17" t="s">
        <v>2073</v>
      </c>
      <c r="P493" s="18" t="s">
        <v>2207</v>
      </c>
      <c r="Q493" s="139" t="s">
        <v>2223</v>
      </c>
      <c r="R493" s="17"/>
      <c r="S493" s="139" t="s">
        <v>322</v>
      </c>
      <c r="T493" s="17" t="s">
        <v>609</v>
      </c>
      <c r="U493" s="17" t="s">
        <v>1177</v>
      </c>
      <c r="V493" s="17" t="str">
        <f>+CONCATENATE(E493,".",F493,"\",G493,".",H493,":",I493)</f>
        <v>2.6\0.5:2</v>
      </c>
      <c r="W493" s="17" t="s">
        <v>2205</v>
      </c>
      <c r="X493" s="221">
        <v>0</v>
      </c>
      <c r="Y493" s="17"/>
      <c r="Z493" s="20" t="s">
        <v>1159</v>
      </c>
      <c r="AA493" s="17"/>
      <c r="AB493" s="17">
        <v>0</v>
      </c>
      <c r="AC493" s="17">
        <v>200</v>
      </c>
      <c r="AD493" s="17">
        <v>0</v>
      </c>
      <c r="AE493" s="17">
        <v>200</v>
      </c>
      <c r="AF493" s="17" t="s">
        <v>2043</v>
      </c>
      <c r="AG493" s="64" t="s">
        <v>863</v>
      </c>
      <c r="AH493" s="64">
        <v>7</v>
      </c>
      <c r="AI493" s="64">
        <v>8</v>
      </c>
      <c r="AJ493" s="64">
        <v>9</v>
      </c>
      <c r="AK493" s="64"/>
      <c r="AL493" s="79"/>
      <c r="AM493" s="17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</row>
    <row r="494" spans="1:51" s="33" customFormat="1" ht="14.5" x14ac:dyDescent="0.35">
      <c r="A494" s="63" t="str">
        <f>A493</f>
        <v>BCV131</v>
      </c>
      <c r="B494" s="17" t="s">
        <v>2175</v>
      </c>
      <c r="C494" s="18" t="str">
        <f>+C493</f>
        <v>DIO1</v>
      </c>
      <c r="D494" s="18">
        <v>132</v>
      </c>
      <c r="E494" s="84">
        <f>+E493</f>
        <v>2</v>
      </c>
      <c r="F494" s="84">
        <f>+F493</f>
        <v>6</v>
      </c>
      <c r="G494" s="84">
        <v>0</v>
      </c>
      <c r="H494" s="186">
        <f>+H493</f>
        <v>5</v>
      </c>
      <c r="I494" s="187">
        <f>+I493+1</f>
        <v>3</v>
      </c>
      <c r="J494" s="303"/>
      <c r="K494" s="17"/>
      <c r="L494" s="79" t="s">
        <v>2042</v>
      </c>
      <c r="M494" s="18">
        <v>4</v>
      </c>
      <c r="N494" s="59" t="s">
        <v>2222</v>
      </c>
      <c r="O494" s="17" t="s">
        <v>2070</v>
      </c>
      <c r="P494" s="18" t="s">
        <v>2207</v>
      </c>
      <c r="Q494" s="139" t="s">
        <v>2221</v>
      </c>
      <c r="R494" s="17"/>
      <c r="S494" s="139" t="s">
        <v>322</v>
      </c>
      <c r="T494" s="17" t="s">
        <v>609</v>
      </c>
      <c r="U494" s="17" t="s">
        <v>1177</v>
      </c>
      <c r="V494" s="17" t="str">
        <f>+CONCATENATE(E494,".",F494,"\",G494,".",H494,":",I494)</f>
        <v>2.6\0.5:3</v>
      </c>
      <c r="W494" s="17" t="s">
        <v>2205</v>
      </c>
      <c r="X494" s="221">
        <v>0</v>
      </c>
      <c r="Y494" s="17"/>
      <c r="Z494" s="20" t="s">
        <v>1159</v>
      </c>
      <c r="AA494" s="17"/>
      <c r="AB494" s="17">
        <v>0</v>
      </c>
      <c r="AC494" s="17">
        <v>200</v>
      </c>
      <c r="AD494" s="17">
        <v>0</v>
      </c>
      <c r="AE494" s="17">
        <v>200</v>
      </c>
      <c r="AF494" s="17" t="s">
        <v>2043</v>
      </c>
      <c r="AG494" s="64" t="s">
        <v>863</v>
      </c>
      <c r="AH494" s="64">
        <v>10</v>
      </c>
      <c r="AI494" s="64">
        <v>11</v>
      </c>
      <c r="AJ494" s="64">
        <v>12</v>
      </c>
      <c r="AK494" s="64"/>
      <c r="AL494" s="79"/>
      <c r="AM494" s="17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</row>
    <row r="495" spans="1:51" s="33" customFormat="1" ht="14.5" x14ac:dyDescent="0.35">
      <c r="A495" s="63" t="str">
        <f>A494</f>
        <v>BCV131</v>
      </c>
      <c r="B495" s="17" t="s">
        <v>2175</v>
      </c>
      <c r="C495" s="18" t="str">
        <f>+C494</f>
        <v>DIO1</v>
      </c>
      <c r="D495" s="18">
        <v>132</v>
      </c>
      <c r="E495" s="84">
        <f>+E494</f>
        <v>2</v>
      </c>
      <c r="F495" s="84">
        <f>+F494</f>
        <v>6</v>
      </c>
      <c r="G495" s="84">
        <v>0</v>
      </c>
      <c r="H495" s="186">
        <f>+H494</f>
        <v>5</v>
      </c>
      <c r="I495" s="187">
        <f>+I494+1</f>
        <v>4</v>
      </c>
      <c r="J495" s="303"/>
      <c r="K495" s="17"/>
      <c r="L495" s="79" t="s">
        <v>2042</v>
      </c>
      <c r="M495" s="18">
        <v>4</v>
      </c>
      <c r="N495" s="59" t="s">
        <v>2220</v>
      </c>
      <c r="O495" s="17" t="s">
        <v>2067</v>
      </c>
      <c r="P495" s="18" t="s">
        <v>2207</v>
      </c>
      <c r="Q495" s="139" t="s">
        <v>2219</v>
      </c>
      <c r="R495" s="68"/>
      <c r="S495" s="139" t="s">
        <v>322</v>
      </c>
      <c r="T495" s="17" t="s">
        <v>609</v>
      </c>
      <c r="U495" s="17" t="s">
        <v>1177</v>
      </c>
      <c r="V495" s="17" t="str">
        <f>+CONCATENATE(E495,".",F495,"\",G495,".",H495,":",I495)</f>
        <v>2.6\0.5:4</v>
      </c>
      <c r="W495" s="17" t="s">
        <v>2205</v>
      </c>
      <c r="X495" s="221">
        <v>0</v>
      </c>
      <c r="Y495" s="17"/>
      <c r="Z495" s="20" t="s">
        <v>1159</v>
      </c>
      <c r="AA495" s="17"/>
      <c r="AB495" s="17">
        <v>0</v>
      </c>
      <c r="AC495" s="17">
        <v>200</v>
      </c>
      <c r="AD495" s="17">
        <v>0</v>
      </c>
      <c r="AE495" s="17">
        <v>200</v>
      </c>
      <c r="AF495" s="17" t="s">
        <v>2043</v>
      </c>
      <c r="AG495" s="64" t="s">
        <v>863</v>
      </c>
      <c r="AH495" s="64">
        <v>13</v>
      </c>
      <c r="AI495" s="64">
        <v>14</v>
      </c>
      <c r="AJ495" s="64">
        <v>15</v>
      </c>
      <c r="AK495" s="64"/>
      <c r="AL495" s="79"/>
      <c r="AM495" s="17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</row>
    <row r="496" spans="1:51" s="33" customFormat="1" ht="14.5" x14ac:dyDescent="0.35">
      <c r="A496" s="63" t="str">
        <f>A495</f>
        <v>BCV131</v>
      </c>
      <c r="B496" s="17" t="s">
        <v>2175</v>
      </c>
      <c r="C496" s="18" t="str">
        <f>+C495</f>
        <v>DIO1</v>
      </c>
      <c r="D496" s="18">
        <v>132</v>
      </c>
      <c r="E496" s="84">
        <f>+E495</f>
        <v>2</v>
      </c>
      <c r="F496" s="84">
        <f>+F495</f>
        <v>6</v>
      </c>
      <c r="G496" s="84">
        <v>0</v>
      </c>
      <c r="H496" s="186">
        <f>+H495</f>
        <v>5</v>
      </c>
      <c r="I496" s="187">
        <f>+I495+1</f>
        <v>5</v>
      </c>
      <c r="J496" s="303"/>
      <c r="K496" s="18"/>
      <c r="L496" s="79" t="s">
        <v>2042</v>
      </c>
      <c r="M496" s="18">
        <v>4</v>
      </c>
      <c r="N496" s="59" t="s">
        <v>2218</v>
      </c>
      <c r="O496" s="17" t="s">
        <v>2064</v>
      </c>
      <c r="P496" s="18" t="s">
        <v>2207</v>
      </c>
      <c r="Q496" s="139" t="s">
        <v>2217</v>
      </c>
      <c r="R496" s="68"/>
      <c r="S496" s="139" t="s">
        <v>322</v>
      </c>
      <c r="T496" s="17" t="s">
        <v>609</v>
      </c>
      <c r="U496" s="17" t="s">
        <v>1177</v>
      </c>
      <c r="V496" s="17" t="str">
        <f>+CONCATENATE(E496,".",F496,"\",G496,".",H496,":",I496)</f>
        <v>2.6\0.5:5</v>
      </c>
      <c r="W496" s="17" t="s">
        <v>2205</v>
      </c>
      <c r="X496" s="221">
        <v>0</v>
      </c>
      <c r="Y496" s="17"/>
      <c r="Z496" s="20" t="s">
        <v>1159</v>
      </c>
      <c r="AA496" s="17"/>
      <c r="AB496" s="17">
        <v>0</v>
      </c>
      <c r="AC496" s="17">
        <v>200</v>
      </c>
      <c r="AD496" s="17">
        <v>0</v>
      </c>
      <c r="AE496" s="17">
        <v>200</v>
      </c>
      <c r="AF496" s="17" t="s">
        <v>2043</v>
      </c>
      <c r="AG496" s="64" t="s">
        <v>863</v>
      </c>
      <c r="AH496" s="64">
        <v>16</v>
      </c>
      <c r="AI496" s="64">
        <v>17</v>
      </c>
      <c r="AJ496" s="64">
        <v>18</v>
      </c>
      <c r="AK496" s="64"/>
      <c r="AL496" s="79"/>
      <c r="AM496" s="17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</row>
    <row r="497" spans="1:51" s="33" customFormat="1" ht="14.5" x14ac:dyDescent="0.35">
      <c r="A497" s="63" t="str">
        <f>A496</f>
        <v>BCV131</v>
      </c>
      <c r="B497" s="17" t="s">
        <v>2175</v>
      </c>
      <c r="C497" s="18" t="str">
        <f>+C496</f>
        <v>DIO1</v>
      </c>
      <c r="D497" s="18">
        <v>132</v>
      </c>
      <c r="E497" s="84">
        <f>+E496</f>
        <v>2</v>
      </c>
      <c r="F497" s="84">
        <f>+F496</f>
        <v>6</v>
      </c>
      <c r="G497" s="84">
        <v>0</v>
      </c>
      <c r="H497" s="186">
        <f>+H496</f>
        <v>5</v>
      </c>
      <c r="I497" s="187">
        <f>+I496+1</f>
        <v>6</v>
      </c>
      <c r="J497" s="303"/>
      <c r="K497" s="18"/>
      <c r="L497" s="79" t="s">
        <v>2042</v>
      </c>
      <c r="M497" s="18">
        <v>4</v>
      </c>
      <c r="N497" s="59" t="s">
        <v>2216</v>
      </c>
      <c r="O497" s="17" t="s">
        <v>2061</v>
      </c>
      <c r="P497" s="18" t="s">
        <v>2207</v>
      </c>
      <c r="Q497" s="139" t="s">
        <v>2215</v>
      </c>
      <c r="R497" s="17"/>
      <c r="S497" s="139" t="s">
        <v>322</v>
      </c>
      <c r="T497" s="17" t="s">
        <v>609</v>
      </c>
      <c r="U497" s="17" t="s">
        <v>1177</v>
      </c>
      <c r="V497" s="17" t="str">
        <f>+CONCATENATE(E497,".",F497,"\",G497,".",H497,":",I497)</f>
        <v>2.6\0.5:6</v>
      </c>
      <c r="W497" s="17" t="s">
        <v>2205</v>
      </c>
      <c r="X497" s="221">
        <v>0</v>
      </c>
      <c r="Y497" s="17"/>
      <c r="Z497" s="20" t="s">
        <v>1159</v>
      </c>
      <c r="AA497" s="17"/>
      <c r="AB497" s="17">
        <v>0</v>
      </c>
      <c r="AC497" s="17">
        <v>200</v>
      </c>
      <c r="AD497" s="17">
        <v>0</v>
      </c>
      <c r="AE497" s="17">
        <v>200</v>
      </c>
      <c r="AF497" s="17" t="s">
        <v>2043</v>
      </c>
      <c r="AG497" s="64" t="s">
        <v>863</v>
      </c>
      <c r="AH497" s="64">
        <v>19</v>
      </c>
      <c r="AI497" s="64">
        <v>20</v>
      </c>
      <c r="AJ497" s="64">
        <v>21</v>
      </c>
      <c r="AK497" s="64"/>
      <c r="AL497" s="79"/>
      <c r="AM497" s="17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</row>
    <row r="498" spans="1:51" s="33" customFormat="1" ht="15" thickBot="1" x14ac:dyDescent="0.4">
      <c r="A498" s="63" t="str">
        <f>A497</f>
        <v>BCV131</v>
      </c>
      <c r="B498" s="17" t="s">
        <v>2175</v>
      </c>
      <c r="C498" s="18" t="str">
        <f>+C497</f>
        <v>DIO1</v>
      </c>
      <c r="D498" s="18">
        <v>132</v>
      </c>
      <c r="E498" s="84">
        <f>+E497</f>
        <v>2</v>
      </c>
      <c r="F498" s="84">
        <f>+F497</f>
        <v>6</v>
      </c>
      <c r="G498" s="84">
        <v>0</v>
      </c>
      <c r="H498" s="186">
        <f>+H497</f>
        <v>5</v>
      </c>
      <c r="I498" s="191">
        <f>+I497+1</f>
        <v>7</v>
      </c>
      <c r="J498" s="302"/>
      <c r="K498" s="18"/>
      <c r="L498" s="79" t="s">
        <v>2042</v>
      </c>
      <c r="M498" s="18">
        <v>4</v>
      </c>
      <c r="N498" s="59" t="s">
        <v>2214</v>
      </c>
      <c r="O498" s="17" t="s">
        <v>2058</v>
      </c>
      <c r="P498" s="18" t="s">
        <v>2207</v>
      </c>
      <c r="Q498" s="139" t="s">
        <v>2213</v>
      </c>
      <c r="R498" s="17"/>
      <c r="S498" s="139" t="s">
        <v>322</v>
      </c>
      <c r="T498" s="17" t="s">
        <v>609</v>
      </c>
      <c r="U498" s="17" t="s">
        <v>1177</v>
      </c>
      <c r="V498" s="17" t="str">
        <f>+CONCATENATE(E498,".",F498,"\",G498,".",H498,":",I498)</f>
        <v>2.6\0.5:7</v>
      </c>
      <c r="W498" s="17" t="s">
        <v>2205</v>
      </c>
      <c r="X498" s="221">
        <v>0</v>
      </c>
      <c r="Y498" s="17"/>
      <c r="Z498" s="20" t="s">
        <v>1159</v>
      </c>
      <c r="AA498" s="17"/>
      <c r="AB498" s="17">
        <v>0</v>
      </c>
      <c r="AC498" s="17">
        <v>200</v>
      </c>
      <c r="AD498" s="17">
        <v>0</v>
      </c>
      <c r="AE498" s="17">
        <v>200</v>
      </c>
      <c r="AF498" s="17" t="s">
        <v>2043</v>
      </c>
      <c r="AG498" s="64" t="s">
        <v>863</v>
      </c>
      <c r="AH498" s="64">
        <v>22</v>
      </c>
      <c r="AI498" s="64">
        <v>23</v>
      </c>
      <c r="AJ498" s="64">
        <v>24</v>
      </c>
      <c r="AK498" s="64"/>
      <c r="AL498" s="79"/>
      <c r="AM498" s="17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</row>
    <row r="499" spans="1:51" s="33" customFormat="1" ht="14.5" x14ac:dyDescent="0.35">
      <c r="A499" s="268" t="s">
        <v>194</v>
      </c>
      <c r="B499" s="17" t="s">
        <v>2175</v>
      </c>
      <c r="C499" s="18" t="str">
        <f>+C498</f>
        <v>DIO1</v>
      </c>
      <c r="D499" s="18">
        <v>132</v>
      </c>
      <c r="E499" s="84">
        <f>+E498</f>
        <v>2</v>
      </c>
      <c r="F499" s="84">
        <f>+F498</f>
        <v>6</v>
      </c>
      <c r="G499" s="84">
        <v>0</v>
      </c>
      <c r="H499" s="304">
        <v>6</v>
      </c>
      <c r="I499" s="188">
        <v>0</v>
      </c>
      <c r="J499" s="303" t="s">
        <v>2052</v>
      </c>
      <c r="K499" s="18" t="s">
        <v>2056</v>
      </c>
      <c r="L499" s="79" t="s">
        <v>2042</v>
      </c>
      <c r="M499" s="18">
        <v>4</v>
      </c>
      <c r="N499" s="59" t="s">
        <v>2212</v>
      </c>
      <c r="O499" s="17" t="s">
        <v>2054</v>
      </c>
      <c r="P499" s="18" t="s">
        <v>2207</v>
      </c>
      <c r="Q499" s="139" t="s">
        <v>2211</v>
      </c>
      <c r="R499" s="17"/>
      <c r="S499" s="139" t="s">
        <v>322</v>
      </c>
      <c r="T499" s="17" t="s">
        <v>609</v>
      </c>
      <c r="U499" s="17" t="s">
        <v>1177</v>
      </c>
      <c r="V499" s="17" t="str">
        <f>+CONCATENATE(E499,".",F499,"\",G499,".",H499,":",I499)</f>
        <v>2.6\0.6:0</v>
      </c>
      <c r="W499" s="17" t="s">
        <v>2205</v>
      </c>
      <c r="X499" s="221">
        <v>0</v>
      </c>
      <c r="Y499" s="17"/>
      <c r="Z499" s="20" t="s">
        <v>1159</v>
      </c>
      <c r="AA499" s="17"/>
      <c r="AB499" s="17">
        <v>0</v>
      </c>
      <c r="AC499" s="17">
        <v>200</v>
      </c>
      <c r="AD499" s="17">
        <v>0</v>
      </c>
      <c r="AE499" s="17">
        <v>200</v>
      </c>
      <c r="AF499" s="17" t="s">
        <v>2043</v>
      </c>
      <c r="AG499" s="64" t="s">
        <v>863</v>
      </c>
      <c r="AH499" s="64">
        <v>25</v>
      </c>
      <c r="AI499" s="64">
        <v>26</v>
      </c>
      <c r="AJ499" s="64">
        <v>27</v>
      </c>
      <c r="AK499" s="64"/>
      <c r="AL499" s="79"/>
      <c r="AM499" s="17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</row>
    <row r="500" spans="1:51" s="33" customFormat="1" x14ac:dyDescent="0.3">
      <c r="A500" s="63" t="str">
        <f>A499</f>
        <v>BCV131</v>
      </c>
      <c r="B500" s="17" t="s">
        <v>2175</v>
      </c>
      <c r="C500" s="18" t="str">
        <f>+C499</f>
        <v>DIO1</v>
      </c>
      <c r="D500" s="18">
        <v>132</v>
      </c>
      <c r="E500" s="84">
        <f>+E499</f>
        <v>2</v>
      </c>
      <c r="F500" s="84">
        <f>+F499</f>
        <v>6</v>
      </c>
      <c r="G500" s="84">
        <v>0</v>
      </c>
      <c r="H500" s="186">
        <f>+H499</f>
        <v>6</v>
      </c>
      <c r="I500" s="187">
        <f>+I499+1</f>
        <v>1</v>
      </c>
      <c r="J500" s="303" t="s">
        <v>2052</v>
      </c>
      <c r="K500" s="18"/>
      <c r="L500" s="79" t="s">
        <v>2042</v>
      </c>
      <c r="M500" s="18">
        <v>4</v>
      </c>
      <c r="N500" s="18" t="s">
        <v>2210</v>
      </c>
      <c r="O500" s="17" t="s">
        <v>2051</v>
      </c>
      <c r="P500" s="18" t="s">
        <v>2207</v>
      </c>
      <c r="Q500" s="139" t="s">
        <v>2209</v>
      </c>
      <c r="R500" s="17"/>
      <c r="S500" s="139" t="s">
        <v>322</v>
      </c>
      <c r="T500" s="17" t="s">
        <v>755</v>
      </c>
      <c r="U500" s="17" t="s">
        <v>1177</v>
      </c>
      <c r="V500" s="17" t="str">
        <f>+CONCATENATE(E500,".",F500,"\",G500,".",H500,":",I500)</f>
        <v>2.6\0.6:1</v>
      </c>
      <c r="W500" s="17" t="s">
        <v>2205</v>
      </c>
      <c r="X500" s="221">
        <v>0</v>
      </c>
      <c r="Y500" s="17"/>
      <c r="Z500" s="20" t="s">
        <v>1159</v>
      </c>
      <c r="AA500" s="17"/>
      <c r="AB500" s="17">
        <v>0</v>
      </c>
      <c r="AC500" s="17">
        <v>200</v>
      </c>
      <c r="AD500" s="17">
        <v>0</v>
      </c>
      <c r="AE500" s="17">
        <v>200</v>
      </c>
      <c r="AF500" s="17" t="s">
        <v>2043</v>
      </c>
      <c r="AG500" s="64" t="s">
        <v>863</v>
      </c>
      <c r="AH500" s="64">
        <v>28</v>
      </c>
      <c r="AI500" s="64">
        <v>29</v>
      </c>
      <c r="AJ500" s="64">
        <v>30</v>
      </c>
      <c r="AK500" s="64"/>
      <c r="AL500" s="79"/>
      <c r="AM500" s="17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</row>
    <row r="501" spans="1:51" s="33" customFormat="1" x14ac:dyDescent="0.3">
      <c r="A501" s="63" t="str">
        <f>A500</f>
        <v>BCV131</v>
      </c>
      <c r="B501" s="17" t="s">
        <v>2175</v>
      </c>
      <c r="C501" s="18" t="str">
        <f>+C500</f>
        <v>DIO1</v>
      </c>
      <c r="D501" s="18">
        <v>132</v>
      </c>
      <c r="E501" s="84">
        <f>+E500</f>
        <v>2</v>
      </c>
      <c r="F501" s="84">
        <f>+F500</f>
        <v>6</v>
      </c>
      <c r="G501" s="84">
        <v>0</v>
      </c>
      <c r="H501" s="186">
        <f>+H500</f>
        <v>6</v>
      </c>
      <c r="I501" s="187">
        <f>+I500+1</f>
        <v>2</v>
      </c>
      <c r="J501" s="303"/>
      <c r="K501" s="18"/>
      <c r="L501" s="79" t="s">
        <v>2042</v>
      </c>
      <c r="M501" s="18">
        <v>4</v>
      </c>
      <c r="N501" s="18" t="s">
        <v>2208</v>
      </c>
      <c r="O501" s="17" t="s">
        <v>2048</v>
      </c>
      <c r="P501" s="18" t="s">
        <v>2207</v>
      </c>
      <c r="Q501" s="139" t="s">
        <v>2206</v>
      </c>
      <c r="R501" s="17"/>
      <c r="S501" s="139" t="s">
        <v>322</v>
      </c>
      <c r="T501" s="17" t="s">
        <v>755</v>
      </c>
      <c r="U501" s="17" t="s">
        <v>1177</v>
      </c>
      <c r="V501" s="17" t="str">
        <f>+CONCATENATE(E501,".",F501,"\",G501,".",H501,":",I501)</f>
        <v>2.6\0.6:2</v>
      </c>
      <c r="W501" s="17" t="s">
        <v>2205</v>
      </c>
      <c r="X501" s="221">
        <v>0</v>
      </c>
      <c r="Y501" s="17"/>
      <c r="Z501" s="20" t="s">
        <v>1159</v>
      </c>
      <c r="AA501" s="17"/>
      <c r="AB501" s="17">
        <v>0</v>
      </c>
      <c r="AC501" s="17">
        <v>200</v>
      </c>
      <c r="AD501" s="17">
        <v>0</v>
      </c>
      <c r="AE501" s="17">
        <v>200</v>
      </c>
      <c r="AF501" s="17" t="s">
        <v>2043</v>
      </c>
      <c r="AG501" s="64" t="s">
        <v>863</v>
      </c>
      <c r="AH501" s="64">
        <v>31</v>
      </c>
      <c r="AI501" s="64">
        <v>32</v>
      </c>
      <c r="AJ501" s="64">
        <v>33</v>
      </c>
      <c r="AK501" s="64"/>
      <c r="AL501" s="79"/>
      <c r="AM501" s="17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</row>
    <row r="502" spans="1:51" s="33" customFormat="1" x14ac:dyDescent="0.3">
      <c r="A502" s="63" t="str">
        <f>A501</f>
        <v>BCV131</v>
      </c>
      <c r="B502" s="17" t="s">
        <v>2175</v>
      </c>
      <c r="C502" s="18" t="str">
        <f>+C501</f>
        <v>DIO1</v>
      </c>
      <c r="D502" s="18">
        <v>132</v>
      </c>
      <c r="E502" s="84">
        <f>+E501</f>
        <v>2</v>
      </c>
      <c r="F502" s="84">
        <f>+F501</f>
        <v>6</v>
      </c>
      <c r="G502" s="84">
        <v>0</v>
      </c>
      <c r="H502" s="186">
        <f>+H501</f>
        <v>6</v>
      </c>
      <c r="I502" s="187">
        <f>+I501+1</f>
        <v>3</v>
      </c>
      <c r="J502" s="303"/>
      <c r="K502" s="17"/>
      <c r="L502" s="79" t="s">
        <v>2042</v>
      </c>
      <c r="M502" s="18"/>
      <c r="N502" s="18"/>
      <c r="O502" s="17"/>
      <c r="P502" s="18"/>
      <c r="Q502" s="139" t="s">
        <v>127</v>
      </c>
      <c r="R502" s="17"/>
      <c r="S502" s="139"/>
      <c r="T502" s="17"/>
      <c r="U502" s="17"/>
      <c r="V502" s="17" t="str">
        <f>+CONCATENATE(E502,".",F502,"\",G502,".",H502,":",I502)</f>
        <v>2.6\0.6:3</v>
      </c>
      <c r="W502" s="17"/>
      <c r="X502" s="17"/>
      <c r="Y502" s="17"/>
      <c r="Z502" s="20" t="s">
        <v>1159</v>
      </c>
      <c r="AA502" s="17"/>
      <c r="AB502" s="17"/>
      <c r="AC502" s="17"/>
      <c r="AD502" s="17"/>
      <c r="AE502" s="17"/>
      <c r="AF502" s="17"/>
      <c r="AG502" s="64" t="s">
        <v>863</v>
      </c>
      <c r="AH502" s="64">
        <v>34</v>
      </c>
      <c r="AI502" s="64">
        <v>35</v>
      </c>
      <c r="AJ502" s="64">
        <v>36</v>
      </c>
      <c r="AK502" s="64"/>
      <c r="AL502" s="79"/>
      <c r="AM502" s="17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</row>
    <row r="503" spans="1:51" s="33" customFormat="1" x14ac:dyDescent="0.3">
      <c r="A503" s="63" t="str">
        <f>A502</f>
        <v>BCV131</v>
      </c>
      <c r="B503" s="17" t="s">
        <v>2175</v>
      </c>
      <c r="C503" s="18" t="str">
        <f>+C502</f>
        <v>DIO1</v>
      </c>
      <c r="D503" s="18">
        <v>132</v>
      </c>
      <c r="E503" s="84">
        <f>+E502</f>
        <v>2</v>
      </c>
      <c r="F503" s="84">
        <f>+F502</f>
        <v>6</v>
      </c>
      <c r="G503" s="84">
        <v>0</v>
      </c>
      <c r="H503" s="186">
        <f>+H502</f>
        <v>6</v>
      </c>
      <c r="I503" s="187">
        <f>+I502+1</f>
        <v>4</v>
      </c>
      <c r="J503" s="303"/>
      <c r="K503" s="17"/>
      <c r="L503" s="79" t="s">
        <v>2042</v>
      </c>
      <c r="M503" s="18"/>
      <c r="N503" s="18"/>
      <c r="O503" s="17"/>
      <c r="P503" s="18"/>
      <c r="Q503" s="139" t="s">
        <v>127</v>
      </c>
      <c r="R503" s="68"/>
      <c r="S503" s="139"/>
      <c r="T503" s="17"/>
      <c r="U503" s="17"/>
      <c r="V503" s="17" t="str">
        <f>+CONCATENATE(E503,".",F503,"\",G503,".",H503,":",I503)</f>
        <v>2.6\0.6:4</v>
      </c>
      <c r="W503" s="17"/>
      <c r="X503" s="17"/>
      <c r="Y503" s="17"/>
      <c r="Z503" s="20" t="s">
        <v>1159</v>
      </c>
      <c r="AA503" s="17"/>
      <c r="AB503" s="17"/>
      <c r="AC503" s="17"/>
      <c r="AD503" s="17"/>
      <c r="AE503" s="17"/>
      <c r="AF503" s="17"/>
      <c r="AG503" s="64" t="s">
        <v>863</v>
      </c>
      <c r="AH503" s="64">
        <v>37</v>
      </c>
      <c r="AI503" s="64">
        <v>38</v>
      </c>
      <c r="AJ503" s="64">
        <v>39</v>
      </c>
      <c r="AK503" s="64"/>
      <c r="AL503" s="79"/>
      <c r="AM503" s="17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</row>
    <row r="504" spans="1:51" s="33" customFormat="1" x14ac:dyDescent="0.3">
      <c r="A504" s="63" t="str">
        <f>A503</f>
        <v>BCV131</v>
      </c>
      <c r="B504" s="17" t="s">
        <v>2175</v>
      </c>
      <c r="C504" s="18" t="str">
        <f>+C503</f>
        <v>DIO1</v>
      </c>
      <c r="D504" s="18">
        <v>132</v>
      </c>
      <c r="E504" s="84">
        <f>+E503</f>
        <v>2</v>
      </c>
      <c r="F504" s="84">
        <f>+F503</f>
        <v>6</v>
      </c>
      <c r="G504" s="84">
        <v>0</v>
      </c>
      <c r="H504" s="186">
        <f>+H503</f>
        <v>6</v>
      </c>
      <c r="I504" s="187">
        <f>+I503+1</f>
        <v>5</v>
      </c>
      <c r="J504" s="303"/>
      <c r="K504" s="18"/>
      <c r="L504" s="79" t="s">
        <v>2042</v>
      </c>
      <c r="M504" s="18"/>
      <c r="N504" s="18"/>
      <c r="O504" s="17"/>
      <c r="P504" s="18"/>
      <c r="Q504" s="139" t="s">
        <v>127</v>
      </c>
      <c r="R504" s="68"/>
      <c r="S504" s="139"/>
      <c r="T504" s="17"/>
      <c r="U504" s="17"/>
      <c r="V504" s="17" t="str">
        <f>+CONCATENATE(E504,".",F504,"\",G504,".",H504,":",I504)</f>
        <v>2.6\0.6:5</v>
      </c>
      <c r="W504" s="17"/>
      <c r="X504" s="17"/>
      <c r="Y504" s="17"/>
      <c r="Z504" s="20" t="s">
        <v>1159</v>
      </c>
      <c r="AA504" s="17"/>
      <c r="AB504" s="17"/>
      <c r="AC504" s="17"/>
      <c r="AD504" s="17"/>
      <c r="AE504" s="17"/>
      <c r="AF504" s="17"/>
      <c r="AG504" s="64" t="s">
        <v>863</v>
      </c>
      <c r="AH504" s="64">
        <v>40</v>
      </c>
      <c r="AI504" s="64">
        <v>41</v>
      </c>
      <c r="AJ504" s="64">
        <v>42</v>
      </c>
      <c r="AK504" s="64"/>
      <c r="AL504" s="79"/>
      <c r="AM504" s="17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</row>
    <row r="505" spans="1:51" s="33" customFormat="1" x14ac:dyDescent="0.3">
      <c r="A505" s="63" t="str">
        <f>A504</f>
        <v>BCV131</v>
      </c>
      <c r="B505" s="17" t="s">
        <v>2175</v>
      </c>
      <c r="C505" s="18" t="str">
        <f>+C504</f>
        <v>DIO1</v>
      </c>
      <c r="D505" s="18">
        <v>132</v>
      </c>
      <c r="E505" s="84">
        <f>+E504</f>
        <v>2</v>
      </c>
      <c r="F505" s="84">
        <f>+F504</f>
        <v>6</v>
      </c>
      <c r="G505" s="84">
        <v>0</v>
      </c>
      <c r="H505" s="186">
        <f>+H504</f>
        <v>6</v>
      </c>
      <c r="I505" s="187">
        <f>+I504+1</f>
        <v>6</v>
      </c>
      <c r="J505" s="303"/>
      <c r="K505" s="18"/>
      <c r="L505" s="79" t="s">
        <v>2042</v>
      </c>
      <c r="M505" s="18"/>
      <c r="N505" s="18"/>
      <c r="O505" s="17"/>
      <c r="P505" s="18"/>
      <c r="Q505" s="139" t="s">
        <v>127</v>
      </c>
      <c r="R505" s="17"/>
      <c r="S505" s="139"/>
      <c r="T505" s="17"/>
      <c r="U505" s="17"/>
      <c r="V505" s="17" t="str">
        <f>+CONCATENATE(E505,".",F505,"\",G505,".",H505,":",I505)</f>
        <v>2.6\0.6:6</v>
      </c>
      <c r="W505" s="17"/>
      <c r="X505" s="17"/>
      <c r="Y505" s="17"/>
      <c r="Z505" s="20" t="s">
        <v>1159</v>
      </c>
      <c r="AA505" s="17"/>
      <c r="AB505" s="17"/>
      <c r="AC505" s="17"/>
      <c r="AD505" s="17"/>
      <c r="AE505" s="17"/>
      <c r="AF505" s="17"/>
      <c r="AG505" s="64" t="s">
        <v>863</v>
      </c>
      <c r="AH505" s="64">
        <v>43</v>
      </c>
      <c r="AI505" s="64">
        <v>44</v>
      </c>
      <c r="AJ505" s="64">
        <v>45</v>
      </c>
      <c r="AK505" s="64"/>
      <c r="AL505" s="79"/>
      <c r="AM505" s="17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</row>
    <row r="506" spans="1:51" s="33" customFormat="1" ht="13.5" thickBot="1" x14ac:dyDescent="0.35">
      <c r="A506" s="63" t="str">
        <f>A505</f>
        <v>BCV131</v>
      </c>
      <c r="B506" s="17" t="s">
        <v>2175</v>
      </c>
      <c r="C506" s="18" t="str">
        <f>+C505</f>
        <v>DIO1</v>
      </c>
      <c r="D506" s="18">
        <v>132</v>
      </c>
      <c r="E506" s="84">
        <f>+E505</f>
        <v>2</v>
      </c>
      <c r="F506" s="84">
        <f>+F505</f>
        <v>6</v>
      </c>
      <c r="G506" s="84">
        <v>0</v>
      </c>
      <c r="H506" s="186">
        <f>+H505</f>
        <v>6</v>
      </c>
      <c r="I506" s="191">
        <f>+I505+1</f>
        <v>7</v>
      </c>
      <c r="J506" s="302"/>
      <c r="K506" s="18"/>
      <c r="L506" s="79" t="s">
        <v>2042</v>
      </c>
      <c r="M506" s="18"/>
      <c r="N506" s="18"/>
      <c r="O506" s="17"/>
      <c r="P506" s="18"/>
      <c r="Q506" s="139" t="s">
        <v>127</v>
      </c>
      <c r="R506" s="17"/>
      <c r="S506" s="139"/>
      <c r="T506" s="17"/>
      <c r="U506" s="17"/>
      <c r="V506" s="17" t="str">
        <f>+CONCATENATE(E506,".",F506,"\",G506,".",H506,":",I506)</f>
        <v>2.6\0.6:7</v>
      </c>
      <c r="W506" s="17"/>
      <c r="X506" s="17"/>
      <c r="Y506" s="17"/>
      <c r="Z506" s="20" t="s">
        <v>1159</v>
      </c>
      <c r="AA506" s="17"/>
      <c r="AB506" s="17"/>
      <c r="AC506" s="17"/>
      <c r="AD506" s="17"/>
      <c r="AE506" s="17"/>
      <c r="AF506" s="17"/>
      <c r="AG506" s="64" t="s">
        <v>863</v>
      </c>
      <c r="AH506" s="64">
        <v>46</v>
      </c>
      <c r="AI506" s="64">
        <v>47</v>
      </c>
      <c r="AJ506" s="64">
        <v>48</v>
      </c>
      <c r="AK506" s="64"/>
      <c r="AL506" s="79"/>
      <c r="AM506" s="17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</row>
    <row r="507" spans="1:51" s="33" customFormat="1" ht="14.5" x14ac:dyDescent="0.35">
      <c r="A507" s="268" t="s">
        <v>194</v>
      </c>
      <c r="B507" s="17" t="s">
        <v>2175</v>
      </c>
      <c r="C507" s="18" t="str">
        <f>+C506</f>
        <v>DIO1</v>
      </c>
      <c r="D507" s="18">
        <v>132</v>
      </c>
      <c r="E507" s="84">
        <f>+E506</f>
        <v>2</v>
      </c>
      <c r="F507" s="84">
        <f>+F506</f>
        <v>6</v>
      </c>
      <c r="G507" s="84">
        <v>0</v>
      </c>
      <c r="H507" s="304">
        <v>7</v>
      </c>
      <c r="I507" s="188">
        <v>0</v>
      </c>
      <c r="J507" s="303" t="s">
        <v>2052</v>
      </c>
      <c r="K507" s="18" t="s">
        <v>2056</v>
      </c>
      <c r="L507" s="79" t="s">
        <v>2042</v>
      </c>
      <c r="M507" s="18">
        <v>4</v>
      </c>
      <c r="N507" s="59" t="s">
        <v>2204</v>
      </c>
      <c r="O507" s="17" t="s">
        <v>2051</v>
      </c>
      <c r="P507" s="18" t="s">
        <v>2183</v>
      </c>
      <c r="Q507" s="139" t="s">
        <v>2203</v>
      </c>
      <c r="R507" s="17"/>
      <c r="S507" s="139" t="s">
        <v>322</v>
      </c>
      <c r="T507" s="17" t="s">
        <v>602</v>
      </c>
      <c r="U507" s="17" t="s">
        <v>1177</v>
      </c>
      <c r="V507" s="17" t="str">
        <f>+CONCATENATE(E507,".",F507,"\",G507,".",H507,":",I507)</f>
        <v>2.6\0.7:0</v>
      </c>
      <c r="W507" s="17" t="s">
        <v>2181</v>
      </c>
      <c r="X507" s="221">
        <v>0</v>
      </c>
      <c r="Y507" s="17"/>
      <c r="Z507" s="20" t="s">
        <v>1159</v>
      </c>
      <c r="AA507" s="17"/>
      <c r="AB507" s="17">
        <v>0</v>
      </c>
      <c r="AC507" s="17">
        <v>200</v>
      </c>
      <c r="AD507" s="17">
        <v>0</v>
      </c>
      <c r="AE507" s="17">
        <v>200</v>
      </c>
      <c r="AF507" s="17" t="s">
        <v>2043</v>
      </c>
      <c r="AG507" s="64" t="s">
        <v>934</v>
      </c>
      <c r="AH507" s="64">
        <v>1</v>
      </c>
      <c r="AI507" s="64">
        <v>2</v>
      </c>
      <c r="AJ507" s="64">
        <v>3</v>
      </c>
      <c r="AK507" s="64"/>
      <c r="AL507" s="79"/>
      <c r="AM507" s="17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</row>
    <row r="508" spans="1:51" s="33" customFormat="1" ht="14.5" x14ac:dyDescent="0.35">
      <c r="A508" s="63" t="str">
        <f>A507</f>
        <v>BCV131</v>
      </c>
      <c r="B508" s="17" t="s">
        <v>2175</v>
      </c>
      <c r="C508" s="18" t="str">
        <f>+C507</f>
        <v>DIO1</v>
      </c>
      <c r="D508" s="18">
        <v>132</v>
      </c>
      <c r="E508" s="84">
        <f>+E507</f>
        <v>2</v>
      </c>
      <c r="F508" s="84">
        <f>+F507</f>
        <v>6</v>
      </c>
      <c r="G508" s="84">
        <v>0</v>
      </c>
      <c r="H508" s="186">
        <f>+H507</f>
        <v>7</v>
      </c>
      <c r="I508" s="187">
        <f>+I507+1</f>
        <v>1</v>
      </c>
      <c r="J508" s="303" t="s">
        <v>2052</v>
      </c>
      <c r="K508" s="18"/>
      <c r="L508" s="79" t="s">
        <v>2042</v>
      </c>
      <c r="M508" s="18">
        <v>4</v>
      </c>
      <c r="N508" s="59" t="s">
        <v>2202</v>
      </c>
      <c r="O508" s="17" t="s">
        <v>2048</v>
      </c>
      <c r="P508" s="18" t="s">
        <v>2183</v>
      </c>
      <c r="Q508" s="139" t="s">
        <v>2201</v>
      </c>
      <c r="R508" s="17"/>
      <c r="S508" s="139" t="s">
        <v>322</v>
      </c>
      <c r="T508" s="17" t="s">
        <v>602</v>
      </c>
      <c r="U508" s="17" t="s">
        <v>1177</v>
      </c>
      <c r="V508" s="17" t="str">
        <f>+CONCATENATE(E508,".",F508,"\",G508,".",H508,":",I508)</f>
        <v>2.6\0.7:1</v>
      </c>
      <c r="W508" s="17" t="s">
        <v>2181</v>
      </c>
      <c r="X508" s="221">
        <v>0</v>
      </c>
      <c r="Y508" s="17"/>
      <c r="Z508" s="20" t="s">
        <v>1159</v>
      </c>
      <c r="AA508" s="17"/>
      <c r="AB508" s="17">
        <v>0</v>
      </c>
      <c r="AC508" s="17">
        <v>200</v>
      </c>
      <c r="AD508" s="17">
        <v>0</v>
      </c>
      <c r="AE508" s="17">
        <v>200</v>
      </c>
      <c r="AF508" s="17" t="s">
        <v>2043</v>
      </c>
      <c r="AG508" s="64" t="s">
        <v>934</v>
      </c>
      <c r="AH508" s="64">
        <v>4</v>
      </c>
      <c r="AI508" s="64">
        <v>5</v>
      </c>
      <c r="AJ508" s="64">
        <v>6</v>
      </c>
      <c r="AK508" s="64"/>
      <c r="AL508" s="79"/>
      <c r="AM508" s="17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</row>
    <row r="509" spans="1:51" s="33" customFormat="1" ht="14.5" x14ac:dyDescent="0.35">
      <c r="A509" s="63" t="str">
        <f>A508</f>
        <v>BCV131</v>
      </c>
      <c r="B509" s="17" t="s">
        <v>2175</v>
      </c>
      <c r="C509" s="18" t="str">
        <f>+C508</f>
        <v>DIO1</v>
      </c>
      <c r="D509" s="18">
        <v>132</v>
      </c>
      <c r="E509" s="84">
        <f>+E508</f>
        <v>2</v>
      </c>
      <c r="F509" s="84">
        <f>+F508</f>
        <v>6</v>
      </c>
      <c r="G509" s="84">
        <v>0</v>
      </c>
      <c r="H509" s="186">
        <f>+H508</f>
        <v>7</v>
      </c>
      <c r="I509" s="187">
        <f>+I508+1</f>
        <v>2</v>
      </c>
      <c r="J509" s="303"/>
      <c r="K509" s="18"/>
      <c r="L509" s="79" t="s">
        <v>2042</v>
      </c>
      <c r="M509" s="18">
        <v>4</v>
      </c>
      <c r="N509" s="59" t="s">
        <v>2200</v>
      </c>
      <c r="O509" s="17" t="s">
        <v>2073</v>
      </c>
      <c r="P509" s="18" t="s">
        <v>2183</v>
      </c>
      <c r="Q509" s="139" t="s">
        <v>2199</v>
      </c>
      <c r="R509" s="17"/>
      <c r="S509" s="139" t="s">
        <v>322</v>
      </c>
      <c r="T509" s="17" t="s">
        <v>602</v>
      </c>
      <c r="U509" s="17" t="s">
        <v>1177</v>
      </c>
      <c r="V509" s="17" t="str">
        <f>+CONCATENATE(E509,".",F509,"\",G509,".",H509,":",I509)</f>
        <v>2.6\0.7:2</v>
      </c>
      <c r="W509" s="17" t="s">
        <v>2181</v>
      </c>
      <c r="X509" s="221">
        <v>0</v>
      </c>
      <c r="Y509" s="17"/>
      <c r="Z509" s="20" t="s">
        <v>1159</v>
      </c>
      <c r="AA509" s="17"/>
      <c r="AB509" s="17">
        <v>0</v>
      </c>
      <c r="AC509" s="17">
        <v>200</v>
      </c>
      <c r="AD509" s="17">
        <v>0</v>
      </c>
      <c r="AE509" s="17">
        <v>200</v>
      </c>
      <c r="AF509" s="17" t="s">
        <v>2043</v>
      </c>
      <c r="AG509" s="64" t="s">
        <v>934</v>
      </c>
      <c r="AH509" s="64">
        <v>7</v>
      </c>
      <c r="AI509" s="64">
        <v>8</v>
      </c>
      <c r="AJ509" s="64">
        <v>9</v>
      </c>
      <c r="AK509" s="64"/>
      <c r="AL509" s="79"/>
      <c r="AM509" s="17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</row>
    <row r="510" spans="1:51" s="33" customFormat="1" ht="14.5" x14ac:dyDescent="0.35">
      <c r="A510" s="63" t="str">
        <f>A509</f>
        <v>BCV131</v>
      </c>
      <c r="B510" s="17" t="s">
        <v>2175</v>
      </c>
      <c r="C510" s="18" t="str">
        <f>+C509</f>
        <v>DIO1</v>
      </c>
      <c r="D510" s="18">
        <v>132</v>
      </c>
      <c r="E510" s="84">
        <f>+E509</f>
        <v>2</v>
      </c>
      <c r="F510" s="84">
        <f>+F509</f>
        <v>6</v>
      </c>
      <c r="G510" s="84">
        <v>0</v>
      </c>
      <c r="H510" s="186">
        <f>+H509</f>
        <v>7</v>
      </c>
      <c r="I510" s="187">
        <f>+I509+1</f>
        <v>3</v>
      </c>
      <c r="J510" s="303"/>
      <c r="K510" s="17"/>
      <c r="L510" s="79" t="s">
        <v>2042</v>
      </c>
      <c r="M510" s="18">
        <v>4</v>
      </c>
      <c r="N510" s="59" t="s">
        <v>2198</v>
      </c>
      <c r="O510" s="17" t="s">
        <v>2070</v>
      </c>
      <c r="P510" s="18" t="s">
        <v>2183</v>
      </c>
      <c r="Q510" s="139" t="s">
        <v>2197</v>
      </c>
      <c r="R510" s="17"/>
      <c r="S510" s="139" t="s">
        <v>322</v>
      </c>
      <c r="T510" s="17" t="s">
        <v>602</v>
      </c>
      <c r="U510" s="17" t="s">
        <v>1177</v>
      </c>
      <c r="V510" s="17" t="str">
        <f>+CONCATENATE(E510,".",F510,"\",G510,".",H510,":",I510)</f>
        <v>2.6\0.7:3</v>
      </c>
      <c r="W510" s="17" t="s">
        <v>2181</v>
      </c>
      <c r="X510" s="221">
        <v>0</v>
      </c>
      <c r="Y510" s="17"/>
      <c r="Z510" s="20" t="s">
        <v>1159</v>
      </c>
      <c r="AA510" s="17"/>
      <c r="AB510" s="17">
        <v>0</v>
      </c>
      <c r="AC510" s="17">
        <v>200</v>
      </c>
      <c r="AD510" s="17">
        <v>0</v>
      </c>
      <c r="AE510" s="17">
        <v>200</v>
      </c>
      <c r="AF510" s="17" t="s">
        <v>2043</v>
      </c>
      <c r="AG510" s="64" t="s">
        <v>934</v>
      </c>
      <c r="AH510" s="64">
        <v>10</v>
      </c>
      <c r="AI510" s="64">
        <v>11</v>
      </c>
      <c r="AJ510" s="64">
        <v>12</v>
      </c>
      <c r="AK510" s="64"/>
      <c r="AL510" s="79"/>
      <c r="AM510" s="17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</row>
    <row r="511" spans="1:51" s="33" customFormat="1" ht="14.5" x14ac:dyDescent="0.35">
      <c r="A511" s="63" t="str">
        <f>A510</f>
        <v>BCV131</v>
      </c>
      <c r="B511" s="17" t="s">
        <v>2175</v>
      </c>
      <c r="C511" s="18" t="str">
        <f>+C510</f>
        <v>DIO1</v>
      </c>
      <c r="D511" s="18">
        <v>132</v>
      </c>
      <c r="E511" s="84">
        <f>+E510</f>
        <v>2</v>
      </c>
      <c r="F511" s="84">
        <f>+F510</f>
        <v>6</v>
      </c>
      <c r="G511" s="84">
        <v>0</v>
      </c>
      <c r="H511" s="186">
        <f>+H510</f>
        <v>7</v>
      </c>
      <c r="I511" s="187">
        <f>+I510+1</f>
        <v>4</v>
      </c>
      <c r="J511" s="303"/>
      <c r="K511" s="17"/>
      <c r="L511" s="79" t="s">
        <v>2042</v>
      </c>
      <c r="M511" s="18">
        <v>4</v>
      </c>
      <c r="N511" s="59" t="s">
        <v>2196</v>
      </c>
      <c r="O511" s="17" t="s">
        <v>2067</v>
      </c>
      <c r="P511" s="18" t="s">
        <v>2183</v>
      </c>
      <c r="Q511" s="139" t="s">
        <v>2195</v>
      </c>
      <c r="R511" s="68"/>
      <c r="S511" s="139" t="s">
        <v>322</v>
      </c>
      <c r="T511" s="17" t="s">
        <v>602</v>
      </c>
      <c r="U511" s="17" t="s">
        <v>1177</v>
      </c>
      <c r="V511" s="17" t="str">
        <f>+CONCATENATE(E511,".",F511,"\",G511,".",H511,":",I511)</f>
        <v>2.6\0.7:4</v>
      </c>
      <c r="W511" s="17" t="s">
        <v>2181</v>
      </c>
      <c r="X511" s="221">
        <v>0</v>
      </c>
      <c r="Y511" s="17"/>
      <c r="Z511" s="20" t="s">
        <v>1159</v>
      </c>
      <c r="AA511" s="17"/>
      <c r="AB511" s="17">
        <v>0</v>
      </c>
      <c r="AC511" s="17">
        <v>200</v>
      </c>
      <c r="AD511" s="17">
        <v>0</v>
      </c>
      <c r="AE511" s="17">
        <v>200</v>
      </c>
      <c r="AF511" s="17" t="s">
        <v>2043</v>
      </c>
      <c r="AG511" s="64" t="s">
        <v>934</v>
      </c>
      <c r="AH511" s="64">
        <v>13</v>
      </c>
      <c r="AI511" s="64">
        <v>14</v>
      </c>
      <c r="AJ511" s="64">
        <v>15</v>
      </c>
      <c r="AK511" s="64"/>
      <c r="AL511" s="79"/>
      <c r="AM511" s="17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</row>
    <row r="512" spans="1:51" s="33" customFormat="1" ht="14.5" x14ac:dyDescent="0.35">
      <c r="A512" s="63" t="str">
        <f>A511</f>
        <v>BCV131</v>
      </c>
      <c r="B512" s="17" t="s">
        <v>2175</v>
      </c>
      <c r="C512" s="18" t="str">
        <f>+C511</f>
        <v>DIO1</v>
      </c>
      <c r="D512" s="18">
        <v>132</v>
      </c>
      <c r="E512" s="84">
        <f>+E511</f>
        <v>2</v>
      </c>
      <c r="F512" s="84">
        <f>+F511</f>
        <v>6</v>
      </c>
      <c r="G512" s="84">
        <v>0</v>
      </c>
      <c r="H512" s="186">
        <f>+H511</f>
        <v>7</v>
      </c>
      <c r="I512" s="187">
        <f>+I511+1</f>
        <v>5</v>
      </c>
      <c r="J512" s="303"/>
      <c r="K512" s="18"/>
      <c r="L512" s="79" t="s">
        <v>2042</v>
      </c>
      <c r="M512" s="18">
        <v>4</v>
      </c>
      <c r="N512" s="59" t="s">
        <v>2194</v>
      </c>
      <c r="O512" s="17" t="s">
        <v>2064</v>
      </c>
      <c r="P512" s="18" t="s">
        <v>2183</v>
      </c>
      <c r="Q512" s="139" t="s">
        <v>2193</v>
      </c>
      <c r="R512" s="68"/>
      <c r="S512" s="139" t="s">
        <v>322</v>
      </c>
      <c r="T512" s="17" t="s">
        <v>602</v>
      </c>
      <c r="U512" s="17" t="s">
        <v>1177</v>
      </c>
      <c r="V512" s="17" t="str">
        <f>+CONCATENATE(E512,".",F512,"\",G512,".",H512,":",I512)</f>
        <v>2.6\0.7:5</v>
      </c>
      <c r="W512" s="17" t="s">
        <v>2181</v>
      </c>
      <c r="X512" s="221">
        <v>0</v>
      </c>
      <c r="Y512" s="17"/>
      <c r="Z512" s="20" t="s">
        <v>1159</v>
      </c>
      <c r="AA512" s="17"/>
      <c r="AB512" s="17">
        <v>0</v>
      </c>
      <c r="AC512" s="17">
        <v>200</v>
      </c>
      <c r="AD512" s="17">
        <v>0</v>
      </c>
      <c r="AE512" s="17">
        <v>200</v>
      </c>
      <c r="AF512" s="17" t="s">
        <v>2043</v>
      </c>
      <c r="AG512" s="64" t="s">
        <v>934</v>
      </c>
      <c r="AH512" s="64">
        <v>16</v>
      </c>
      <c r="AI512" s="64">
        <v>17</v>
      </c>
      <c r="AJ512" s="64">
        <v>18</v>
      </c>
      <c r="AK512" s="64"/>
      <c r="AL512" s="79"/>
      <c r="AM512" s="17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</row>
    <row r="513" spans="1:51" s="33" customFormat="1" ht="14.5" x14ac:dyDescent="0.35">
      <c r="A513" s="63" t="str">
        <f>A512</f>
        <v>BCV131</v>
      </c>
      <c r="B513" s="17" t="s">
        <v>2175</v>
      </c>
      <c r="C513" s="18" t="str">
        <f>+C512</f>
        <v>DIO1</v>
      </c>
      <c r="D513" s="18">
        <v>132</v>
      </c>
      <c r="E513" s="84">
        <f>+E512</f>
        <v>2</v>
      </c>
      <c r="F513" s="84">
        <f>+F512</f>
        <v>6</v>
      </c>
      <c r="G513" s="84">
        <v>0</v>
      </c>
      <c r="H513" s="186">
        <f>+H512</f>
        <v>7</v>
      </c>
      <c r="I513" s="187">
        <f>+I512+1</f>
        <v>6</v>
      </c>
      <c r="J513" s="303"/>
      <c r="K513" s="18"/>
      <c r="L513" s="79" t="s">
        <v>2042</v>
      </c>
      <c r="M513" s="18">
        <v>4</v>
      </c>
      <c r="N513" s="59" t="s">
        <v>2192</v>
      </c>
      <c r="O513" s="17" t="s">
        <v>2061</v>
      </c>
      <c r="P513" s="18" t="s">
        <v>2183</v>
      </c>
      <c r="Q513" s="139" t="s">
        <v>2191</v>
      </c>
      <c r="R513" s="17"/>
      <c r="S513" s="139" t="s">
        <v>322</v>
      </c>
      <c r="T513" s="17" t="s">
        <v>602</v>
      </c>
      <c r="U513" s="17" t="s">
        <v>1177</v>
      </c>
      <c r="V513" s="17" t="str">
        <f>+CONCATENATE(E513,".",F513,"\",G513,".",H513,":",I513)</f>
        <v>2.6\0.7:6</v>
      </c>
      <c r="W513" s="17" t="s">
        <v>2181</v>
      </c>
      <c r="X513" s="221">
        <v>0</v>
      </c>
      <c r="Y513" s="17"/>
      <c r="Z513" s="20" t="s">
        <v>1159</v>
      </c>
      <c r="AA513" s="17"/>
      <c r="AB513" s="17">
        <v>0</v>
      </c>
      <c r="AC513" s="17">
        <v>200</v>
      </c>
      <c r="AD513" s="17">
        <v>0</v>
      </c>
      <c r="AE513" s="17">
        <v>200</v>
      </c>
      <c r="AF513" s="17" t="s">
        <v>2043</v>
      </c>
      <c r="AG513" s="64" t="s">
        <v>934</v>
      </c>
      <c r="AH513" s="64">
        <v>19</v>
      </c>
      <c r="AI513" s="64">
        <v>20</v>
      </c>
      <c r="AJ513" s="64">
        <v>21</v>
      </c>
      <c r="AK513" s="64"/>
      <c r="AL513" s="79"/>
      <c r="AM513" s="17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</row>
    <row r="514" spans="1:51" s="33" customFormat="1" ht="15" thickBot="1" x14ac:dyDescent="0.4">
      <c r="A514" s="63" t="str">
        <f>A513</f>
        <v>BCV131</v>
      </c>
      <c r="B514" s="17" t="s">
        <v>2175</v>
      </c>
      <c r="C514" s="18" t="str">
        <f>+C513</f>
        <v>DIO1</v>
      </c>
      <c r="D514" s="18">
        <v>132</v>
      </c>
      <c r="E514" s="84">
        <f>+E513</f>
        <v>2</v>
      </c>
      <c r="F514" s="84">
        <f>+F513</f>
        <v>6</v>
      </c>
      <c r="G514" s="84">
        <v>0</v>
      </c>
      <c r="H514" s="186">
        <f>+H513</f>
        <v>7</v>
      </c>
      <c r="I514" s="191">
        <f>+I513+1</f>
        <v>7</v>
      </c>
      <c r="J514" s="302"/>
      <c r="K514" s="18"/>
      <c r="L514" s="79" t="s">
        <v>2042</v>
      </c>
      <c r="M514" s="18">
        <v>4</v>
      </c>
      <c r="N514" s="59" t="s">
        <v>2190</v>
      </c>
      <c r="O514" s="17" t="s">
        <v>2058</v>
      </c>
      <c r="P514" s="18" t="s">
        <v>2183</v>
      </c>
      <c r="Q514" s="139" t="s">
        <v>2189</v>
      </c>
      <c r="R514" s="17"/>
      <c r="S514" s="139" t="s">
        <v>322</v>
      </c>
      <c r="T514" s="17" t="s">
        <v>602</v>
      </c>
      <c r="U514" s="17" t="s">
        <v>1177</v>
      </c>
      <c r="V514" s="17" t="str">
        <f>+CONCATENATE(E514,".",F514,"\",G514,".",H514,":",I514)</f>
        <v>2.6\0.7:7</v>
      </c>
      <c r="W514" s="17" t="s">
        <v>2181</v>
      </c>
      <c r="X514" s="221">
        <v>0</v>
      </c>
      <c r="Y514" s="17"/>
      <c r="Z514" s="20" t="s">
        <v>1159</v>
      </c>
      <c r="AA514" s="17"/>
      <c r="AB514" s="17">
        <v>0</v>
      </c>
      <c r="AC514" s="17">
        <v>200</v>
      </c>
      <c r="AD514" s="17">
        <v>0</v>
      </c>
      <c r="AE514" s="17">
        <v>200</v>
      </c>
      <c r="AF514" s="17" t="s">
        <v>2043</v>
      </c>
      <c r="AG514" s="64" t="s">
        <v>934</v>
      </c>
      <c r="AH514" s="64">
        <v>22</v>
      </c>
      <c r="AI514" s="64">
        <v>23</v>
      </c>
      <c r="AJ514" s="64">
        <v>24</v>
      </c>
      <c r="AK514" s="64"/>
      <c r="AL514" s="79"/>
      <c r="AM514" s="17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</row>
    <row r="515" spans="1:51" s="33" customFormat="1" ht="14.5" x14ac:dyDescent="0.35">
      <c r="A515" s="268" t="s">
        <v>194</v>
      </c>
      <c r="B515" s="17" t="s">
        <v>2175</v>
      </c>
      <c r="C515" s="18" t="str">
        <f>+C514</f>
        <v>DIO1</v>
      </c>
      <c r="D515" s="18">
        <v>132</v>
      </c>
      <c r="E515" s="84">
        <f>+E514</f>
        <v>2</v>
      </c>
      <c r="F515" s="84">
        <f>+F514</f>
        <v>6</v>
      </c>
      <c r="G515" s="84">
        <v>0</v>
      </c>
      <c r="H515" s="304">
        <v>8</v>
      </c>
      <c r="I515" s="188">
        <v>0</v>
      </c>
      <c r="J515" s="303" t="s">
        <v>2052</v>
      </c>
      <c r="K515" s="18" t="s">
        <v>2056</v>
      </c>
      <c r="L515" s="79" t="s">
        <v>2042</v>
      </c>
      <c r="M515" s="18">
        <v>4</v>
      </c>
      <c r="N515" s="59" t="s">
        <v>2188</v>
      </c>
      <c r="O515" s="17" t="s">
        <v>2054</v>
      </c>
      <c r="P515" s="18" t="s">
        <v>2183</v>
      </c>
      <c r="Q515" s="139" t="s">
        <v>2187</v>
      </c>
      <c r="R515" s="17"/>
      <c r="S515" s="139" t="s">
        <v>322</v>
      </c>
      <c r="T515" s="17" t="s">
        <v>602</v>
      </c>
      <c r="U515" s="17" t="s">
        <v>1177</v>
      </c>
      <c r="V515" s="17" t="str">
        <f>+CONCATENATE(E515,".",F515,"\",G515,".",H515,":",I515)</f>
        <v>2.6\0.8:0</v>
      </c>
      <c r="W515" s="17" t="s">
        <v>2181</v>
      </c>
      <c r="X515" s="221">
        <v>0</v>
      </c>
      <c r="Y515" s="17"/>
      <c r="Z515" s="20" t="s">
        <v>1159</v>
      </c>
      <c r="AA515" s="17"/>
      <c r="AB515" s="17">
        <v>0</v>
      </c>
      <c r="AC515" s="17">
        <v>200</v>
      </c>
      <c r="AD515" s="17">
        <v>0</v>
      </c>
      <c r="AE515" s="17">
        <v>200</v>
      </c>
      <c r="AF515" s="17" t="s">
        <v>2043</v>
      </c>
      <c r="AG515" s="64" t="s">
        <v>934</v>
      </c>
      <c r="AH515" s="64">
        <v>25</v>
      </c>
      <c r="AI515" s="64">
        <v>26</v>
      </c>
      <c r="AJ515" s="64">
        <v>27</v>
      </c>
      <c r="AK515" s="64"/>
      <c r="AL515" s="79"/>
      <c r="AM515" s="17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</row>
    <row r="516" spans="1:51" s="33" customFormat="1" x14ac:dyDescent="0.3">
      <c r="A516" s="63" t="str">
        <f>A515</f>
        <v>BCV131</v>
      </c>
      <c r="B516" s="17" t="s">
        <v>2175</v>
      </c>
      <c r="C516" s="18" t="str">
        <f>+C515</f>
        <v>DIO1</v>
      </c>
      <c r="D516" s="18">
        <v>132</v>
      </c>
      <c r="E516" s="84">
        <f>+E515</f>
        <v>2</v>
      </c>
      <c r="F516" s="84">
        <f>+F515</f>
        <v>6</v>
      </c>
      <c r="G516" s="84">
        <v>0</v>
      </c>
      <c r="H516" s="186">
        <f>+H515</f>
        <v>8</v>
      </c>
      <c r="I516" s="187">
        <f>+I515+1</f>
        <v>1</v>
      </c>
      <c r="J516" s="303" t="s">
        <v>2052</v>
      </c>
      <c r="K516" s="18"/>
      <c r="L516" s="79" t="s">
        <v>2042</v>
      </c>
      <c r="M516" s="18">
        <v>4</v>
      </c>
      <c r="N516" s="18" t="s">
        <v>2186</v>
      </c>
      <c r="O516" s="17" t="s">
        <v>2051</v>
      </c>
      <c r="P516" s="18" t="s">
        <v>2183</v>
      </c>
      <c r="Q516" s="139" t="s">
        <v>2185</v>
      </c>
      <c r="R516" s="17"/>
      <c r="S516" s="139" t="s">
        <v>322</v>
      </c>
      <c r="T516" s="17" t="s">
        <v>752</v>
      </c>
      <c r="U516" s="17" t="s">
        <v>1177</v>
      </c>
      <c r="V516" s="17" t="str">
        <f>+CONCATENATE(E516,".",F516,"\",G516,".",H516,":",I516)</f>
        <v>2.6\0.8:1</v>
      </c>
      <c r="W516" s="17" t="s">
        <v>2181</v>
      </c>
      <c r="X516" s="221">
        <v>0</v>
      </c>
      <c r="Y516" s="17"/>
      <c r="Z516" s="20" t="s">
        <v>1159</v>
      </c>
      <c r="AA516" s="17"/>
      <c r="AB516" s="17">
        <v>0</v>
      </c>
      <c r="AC516" s="17">
        <v>200</v>
      </c>
      <c r="AD516" s="17">
        <v>0</v>
      </c>
      <c r="AE516" s="17">
        <v>200</v>
      </c>
      <c r="AF516" s="17" t="s">
        <v>2043</v>
      </c>
      <c r="AG516" s="64" t="s">
        <v>934</v>
      </c>
      <c r="AH516" s="64">
        <v>28</v>
      </c>
      <c r="AI516" s="64">
        <v>29</v>
      </c>
      <c r="AJ516" s="64">
        <v>30</v>
      </c>
      <c r="AK516" s="64"/>
      <c r="AL516" s="79"/>
      <c r="AM516" s="17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</row>
    <row r="517" spans="1:51" s="33" customFormat="1" x14ac:dyDescent="0.3">
      <c r="A517" s="63" t="str">
        <f>A516</f>
        <v>BCV131</v>
      </c>
      <c r="B517" s="17" t="s">
        <v>2175</v>
      </c>
      <c r="C517" s="18" t="str">
        <f>+C516</f>
        <v>DIO1</v>
      </c>
      <c r="D517" s="18">
        <v>132</v>
      </c>
      <c r="E517" s="84">
        <f>+E516</f>
        <v>2</v>
      </c>
      <c r="F517" s="84">
        <f>+F516</f>
        <v>6</v>
      </c>
      <c r="G517" s="84">
        <v>0</v>
      </c>
      <c r="H517" s="186">
        <f>+H516</f>
        <v>8</v>
      </c>
      <c r="I517" s="187">
        <f>+I516+1</f>
        <v>2</v>
      </c>
      <c r="J517" s="303"/>
      <c r="K517" s="18"/>
      <c r="L517" s="79" t="s">
        <v>2042</v>
      </c>
      <c r="M517" s="18">
        <v>4</v>
      </c>
      <c r="N517" s="18" t="s">
        <v>2184</v>
      </c>
      <c r="O517" s="17" t="s">
        <v>2048</v>
      </c>
      <c r="P517" s="18" t="s">
        <v>2183</v>
      </c>
      <c r="Q517" s="139" t="s">
        <v>2182</v>
      </c>
      <c r="R517" s="17"/>
      <c r="S517" s="139" t="s">
        <v>322</v>
      </c>
      <c r="T517" s="17" t="s">
        <v>752</v>
      </c>
      <c r="U517" s="17" t="s">
        <v>1177</v>
      </c>
      <c r="V517" s="17" t="str">
        <f>+CONCATENATE(E517,".",F517,"\",G517,".",H517,":",I517)</f>
        <v>2.6\0.8:2</v>
      </c>
      <c r="W517" s="17" t="s">
        <v>2181</v>
      </c>
      <c r="X517" s="221">
        <v>0</v>
      </c>
      <c r="Y517" s="17"/>
      <c r="Z517" s="20" t="s">
        <v>1159</v>
      </c>
      <c r="AA517" s="17"/>
      <c r="AB517" s="17">
        <v>0</v>
      </c>
      <c r="AC517" s="17">
        <v>200</v>
      </c>
      <c r="AD517" s="17">
        <v>0</v>
      </c>
      <c r="AE517" s="17">
        <v>200</v>
      </c>
      <c r="AF517" s="17" t="s">
        <v>2043</v>
      </c>
      <c r="AG517" s="64" t="s">
        <v>934</v>
      </c>
      <c r="AH517" s="64">
        <v>31</v>
      </c>
      <c r="AI517" s="64">
        <v>32</v>
      </c>
      <c r="AJ517" s="64">
        <v>33</v>
      </c>
      <c r="AK517" s="64"/>
      <c r="AL517" s="79"/>
      <c r="AM517" s="17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</row>
    <row r="518" spans="1:51" s="33" customFormat="1" x14ac:dyDescent="0.3">
      <c r="A518" s="63" t="str">
        <f>A517</f>
        <v>BCV131</v>
      </c>
      <c r="B518" s="17" t="s">
        <v>2175</v>
      </c>
      <c r="C518" s="18" t="str">
        <f>+C517</f>
        <v>DIO1</v>
      </c>
      <c r="D518" s="18">
        <v>132</v>
      </c>
      <c r="E518" s="84">
        <f>+E517</f>
        <v>2</v>
      </c>
      <c r="F518" s="84">
        <f>+F517</f>
        <v>6</v>
      </c>
      <c r="G518" s="84">
        <v>0</v>
      </c>
      <c r="H518" s="186">
        <f>+H517</f>
        <v>8</v>
      </c>
      <c r="I518" s="187">
        <f>+I517+1</f>
        <v>3</v>
      </c>
      <c r="J518" s="303"/>
      <c r="K518" s="17"/>
      <c r="L518" s="79" t="s">
        <v>2042</v>
      </c>
      <c r="M518" s="18"/>
      <c r="N518" s="18"/>
      <c r="O518" s="17"/>
      <c r="P518" s="18"/>
      <c r="Q518" s="139"/>
      <c r="R518" s="17"/>
      <c r="S518" s="139"/>
      <c r="T518" s="17"/>
      <c r="U518" s="17"/>
      <c r="V518" s="17" t="str">
        <f>+CONCATENATE(E518,".",F518,"\",G518,".",H518,":",I518)</f>
        <v>2.6\0.8:3</v>
      </c>
      <c r="W518" s="17"/>
      <c r="X518" s="17"/>
      <c r="Y518" s="17"/>
      <c r="Z518" s="20" t="s">
        <v>1159</v>
      </c>
      <c r="AA518" s="17"/>
      <c r="AB518" s="17"/>
      <c r="AC518" s="17"/>
      <c r="AD518" s="17"/>
      <c r="AE518" s="17"/>
      <c r="AF518" s="17"/>
      <c r="AG518" s="64" t="s">
        <v>934</v>
      </c>
      <c r="AH518" s="64">
        <v>34</v>
      </c>
      <c r="AI518" s="64">
        <v>35</v>
      </c>
      <c r="AJ518" s="64">
        <v>36</v>
      </c>
      <c r="AK518" s="64"/>
      <c r="AL518" s="79"/>
      <c r="AM518" s="17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</row>
    <row r="519" spans="1:51" s="33" customFormat="1" x14ac:dyDescent="0.3">
      <c r="A519" s="63" t="str">
        <f>A518</f>
        <v>BCV131</v>
      </c>
      <c r="B519" s="17" t="s">
        <v>2175</v>
      </c>
      <c r="C519" s="18" t="str">
        <f>+C518</f>
        <v>DIO1</v>
      </c>
      <c r="D519" s="18">
        <v>132</v>
      </c>
      <c r="E519" s="84">
        <f>+E518</f>
        <v>2</v>
      </c>
      <c r="F519" s="84">
        <f>+F518</f>
        <v>6</v>
      </c>
      <c r="G519" s="84">
        <v>0</v>
      </c>
      <c r="H519" s="186">
        <f>+H518</f>
        <v>8</v>
      </c>
      <c r="I519" s="187">
        <f>+I518+1</f>
        <v>4</v>
      </c>
      <c r="J519" s="303"/>
      <c r="K519" s="17"/>
      <c r="L519" s="79" t="s">
        <v>2042</v>
      </c>
      <c r="M519" s="18"/>
      <c r="N519" s="18"/>
      <c r="O519" s="17"/>
      <c r="P519" s="18"/>
      <c r="Q519" s="139"/>
      <c r="R519" s="68"/>
      <c r="S519" s="139"/>
      <c r="T519" s="17"/>
      <c r="U519" s="17"/>
      <c r="V519" s="17" t="str">
        <f>+CONCATENATE(E519,".",F519,"\",G519,".",H519,":",I519)</f>
        <v>2.6\0.8:4</v>
      </c>
      <c r="W519" s="17"/>
      <c r="X519" s="17"/>
      <c r="Y519" s="17"/>
      <c r="Z519" s="20" t="s">
        <v>1159</v>
      </c>
      <c r="AA519" s="17"/>
      <c r="AB519" s="17"/>
      <c r="AC519" s="17"/>
      <c r="AD519" s="17"/>
      <c r="AE519" s="17"/>
      <c r="AF519" s="17"/>
      <c r="AG519" s="64" t="s">
        <v>934</v>
      </c>
      <c r="AH519" s="64">
        <v>37</v>
      </c>
      <c r="AI519" s="64">
        <v>38</v>
      </c>
      <c r="AJ519" s="64">
        <v>39</v>
      </c>
      <c r="AK519" s="64"/>
      <c r="AL519" s="79"/>
      <c r="AM519" s="17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</row>
    <row r="520" spans="1:51" s="33" customFormat="1" x14ac:dyDescent="0.3">
      <c r="A520" s="63" t="str">
        <f>A519</f>
        <v>BCV131</v>
      </c>
      <c r="B520" s="17" t="s">
        <v>2175</v>
      </c>
      <c r="C520" s="18" t="str">
        <f>+C519</f>
        <v>DIO1</v>
      </c>
      <c r="D520" s="18">
        <v>132</v>
      </c>
      <c r="E520" s="84">
        <f>+E519</f>
        <v>2</v>
      </c>
      <c r="F520" s="84">
        <f>+F519</f>
        <v>6</v>
      </c>
      <c r="G520" s="84">
        <v>0</v>
      </c>
      <c r="H520" s="186">
        <f>+H519</f>
        <v>8</v>
      </c>
      <c r="I520" s="187">
        <f>+I519+1</f>
        <v>5</v>
      </c>
      <c r="J520" s="303"/>
      <c r="K520" s="18"/>
      <c r="L520" s="79" t="s">
        <v>2042</v>
      </c>
      <c r="M520" s="18"/>
      <c r="N520" s="18"/>
      <c r="O520" s="17"/>
      <c r="P520" s="18"/>
      <c r="Q520" s="139"/>
      <c r="R520" s="68"/>
      <c r="S520" s="139"/>
      <c r="T520" s="17"/>
      <c r="U520" s="17"/>
      <c r="V520" s="17" t="str">
        <f>+CONCATENATE(E520,".",F520,"\",G520,".",H520,":",I520)</f>
        <v>2.6\0.8:5</v>
      </c>
      <c r="W520" s="17"/>
      <c r="X520" s="17"/>
      <c r="Y520" s="17"/>
      <c r="Z520" s="20" t="s">
        <v>1159</v>
      </c>
      <c r="AA520" s="17"/>
      <c r="AB520" s="17"/>
      <c r="AC520" s="17"/>
      <c r="AD520" s="17"/>
      <c r="AE520" s="17"/>
      <c r="AF520" s="17"/>
      <c r="AG520" s="64" t="s">
        <v>934</v>
      </c>
      <c r="AH520" s="64">
        <v>40</v>
      </c>
      <c r="AI520" s="64">
        <v>41</v>
      </c>
      <c r="AJ520" s="64">
        <v>42</v>
      </c>
      <c r="AK520" s="64"/>
      <c r="AL520" s="79"/>
      <c r="AM520" s="17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</row>
    <row r="521" spans="1:51" s="33" customFormat="1" x14ac:dyDescent="0.3">
      <c r="A521" s="63" t="str">
        <f>A520</f>
        <v>BCV131</v>
      </c>
      <c r="B521" s="17" t="s">
        <v>2175</v>
      </c>
      <c r="C521" s="18" t="str">
        <f>+C520</f>
        <v>DIO1</v>
      </c>
      <c r="D521" s="18">
        <v>132</v>
      </c>
      <c r="E521" s="84">
        <f>+E520</f>
        <v>2</v>
      </c>
      <c r="F521" s="84">
        <f>+F520</f>
        <v>6</v>
      </c>
      <c r="G521" s="84">
        <v>0</v>
      </c>
      <c r="H521" s="186">
        <f>+H520</f>
        <v>8</v>
      </c>
      <c r="I521" s="187">
        <f>+I520+1</f>
        <v>6</v>
      </c>
      <c r="J521" s="303"/>
      <c r="K521" s="18"/>
      <c r="L521" s="79" t="s">
        <v>2042</v>
      </c>
      <c r="M521" s="18"/>
      <c r="N521" s="18"/>
      <c r="O521" s="17"/>
      <c r="P521" s="18"/>
      <c r="Q521" s="139"/>
      <c r="R521" s="17"/>
      <c r="S521" s="139"/>
      <c r="T521" s="17"/>
      <c r="U521" s="17"/>
      <c r="V521" s="17" t="str">
        <f>+CONCATENATE(E521,".",F521,"\",G521,".",H521,":",I521)</f>
        <v>2.6\0.8:6</v>
      </c>
      <c r="W521" s="17"/>
      <c r="X521" s="17"/>
      <c r="Y521" s="17"/>
      <c r="Z521" s="20" t="s">
        <v>1159</v>
      </c>
      <c r="AA521" s="17"/>
      <c r="AB521" s="17"/>
      <c r="AC521" s="17"/>
      <c r="AD521" s="17"/>
      <c r="AE521" s="17"/>
      <c r="AF521" s="17"/>
      <c r="AG521" s="64" t="s">
        <v>934</v>
      </c>
      <c r="AH521" s="64">
        <v>43</v>
      </c>
      <c r="AI521" s="64">
        <v>44</v>
      </c>
      <c r="AJ521" s="64">
        <v>45</v>
      </c>
      <c r="AK521" s="64"/>
      <c r="AL521" s="79"/>
      <c r="AM521" s="17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</row>
    <row r="522" spans="1:51" s="33" customFormat="1" ht="13.5" thickBot="1" x14ac:dyDescent="0.35">
      <c r="A522" s="63" t="str">
        <f>A521</f>
        <v>BCV131</v>
      </c>
      <c r="B522" s="17" t="s">
        <v>2175</v>
      </c>
      <c r="C522" s="18" t="str">
        <f>+C521</f>
        <v>DIO1</v>
      </c>
      <c r="D522" s="18">
        <v>132</v>
      </c>
      <c r="E522" s="84">
        <f>+E521</f>
        <v>2</v>
      </c>
      <c r="F522" s="84">
        <f>+F521</f>
        <v>6</v>
      </c>
      <c r="G522" s="84">
        <v>0</v>
      </c>
      <c r="H522" s="186">
        <f>+H521</f>
        <v>8</v>
      </c>
      <c r="I522" s="191">
        <f>+I521+1</f>
        <v>7</v>
      </c>
      <c r="J522" s="302"/>
      <c r="K522" s="18"/>
      <c r="L522" s="79" t="s">
        <v>2042</v>
      </c>
      <c r="M522" s="18"/>
      <c r="N522" s="18"/>
      <c r="O522" s="17"/>
      <c r="P522" s="18"/>
      <c r="Q522" s="139"/>
      <c r="R522" s="17"/>
      <c r="S522" s="139"/>
      <c r="T522" s="17"/>
      <c r="U522" s="17"/>
      <c r="V522" s="17" t="str">
        <f>+CONCATENATE(E522,".",F522,"\",G522,".",H522,":",I522)</f>
        <v>2.6\0.8:7</v>
      </c>
      <c r="W522" s="17"/>
      <c r="X522" s="17"/>
      <c r="Y522" s="17"/>
      <c r="Z522" s="20" t="s">
        <v>1159</v>
      </c>
      <c r="AA522" s="17"/>
      <c r="AB522" s="17"/>
      <c r="AC522" s="17"/>
      <c r="AD522" s="17"/>
      <c r="AE522" s="17"/>
      <c r="AF522" s="17"/>
      <c r="AG522" s="64" t="s">
        <v>934</v>
      </c>
      <c r="AH522" s="64">
        <v>46</v>
      </c>
      <c r="AI522" s="64">
        <v>47</v>
      </c>
      <c r="AJ522" s="64">
        <v>48</v>
      </c>
      <c r="AK522" s="64"/>
      <c r="AL522" s="79"/>
      <c r="AM522" s="17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</row>
    <row r="523" spans="1:51" s="33" customFormat="1" ht="14.5" x14ac:dyDescent="0.35">
      <c r="A523" s="63" t="str">
        <f>A522</f>
        <v>BCV131</v>
      </c>
      <c r="B523" s="17" t="s">
        <v>2175</v>
      </c>
      <c r="C523" s="18" t="str">
        <f>+C522</f>
        <v>DIO1</v>
      </c>
      <c r="D523" s="18">
        <v>132</v>
      </c>
      <c r="E523" s="84">
        <f>+E522</f>
        <v>2</v>
      </c>
      <c r="F523" s="84">
        <f>+F522</f>
        <v>6</v>
      </c>
      <c r="G523" s="84">
        <v>0</v>
      </c>
      <c r="H523" s="214">
        <v>9</v>
      </c>
      <c r="I523" s="188">
        <v>0</v>
      </c>
      <c r="J523" s="273" t="s">
        <v>722</v>
      </c>
      <c r="K523" s="18" t="s">
        <v>1169</v>
      </c>
      <c r="L523" s="165" t="s">
        <v>1160</v>
      </c>
      <c r="M523" s="18">
        <v>3</v>
      </c>
      <c r="N523" s="59" t="s">
        <v>2180</v>
      </c>
      <c r="O523" s="17" t="s">
        <v>2179</v>
      </c>
      <c r="P523" s="59" t="s">
        <v>1163</v>
      </c>
      <c r="Q523" s="17" t="s">
        <v>1166</v>
      </c>
      <c r="R523" s="17" t="s">
        <v>211</v>
      </c>
      <c r="S523" s="18"/>
      <c r="T523" s="17" t="s">
        <v>194</v>
      </c>
      <c r="U523" s="17"/>
      <c r="V523" s="17" t="str">
        <f>+CONCATENATE(E523,".",F523,"\",G523,".",H523,":",I523)</f>
        <v>2.6\0.9:0</v>
      </c>
      <c r="W523" s="17" t="s">
        <v>2176</v>
      </c>
      <c r="X523" s="221">
        <v>0</v>
      </c>
      <c r="Y523" s="17"/>
      <c r="Z523" s="20" t="s">
        <v>1159</v>
      </c>
      <c r="AA523" s="17"/>
      <c r="AB523" s="17"/>
      <c r="AC523" s="17"/>
      <c r="AD523" s="17"/>
      <c r="AE523" s="17"/>
      <c r="AF523" s="17"/>
      <c r="AG523" s="307" t="s">
        <v>1045</v>
      </c>
      <c r="AH523" s="307">
        <v>33</v>
      </c>
      <c r="AI523" s="307">
        <v>34</v>
      </c>
      <c r="AJ523" s="307"/>
      <c r="AK523" s="307"/>
      <c r="AL523" s="264"/>
      <c r="AM523" s="84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</row>
    <row r="524" spans="1:51" s="33" customFormat="1" ht="14.5" x14ac:dyDescent="0.35">
      <c r="A524" s="63" t="str">
        <f>A523</f>
        <v>BCV131</v>
      </c>
      <c r="B524" s="17" t="s">
        <v>2175</v>
      </c>
      <c r="C524" s="18" t="str">
        <f>+C523</f>
        <v>DIO1</v>
      </c>
      <c r="D524" s="18">
        <v>132</v>
      </c>
      <c r="E524" s="84">
        <f>+E523</f>
        <v>2</v>
      </c>
      <c r="F524" s="84">
        <f>+F523</f>
        <v>6</v>
      </c>
      <c r="G524" s="84">
        <v>0</v>
      </c>
      <c r="H524" s="186">
        <f>+H523</f>
        <v>9</v>
      </c>
      <c r="I524" s="187">
        <f>+I523+1</f>
        <v>1</v>
      </c>
      <c r="J524" s="270"/>
      <c r="K524" s="18"/>
      <c r="L524" s="165" t="s">
        <v>1160</v>
      </c>
      <c r="M524" s="18">
        <v>3</v>
      </c>
      <c r="N524" s="59" t="s">
        <v>2178</v>
      </c>
      <c r="O524" s="17" t="s">
        <v>2177</v>
      </c>
      <c r="P524" s="59" t="s">
        <v>1163</v>
      </c>
      <c r="Q524" s="17" t="s">
        <v>1162</v>
      </c>
      <c r="R524" s="17"/>
      <c r="S524" s="18"/>
      <c r="T524" s="17" t="s">
        <v>194</v>
      </c>
      <c r="U524" s="17"/>
      <c r="V524" s="17" t="str">
        <f>+CONCATENATE(E524,".",F524,"\",G524,".",H524,":",I524)</f>
        <v>2.6\0.9:1</v>
      </c>
      <c r="W524" s="17" t="s">
        <v>2176</v>
      </c>
      <c r="X524" s="221">
        <v>0</v>
      </c>
      <c r="Y524" s="17"/>
      <c r="Z524" s="20" t="s">
        <v>1159</v>
      </c>
      <c r="AA524" s="17"/>
      <c r="AB524" s="17"/>
      <c r="AC524" s="17"/>
      <c r="AD524" s="17"/>
      <c r="AE524" s="17"/>
      <c r="AF524" s="17"/>
      <c r="AG524" s="307" t="s">
        <v>1045</v>
      </c>
      <c r="AH524" s="307">
        <v>35</v>
      </c>
      <c r="AI524" s="307">
        <v>36</v>
      </c>
      <c r="AJ524" s="307"/>
      <c r="AK524" s="307"/>
      <c r="AL524" s="264"/>
      <c r="AM524" s="84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</row>
    <row r="525" spans="1:51" s="33" customFormat="1" x14ac:dyDescent="0.3">
      <c r="A525" s="63" t="str">
        <f>A524</f>
        <v>BCV131</v>
      </c>
      <c r="B525" s="17" t="s">
        <v>2175</v>
      </c>
      <c r="C525" s="18" t="str">
        <f>+C524</f>
        <v>DIO1</v>
      </c>
      <c r="D525" s="18">
        <v>132</v>
      </c>
      <c r="E525" s="84">
        <f>+E524</f>
        <v>2</v>
      </c>
      <c r="F525" s="84">
        <f>+F524</f>
        <v>6</v>
      </c>
      <c r="G525" s="84">
        <v>0</v>
      </c>
      <c r="H525" s="186">
        <f>+H524</f>
        <v>9</v>
      </c>
      <c r="I525" s="187">
        <f>+I524+1</f>
        <v>2</v>
      </c>
      <c r="J525" s="270"/>
      <c r="K525" s="18"/>
      <c r="L525" s="165" t="s">
        <v>1160</v>
      </c>
      <c r="M525" s="18"/>
      <c r="N525" s="18"/>
      <c r="O525" s="17"/>
      <c r="P525" s="18"/>
      <c r="Q525" s="17"/>
      <c r="R525" s="17"/>
      <c r="S525" s="18"/>
      <c r="T525" s="17"/>
      <c r="U525" s="17"/>
      <c r="V525" s="17" t="str">
        <f>+CONCATENATE(E525,".",F525,"\",G525,".",H525,":",I525)</f>
        <v>2.6\0.9:2</v>
      </c>
      <c r="W525" s="17"/>
      <c r="X525" s="17"/>
      <c r="Y525" s="17"/>
      <c r="Z525" s="20" t="s">
        <v>1159</v>
      </c>
      <c r="AA525" s="17"/>
      <c r="AB525" s="17"/>
      <c r="AC525" s="17"/>
      <c r="AD525" s="17"/>
      <c r="AE525" s="17"/>
      <c r="AF525" s="17"/>
      <c r="AG525" s="307" t="s">
        <v>1045</v>
      </c>
      <c r="AH525" s="307">
        <v>37</v>
      </c>
      <c r="AI525" s="307">
        <v>38</v>
      </c>
      <c r="AJ525" s="307"/>
      <c r="AK525" s="307"/>
      <c r="AL525" s="264"/>
      <c r="AM525" s="84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</row>
    <row r="526" spans="1:51" s="33" customFormat="1" x14ac:dyDescent="0.3">
      <c r="A526" s="63" t="str">
        <f>A525</f>
        <v>BCV131</v>
      </c>
      <c r="B526" s="17" t="s">
        <v>2175</v>
      </c>
      <c r="C526" s="18" t="str">
        <f>+C525</f>
        <v>DIO1</v>
      </c>
      <c r="D526" s="18">
        <v>132</v>
      </c>
      <c r="E526" s="84">
        <f>+E525</f>
        <v>2</v>
      </c>
      <c r="F526" s="84">
        <f>+F525</f>
        <v>6</v>
      </c>
      <c r="G526" s="84">
        <v>0</v>
      </c>
      <c r="H526" s="186">
        <f>+H525</f>
        <v>9</v>
      </c>
      <c r="I526" s="187">
        <f>+I525+1</f>
        <v>3</v>
      </c>
      <c r="J526" s="270"/>
      <c r="K526" s="18"/>
      <c r="L526" s="165" t="s">
        <v>1160</v>
      </c>
      <c r="M526" s="18"/>
      <c r="N526" s="18"/>
      <c r="O526" s="17"/>
      <c r="P526" s="18"/>
      <c r="Q526" s="17"/>
      <c r="R526" s="17"/>
      <c r="S526" s="18"/>
      <c r="T526" s="18"/>
      <c r="U526" s="17"/>
      <c r="V526" s="17" t="str">
        <f>+CONCATENATE(E526,".",F526,"\",G526,".",H526,":",I526)</f>
        <v>2.6\0.9:3</v>
      </c>
      <c r="W526" s="17"/>
      <c r="X526" s="17"/>
      <c r="Y526" s="17"/>
      <c r="Z526" s="20" t="s">
        <v>1159</v>
      </c>
      <c r="AA526" s="17"/>
      <c r="AB526" s="17"/>
      <c r="AC526" s="17"/>
      <c r="AD526" s="17"/>
      <c r="AE526" s="17"/>
      <c r="AF526" s="17"/>
      <c r="AG526" s="307" t="s">
        <v>1045</v>
      </c>
      <c r="AH526" s="307">
        <v>39</v>
      </c>
      <c r="AI526" s="307">
        <v>40</v>
      </c>
      <c r="AJ526" s="307"/>
      <c r="AK526" s="307"/>
      <c r="AL526" s="264"/>
      <c r="AM526" s="84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</row>
    <row r="527" spans="1:51" s="33" customFormat="1" x14ac:dyDescent="0.3">
      <c r="A527" s="63" t="str">
        <f>A526</f>
        <v>BCV131</v>
      </c>
      <c r="B527" s="17" t="s">
        <v>2175</v>
      </c>
      <c r="C527" s="18" t="str">
        <f>+C526</f>
        <v>DIO1</v>
      </c>
      <c r="D527" s="18">
        <v>132</v>
      </c>
      <c r="E527" s="84">
        <f>+E526</f>
        <v>2</v>
      </c>
      <c r="F527" s="84">
        <f>+F526</f>
        <v>6</v>
      </c>
      <c r="G527" s="84">
        <v>0</v>
      </c>
      <c r="H527" s="186">
        <f>+H526</f>
        <v>9</v>
      </c>
      <c r="I527" s="187">
        <f>+I526+1</f>
        <v>4</v>
      </c>
      <c r="J527" s="270"/>
      <c r="K527" s="18"/>
      <c r="L527" s="165" t="s">
        <v>1160</v>
      </c>
      <c r="M527" s="18"/>
      <c r="N527" s="18"/>
      <c r="O527" s="17"/>
      <c r="P527" s="18"/>
      <c r="Q527" s="17"/>
      <c r="R527" s="17"/>
      <c r="S527" s="18"/>
      <c r="T527" s="18"/>
      <c r="U527" s="17"/>
      <c r="V527" s="17" t="str">
        <f>+CONCATENATE(E527,".",F527,"\",G527,".",H527,":",I527)</f>
        <v>2.6\0.9:4</v>
      </c>
      <c r="W527" s="17"/>
      <c r="X527" s="17"/>
      <c r="Y527" s="17"/>
      <c r="Z527" s="20" t="s">
        <v>1159</v>
      </c>
      <c r="AA527" s="17"/>
      <c r="AB527" s="17"/>
      <c r="AC527" s="17"/>
      <c r="AD527" s="17"/>
      <c r="AE527" s="17"/>
      <c r="AF527" s="17"/>
      <c r="AG527" s="307" t="s">
        <v>1045</v>
      </c>
      <c r="AH527" s="307">
        <v>41</v>
      </c>
      <c r="AI527" s="307">
        <v>42</v>
      </c>
      <c r="AJ527" s="307"/>
      <c r="AK527" s="307"/>
      <c r="AL527" s="264"/>
      <c r="AM527" s="84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</row>
    <row r="528" spans="1:51" s="33" customFormat="1" x14ac:dyDescent="0.3">
      <c r="A528" s="63" t="str">
        <f>A527</f>
        <v>BCV131</v>
      </c>
      <c r="B528" s="17" t="s">
        <v>2175</v>
      </c>
      <c r="C528" s="18" t="str">
        <f>+C527</f>
        <v>DIO1</v>
      </c>
      <c r="D528" s="18">
        <v>132</v>
      </c>
      <c r="E528" s="84">
        <f>+E527</f>
        <v>2</v>
      </c>
      <c r="F528" s="84">
        <f>+F527</f>
        <v>6</v>
      </c>
      <c r="G528" s="84">
        <v>0</v>
      </c>
      <c r="H528" s="186">
        <f>+H527</f>
        <v>9</v>
      </c>
      <c r="I528" s="187">
        <f>+I527+1</f>
        <v>5</v>
      </c>
      <c r="J528" s="270"/>
      <c r="K528" s="18"/>
      <c r="L528" s="165" t="s">
        <v>1160</v>
      </c>
      <c r="M528" s="18"/>
      <c r="N528" s="18"/>
      <c r="O528" s="17"/>
      <c r="P528" s="18"/>
      <c r="Q528" s="17"/>
      <c r="R528" s="17"/>
      <c r="S528" s="18"/>
      <c r="T528" s="18"/>
      <c r="U528" s="17"/>
      <c r="V528" s="17" t="str">
        <f>+CONCATENATE(E528,".",F528,"\",G528,".",H528,":",I528)</f>
        <v>2.6\0.9:5</v>
      </c>
      <c r="W528" s="17"/>
      <c r="X528" s="17"/>
      <c r="Y528" s="17"/>
      <c r="Z528" s="20" t="s">
        <v>1159</v>
      </c>
      <c r="AA528" s="17"/>
      <c r="AB528" s="17"/>
      <c r="AC528" s="17"/>
      <c r="AD528" s="17"/>
      <c r="AE528" s="17"/>
      <c r="AF528" s="17"/>
      <c r="AG528" s="307" t="s">
        <v>1045</v>
      </c>
      <c r="AH528" s="307">
        <v>43</v>
      </c>
      <c r="AI528" s="307">
        <v>44</v>
      </c>
      <c r="AJ528" s="307"/>
      <c r="AK528" s="307"/>
      <c r="AL528" s="264"/>
      <c r="AM528" s="84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</row>
    <row r="529" spans="1:51" s="33" customFormat="1" x14ac:dyDescent="0.3">
      <c r="A529" s="63" t="str">
        <f>A528</f>
        <v>BCV131</v>
      </c>
      <c r="B529" s="17" t="s">
        <v>2175</v>
      </c>
      <c r="C529" s="18" t="str">
        <f>+C528</f>
        <v>DIO1</v>
      </c>
      <c r="D529" s="18">
        <v>132</v>
      </c>
      <c r="E529" s="84">
        <f>+E528</f>
        <v>2</v>
      </c>
      <c r="F529" s="84">
        <f>+F528</f>
        <v>6</v>
      </c>
      <c r="G529" s="84">
        <v>0</v>
      </c>
      <c r="H529" s="186">
        <f>+H528</f>
        <v>9</v>
      </c>
      <c r="I529" s="187">
        <f>+I528+1</f>
        <v>6</v>
      </c>
      <c r="J529" s="270"/>
      <c r="K529" s="18"/>
      <c r="L529" s="165" t="s">
        <v>1160</v>
      </c>
      <c r="M529" s="18"/>
      <c r="N529" s="18"/>
      <c r="O529" s="17"/>
      <c r="P529" s="18"/>
      <c r="Q529" s="17"/>
      <c r="R529" s="17"/>
      <c r="S529" s="18"/>
      <c r="T529" s="18"/>
      <c r="U529" s="17"/>
      <c r="V529" s="17" t="str">
        <f>+CONCATENATE(E529,".",F529,"\",G529,".",H529,":",I529)</f>
        <v>2.6\0.9:6</v>
      </c>
      <c r="W529" s="17"/>
      <c r="X529" s="17"/>
      <c r="Y529" s="17"/>
      <c r="Z529" s="20" t="s">
        <v>1159</v>
      </c>
      <c r="AA529" s="17"/>
      <c r="AB529" s="17"/>
      <c r="AC529" s="17"/>
      <c r="AD529" s="17"/>
      <c r="AE529" s="17"/>
      <c r="AF529" s="17"/>
      <c r="AG529" s="307" t="s">
        <v>1045</v>
      </c>
      <c r="AH529" s="307">
        <v>45</v>
      </c>
      <c r="AI529" s="307">
        <v>46</v>
      </c>
      <c r="AJ529" s="307"/>
      <c r="AK529" s="307"/>
      <c r="AL529" s="264"/>
      <c r="AM529" s="84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</row>
    <row r="530" spans="1:51" s="33" customFormat="1" ht="13.5" thickBot="1" x14ac:dyDescent="0.35">
      <c r="A530" s="63" t="str">
        <f>A529</f>
        <v>BCV131</v>
      </c>
      <c r="B530" s="17" t="s">
        <v>2175</v>
      </c>
      <c r="C530" s="18" t="str">
        <f>+C529</f>
        <v>DIO1</v>
      </c>
      <c r="D530" s="18">
        <v>132</v>
      </c>
      <c r="E530" s="84">
        <f>+E529</f>
        <v>2</v>
      </c>
      <c r="F530" s="84">
        <f>+F529</f>
        <v>6</v>
      </c>
      <c r="G530" s="84">
        <v>0</v>
      </c>
      <c r="H530" s="186">
        <f>+H529</f>
        <v>9</v>
      </c>
      <c r="I530" s="191">
        <f>+I529+1</f>
        <v>7</v>
      </c>
      <c r="J530" s="269"/>
      <c r="K530" s="65"/>
      <c r="L530" s="165" t="s">
        <v>1160</v>
      </c>
      <c r="M530" s="18"/>
      <c r="N530" s="18"/>
      <c r="O530" s="17"/>
      <c r="P530" s="18"/>
      <c r="Q530" s="17"/>
      <c r="R530" s="17"/>
      <c r="S530" s="18"/>
      <c r="T530" s="18"/>
      <c r="U530" s="17"/>
      <c r="V530" s="17" t="str">
        <f>+CONCATENATE(E530,".",F530,"\",G530,".",H530,":",I530)</f>
        <v>2.6\0.9:7</v>
      </c>
      <c r="W530" s="17"/>
      <c r="X530" s="17"/>
      <c r="Y530" s="17"/>
      <c r="Z530" s="20" t="s">
        <v>1159</v>
      </c>
      <c r="AA530" s="17"/>
      <c r="AB530" s="17"/>
      <c r="AC530" s="17"/>
      <c r="AD530" s="17"/>
      <c r="AE530" s="17"/>
      <c r="AF530" s="17"/>
      <c r="AG530" s="307" t="s">
        <v>1045</v>
      </c>
      <c r="AH530" s="307">
        <v>47</v>
      </c>
      <c r="AI530" s="307">
        <v>48</v>
      </c>
      <c r="AJ530" s="307"/>
      <c r="AK530" s="307"/>
      <c r="AL530" s="264"/>
      <c r="AM530" s="84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</row>
    <row r="531" spans="1:51" s="33" customFormat="1" x14ac:dyDescent="0.3">
      <c r="A531" s="63" t="str">
        <f>A530</f>
        <v>BCV131</v>
      </c>
      <c r="B531" s="17" t="s">
        <v>2175</v>
      </c>
      <c r="C531" s="18" t="str">
        <f>+C530</f>
        <v>DIO1</v>
      </c>
      <c r="D531" s="18">
        <v>132</v>
      </c>
      <c r="E531" s="84">
        <f>+E530</f>
        <v>2</v>
      </c>
      <c r="F531" s="84">
        <f>+F530</f>
        <v>6</v>
      </c>
      <c r="G531" s="84">
        <v>0</v>
      </c>
      <c r="H531" s="202">
        <v>10</v>
      </c>
      <c r="I531" s="188"/>
      <c r="J531" s="267"/>
      <c r="K531" s="68" t="s">
        <v>698</v>
      </c>
      <c r="L531" s="17"/>
      <c r="M531" s="18"/>
      <c r="N531" s="18"/>
      <c r="O531" s="17"/>
      <c r="P531" s="17"/>
      <c r="Q531" s="17"/>
      <c r="R531" s="18"/>
      <c r="S531" s="18"/>
      <c r="T531" s="18"/>
      <c r="U531" s="17"/>
      <c r="V531" s="17" t="str">
        <f>+CONCATENATE(E531,".",F531,"\",G531,".",H531,":",I531)</f>
        <v>2.6\0.10:</v>
      </c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64"/>
      <c r="AH531" s="64"/>
      <c r="AI531" s="64"/>
      <c r="AJ531" s="64"/>
      <c r="AK531" s="64"/>
      <c r="AL531" s="264"/>
      <c r="AM531" s="84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</row>
    <row r="532" spans="1:51" s="33" customFormat="1" x14ac:dyDescent="0.3">
      <c r="A532" s="63" t="str">
        <f>A531</f>
        <v>BCV131</v>
      </c>
      <c r="B532" s="17" t="s">
        <v>2175</v>
      </c>
      <c r="C532" s="18" t="str">
        <f>+C531</f>
        <v>DIO1</v>
      </c>
      <c r="D532" s="18">
        <v>132</v>
      </c>
      <c r="E532" s="84">
        <f>+E531</f>
        <v>2</v>
      </c>
      <c r="F532" s="84">
        <f>+F531</f>
        <v>6</v>
      </c>
      <c r="G532" s="84">
        <v>0</v>
      </c>
      <c r="H532" s="186">
        <f>+H531</f>
        <v>10</v>
      </c>
      <c r="I532" s="187"/>
      <c r="J532" s="266"/>
      <c r="K532" s="18"/>
      <c r="L532" s="17"/>
      <c r="M532" s="18"/>
      <c r="N532" s="18"/>
      <c r="O532" s="17"/>
      <c r="P532" s="17"/>
      <c r="Q532" s="17"/>
      <c r="R532" s="18"/>
      <c r="S532" s="18"/>
      <c r="T532" s="18"/>
      <c r="U532" s="17"/>
      <c r="V532" s="17" t="str">
        <f>+CONCATENATE(E532,".",F532,"\",G532,".",H532,":",I532)</f>
        <v>2.6\0.10:</v>
      </c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64"/>
      <c r="AH532" s="64"/>
      <c r="AI532" s="64"/>
      <c r="AJ532" s="64"/>
      <c r="AK532" s="64"/>
      <c r="AL532" s="264"/>
      <c r="AM532" s="84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</row>
    <row r="533" spans="1:51" s="33" customFormat="1" x14ac:dyDescent="0.3">
      <c r="A533" s="63" t="str">
        <f>A532</f>
        <v>BCV131</v>
      </c>
      <c r="B533" s="17" t="s">
        <v>2175</v>
      </c>
      <c r="C533" s="18" t="str">
        <f>+C532</f>
        <v>DIO1</v>
      </c>
      <c r="D533" s="18">
        <v>132</v>
      </c>
      <c r="E533" s="84">
        <f>+E532</f>
        <v>2</v>
      </c>
      <c r="F533" s="84">
        <f>+F532</f>
        <v>6</v>
      </c>
      <c r="G533" s="84">
        <v>0</v>
      </c>
      <c r="H533" s="186">
        <f>+H532</f>
        <v>10</v>
      </c>
      <c r="I533" s="187"/>
      <c r="J533" s="266"/>
      <c r="K533" s="18"/>
      <c r="L533" s="17"/>
      <c r="M533" s="18"/>
      <c r="N533" s="18"/>
      <c r="O533" s="17"/>
      <c r="P533" s="17"/>
      <c r="Q533" s="17"/>
      <c r="R533" s="18"/>
      <c r="S533" s="18"/>
      <c r="T533" s="18"/>
      <c r="U533" s="17"/>
      <c r="V533" s="17" t="str">
        <f>+CONCATENATE(E533,".",F533,"\",G533,".",H533,":",I533)</f>
        <v>2.6\0.10:</v>
      </c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64"/>
      <c r="AH533" s="64"/>
      <c r="AI533" s="64"/>
      <c r="AJ533" s="64"/>
      <c r="AK533" s="64"/>
      <c r="AL533" s="264"/>
      <c r="AM533" s="84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</row>
    <row r="534" spans="1:51" s="33" customFormat="1" ht="13.5" thickBot="1" x14ac:dyDescent="0.35">
      <c r="A534" s="63" t="str">
        <f>A533</f>
        <v>BCV131</v>
      </c>
      <c r="B534" s="17" t="s">
        <v>2175</v>
      </c>
      <c r="C534" s="18" t="str">
        <f>+C533</f>
        <v>DIO1</v>
      </c>
      <c r="D534" s="18">
        <v>132</v>
      </c>
      <c r="E534" s="84">
        <f>+E533</f>
        <v>2</v>
      </c>
      <c r="F534" s="84">
        <f>+F533</f>
        <v>6</v>
      </c>
      <c r="G534" s="84">
        <v>0</v>
      </c>
      <c r="H534" s="186">
        <f>+H533</f>
        <v>10</v>
      </c>
      <c r="I534" s="191"/>
      <c r="J534" s="265"/>
      <c r="K534" s="18"/>
      <c r="L534" s="17"/>
      <c r="M534" s="18"/>
      <c r="N534" s="18"/>
      <c r="O534" s="17"/>
      <c r="P534" s="17"/>
      <c r="Q534" s="17"/>
      <c r="R534" s="18"/>
      <c r="S534" s="18"/>
      <c r="T534" s="18"/>
      <c r="U534" s="17"/>
      <c r="V534" s="17" t="str">
        <f>+CONCATENATE(E534,".",F534,"\",G534,".",H534,":",I534)</f>
        <v>2.6\0.10:</v>
      </c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64"/>
      <c r="AH534" s="64"/>
      <c r="AI534" s="64"/>
      <c r="AJ534" s="64"/>
      <c r="AK534" s="64"/>
      <c r="AL534" s="264"/>
      <c r="AM534" s="84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</row>
    <row r="535" spans="1:51" s="33" customFormat="1" x14ac:dyDescent="0.3">
      <c r="A535" s="63" t="str">
        <f>A534</f>
        <v>BCV131</v>
      </c>
      <c r="B535" s="17" t="s">
        <v>2175</v>
      </c>
      <c r="C535" s="18" t="str">
        <f>+C534</f>
        <v>DIO1</v>
      </c>
      <c r="D535" s="18">
        <v>132</v>
      </c>
      <c r="E535" s="84">
        <f>+E534</f>
        <v>2</v>
      </c>
      <c r="F535" s="84">
        <f>+F534</f>
        <v>6</v>
      </c>
      <c r="G535" s="84">
        <v>0</v>
      </c>
      <c r="H535" s="202">
        <v>11</v>
      </c>
      <c r="I535" s="188"/>
      <c r="J535" s="267"/>
      <c r="K535" s="68" t="s">
        <v>698</v>
      </c>
      <c r="L535" s="17"/>
      <c r="M535" s="18"/>
      <c r="N535" s="18"/>
      <c r="O535" s="17"/>
      <c r="P535" s="17"/>
      <c r="Q535" s="17"/>
      <c r="R535" s="18"/>
      <c r="S535" s="18"/>
      <c r="T535" s="18"/>
      <c r="U535" s="17"/>
      <c r="V535" s="17" t="str">
        <f>+CONCATENATE(E535,".",F535,"\",G535,".",H535,":",I535)</f>
        <v>2.6\0.11:</v>
      </c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64"/>
      <c r="AH535" s="64"/>
      <c r="AI535" s="64"/>
      <c r="AJ535" s="64"/>
      <c r="AK535" s="64"/>
      <c r="AL535" s="264"/>
      <c r="AM535" s="84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</row>
    <row r="536" spans="1:51" s="33" customFormat="1" x14ac:dyDescent="0.3">
      <c r="A536" s="63" t="str">
        <f>A535</f>
        <v>BCV131</v>
      </c>
      <c r="B536" s="17" t="s">
        <v>2175</v>
      </c>
      <c r="C536" s="18" t="str">
        <f>+C535</f>
        <v>DIO1</v>
      </c>
      <c r="D536" s="18">
        <v>132</v>
      </c>
      <c r="E536" s="84">
        <f>+E535</f>
        <v>2</v>
      </c>
      <c r="F536" s="84">
        <f>+F535</f>
        <v>6</v>
      </c>
      <c r="G536" s="84">
        <v>0</v>
      </c>
      <c r="H536" s="186">
        <f>+H535</f>
        <v>11</v>
      </c>
      <c r="I536" s="187"/>
      <c r="J536" s="266"/>
      <c r="K536" s="18"/>
      <c r="L536" s="17"/>
      <c r="M536" s="18"/>
      <c r="N536" s="18"/>
      <c r="O536" s="17"/>
      <c r="P536" s="17"/>
      <c r="Q536" s="17"/>
      <c r="R536" s="18"/>
      <c r="S536" s="18"/>
      <c r="T536" s="18"/>
      <c r="U536" s="17"/>
      <c r="V536" s="17" t="str">
        <f>+CONCATENATE(E536,".",F536,"\",G536,".",H536,":",I536)</f>
        <v>2.6\0.11:</v>
      </c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64"/>
      <c r="AH536" s="64"/>
      <c r="AI536" s="64"/>
      <c r="AJ536" s="64"/>
      <c r="AK536" s="64"/>
      <c r="AL536" s="264"/>
      <c r="AM536" s="84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</row>
    <row r="537" spans="1:51" s="33" customFormat="1" x14ac:dyDescent="0.3">
      <c r="A537" s="63" t="str">
        <f>A536</f>
        <v>BCV131</v>
      </c>
      <c r="B537" s="17" t="s">
        <v>2175</v>
      </c>
      <c r="C537" s="18" t="str">
        <f>+C536</f>
        <v>DIO1</v>
      </c>
      <c r="D537" s="18">
        <v>132</v>
      </c>
      <c r="E537" s="84">
        <f>+E536</f>
        <v>2</v>
      </c>
      <c r="F537" s="84">
        <f>+F536</f>
        <v>6</v>
      </c>
      <c r="G537" s="84">
        <v>0</v>
      </c>
      <c r="H537" s="186">
        <f>+H536</f>
        <v>11</v>
      </c>
      <c r="I537" s="187"/>
      <c r="J537" s="266"/>
      <c r="K537" s="18"/>
      <c r="L537" s="17"/>
      <c r="M537" s="18"/>
      <c r="N537" s="18"/>
      <c r="O537" s="17"/>
      <c r="P537" s="17"/>
      <c r="Q537" s="17"/>
      <c r="R537" s="18"/>
      <c r="S537" s="18"/>
      <c r="T537" s="18"/>
      <c r="U537" s="17"/>
      <c r="V537" s="17" t="str">
        <f>+CONCATENATE(E537,".",F537,"\",G537,".",H537,":",I537)</f>
        <v>2.6\0.11:</v>
      </c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64"/>
      <c r="AH537" s="64"/>
      <c r="AI537" s="64"/>
      <c r="AJ537" s="64"/>
      <c r="AK537" s="64"/>
      <c r="AL537" s="264"/>
      <c r="AM537" s="84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</row>
    <row r="538" spans="1:51" s="33" customFormat="1" ht="13.5" thickBot="1" x14ac:dyDescent="0.35">
      <c r="A538" s="63" t="str">
        <f>A537</f>
        <v>BCV131</v>
      </c>
      <c r="B538" s="17" t="s">
        <v>2175</v>
      </c>
      <c r="C538" s="18" t="str">
        <f>+C537</f>
        <v>DIO1</v>
      </c>
      <c r="D538" s="18">
        <v>132</v>
      </c>
      <c r="E538" s="84">
        <f>+E537</f>
        <v>2</v>
      </c>
      <c r="F538" s="84">
        <f>+F537</f>
        <v>6</v>
      </c>
      <c r="G538" s="84">
        <v>0</v>
      </c>
      <c r="H538" s="186">
        <f>+H537</f>
        <v>11</v>
      </c>
      <c r="I538" s="191"/>
      <c r="J538" s="265"/>
      <c r="K538" s="18"/>
      <c r="L538" s="17"/>
      <c r="M538" s="18"/>
      <c r="N538" s="18"/>
      <c r="O538" s="17"/>
      <c r="P538" s="17"/>
      <c r="Q538" s="17"/>
      <c r="R538" s="18"/>
      <c r="S538" s="18"/>
      <c r="T538" s="18"/>
      <c r="U538" s="17"/>
      <c r="V538" s="17" t="str">
        <f>+CONCATENATE(E538,".",F538,"\",G538,".",H538,":",I538)</f>
        <v>2.6\0.11:</v>
      </c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64"/>
      <c r="AH538" s="64"/>
      <c r="AI538" s="64"/>
      <c r="AJ538" s="64"/>
      <c r="AK538" s="64"/>
      <c r="AL538" s="264"/>
      <c r="AM538" s="84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</row>
    <row r="539" spans="1:51" s="33" customFormat="1" x14ac:dyDescent="0.3">
      <c r="A539" s="63"/>
      <c r="B539" s="17"/>
      <c r="C539" s="18"/>
      <c r="D539" s="18"/>
      <c r="E539" s="84"/>
      <c r="F539" s="84"/>
      <c r="G539" s="84"/>
      <c r="H539" s="186"/>
      <c r="I539" s="186"/>
      <c r="J539" s="63"/>
      <c r="K539" s="18"/>
      <c r="L539" s="79"/>
      <c r="M539" s="18"/>
      <c r="N539" s="18"/>
      <c r="O539" s="17"/>
      <c r="P539" s="17"/>
      <c r="Q539" s="17"/>
      <c r="R539" s="18"/>
      <c r="S539" s="18"/>
      <c r="T539" s="18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64"/>
      <c r="AH539" s="64"/>
      <c r="AI539" s="64"/>
      <c r="AJ539" s="64"/>
      <c r="AK539" s="64"/>
      <c r="AL539" s="264"/>
      <c r="AM539" s="84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</row>
    <row r="540" spans="1:51" s="33" customFormat="1" ht="14.5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>
        <v>5</v>
      </c>
      <c r="N540" s="59" t="s">
        <v>78</v>
      </c>
      <c r="O540" s="18" t="s">
        <v>794</v>
      </c>
      <c r="P540" s="18"/>
      <c r="Q540" s="18" t="s">
        <v>2174</v>
      </c>
      <c r="R540" s="18"/>
      <c r="S540" s="18" t="s">
        <v>2036</v>
      </c>
      <c r="T540" s="18" t="s">
        <v>696</v>
      </c>
      <c r="U540" s="18"/>
      <c r="V540" s="18"/>
      <c r="W540" s="18" t="s">
        <v>695</v>
      </c>
      <c r="X540" s="18"/>
      <c r="Y540" s="18"/>
      <c r="Z540" s="18"/>
      <c r="AA540" s="17"/>
      <c r="AB540" s="17"/>
      <c r="AC540" s="17"/>
      <c r="AD540" s="17"/>
      <c r="AE540" s="17"/>
      <c r="AF540" s="17"/>
      <c r="AG540" s="298" t="s">
        <v>838</v>
      </c>
      <c r="AH540" s="301" t="s">
        <v>190</v>
      </c>
      <c r="AI540" s="301" t="s">
        <v>189</v>
      </c>
      <c r="AJ540" s="301" t="s">
        <v>188</v>
      </c>
      <c r="AK540" s="301">
        <v>4</v>
      </c>
      <c r="AL540" s="264"/>
      <c r="AM540" s="84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</row>
    <row r="541" spans="1:51" s="33" customFormat="1" ht="14.5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>
        <v>5</v>
      </c>
      <c r="N541" s="59" t="s">
        <v>2173</v>
      </c>
      <c r="O541" s="18" t="s">
        <v>794</v>
      </c>
      <c r="P541" s="18"/>
      <c r="Q541" s="18" t="s">
        <v>2172</v>
      </c>
      <c r="R541" s="18"/>
      <c r="S541" s="18" t="s">
        <v>2036</v>
      </c>
      <c r="T541" s="18" t="s">
        <v>755</v>
      </c>
      <c r="U541" s="18"/>
      <c r="V541" s="18"/>
      <c r="W541" s="18" t="s">
        <v>666</v>
      </c>
      <c r="X541" s="18"/>
      <c r="Y541" s="18"/>
      <c r="Z541" s="18"/>
      <c r="AA541" s="17"/>
      <c r="AB541" s="17"/>
      <c r="AC541" s="17"/>
      <c r="AD541" s="17"/>
      <c r="AE541" s="17"/>
      <c r="AF541" s="17"/>
      <c r="AG541" s="298" t="s">
        <v>838</v>
      </c>
      <c r="AH541" s="301" t="s">
        <v>183</v>
      </c>
      <c r="AI541" s="301" t="s">
        <v>182</v>
      </c>
      <c r="AJ541" s="301" t="s">
        <v>181</v>
      </c>
      <c r="AK541" s="301">
        <v>8</v>
      </c>
      <c r="AL541" s="264"/>
      <c r="AM541" s="84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</row>
    <row r="542" spans="1:51" s="33" customFormat="1" ht="14.5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>
        <v>5</v>
      </c>
      <c r="N542" s="59" t="s">
        <v>62</v>
      </c>
      <c r="O542" s="18" t="s">
        <v>794</v>
      </c>
      <c r="P542" s="18"/>
      <c r="Q542" s="18" t="s">
        <v>2171</v>
      </c>
      <c r="R542" s="18"/>
      <c r="S542" s="18" t="s">
        <v>2036</v>
      </c>
      <c r="T542" s="18" t="s">
        <v>673</v>
      </c>
      <c r="U542" s="18"/>
      <c r="V542" s="18"/>
      <c r="W542" s="18" t="s">
        <v>664</v>
      </c>
      <c r="X542" s="18"/>
      <c r="Y542" s="18"/>
      <c r="Z542" s="18"/>
      <c r="AA542" s="17"/>
      <c r="AB542" s="17"/>
      <c r="AC542" s="17"/>
      <c r="AD542" s="17"/>
      <c r="AE542" s="17"/>
      <c r="AF542" s="17"/>
      <c r="AG542" s="298" t="s">
        <v>838</v>
      </c>
      <c r="AH542" s="298" t="s">
        <v>176</v>
      </c>
      <c r="AI542" s="298" t="s">
        <v>175</v>
      </c>
      <c r="AJ542" s="298" t="s">
        <v>174</v>
      </c>
      <c r="AK542" s="298">
        <v>12</v>
      </c>
      <c r="AL542" s="264"/>
      <c r="AM542" s="84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</row>
    <row r="543" spans="1:51" s="33" customFormat="1" ht="14.5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>
        <v>5</v>
      </c>
      <c r="N543" s="59" t="s">
        <v>2170</v>
      </c>
      <c r="O543" s="18" t="s">
        <v>794</v>
      </c>
      <c r="P543" s="18"/>
      <c r="Q543" s="18" t="s">
        <v>2169</v>
      </c>
      <c r="R543" s="18"/>
      <c r="S543" s="18" t="s">
        <v>2036</v>
      </c>
      <c r="T543" s="18" t="s">
        <v>752</v>
      </c>
      <c r="U543" s="18"/>
      <c r="V543" s="18"/>
      <c r="W543" s="18" t="s">
        <v>666</v>
      </c>
      <c r="X543" s="18"/>
      <c r="Y543" s="18"/>
      <c r="Z543" s="18"/>
      <c r="AA543" s="17"/>
      <c r="AB543" s="17"/>
      <c r="AC543" s="17"/>
      <c r="AD543" s="17"/>
      <c r="AE543" s="17"/>
      <c r="AF543" s="17"/>
      <c r="AG543" s="298" t="s">
        <v>838</v>
      </c>
      <c r="AH543" s="301" t="s">
        <v>169</v>
      </c>
      <c r="AI543" s="301" t="s">
        <v>168</v>
      </c>
      <c r="AJ543" s="301" t="s">
        <v>167</v>
      </c>
      <c r="AK543" s="301">
        <v>16</v>
      </c>
      <c r="AL543" s="264"/>
      <c r="AM543" s="84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</row>
    <row r="544" spans="1:51" s="33" customFormat="1" ht="14.5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>
        <v>5</v>
      </c>
      <c r="N544" s="59" t="s">
        <v>46</v>
      </c>
      <c r="O544" s="18" t="s">
        <v>794</v>
      </c>
      <c r="P544" s="18"/>
      <c r="Q544" s="18" t="s">
        <v>2168</v>
      </c>
      <c r="R544" s="18"/>
      <c r="S544" s="18" t="s">
        <v>2036</v>
      </c>
      <c r="T544" s="18" t="s">
        <v>665</v>
      </c>
      <c r="U544" s="18"/>
      <c r="V544" s="18"/>
      <c r="W544" s="18" t="s">
        <v>664</v>
      </c>
      <c r="X544" s="18"/>
      <c r="Y544" s="18"/>
      <c r="Z544" s="18"/>
      <c r="AA544" s="17"/>
      <c r="AB544" s="17"/>
      <c r="AC544" s="17"/>
      <c r="AD544" s="17"/>
      <c r="AE544" s="17"/>
      <c r="AF544" s="17"/>
      <c r="AG544" s="298" t="s">
        <v>838</v>
      </c>
      <c r="AH544" s="298" t="s">
        <v>161</v>
      </c>
      <c r="AI544" s="298" t="s">
        <v>160</v>
      </c>
      <c r="AJ544" s="298" t="s">
        <v>159</v>
      </c>
      <c r="AK544" s="298">
        <v>20</v>
      </c>
      <c r="AL544" s="264"/>
      <c r="AM544" s="84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</row>
    <row r="545" spans="1:51" s="33" customFormat="1" ht="14.5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7"/>
      <c r="AB545" s="17"/>
      <c r="AC545" s="17"/>
      <c r="AD545" s="17"/>
      <c r="AE545" s="17"/>
      <c r="AF545" s="17"/>
      <c r="AG545" s="298" t="s">
        <v>838</v>
      </c>
      <c r="AH545" s="298" t="s">
        <v>154</v>
      </c>
      <c r="AI545" s="298" t="s">
        <v>153</v>
      </c>
      <c r="AJ545" s="298" t="s">
        <v>152</v>
      </c>
      <c r="AK545" s="298">
        <v>24</v>
      </c>
      <c r="AL545" s="264"/>
      <c r="AM545" s="84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</row>
    <row r="546" spans="1:51" s="33" customFormat="1" ht="14.5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7"/>
      <c r="AB546" s="17"/>
      <c r="AC546" s="17"/>
      <c r="AD546" s="17"/>
      <c r="AE546" s="17"/>
      <c r="AF546" s="17"/>
      <c r="AG546" s="298" t="s">
        <v>838</v>
      </c>
      <c r="AH546" s="298" t="s">
        <v>150</v>
      </c>
      <c r="AI546" s="298" t="s">
        <v>149</v>
      </c>
      <c r="AJ546" s="298" t="s">
        <v>148</v>
      </c>
      <c r="AK546" s="298">
        <v>28</v>
      </c>
      <c r="AL546" s="264"/>
      <c r="AM546" s="84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</row>
    <row r="547" spans="1:51" s="33" customFormat="1" ht="14.5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7"/>
      <c r="AB547" s="17"/>
      <c r="AC547" s="17"/>
      <c r="AD547" s="17"/>
      <c r="AE547" s="17"/>
      <c r="AF547" s="17"/>
      <c r="AG547" s="298" t="s">
        <v>838</v>
      </c>
      <c r="AH547" s="298" t="s">
        <v>144</v>
      </c>
      <c r="AI547" s="298" t="s">
        <v>143</v>
      </c>
      <c r="AJ547" s="298" t="s">
        <v>142</v>
      </c>
      <c r="AK547" s="298">
        <v>32</v>
      </c>
      <c r="AL547" s="264"/>
      <c r="AM547" s="84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</row>
    <row r="548" spans="1:51" s="33" customFormat="1" ht="14.5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7"/>
      <c r="X548" s="18"/>
      <c r="Y548" s="18"/>
      <c r="Z548" s="18"/>
      <c r="AA548" s="17"/>
      <c r="AB548" s="17"/>
      <c r="AC548" s="17"/>
      <c r="AD548" s="17"/>
      <c r="AE548" s="17"/>
      <c r="AF548" s="17"/>
      <c r="AG548" s="298" t="s">
        <v>838</v>
      </c>
      <c r="AH548" s="298" t="s">
        <v>137</v>
      </c>
      <c r="AI548" s="298" t="s">
        <v>136</v>
      </c>
      <c r="AJ548" s="298" t="s">
        <v>135</v>
      </c>
      <c r="AK548" s="298">
        <v>36</v>
      </c>
      <c r="AL548" s="264"/>
      <c r="AM548" s="84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</row>
    <row r="549" spans="1:51" s="33" customFormat="1" ht="14.5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7"/>
      <c r="AB549" s="17"/>
      <c r="AC549" s="17"/>
      <c r="AD549" s="17"/>
      <c r="AE549" s="17"/>
      <c r="AF549" s="17"/>
      <c r="AG549" s="298" t="s">
        <v>838</v>
      </c>
      <c r="AH549" s="298" t="s">
        <v>134</v>
      </c>
      <c r="AI549" s="298" t="s">
        <v>133</v>
      </c>
      <c r="AJ549" s="298" t="s">
        <v>132</v>
      </c>
      <c r="AK549" s="298">
        <v>40</v>
      </c>
      <c r="AL549" s="264"/>
      <c r="AM549" s="84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</row>
    <row r="550" spans="1:51" s="33" customFormat="1" ht="14.5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7"/>
      <c r="AB550" s="17"/>
      <c r="AC550" s="17"/>
      <c r="AD550" s="17"/>
      <c r="AE550" s="17"/>
      <c r="AF550" s="17"/>
      <c r="AG550" s="298" t="s">
        <v>838</v>
      </c>
      <c r="AH550" s="298" t="s">
        <v>130</v>
      </c>
      <c r="AI550" s="298" t="s">
        <v>129</v>
      </c>
      <c r="AJ550" s="298" t="s">
        <v>128</v>
      </c>
      <c r="AK550" s="298">
        <v>44</v>
      </c>
      <c r="AL550" s="264"/>
      <c r="AM550" s="84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</row>
    <row r="551" spans="1:51" s="33" customFormat="1" ht="14.5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7"/>
      <c r="AB551" s="17"/>
      <c r="AC551" s="17"/>
      <c r="AD551" s="17"/>
      <c r="AE551" s="17"/>
      <c r="AF551" s="17"/>
      <c r="AG551" s="298" t="s">
        <v>838</v>
      </c>
      <c r="AH551" s="298" t="s">
        <v>125</v>
      </c>
      <c r="AI551" s="298" t="s">
        <v>124</v>
      </c>
      <c r="AJ551" s="298" t="s">
        <v>123</v>
      </c>
      <c r="AK551" s="298">
        <v>48</v>
      </c>
      <c r="AL551" s="264"/>
      <c r="AM551" s="84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</row>
    <row r="552" spans="1:51" s="33" customForma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7"/>
      <c r="AB552" s="17"/>
      <c r="AC552" s="17"/>
      <c r="AD552" s="17"/>
      <c r="AE552" s="17"/>
      <c r="AF552" s="17"/>
      <c r="AG552" s="64"/>
      <c r="AH552" s="64"/>
      <c r="AI552" s="64"/>
      <c r="AJ552" s="64"/>
      <c r="AK552" s="64"/>
      <c r="AL552" s="264"/>
      <c r="AM552" s="84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</row>
    <row r="553" spans="1:51" s="33" customFormat="1" x14ac:dyDescent="0.3">
      <c r="A553" s="63"/>
      <c r="B553" s="17"/>
      <c r="C553" s="18"/>
      <c r="D553" s="18"/>
      <c r="E553" s="84"/>
      <c r="F553" s="84"/>
      <c r="G553" s="84"/>
      <c r="H553" s="186"/>
      <c r="I553" s="186"/>
      <c r="J553" s="63"/>
      <c r="K553" s="18"/>
      <c r="L553" s="79"/>
      <c r="M553" s="18"/>
      <c r="N553" s="18"/>
      <c r="O553" s="17"/>
      <c r="P553" s="17"/>
      <c r="Q553" s="17"/>
      <c r="R553" s="18"/>
      <c r="S553" s="18"/>
      <c r="T553" s="18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64"/>
      <c r="AH553" s="64"/>
      <c r="AI553" s="64"/>
      <c r="AJ553" s="64"/>
      <c r="AK553" s="64"/>
      <c r="AL553" s="264"/>
      <c r="AM553" s="84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</row>
    <row r="554" spans="1:51" s="33" customFormat="1" x14ac:dyDescent="0.3">
      <c r="A554" s="63"/>
      <c r="B554" s="63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7"/>
      <c r="AA554" s="17"/>
      <c r="AB554" s="17"/>
      <c r="AC554" s="17"/>
      <c r="AD554" s="17"/>
      <c r="AE554" s="17"/>
      <c r="AF554" s="17"/>
      <c r="AG554" s="64"/>
      <c r="AH554" s="64"/>
      <c r="AI554" s="64"/>
      <c r="AJ554" s="64"/>
      <c r="AK554" s="64"/>
      <c r="AL554" s="264"/>
      <c r="AM554" s="17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</row>
    <row r="555" spans="1:51" s="33" customFormat="1" ht="15.5" x14ac:dyDescent="0.35">
      <c r="A555" s="256"/>
      <c r="B555" s="96" t="s">
        <v>2167</v>
      </c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87"/>
      <c r="O555" s="256"/>
      <c r="P555" s="287"/>
      <c r="Q555" s="256"/>
      <c r="R555" s="256"/>
      <c r="S555" s="256"/>
      <c r="T555" s="256"/>
      <c r="U555" s="256"/>
      <c r="V555" s="256"/>
      <c r="W555" s="287"/>
      <c r="X555" s="256"/>
      <c r="Y555" s="256"/>
      <c r="Z555" s="17"/>
      <c r="AA555" s="17"/>
      <c r="AB555" s="17"/>
      <c r="AC555" s="17"/>
      <c r="AD555" s="17"/>
      <c r="AE555" s="17"/>
      <c r="AF555" s="17"/>
      <c r="AG555" s="64"/>
      <c r="AH555" s="64"/>
      <c r="AI555" s="64"/>
      <c r="AJ555" s="64"/>
      <c r="AK555" s="64"/>
      <c r="AL555" s="264"/>
      <c r="AM555" s="84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</row>
    <row r="556" spans="1:51" s="33" customFormat="1" ht="13.5" thickBot="1" x14ac:dyDescent="0.35">
      <c r="A556" s="63"/>
      <c r="B556" s="63"/>
      <c r="C556" s="63"/>
      <c r="D556" s="63"/>
      <c r="E556" s="288"/>
      <c r="F556" s="288"/>
      <c r="G556" s="288"/>
      <c r="H556" s="63"/>
      <c r="I556" s="63"/>
      <c r="J556" s="63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64"/>
      <c r="AH556" s="64"/>
      <c r="AI556" s="64"/>
      <c r="AJ556" s="64"/>
      <c r="AK556" s="64"/>
      <c r="AL556" s="264"/>
      <c r="AM556" s="17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</row>
    <row r="557" spans="1:51" s="33" customFormat="1" ht="13.5" thickBot="1" x14ac:dyDescent="0.35">
      <c r="A557" s="17" t="s">
        <v>194</v>
      </c>
      <c r="B557" s="17" t="s">
        <v>2166</v>
      </c>
      <c r="C557" s="295" t="s">
        <v>271</v>
      </c>
      <c r="D557" s="290" t="s">
        <v>270</v>
      </c>
      <c r="E557" s="290">
        <v>2</v>
      </c>
      <c r="F557" s="290">
        <v>1</v>
      </c>
      <c r="G557" s="290">
        <v>0</v>
      </c>
      <c r="H557" s="89">
        <v>0</v>
      </c>
      <c r="I557" s="294" t="s">
        <v>1106</v>
      </c>
      <c r="J557" s="293"/>
      <c r="K557" s="84">
        <v>1059305</v>
      </c>
      <c r="L557" s="91" t="s">
        <v>2165</v>
      </c>
      <c r="M557" s="17"/>
      <c r="N557" s="17"/>
      <c r="O557" s="83"/>
      <c r="P557" s="83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64"/>
      <c r="AH557" s="64"/>
      <c r="AI557" s="64"/>
      <c r="AJ557" s="64"/>
      <c r="AK557" s="64"/>
      <c r="AL557" s="264"/>
      <c r="AM557" s="17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</row>
    <row r="558" spans="1:51" s="33" customFormat="1" x14ac:dyDescent="0.3">
      <c r="A558" s="63" t="str">
        <f>+A557</f>
        <v>BCV131</v>
      </c>
      <c r="B558" s="18" t="str">
        <f>+B557</f>
        <v>AX02</v>
      </c>
      <c r="C558" s="85" t="str">
        <f>+C557</f>
        <v>SIO1</v>
      </c>
      <c r="D558" s="85" t="str">
        <f>+D557</f>
        <v>SLC02</v>
      </c>
      <c r="E558" s="290">
        <f>+E557</f>
        <v>2</v>
      </c>
      <c r="F558" s="290">
        <f>+F557</f>
        <v>1</v>
      </c>
      <c r="G558" s="290">
        <f>+G557</f>
        <v>0</v>
      </c>
      <c r="H558" s="72">
        <v>1</v>
      </c>
      <c r="I558" s="77">
        <v>1</v>
      </c>
      <c r="J558" s="76" t="s">
        <v>269</v>
      </c>
      <c r="K558" s="65">
        <v>1044125</v>
      </c>
      <c r="L558" s="79" t="s">
        <v>244</v>
      </c>
      <c r="M558" s="18">
        <v>3</v>
      </c>
      <c r="N558" s="18" t="s">
        <v>2162</v>
      </c>
      <c r="O558" s="17" t="s">
        <v>2164</v>
      </c>
      <c r="P558" s="17"/>
      <c r="Q558" s="17" t="s">
        <v>2163</v>
      </c>
      <c r="R558" s="17" t="s">
        <v>211</v>
      </c>
      <c r="S558" s="17"/>
      <c r="T558" s="17" t="s">
        <v>194</v>
      </c>
      <c r="U558" s="17"/>
      <c r="V558" s="289" t="str">
        <f>+CONCATENATE(E558,".",F558,"\",G558,".",H558,":",I558)</f>
        <v>2.1\0.1:1</v>
      </c>
      <c r="W558" s="17" t="s">
        <v>2135</v>
      </c>
      <c r="X558" s="17">
        <v>0</v>
      </c>
      <c r="Y558" s="17"/>
      <c r="Z558" s="17"/>
      <c r="AA558" s="17"/>
      <c r="AB558" s="17"/>
      <c r="AC558" s="17"/>
      <c r="AD558" s="17"/>
      <c r="AE558" s="17"/>
      <c r="AF558" s="17"/>
      <c r="AG558" s="64"/>
      <c r="AH558" s="64"/>
      <c r="AI558" s="64"/>
      <c r="AJ558" s="64"/>
      <c r="AK558" s="64"/>
      <c r="AL558" s="264"/>
      <c r="AM558" s="17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</row>
    <row r="559" spans="1:51" s="33" customFormat="1" x14ac:dyDescent="0.3">
      <c r="A559" s="63" t="str">
        <f>+A558</f>
        <v>BCV131</v>
      </c>
      <c r="B559" s="18" t="str">
        <f>+B558</f>
        <v>AX02</v>
      </c>
      <c r="C559" s="85" t="str">
        <f>+C558</f>
        <v>SIO1</v>
      </c>
      <c r="D559" s="85" t="str">
        <f>+D558</f>
        <v>SLC02</v>
      </c>
      <c r="E559" s="290">
        <f>+E558</f>
        <v>2</v>
      </c>
      <c r="F559" s="290">
        <f>+F558</f>
        <v>1</v>
      </c>
      <c r="G559" s="290">
        <f>+G558</f>
        <v>0</v>
      </c>
      <c r="H559" s="72">
        <f>+H558</f>
        <v>1</v>
      </c>
      <c r="I559" s="75">
        <v>2</v>
      </c>
      <c r="J559" s="74" t="s">
        <v>265</v>
      </c>
      <c r="K559" s="84">
        <v>1047162</v>
      </c>
      <c r="L559" s="79" t="s">
        <v>244</v>
      </c>
      <c r="M559" s="18">
        <v>3</v>
      </c>
      <c r="N559" s="18" t="s">
        <v>2162</v>
      </c>
      <c r="O559" s="17" t="s">
        <v>2161</v>
      </c>
      <c r="P559" s="17"/>
      <c r="Q559" s="17" t="s">
        <v>2160</v>
      </c>
      <c r="R559" s="17" t="s">
        <v>211</v>
      </c>
      <c r="S559" s="17"/>
      <c r="T559" s="17" t="str">
        <f>+T558</f>
        <v>BCV131</v>
      </c>
      <c r="U559" s="17"/>
      <c r="V559" s="289" t="str">
        <f>+CONCATENATE(E559,".",F559,"\",G559,".",H559,":",I559)</f>
        <v>2.1\0.1:2</v>
      </c>
      <c r="W559" s="17" t="s">
        <v>2135</v>
      </c>
      <c r="X559" s="17">
        <v>0</v>
      </c>
      <c r="Y559" s="17"/>
      <c r="Z559" s="17"/>
      <c r="AA559" s="17"/>
      <c r="AB559" s="17"/>
      <c r="AC559" s="17"/>
      <c r="AD559" s="17"/>
      <c r="AE559" s="17"/>
      <c r="AF559" s="17"/>
      <c r="AG559" s="64"/>
      <c r="AH559" s="64"/>
      <c r="AI559" s="64"/>
      <c r="AJ559" s="64"/>
      <c r="AK559" s="64"/>
      <c r="AL559" s="264"/>
      <c r="AM559" s="17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</row>
    <row r="560" spans="1:51" s="33" customFormat="1" x14ac:dyDescent="0.3">
      <c r="A560" s="63" t="str">
        <f>+A559</f>
        <v>BCV131</v>
      </c>
      <c r="B560" s="18" t="str">
        <f>+B559</f>
        <v>AX02</v>
      </c>
      <c r="C560" s="85" t="str">
        <f>+C559</f>
        <v>SIO1</v>
      </c>
      <c r="D560" s="85" t="str">
        <f>+D559</f>
        <v>SLC02</v>
      </c>
      <c r="E560" s="290">
        <f>+E559</f>
        <v>2</v>
      </c>
      <c r="F560" s="290">
        <f>+F559</f>
        <v>1</v>
      </c>
      <c r="G560" s="290">
        <f>+G559</f>
        <v>0</v>
      </c>
      <c r="H560" s="72">
        <f>+H559</f>
        <v>1</v>
      </c>
      <c r="I560" s="75">
        <v>3</v>
      </c>
      <c r="J560" s="74" t="s">
        <v>261</v>
      </c>
      <c r="K560" s="85"/>
      <c r="L560" s="79" t="s">
        <v>244</v>
      </c>
      <c r="M560" s="18">
        <v>3</v>
      </c>
      <c r="N560" s="18" t="s">
        <v>2157</v>
      </c>
      <c r="O560" s="17" t="s">
        <v>2159</v>
      </c>
      <c r="P560" s="17"/>
      <c r="Q560" s="17" t="s">
        <v>2158</v>
      </c>
      <c r="R560" s="17" t="s">
        <v>211</v>
      </c>
      <c r="S560" s="17"/>
      <c r="T560" s="17" t="str">
        <f>+T559</f>
        <v>BCV131</v>
      </c>
      <c r="U560" s="17"/>
      <c r="V560" s="289" t="str">
        <f>+CONCATENATE(E560,".",F560,"\",G560,".",H560,":",I560)</f>
        <v>2.1\0.1:3</v>
      </c>
      <c r="W560" s="17" t="s">
        <v>2135</v>
      </c>
      <c r="X560" s="17">
        <v>0</v>
      </c>
      <c r="Y560" s="17"/>
      <c r="Z560" s="17"/>
      <c r="AA560" s="17"/>
      <c r="AB560" s="17"/>
      <c r="AC560" s="17"/>
      <c r="AD560" s="17"/>
      <c r="AE560" s="17"/>
      <c r="AF560" s="17"/>
      <c r="AG560" s="64"/>
      <c r="AH560" s="64"/>
      <c r="AI560" s="64"/>
      <c r="AJ560" s="64"/>
      <c r="AK560" s="64"/>
      <c r="AL560" s="264"/>
      <c r="AM560" s="17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</row>
    <row r="561" spans="1:51" s="33" customFormat="1" x14ac:dyDescent="0.3">
      <c r="A561" s="63" t="str">
        <f>+A560</f>
        <v>BCV131</v>
      </c>
      <c r="B561" s="18" t="str">
        <f>+B560</f>
        <v>AX02</v>
      </c>
      <c r="C561" s="85" t="str">
        <f>+C560</f>
        <v>SIO1</v>
      </c>
      <c r="D561" s="85" t="str">
        <f>+D560</f>
        <v>SLC02</v>
      </c>
      <c r="E561" s="290">
        <f>+E560</f>
        <v>2</v>
      </c>
      <c r="F561" s="290">
        <f>+F560</f>
        <v>1</v>
      </c>
      <c r="G561" s="290">
        <f>+G560</f>
        <v>0</v>
      </c>
      <c r="H561" s="72">
        <f>+H560</f>
        <v>1</v>
      </c>
      <c r="I561" s="75">
        <v>4</v>
      </c>
      <c r="J561" s="74" t="s">
        <v>257</v>
      </c>
      <c r="K561" s="85"/>
      <c r="L561" s="79" t="s">
        <v>244</v>
      </c>
      <c r="M561" s="18">
        <v>3</v>
      </c>
      <c r="N561" s="18" t="s">
        <v>2157</v>
      </c>
      <c r="O561" s="17" t="s">
        <v>2156</v>
      </c>
      <c r="P561" s="17"/>
      <c r="Q561" s="17" t="s">
        <v>2155</v>
      </c>
      <c r="R561" s="17" t="s">
        <v>211</v>
      </c>
      <c r="S561" s="17"/>
      <c r="T561" s="17" t="str">
        <f>+T560</f>
        <v>BCV131</v>
      </c>
      <c r="U561" s="17"/>
      <c r="V561" s="289" t="str">
        <f>+CONCATENATE(E561,".",F561,"\",G561,".",H561,":",I561)</f>
        <v>2.1\0.1:4</v>
      </c>
      <c r="W561" s="17" t="s">
        <v>2135</v>
      </c>
      <c r="X561" s="17">
        <v>0</v>
      </c>
      <c r="Y561" s="17"/>
      <c r="Z561" s="17"/>
      <c r="AA561" s="17"/>
      <c r="AB561" s="17"/>
      <c r="AC561" s="17"/>
      <c r="AD561" s="17"/>
      <c r="AE561" s="17"/>
      <c r="AF561" s="17"/>
      <c r="AG561" s="64"/>
      <c r="AH561" s="64"/>
      <c r="AI561" s="64"/>
      <c r="AJ561" s="64"/>
      <c r="AK561" s="64"/>
      <c r="AL561" s="264"/>
      <c r="AM561" s="17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</row>
    <row r="562" spans="1:51" s="33" customFormat="1" x14ac:dyDescent="0.3">
      <c r="A562" s="63" t="str">
        <f>+A561</f>
        <v>BCV131</v>
      </c>
      <c r="B562" s="18" t="str">
        <f>+B561</f>
        <v>AX02</v>
      </c>
      <c r="C562" s="85" t="str">
        <f>+C561</f>
        <v>SIO1</v>
      </c>
      <c r="D562" s="85" t="str">
        <f>+D561</f>
        <v>SLC02</v>
      </c>
      <c r="E562" s="290">
        <f>+E561</f>
        <v>2</v>
      </c>
      <c r="F562" s="290">
        <f>+F561</f>
        <v>1</v>
      </c>
      <c r="G562" s="290">
        <f>+G561</f>
        <v>0</v>
      </c>
      <c r="H562" s="72">
        <f>+H561</f>
        <v>1</v>
      </c>
      <c r="I562" s="75">
        <v>5</v>
      </c>
      <c r="J562" s="74" t="s">
        <v>1325</v>
      </c>
      <c r="K562" s="85"/>
      <c r="L562" s="79" t="s">
        <v>244</v>
      </c>
      <c r="M562" s="18">
        <v>3</v>
      </c>
      <c r="N562" s="18" t="s">
        <v>2152</v>
      </c>
      <c r="O562" s="17" t="s">
        <v>2154</v>
      </c>
      <c r="P562" s="17"/>
      <c r="Q562" s="17" t="s">
        <v>2153</v>
      </c>
      <c r="R562" s="17" t="s">
        <v>211</v>
      </c>
      <c r="S562" s="17"/>
      <c r="T562" s="17" t="str">
        <f>+T561</f>
        <v>BCV131</v>
      </c>
      <c r="U562" s="17"/>
      <c r="V562" s="289" t="str">
        <f>+CONCATENATE(E562,".",F562,"\",G562,".",H562,":",I562)</f>
        <v>2.1\0.1:5</v>
      </c>
      <c r="W562" s="17" t="s">
        <v>2135</v>
      </c>
      <c r="X562" s="17">
        <v>0</v>
      </c>
      <c r="Y562" s="17"/>
      <c r="Z562" s="17"/>
      <c r="AA562" s="17"/>
      <c r="AB562" s="17"/>
      <c r="AC562" s="17"/>
      <c r="AD562" s="17"/>
      <c r="AE562" s="17"/>
      <c r="AF562" s="17"/>
      <c r="AG562" s="64"/>
      <c r="AH562" s="64"/>
      <c r="AI562" s="64"/>
      <c r="AJ562" s="64"/>
      <c r="AK562" s="64"/>
      <c r="AL562" s="264"/>
      <c r="AM562" s="17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</row>
    <row r="563" spans="1:51" s="33" customFormat="1" x14ac:dyDescent="0.3">
      <c r="A563" s="63" t="str">
        <f>+A562</f>
        <v>BCV131</v>
      </c>
      <c r="B563" s="18" t="str">
        <f>+B562</f>
        <v>AX02</v>
      </c>
      <c r="C563" s="85" t="str">
        <f>+C562</f>
        <v>SIO1</v>
      </c>
      <c r="D563" s="85" t="str">
        <f>+D562</f>
        <v>SLC02</v>
      </c>
      <c r="E563" s="290">
        <f>+E562</f>
        <v>2</v>
      </c>
      <c r="F563" s="290">
        <f>+F562</f>
        <v>1</v>
      </c>
      <c r="G563" s="290">
        <f>+G562</f>
        <v>0</v>
      </c>
      <c r="H563" s="72">
        <f>+H562</f>
        <v>1</v>
      </c>
      <c r="I563" s="75">
        <v>6</v>
      </c>
      <c r="J563" s="74" t="s">
        <v>1323</v>
      </c>
      <c r="K563" s="292"/>
      <c r="L563" s="79" t="s">
        <v>244</v>
      </c>
      <c r="M563" s="18">
        <v>3</v>
      </c>
      <c r="N563" s="18" t="s">
        <v>2152</v>
      </c>
      <c r="O563" s="17" t="s">
        <v>2151</v>
      </c>
      <c r="P563" s="17"/>
      <c r="Q563" s="17" t="s">
        <v>2150</v>
      </c>
      <c r="R563" s="17" t="s">
        <v>211</v>
      </c>
      <c r="S563" s="17"/>
      <c r="T563" s="17" t="str">
        <f>+T562</f>
        <v>BCV131</v>
      </c>
      <c r="U563" s="17"/>
      <c r="V563" s="289" t="str">
        <f>+CONCATENATE(E563,".",F563,"\",G563,".",H563,":",I563)</f>
        <v>2.1\0.1:6</v>
      </c>
      <c r="W563" s="17" t="s">
        <v>2135</v>
      </c>
      <c r="X563" s="17">
        <v>0</v>
      </c>
      <c r="Y563" s="17"/>
      <c r="Z563" s="17"/>
      <c r="AA563" s="17"/>
      <c r="AB563" s="17"/>
      <c r="AC563" s="17"/>
      <c r="AD563" s="17"/>
      <c r="AE563" s="17"/>
      <c r="AF563" s="17"/>
      <c r="AG563" s="64"/>
      <c r="AH563" s="64"/>
      <c r="AI563" s="64"/>
      <c r="AJ563" s="64"/>
      <c r="AK563" s="64"/>
      <c r="AL563" s="264"/>
      <c r="AM563" s="17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</row>
    <row r="564" spans="1:51" s="33" customFormat="1" x14ac:dyDescent="0.3">
      <c r="A564" s="63" t="str">
        <f>+A563</f>
        <v>BCV131</v>
      </c>
      <c r="B564" s="18" t="str">
        <f>+B563</f>
        <v>AX02</v>
      </c>
      <c r="C564" s="85" t="str">
        <f>+C563</f>
        <v>SIO1</v>
      </c>
      <c r="D564" s="85" t="str">
        <f>+D563</f>
        <v>SLC02</v>
      </c>
      <c r="E564" s="290">
        <f>+E563</f>
        <v>2</v>
      </c>
      <c r="F564" s="290">
        <f>+F563</f>
        <v>1</v>
      </c>
      <c r="G564" s="290">
        <f>+G563</f>
        <v>0</v>
      </c>
      <c r="H564" s="72">
        <f>+H563</f>
        <v>1</v>
      </c>
      <c r="I564" s="75">
        <v>7</v>
      </c>
      <c r="J564" s="74" t="s">
        <v>246</v>
      </c>
      <c r="K564" s="85"/>
      <c r="L564" s="79" t="s">
        <v>244</v>
      </c>
      <c r="M564" s="18">
        <v>3</v>
      </c>
      <c r="N564" s="18" t="s">
        <v>2147</v>
      </c>
      <c r="O564" s="17" t="s">
        <v>2149</v>
      </c>
      <c r="P564" s="17"/>
      <c r="Q564" s="17" t="s">
        <v>2148</v>
      </c>
      <c r="R564" s="17" t="s">
        <v>211</v>
      </c>
      <c r="S564" s="17"/>
      <c r="T564" s="17" t="str">
        <f>+T563</f>
        <v>BCV131</v>
      </c>
      <c r="U564" s="17"/>
      <c r="V564" s="289" t="str">
        <f>+CONCATENATE(E564,".",F564,"\",G564,".",H564,":",I564)</f>
        <v>2.1\0.1:7</v>
      </c>
      <c r="W564" s="17" t="s">
        <v>2135</v>
      </c>
      <c r="X564" s="17">
        <v>0</v>
      </c>
      <c r="Y564" s="17"/>
      <c r="Z564" s="17"/>
      <c r="AA564" s="17"/>
      <c r="AB564" s="17"/>
      <c r="AC564" s="17"/>
      <c r="AD564" s="17"/>
      <c r="AE564" s="17"/>
      <c r="AF564" s="17"/>
      <c r="AG564" s="64"/>
      <c r="AH564" s="64"/>
      <c r="AI564" s="64"/>
      <c r="AJ564" s="64"/>
      <c r="AK564" s="64"/>
      <c r="AL564" s="264"/>
      <c r="AM564" s="17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</row>
    <row r="565" spans="1:51" s="33" customFormat="1" x14ac:dyDescent="0.3">
      <c r="A565" s="63" t="str">
        <f>+A564</f>
        <v>BCV131</v>
      </c>
      <c r="B565" s="18" t="str">
        <f>+B564</f>
        <v>AX02</v>
      </c>
      <c r="C565" s="85" t="str">
        <f>+C564</f>
        <v>SIO1</v>
      </c>
      <c r="D565" s="85" t="str">
        <f>+D564</f>
        <v>SLC02</v>
      </c>
      <c r="E565" s="290">
        <f>+E564</f>
        <v>2</v>
      </c>
      <c r="F565" s="290">
        <f>+F564</f>
        <v>1</v>
      </c>
      <c r="G565" s="290">
        <f>+G564</f>
        <v>0</v>
      </c>
      <c r="H565" s="72">
        <f>+H564</f>
        <v>1</v>
      </c>
      <c r="I565" s="75">
        <v>8</v>
      </c>
      <c r="J565" s="74" t="s">
        <v>245</v>
      </c>
      <c r="K565" s="85"/>
      <c r="L565" s="79" t="s">
        <v>244</v>
      </c>
      <c r="M565" s="18">
        <v>3</v>
      </c>
      <c r="N565" s="18" t="s">
        <v>2147</v>
      </c>
      <c r="O565" s="17" t="s">
        <v>2146</v>
      </c>
      <c r="P565" s="17"/>
      <c r="Q565" s="17" t="s">
        <v>2145</v>
      </c>
      <c r="R565" s="17" t="s">
        <v>211</v>
      </c>
      <c r="S565" s="17"/>
      <c r="T565" s="17" t="str">
        <f>+T564</f>
        <v>BCV131</v>
      </c>
      <c r="U565" s="17"/>
      <c r="V565" s="289" t="str">
        <f>+CONCATENATE(E565,".",F565,"\",G565,".",H565,":",I565)</f>
        <v>2.1\0.1:8</v>
      </c>
      <c r="W565" s="17" t="s">
        <v>2135</v>
      </c>
      <c r="X565" s="17">
        <v>0</v>
      </c>
      <c r="Y565" s="17"/>
      <c r="Z565" s="17"/>
      <c r="AA565" s="17"/>
      <c r="AB565" s="17"/>
      <c r="AC565" s="17"/>
      <c r="AD565" s="17"/>
      <c r="AE565" s="17"/>
      <c r="AF565" s="17"/>
      <c r="AG565" s="64"/>
      <c r="AH565" s="64"/>
      <c r="AI565" s="64"/>
      <c r="AJ565" s="64"/>
      <c r="AK565" s="64"/>
      <c r="AL565" s="264"/>
      <c r="AM565" s="17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</row>
    <row r="566" spans="1:51" s="33" customFormat="1" x14ac:dyDescent="0.3">
      <c r="A566" s="63" t="str">
        <f>+A565</f>
        <v>BCV131</v>
      </c>
      <c r="B566" s="18" t="str">
        <f>+B565</f>
        <v>AX02</v>
      </c>
      <c r="C566" s="85" t="str">
        <f>+C565</f>
        <v>SIO1</v>
      </c>
      <c r="D566" s="85" t="str">
        <f>+D565</f>
        <v>SLC02</v>
      </c>
      <c r="E566" s="290">
        <f>+E565</f>
        <v>2</v>
      </c>
      <c r="F566" s="290">
        <f>+F565</f>
        <v>1</v>
      </c>
      <c r="G566" s="290">
        <f>+G565</f>
        <v>0</v>
      </c>
      <c r="H566" s="72">
        <f>+H565</f>
        <v>1</v>
      </c>
      <c r="I566" s="75">
        <v>1</v>
      </c>
      <c r="J566" s="81" t="s">
        <v>1321</v>
      </c>
      <c r="K566" s="85"/>
      <c r="L566" s="79" t="s">
        <v>235</v>
      </c>
      <c r="M566" s="18">
        <v>3</v>
      </c>
      <c r="N566" s="18" t="s">
        <v>2143</v>
      </c>
      <c r="O566" s="17" t="s">
        <v>2144</v>
      </c>
      <c r="P566" s="17"/>
      <c r="Q566" s="17" t="s">
        <v>1335</v>
      </c>
      <c r="R566" s="17" t="s">
        <v>922</v>
      </c>
      <c r="S566" s="17"/>
      <c r="T566" s="17" t="str">
        <f>+T565</f>
        <v>BCV131</v>
      </c>
      <c r="U566" s="17"/>
      <c r="V566" s="289" t="str">
        <f>+CONCATENATE(E566,".",F566,"\",G566,".",H566,":",I566)</f>
        <v>2.1\0.1:1</v>
      </c>
      <c r="W566" s="17" t="s">
        <v>2135</v>
      </c>
      <c r="X566" s="17">
        <v>0</v>
      </c>
      <c r="Y566" s="17"/>
      <c r="Z566" s="17"/>
      <c r="AA566" s="17"/>
      <c r="AB566" s="17"/>
      <c r="AC566" s="17"/>
      <c r="AD566" s="17"/>
      <c r="AE566" s="17"/>
      <c r="AF566" s="17"/>
      <c r="AG566" s="64"/>
      <c r="AH566" s="64"/>
      <c r="AI566" s="64"/>
      <c r="AJ566" s="64"/>
      <c r="AK566" s="64"/>
      <c r="AL566" s="264"/>
      <c r="AM566" s="17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</row>
    <row r="567" spans="1:51" s="33" customFormat="1" x14ac:dyDescent="0.3">
      <c r="A567" s="63" t="str">
        <f>+A566</f>
        <v>BCV131</v>
      </c>
      <c r="B567" s="18" t="str">
        <f>+B566</f>
        <v>AX02</v>
      </c>
      <c r="C567" s="85" t="str">
        <f>+C566</f>
        <v>SIO1</v>
      </c>
      <c r="D567" s="85" t="str">
        <f>+D566</f>
        <v>SLC02</v>
      </c>
      <c r="E567" s="290">
        <f>+E566</f>
        <v>2</v>
      </c>
      <c r="F567" s="290">
        <f>+F566</f>
        <v>1</v>
      </c>
      <c r="G567" s="290">
        <f>+G566</f>
        <v>0</v>
      </c>
      <c r="H567" s="72">
        <f>+H566</f>
        <v>1</v>
      </c>
      <c r="I567" s="75">
        <v>2</v>
      </c>
      <c r="J567" s="74" t="s">
        <v>1320</v>
      </c>
      <c r="K567" s="85"/>
      <c r="L567" s="79" t="s">
        <v>235</v>
      </c>
      <c r="M567" s="18">
        <v>3</v>
      </c>
      <c r="N567" s="18" t="s">
        <v>2143</v>
      </c>
      <c r="O567" s="17" t="s">
        <v>2142</v>
      </c>
      <c r="P567" s="17"/>
      <c r="Q567" s="17" t="s">
        <v>1330</v>
      </c>
      <c r="R567" s="17" t="s">
        <v>922</v>
      </c>
      <c r="S567" s="17"/>
      <c r="T567" s="17" t="str">
        <f>+T566</f>
        <v>BCV131</v>
      </c>
      <c r="U567" s="17"/>
      <c r="V567" s="289" t="str">
        <f>+CONCATENATE(E567,".",F567,"\",G567,".",H567,":",I567)</f>
        <v>2.1\0.1:2</v>
      </c>
      <c r="W567" s="17" t="s">
        <v>2135</v>
      </c>
      <c r="X567" s="17">
        <v>0</v>
      </c>
      <c r="Y567" s="17"/>
      <c r="Z567" s="17"/>
      <c r="AA567" s="17"/>
      <c r="AB567" s="17"/>
      <c r="AC567" s="17"/>
      <c r="AD567" s="17"/>
      <c r="AE567" s="17"/>
      <c r="AF567" s="17"/>
      <c r="AG567" s="64"/>
      <c r="AH567" s="64"/>
      <c r="AI567" s="64"/>
      <c r="AJ567" s="64"/>
      <c r="AK567" s="64"/>
      <c r="AL567" s="264"/>
      <c r="AM567" s="17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</row>
    <row r="568" spans="1:51" s="33" customFormat="1" x14ac:dyDescent="0.3">
      <c r="A568" s="63" t="str">
        <f>+A567</f>
        <v>BCV131</v>
      </c>
      <c r="B568" s="18" t="str">
        <f>+B567</f>
        <v>AX02</v>
      </c>
      <c r="C568" s="85" t="str">
        <f>+C567</f>
        <v>SIO1</v>
      </c>
      <c r="D568" s="85" t="str">
        <f>+D567</f>
        <v>SLC02</v>
      </c>
      <c r="E568" s="290">
        <f>+E567</f>
        <v>2</v>
      </c>
      <c r="F568" s="290">
        <f>+F567</f>
        <v>1</v>
      </c>
      <c r="G568" s="290">
        <f>+G567</f>
        <v>0</v>
      </c>
      <c r="H568" s="72">
        <f>+H567</f>
        <v>1</v>
      </c>
      <c r="I568" s="75">
        <v>3</v>
      </c>
      <c r="J568" s="74" t="s">
        <v>1319</v>
      </c>
      <c r="K568" s="85"/>
      <c r="L568" s="79" t="s">
        <v>235</v>
      </c>
      <c r="M568" s="18">
        <v>3</v>
      </c>
      <c r="N568" s="18" t="s">
        <v>2141</v>
      </c>
      <c r="O568" s="17" t="s">
        <v>2140</v>
      </c>
      <c r="P568" s="17"/>
      <c r="Q568" s="17" t="s">
        <v>1330</v>
      </c>
      <c r="R568" s="17" t="s">
        <v>922</v>
      </c>
      <c r="S568" s="17"/>
      <c r="T568" s="17" t="str">
        <f>+T567</f>
        <v>BCV131</v>
      </c>
      <c r="U568" s="17"/>
      <c r="V568" s="289" t="str">
        <f>+CONCATENATE(E568,".",F568,"\",G568,".",H568,":",I568)</f>
        <v>2.1\0.1:3</v>
      </c>
      <c r="W568" s="17" t="s">
        <v>2135</v>
      </c>
      <c r="X568" s="17">
        <v>0</v>
      </c>
      <c r="Y568" s="17"/>
      <c r="Z568" s="17"/>
      <c r="AA568" s="17"/>
      <c r="AB568" s="17"/>
      <c r="AC568" s="17"/>
      <c r="AD568" s="17"/>
      <c r="AE568" s="17"/>
      <c r="AF568" s="17"/>
      <c r="AG568" s="64"/>
      <c r="AH568" s="64"/>
      <c r="AI568" s="64"/>
      <c r="AJ568" s="64"/>
      <c r="AK568" s="64"/>
      <c r="AL568" s="264"/>
      <c r="AM568" s="17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</row>
    <row r="569" spans="1:51" s="33" customFormat="1" ht="13.5" thickBot="1" x14ac:dyDescent="0.35">
      <c r="A569" s="63" t="str">
        <f>+A568</f>
        <v>BCV131</v>
      </c>
      <c r="B569" s="18" t="str">
        <f>+B568</f>
        <v>AX02</v>
      </c>
      <c r="C569" s="85" t="str">
        <f>+C568</f>
        <v>SIO1</v>
      </c>
      <c r="D569" s="85" t="str">
        <f>+D568</f>
        <v>SLC02</v>
      </c>
      <c r="E569" s="290">
        <f>+E568</f>
        <v>2</v>
      </c>
      <c r="F569" s="290">
        <f>+F568</f>
        <v>1</v>
      </c>
      <c r="G569" s="290">
        <f>+G568</f>
        <v>0</v>
      </c>
      <c r="H569" s="72">
        <f>+H568</f>
        <v>1</v>
      </c>
      <c r="I569" s="71">
        <v>4</v>
      </c>
      <c r="J569" s="70" t="s">
        <v>1318</v>
      </c>
      <c r="K569" s="85"/>
      <c r="L569" s="79" t="s">
        <v>235</v>
      </c>
      <c r="M569" s="18">
        <v>3</v>
      </c>
      <c r="N569" s="18"/>
      <c r="O569" s="17"/>
      <c r="P569" s="17"/>
      <c r="Q569" s="17" t="s">
        <v>127</v>
      </c>
      <c r="R569" s="17"/>
      <c r="S569" s="17"/>
      <c r="T569" s="17"/>
      <c r="U569" s="17"/>
      <c r="V569" s="289" t="str">
        <f>+CONCATENATE(E569,".",F569,"\",G569,".",H569,":",I569)</f>
        <v>2.1\0.1:4</v>
      </c>
      <c r="W569" s="17" t="s">
        <v>2135</v>
      </c>
      <c r="X569" s="17">
        <v>0</v>
      </c>
      <c r="Y569" s="17"/>
      <c r="Z569" s="17"/>
      <c r="AA569" s="17"/>
      <c r="AB569" s="17"/>
      <c r="AC569" s="17"/>
      <c r="AD569" s="17"/>
      <c r="AE569" s="17"/>
      <c r="AF569" s="17"/>
      <c r="AG569" s="64"/>
      <c r="AH569" s="64"/>
      <c r="AI569" s="64"/>
      <c r="AJ569" s="64"/>
      <c r="AK569" s="64"/>
      <c r="AL569" s="264"/>
      <c r="AM569" s="17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</row>
    <row r="570" spans="1:51" s="33" customFormat="1" x14ac:dyDescent="0.3">
      <c r="A570" s="63" t="str">
        <f>+A569</f>
        <v>BCV131</v>
      </c>
      <c r="B570" s="18" t="str">
        <f>+B569</f>
        <v>AX02</v>
      </c>
      <c r="C570" s="85" t="str">
        <f>+C569</f>
        <v>SIO1</v>
      </c>
      <c r="D570" s="85" t="str">
        <f>+D569</f>
        <v>SLC02</v>
      </c>
      <c r="E570" s="290">
        <f>+E569</f>
        <v>2</v>
      </c>
      <c r="F570" s="290">
        <f>+F569</f>
        <v>1</v>
      </c>
      <c r="G570" s="290">
        <f>+G569</f>
        <v>0</v>
      </c>
      <c r="H570" s="72">
        <v>2</v>
      </c>
      <c r="I570" s="77">
        <v>1</v>
      </c>
      <c r="J570" s="76" t="s">
        <v>269</v>
      </c>
      <c r="K570" s="85">
        <v>1044125</v>
      </c>
      <c r="L570" s="79" t="s">
        <v>244</v>
      </c>
      <c r="M570" s="18">
        <v>3</v>
      </c>
      <c r="N570" s="18" t="s">
        <v>2127</v>
      </c>
      <c r="O570" s="291" t="s">
        <v>2139</v>
      </c>
      <c r="P570" s="291"/>
      <c r="Q570" s="291" t="s">
        <v>2138</v>
      </c>
      <c r="R570" s="17" t="s">
        <v>211</v>
      </c>
      <c r="S570" s="17"/>
      <c r="T570" s="17" t="str">
        <f>+T561</f>
        <v>BCV131</v>
      </c>
      <c r="U570" s="17"/>
      <c r="V570" s="289" t="str">
        <f>+CONCATENATE(E570,".",F570,"\",G570,".",H570,":",I570)</f>
        <v>2.1\0.2:1</v>
      </c>
      <c r="W570" s="17" t="s">
        <v>2135</v>
      </c>
      <c r="X570" s="17">
        <v>0</v>
      </c>
      <c r="Y570" s="17"/>
      <c r="Z570" s="17"/>
      <c r="AA570" s="17"/>
      <c r="AB570" s="17"/>
      <c r="AC570" s="17"/>
      <c r="AD570" s="17"/>
      <c r="AE570" s="17"/>
      <c r="AF570" s="17"/>
      <c r="AG570" s="64"/>
      <c r="AH570" s="64"/>
      <c r="AI570" s="64"/>
      <c r="AJ570" s="64"/>
      <c r="AK570" s="64"/>
      <c r="AL570" s="264"/>
      <c r="AM570" s="17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</row>
    <row r="571" spans="1:51" s="33" customFormat="1" x14ac:dyDescent="0.3">
      <c r="A571" s="63" t="str">
        <f>+A570</f>
        <v>BCV131</v>
      </c>
      <c r="B571" s="18" t="str">
        <f>+B570</f>
        <v>AX02</v>
      </c>
      <c r="C571" s="85" t="str">
        <f>+C570</f>
        <v>SIO1</v>
      </c>
      <c r="D571" s="85" t="str">
        <f>+D570</f>
        <v>SLC02</v>
      </c>
      <c r="E571" s="290">
        <f>+E570</f>
        <v>2</v>
      </c>
      <c r="F571" s="290">
        <f>+F570</f>
        <v>1</v>
      </c>
      <c r="G571" s="290">
        <f>+G570</f>
        <v>0</v>
      </c>
      <c r="H571" s="72">
        <f>+H570</f>
        <v>2</v>
      </c>
      <c r="I571" s="75">
        <v>2</v>
      </c>
      <c r="J571" s="74" t="s">
        <v>265</v>
      </c>
      <c r="K571" s="85"/>
      <c r="L571" s="79" t="s">
        <v>244</v>
      </c>
      <c r="M571" s="18">
        <v>3</v>
      </c>
      <c r="N571" s="18" t="s">
        <v>2127</v>
      </c>
      <c r="O571" s="291" t="s">
        <v>2137</v>
      </c>
      <c r="P571" s="291"/>
      <c r="Q571" s="291" t="s">
        <v>2136</v>
      </c>
      <c r="R571" s="17" t="s">
        <v>211</v>
      </c>
      <c r="S571" s="17"/>
      <c r="T571" s="17" t="str">
        <f>+T570</f>
        <v>BCV131</v>
      </c>
      <c r="U571" s="17"/>
      <c r="V571" s="289" t="str">
        <f>+CONCATENATE(E571,".",F571,"\",G571,".",H571,":",I571)</f>
        <v>2.1\0.2:2</v>
      </c>
      <c r="W571" s="17" t="s">
        <v>2135</v>
      </c>
      <c r="X571" s="17">
        <v>0</v>
      </c>
      <c r="Y571" s="17"/>
      <c r="Z571" s="17"/>
      <c r="AA571" s="17"/>
      <c r="AB571" s="17"/>
      <c r="AC571" s="17"/>
      <c r="AD571" s="17"/>
      <c r="AE571" s="17"/>
      <c r="AF571" s="17"/>
      <c r="AG571" s="64"/>
      <c r="AH571" s="64"/>
      <c r="AI571" s="64"/>
      <c r="AJ571" s="64"/>
      <c r="AK571" s="64"/>
      <c r="AL571" s="264"/>
      <c r="AM571" s="17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</row>
    <row r="572" spans="1:51" s="33" customFormat="1" x14ac:dyDescent="0.3">
      <c r="A572" s="63" t="str">
        <f>+A571</f>
        <v>BCV131</v>
      </c>
      <c r="B572" s="18" t="str">
        <f>+B571</f>
        <v>AX02</v>
      </c>
      <c r="C572" s="85" t="str">
        <f>+C571</f>
        <v>SIO1</v>
      </c>
      <c r="D572" s="85" t="str">
        <f>+D571</f>
        <v>SLC02</v>
      </c>
      <c r="E572" s="290">
        <f>+E571</f>
        <v>2</v>
      </c>
      <c r="F572" s="290">
        <f>+F571</f>
        <v>1</v>
      </c>
      <c r="G572" s="290">
        <f>+G571</f>
        <v>0</v>
      </c>
      <c r="H572" s="72">
        <f>+H571</f>
        <v>2</v>
      </c>
      <c r="I572" s="75">
        <v>3</v>
      </c>
      <c r="J572" s="74" t="s">
        <v>261</v>
      </c>
      <c r="K572" s="85"/>
      <c r="L572" s="79" t="s">
        <v>244</v>
      </c>
      <c r="M572" s="18">
        <v>3</v>
      </c>
      <c r="N572" s="18"/>
      <c r="O572" s="291"/>
      <c r="P572" s="291"/>
      <c r="Q572" s="291" t="s">
        <v>127</v>
      </c>
      <c r="R572" s="17"/>
      <c r="S572" s="17"/>
      <c r="T572" s="17"/>
      <c r="U572" s="17"/>
      <c r="V572" s="289" t="str">
        <f>+CONCATENATE(E572,".",F572,"\",G572,".",H572,":",I572)</f>
        <v>2.1\0.2:3</v>
      </c>
      <c r="W572" s="17" t="s">
        <v>2135</v>
      </c>
      <c r="X572" s="17">
        <v>0</v>
      </c>
      <c r="Y572" s="17"/>
      <c r="Z572" s="17"/>
      <c r="AA572" s="17"/>
      <c r="AB572" s="17"/>
      <c r="AC572" s="17"/>
      <c r="AD572" s="17"/>
      <c r="AE572" s="17"/>
      <c r="AF572" s="17"/>
      <c r="AG572" s="64"/>
      <c r="AH572" s="64"/>
      <c r="AI572" s="64"/>
      <c r="AJ572" s="64"/>
      <c r="AK572" s="64"/>
      <c r="AL572" s="264"/>
      <c r="AM572" s="17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</row>
    <row r="573" spans="1:51" s="33" customFormat="1" x14ac:dyDescent="0.3">
      <c r="A573" s="63" t="str">
        <f>+A572</f>
        <v>BCV131</v>
      </c>
      <c r="B573" s="18" t="str">
        <f>+B572</f>
        <v>AX02</v>
      </c>
      <c r="C573" s="85" t="str">
        <f>+C572</f>
        <v>SIO1</v>
      </c>
      <c r="D573" s="85" t="str">
        <f>+D572</f>
        <v>SLC02</v>
      </c>
      <c r="E573" s="290">
        <f>+E572</f>
        <v>2</v>
      </c>
      <c r="F573" s="290">
        <f>+F572</f>
        <v>1</v>
      </c>
      <c r="G573" s="290">
        <f>+G572</f>
        <v>0</v>
      </c>
      <c r="H573" s="72">
        <f>+H572</f>
        <v>2</v>
      </c>
      <c r="I573" s="75">
        <v>4</v>
      </c>
      <c r="J573" s="74" t="s">
        <v>257</v>
      </c>
      <c r="K573" s="85"/>
      <c r="L573" s="79" t="s">
        <v>244</v>
      </c>
      <c r="M573" s="18">
        <v>3</v>
      </c>
      <c r="N573" s="18"/>
      <c r="O573" s="291"/>
      <c r="P573" s="291"/>
      <c r="Q573" s="17" t="s">
        <v>127</v>
      </c>
      <c r="R573" s="17"/>
      <c r="S573" s="17"/>
      <c r="T573" s="17"/>
      <c r="U573" s="17"/>
      <c r="V573" s="289" t="str">
        <f>+CONCATENATE(E573,".",F573,"\",G573,".",H573,":",I573)</f>
        <v>2.1\0.2:4</v>
      </c>
      <c r="W573" s="17" t="s">
        <v>2135</v>
      </c>
      <c r="X573" s="17">
        <v>0</v>
      </c>
      <c r="Y573" s="17"/>
      <c r="Z573" s="17"/>
      <c r="AA573" s="17"/>
      <c r="AB573" s="17"/>
      <c r="AC573" s="17"/>
      <c r="AD573" s="17"/>
      <c r="AE573" s="17"/>
      <c r="AF573" s="17"/>
      <c r="AG573" s="64"/>
      <c r="AH573" s="64"/>
      <c r="AI573" s="64"/>
      <c r="AJ573" s="64"/>
      <c r="AK573" s="64"/>
      <c r="AL573" s="264"/>
      <c r="AM573" s="17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</row>
    <row r="574" spans="1:51" s="33" customFormat="1" x14ac:dyDescent="0.3">
      <c r="A574" s="63" t="str">
        <f>+A573</f>
        <v>BCV131</v>
      </c>
      <c r="B574" s="18" t="str">
        <f>+B573</f>
        <v>AX02</v>
      </c>
      <c r="C574" s="85" t="str">
        <f>+C573</f>
        <v>SIO1</v>
      </c>
      <c r="D574" s="85" t="str">
        <f>+D573</f>
        <v>SLC02</v>
      </c>
      <c r="E574" s="290">
        <f>+E573</f>
        <v>2</v>
      </c>
      <c r="F574" s="290">
        <f>+F573</f>
        <v>1</v>
      </c>
      <c r="G574" s="290">
        <f>+G573</f>
        <v>0</v>
      </c>
      <c r="H574" s="72">
        <f>+H573</f>
        <v>2</v>
      </c>
      <c r="I574" s="75">
        <v>5</v>
      </c>
      <c r="J574" s="74" t="s">
        <v>1325</v>
      </c>
      <c r="K574" s="85"/>
      <c r="L574" s="79" t="s">
        <v>244</v>
      </c>
      <c r="M574" s="18">
        <v>3</v>
      </c>
      <c r="N574" s="18"/>
      <c r="O574" s="291"/>
      <c r="P574" s="291"/>
      <c r="Q574" s="291" t="s">
        <v>127</v>
      </c>
      <c r="R574" s="17"/>
      <c r="S574" s="17"/>
      <c r="T574" s="17"/>
      <c r="U574" s="17"/>
      <c r="V574" s="289" t="str">
        <f>+CONCATENATE(E574,".",F574,"\",G574,".",H574,":",I574)</f>
        <v>2.1\0.2:5</v>
      </c>
      <c r="W574" s="17" t="s">
        <v>2135</v>
      </c>
      <c r="X574" s="17">
        <v>0</v>
      </c>
      <c r="Y574" s="17"/>
      <c r="Z574" s="17"/>
      <c r="AA574" s="17"/>
      <c r="AB574" s="17"/>
      <c r="AC574" s="17"/>
      <c r="AD574" s="17"/>
      <c r="AE574" s="17"/>
      <c r="AF574" s="17"/>
      <c r="AG574" s="64"/>
      <c r="AH574" s="64"/>
      <c r="AI574" s="64"/>
      <c r="AJ574" s="64"/>
      <c r="AK574" s="64"/>
      <c r="AL574" s="264"/>
      <c r="AM574" s="17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</row>
    <row r="575" spans="1:51" s="33" customFormat="1" x14ac:dyDescent="0.3">
      <c r="A575" s="63" t="str">
        <f>+A574</f>
        <v>BCV131</v>
      </c>
      <c r="B575" s="18" t="str">
        <f>+B574</f>
        <v>AX02</v>
      </c>
      <c r="C575" s="85" t="str">
        <f>+C574</f>
        <v>SIO1</v>
      </c>
      <c r="D575" s="85" t="str">
        <f>+D574</f>
        <v>SLC02</v>
      </c>
      <c r="E575" s="290">
        <f>+E574</f>
        <v>2</v>
      </c>
      <c r="F575" s="290">
        <f>+F574</f>
        <v>1</v>
      </c>
      <c r="G575" s="290">
        <f>+G574</f>
        <v>0</v>
      </c>
      <c r="H575" s="72">
        <f>+H574</f>
        <v>2</v>
      </c>
      <c r="I575" s="75">
        <v>6</v>
      </c>
      <c r="J575" s="74" t="s">
        <v>1323</v>
      </c>
      <c r="K575" s="85"/>
      <c r="L575" s="79" t="s">
        <v>244</v>
      </c>
      <c r="M575" s="18">
        <v>3</v>
      </c>
      <c r="N575" s="18"/>
      <c r="O575" s="291"/>
      <c r="P575" s="291"/>
      <c r="Q575" s="291"/>
      <c r="R575" s="17"/>
      <c r="S575" s="17"/>
      <c r="T575" s="17"/>
      <c r="U575" s="17"/>
      <c r="V575" s="289" t="str">
        <f>+CONCATENATE(E575,".",F575,"\",G575,".",H575,":",I575)</f>
        <v>2.1\0.2:6</v>
      </c>
      <c r="W575" s="17" t="s">
        <v>2135</v>
      </c>
      <c r="X575" s="17">
        <v>0</v>
      </c>
      <c r="Y575" s="17"/>
      <c r="Z575" s="17"/>
      <c r="AA575" s="17"/>
      <c r="AB575" s="17"/>
      <c r="AC575" s="17"/>
      <c r="AD575" s="17"/>
      <c r="AE575" s="17"/>
      <c r="AF575" s="17"/>
      <c r="AG575" s="64"/>
      <c r="AH575" s="64"/>
      <c r="AI575" s="64"/>
      <c r="AJ575" s="64"/>
      <c r="AK575" s="64"/>
      <c r="AL575" s="264"/>
      <c r="AM575" s="17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</row>
    <row r="576" spans="1:51" s="33" customFormat="1" x14ac:dyDescent="0.3">
      <c r="A576" s="63" t="str">
        <f>+A575</f>
        <v>BCV131</v>
      </c>
      <c r="B576" s="18" t="str">
        <f>+B575</f>
        <v>AX02</v>
      </c>
      <c r="C576" s="85" t="str">
        <f>+C575</f>
        <v>SIO1</v>
      </c>
      <c r="D576" s="85" t="str">
        <f>+D575</f>
        <v>SLC02</v>
      </c>
      <c r="E576" s="290">
        <f>+E575</f>
        <v>2</v>
      </c>
      <c r="F576" s="290">
        <f>+F575</f>
        <v>1</v>
      </c>
      <c r="G576" s="290">
        <f>+G575</f>
        <v>0</v>
      </c>
      <c r="H576" s="72">
        <f>+H575</f>
        <v>2</v>
      </c>
      <c r="I576" s="75">
        <v>7</v>
      </c>
      <c r="J576" s="74" t="s">
        <v>246</v>
      </c>
      <c r="K576" s="85"/>
      <c r="L576" s="79" t="s">
        <v>244</v>
      </c>
      <c r="M576" s="18">
        <v>3</v>
      </c>
      <c r="N576" s="18"/>
      <c r="O576" s="291"/>
      <c r="P576" s="291"/>
      <c r="Q576" s="291"/>
      <c r="R576" s="17"/>
      <c r="S576" s="17"/>
      <c r="T576" s="17"/>
      <c r="U576" s="17"/>
      <c r="V576" s="289" t="str">
        <f>+CONCATENATE(E576,".",F576,"\",G576,".",H576,":",I576)</f>
        <v>2.1\0.2:7</v>
      </c>
      <c r="W576" s="17" t="s">
        <v>2135</v>
      </c>
      <c r="X576" s="17">
        <v>0</v>
      </c>
      <c r="Y576" s="17"/>
      <c r="Z576" s="17"/>
      <c r="AA576" s="17"/>
      <c r="AB576" s="17"/>
      <c r="AC576" s="17"/>
      <c r="AD576" s="17"/>
      <c r="AE576" s="17"/>
      <c r="AF576" s="17"/>
      <c r="AG576" s="64"/>
      <c r="AH576" s="64"/>
      <c r="AI576" s="64"/>
      <c r="AJ576" s="64"/>
      <c r="AK576" s="64"/>
      <c r="AL576" s="264"/>
      <c r="AM576" s="17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</row>
    <row r="577" spans="1:51" s="33" customFormat="1" x14ac:dyDescent="0.3">
      <c r="A577" s="63" t="str">
        <f>+A576</f>
        <v>BCV131</v>
      </c>
      <c r="B577" s="18" t="str">
        <f>+B576</f>
        <v>AX02</v>
      </c>
      <c r="C577" s="85" t="str">
        <f>+C576</f>
        <v>SIO1</v>
      </c>
      <c r="D577" s="85" t="str">
        <f>+D576</f>
        <v>SLC02</v>
      </c>
      <c r="E577" s="290">
        <f>+E576</f>
        <v>2</v>
      </c>
      <c r="F577" s="290">
        <f>+F576</f>
        <v>1</v>
      </c>
      <c r="G577" s="290">
        <f>+G576</f>
        <v>0</v>
      </c>
      <c r="H577" s="72">
        <f>+H576</f>
        <v>2</v>
      </c>
      <c r="I577" s="75">
        <v>8</v>
      </c>
      <c r="J577" s="74" t="s">
        <v>245</v>
      </c>
      <c r="K577" s="85"/>
      <c r="L577" s="79" t="s">
        <v>244</v>
      </c>
      <c r="M577" s="18">
        <v>3</v>
      </c>
      <c r="N577" s="18"/>
      <c r="O577" s="291"/>
      <c r="P577" s="291"/>
      <c r="Q577" s="291"/>
      <c r="R577" s="17"/>
      <c r="S577" s="17"/>
      <c r="T577" s="17"/>
      <c r="U577" s="17"/>
      <c r="V577" s="289" t="str">
        <f>+CONCATENATE(E577,".",F577,"\",G577,".",H577,":",I577)</f>
        <v>2.1\0.2:8</v>
      </c>
      <c r="W577" s="17" t="s">
        <v>2135</v>
      </c>
      <c r="X577" s="17">
        <v>0</v>
      </c>
      <c r="Y577" s="17"/>
      <c r="Z577" s="17"/>
      <c r="AA577" s="17"/>
      <c r="AB577" s="17"/>
      <c r="AC577" s="17"/>
      <c r="AD577" s="17"/>
      <c r="AE577" s="17"/>
      <c r="AF577" s="17"/>
      <c r="AG577" s="64"/>
      <c r="AH577" s="64"/>
      <c r="AI577" s="64"/>
      <c r="AJ577" s="64"/>
      <c r="AK577" s="64"/>
      <c r="AL577" s="264"/>
      <c r="AM577" s="17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</row>
    <row r="578" spans="1:51" s="33" customFormat="1" x14ac:dyDescent="0.3">
      <c r="A578" s="63" t="str">
        <f>+A577</f>
        <v>BCV131</v>
      </c>
      <c r="B578" s="18" t="str">
        <f>+B577</f>
        <v>AX02</v>
      </c>
      <c r="C578" s="85" t="str">
        <f>+C577</f>
        <v>SIO1</v>
      </c>
      <c r="D578" s="85" t="str">
        <f>+D577</f>
        <v>SLC02</v>
      </c>
      <c r="E578" s="290">
        <f>+E577</f>
        <v>2</v>
      </c>
      <c r="F578" s="290">
        <f>+F577</f>
        <v>1</v>
      </c>
      <c r="G578" s="290">
        <f>+G577</f>
        <v>0</v>
      </c>
      <c r="H578" s="72">
        <f>+H577</f>
        <v>2</v>
      </c>
      <c r="I578" s="75">
        <v>1</v>
      </c>
      <c r="J578" s="81" t="s">
        <v>1321</v>
      </c>
      <c r="K578" s="85"/>
      <c r="L578" s="79" t="s">
        <v>235</v>
      </c>
      <c r="M578" s="18">
        <v>3</v>
      </c>
      <c r="N578" s="18"/>
      <c r="O578" s="78"/>
      <c r="P578" s="78"/>
      <c r="Q578" s="78"/>
      <c r="R578" s="78"/>
      <c r="S578" s="78"/>
      <c r="T578" s="78"/>
      <c r="U578" s="17"/>
      <c r="V578" s="289" t="str">
        <f>+CONCATENATE(E578,".",F578,"\",G578,".",H578,":",I578)</f>
        <v>2.1\0.2:1</v>
      </c>
      <c r="W578" s="17" t="s">
        <v>2135</v>
      </c>
      <c r="X578" s="17">
        <v>0</v>
      </c>
      <c r="Y578" s="17"/>
      <c r="Z578" s="17"/>
      <c r="AA578" s="17"/>
      <c r="AB578" s="46"/>
      <c r="AC578" s="17"/>
      <c r="AD578" s="17"/>
      <c r="AE578" s="17"/>
      <c r="AF578" s="17"/>
      <c r="AG578" s="64"/>
      <c r="AH578" s="64"/>
      <c r="AI578" s="64"/>
      <c r="AJ578" s="64"/>
      <c r="AK578" s="64"/>
      <c r="AL578" s="264"/>
      <c r="AM578" s="17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</row>
    <row r="579" spans="1:51" s="33" customFormat="1" x14ac:dyDescent="0.3">
      <c r="A579" s="63" t="str">
        <f>+A578</f>
        <v>BCV131</v>
      </c>
      <c r="B579" s="18" t="str">
        <f>+B578</f>
        <v>AX02</v>
      </c>
      <c r="C579" s="85" t="str">
        <f>+C578</f>
        <v>SIO1</v>
      </c>
      <c r="D579" s="85" t="str">
        <f>+D578</f>
        <v>SLC02</v>
      </c>
      <c r="E579" s="290">
        <f>+E578</f>
        <v>2</v>
      </c>
      <c r="F579" s="290">
        <f>+F578</f>
        <v>1</v>
      </c>
      <c r="G579" s="290">
        <f>+G578</f>
        <v>0</v>
      </c>
      <c r="H579" s="72">
        <f>+H578</f>
        <v>2</v>
      </c>
      <c r="I579" s="75">
        <v>2</v>
      </c>
      <c r="J579" s="74" t="s">
        <v>1320</v>
      </c>
      <c r="K579" s="85"/>
      <c r="L579" s="79" t="s">
        <v>235</v>
      </c>
      <c r="M579" s="18">
        <v>3</v>
      </c>
      <c r="N579" s="18"/>
      <c r="O579" s="78"/>
      <c r="P579" s="78"/>
      <c r="Q579" s="78"/>
      <c r="R579" s="78"/>
      <c r="S579" s="78"/>
      <c r="T579" s="78"/>
      <c r="U579" s="17"/>
      <c r="V579" s="289" t="str">
        <f>+CONCATENATE(E579,".",F579,"\",G579,".",H579,":",I579)</f>
        <v>2.1\0.2:2</v>
      </c>
      <c r="W579" s="17" t="s">
        <v>2135</v>
      </c>
      <c r="X579" s="17">
        <v>0</v>
      </c>
      <c r="Y579" s="17"/>
      <c r="Z579" s="17"/>
      <c r="AA579" s="17"/>
      <c r="AB579" s="46"/>
      <c r="AC579" s="17"/>
      <c r="AD579" s="17"/>
      <c r="AE579" s="17"/>
      <c r="AF579" s="17"/>
      <c r="AG579" s="64"/>
      <c r="AH579" s="64"/>
      <c r="AI579" s="64"/>
      <c r="AJ579" s="64"/>
      <c r="AK579" s="64"/>
      <c r="AL579" s="264"/>
      <c r="AM579" s="17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</row>
    <row r="580" spans="1:51" s="33" customFormat="1" x14ac:dyDescent="0.3">
      <c r="A580" s="63" t="str">
        <f>+A579</f>
        <v>BCV131</v>
      </c>
      <c r="B580" s="18" t="str">
        <f>+B579</f>
        <v>AX02</v>
      </c>
      <c r="C580" s="85" t="str">
        <f>+C579</f>
        <v>SIO1</v>
      </c>
      <c r="D580" s="85" t="str">
        <f>+D579</f>
        <v>SLC02</v>
      </c>
      <c r="E580" s="290">
        <f>+E579</f>
        <v>2</v>
      </c>
      <c r="F580" s="290">
        <f>+F579</f>
        <v>1</v>
      </c>
      <c r="G580" s="290">
        <f>+G579</f>
        <v>0</v>
      </c>
      <c r="H580" s="72">
        <f>+H579</f>
        <v>2</v>
      </c>
      <c r="I580" s="75">
        <v>3</v>
      </c>
      <c r="J580" s="74" t="s">
        <v>1319</v>
      </c>
      <c r="K580" s="85"/>
      <c r="L580" s="79" t="s">
        <v>235</v>
      </c>
      <c r="M580" s="18">
        <v>3</v>
      </c>
      <c r="N580" s="18"/>
      <c r="O580" s="78"/>
      <c r="P580" s="78"/>
      <c r="Q580" s="78"/>
      <c r="R580" s="78"/>
      <c r="S580" s="78"/>
      <c r="T580" s="78"/>
      <c r="U580" s="17"/>
      <c r="V580" s="289" t="str">
        <f>+CONCATENATE(E580,".",F580,"\",G580,".",H580,":",I580)</f>
        <v>2.1\0.2:3</v>
      </c>
      <c r="W580" s="17" t="s">
        <v>2135</v>
      </c>
      <c r="X580" s="17">
        <v>0</v>
      </c>
      <c r="Y580" s="17"/>
      <c r="Z580" s="17"/>
      <c r="AA580" s="17"/>
      <c r="AB580" s="46"/>
      <c r="AC580" s="17"/>
      <c r="AD580" s="17"/>
      <c r="AE580" s="17"/>
      <c r="AF580" s="17"/>
      <c r="AG580" s="64"/>
      <c r="AH580" s="64"/>
      <c r="AI580" s="64"/>
      <c r="AJ580" s="64"/>
      <c r="AK580" s="64"/>
      <c r="AL580" s="264"/>
      <c r="AM580" s="17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</row>
    <row r="581" spans="1:51" s="33" customFormat="1" ht="13.5" thickBot="1" x14ac:dyDescent="0.35">
      <c r="A581" s="63" t="str">
        <f>+A580</f>
        <v>BCV131</v>
      </c>
      <c r="B581" s="18" t="str">
        <f>+B580</f>
        <v>AX02</v>
      </c>
      <c r="C581" s="85" t="str">
        <f>+C580</f>
        <v>SIO1</v>
      </c>
      <c r="D581" s="85" t="str">
        <f>+D580</f>
        <v>SLC02</v>
      </c>
      <c r="E581" s="290">
        <f>+E580</f>
        <v>2</v>
      </c>
      <c r="F581" s="290">
        <f>+F580</f>
        <v>1</v>
      </c>
      <c r="G581" s="290">
        <f>+G580</f>
        <v>0</v>
      </c>
      <c r="H581" s="72">
        <f>+H580</f>
        <v>2</v>
      </c>
      <c r="I581" s="71">
        <v>4</v>
      </c>
      <c r="J581" s="70" t="s">
        <v>1318</v>
      </c>
      <c r="K581" s="85"/>
      <c r="L581" s="79" t="s">
        <v>235</v>
      </c>
      <c r="M581" s="18">
        <v>3</v>
      </c>
      <c r="N581" s="18"/>
      <c r="O581" s="17"/>
      <c r="P581" s="17"/>
      <c r="Q581" s="17"/>
      <c r="R581" s="17"/>
      <c r="S581" s="17"/>
      <c r="T581" s="17"/>
      <c r="U581" s="17"/>
      <c r="V581" s="289" t="str">
        <f>+CONCATENATE(E581,".",F581,"\",G581,".",H581,":",I581)</f>
        <v>2.1\0.2:4</v>
      </c>
      <c r="W581" s="17" t="s">
        <v>2135</v>
      </c>
      <c r="X581" s="17">
        <v>0</v>
      </c>
      <c r="Y581" s="17"/>
      <c r="Z581" s="17"/>
      <c r="AA581" s="17"/>
      <c r="AB581" s="46"/>
      <c r="AC581" s="17"/>
      <c r="AD581" s="17"/>
      <c r="AE581" s="17"/>
      <c r="AF581" s="17"/>
      <c r="AG581" s="64"/>
      <c r="AH581" s="64"/>
      <c r="AI581" s="64"/>
      <c r="AJ581" s="64"/>
      <c r="AK581" s="64"/>
      <c r="AL581" s="264"/>
      <c r="AM581" s="17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</row>
    <row r="582" spans="1:51" s="33" customFormat="1" x14ac:dyDescent="0.3">
      <c r="A582" s="63"/>
      <c r="B582" s="63"/>
      <c r="C582" s="63"/>
      <c r="D582" s="18"/>
      <c r="E582" s="288"/>
      <c r="F582" s="288"/>
      <c r="G582" s="288"/>
      <c r="H582" s="63"/>
      <c r="I582" s="63"/>
      <c r="J582" s="63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64"/>
      <c r="AH582" s="64"/>
      <c r="AI582" s="64"/>
      <c r="AJ582" s="64"/>
      <c r="AK582" s="64"/>
      <c r="AL582" s="264"/>
      <c r="AM582" s="17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</row>
    <row r="583" spans="1:51" s="33" customFormat="1" x14ac:dyDescent="0.3">
      <c r="A583" s="63"/>
      <c r="B583" s="63"/>
      <c r="C583" s="63"/>
      <c r="D583" s="18"/>
      <c r="E583" s="288"/>
      <c r="F583" s="288"/>
      <c r="G583" s="288"/>
      <c r="H583" s="63"/>
      <c r="I583" s="63"/>
      <c r="J583" s="63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64"/>
      <c r="AH583" s="64"/>
      <c r="AI583" s="64"/>
      <c r="AJ583" s="64"/>
      <c r="AK583" s="64"/>
      <c r="AL583" s="264"/>
      <c r="AM583" s="17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</row>
    <row r="584" spans="1:51" s="33" customFormat="1" x14ac:dyDescent="0.3">
      <c r="A584" s="63"/>
      <c r="B584" s="63"/>
      <c r="C584" s="63"/>
      <c r="D584" s="18"/>
      <c r="E584" s="288"/>
      <c r="F584" s="288"/>
      <c r="G584" s="288"/>
      <c r="H584" s="63"/>
      <c r="I584" s="63"/>
      <c r="J584" s="63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20"/>
      <c r="AC584" s="17"/>
      <c r="AD584" s="17"/>
      <c r="AE584" s="17"/>
      <c r="AF584" s="17"/>
      <c r="AG584" s="64"/>
      <c r="AH584" s="64"/>
      <c r="AI584" s="64"/>
      <c r="AJ584" s="64"/>
      <c r="AK584" s="64"/>
      <c r="AL584" s="264"/>
      <c r="AM584" s="17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</row>
    <row r="585" spans="1:51" s="83" customFormat="1" ht="15.5" x14ac:dyDescent="0.35">
      <c r="A585" s="256"/>
      <c r="B585" s="96" t="s">
        <v>2134</v>
      </c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87"/>
      <c r="O585" s="256"/>
      <c r="P585" s="287"/>
      <c r="Q585" s="256"/>
      <c r="R585" s="256"/>
      <c r="S585" s="256"/>
      <c r="T585" s="256"/>
      <c r="U585" s="256"/>
      <c r="V585" s="256"/>
      <c r="W585" s="287"/>
      <c r="X585" s="256"/>
      <c r="Y585" s="256"/>
      <c r="Z585" s="46"/>
      <c r="AA585" s="46"/>
      <c r="AB585" s="20"/>
      <c r="AC585" s="46"/>
      <c r="AD585" s="46"/>
      <c r="AE585" s="46"/>
      <c r="AF585" s="46"/>
      <c r="AG585" s="92"/>
      <c r="AH585" s="92"/>
      <c r="AI585" s="92"/>
      <c r="AJ585" s="92"/>
      <c r="AK585" s="92"/>
      <c r="AL585" s="284"/>
      <c r="AM585" s="94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</row>
    <row r="586" spans="1:51" s="83" customFormat="1" ht="13.5" thickBot="1" x14ac:dyDescent="0.35">
      <c r="A586" s="18"/>
      <c r="B586" s="18"/>
      <c r="C586" s="18"/>
      <c r="E586" s="95"/>
      <c r="F586" s="94"/>
      <c r="G586" s="94"/>
      <c r="X586" s="17"/>
      <c r="Y586" s="46"/>
      <c r="Z586" s="46"/>
      <c r="AA586" s="46"/>
      <c r="AB586" s="20"/>
      <c r="AC586" s="46"/>
      <c r="AD586" s="46"/>
      <c r="AE586" s="46"/>
      <c r="AF586" s="46"/>
      <c r="AG586" s="92"/>
      <c r="AH586" s="92"/>
      <c r="AI586" s="92"/>
      <c r="AJ586" s="92"/>
      <c r="AK586" s="92"/>
      <c r="AL586" s="284"/>
      <c r="AM586" s="94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</row>
    <row r="587" spans="1:51" s="33" customFormat="1" ht="13.5" thickBot="1" x14ac:dyDescent="0.35">
      <c r="A587" s="162" t="s">
        <v>2133</v>
      </c>
      <c r="B587" s="17" t="s">
        <v>2041</v>
      </c>
      <c r="C587" s="18" t="s">
        <v>723</v>
      </c>
      <c r="D587" s="18">
        <v>132</v>
      </c>
      <c r="E587" s="84">
        <v>2</v>
      </c>
      <c r="F587" s="84">
        <v>7</v>
      </c>
      <c r="G587" s="84">
        <v>0</v>
      </c>
      <c r="H587" s="214"/>
      <c r="I587" s="245"/>
      <c r="J587" s="244"/>
      <c r="K587" s="18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17"/>
      <c r="Y587" s="20"/>
      <c r="Z587" s="20"/>
      <c r="AA587" s="20"/>
      <c r="AB587" s="20"/>
      <c r="AC587" s="20"/>
      <c r="AD587" s="20"/>
      <c r="AE587" s="20"/>
      <c r="AF587" s="20"/>
      <c r="AG587" s="92"/>
      <c r="AH587" s="92"/>
      <c r="AI587" s="92"/>
      <c r="AJ587" s="92"/>
      <c r="AK587" s="92"/>
      <c r="AL587" s="284"/>
      <c r="AM587" s="17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</row>
    <row r="588" spans="1:51" s="33" customFormat="1" ht="13.5" thickBot="1" x14ac:dyDescent="0.35">
      <c r="A588" s="268" t="s">
        <v>2132</v>
      </c>
      <c r="B588" s="17" t="s">
        <v>2041</v>
      </c>
      <c r="C588" s="18" t="str">
        <f>+C587</f>
        <v>DIO1</v>
      </c>
      <c r="D588" s="18">
        <v>132</v>
      </c>
      <c r="E588" s="84">
        <f>+E587</f>
        <v>2</v>
      </c>
      <c r="F588" s="84">
        <f>+F587</f>
        <v>7</v>
      </c>
      <c r="G588" s="84">
        <v>0</v>
      </c>
      <c r="H588" s="83"/>
      <c r="I588" s="245" t="s">
        <v>1090</v>
      </c>
      <c r="J588" s="246"/>
      <c r="K588" s="17" t="s">
        <v>1089</v>
      </c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17"/>
      <c r="Y588" s="20"/>
      <c r="Z588" s="20"/>
      <c r="AA588" s="20"/>
      <c r="AB588" s="20"/>
      <c r="AC588" s="20"/>
      <c r="AD588" s="20"/>
      <c r="AE588" s="20"/>
      <c r="AF588" s="20"/>
      <c r="AG588" s="92"/>
      <c r="AH588" s="92"/>
      <c r="AI588" s="92"/>
      <c r="AJ588" s="92"/>
      <c r="AK588" s="92"/>
      <c r="AL588" s="284"/>
      <c r="AM588" s="17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</row>
    <row r="589" spans="1:51" s="33" customFormat="1" ht="13.5" thickBot="1" x14ac:dyDescent="0.35">
      <c r="A589" s="268" t="s">
        <v>2132</v>
      </c>
      <c r="B589" s="17" t="s">
        <v>2041</v>
      </c>
      <c r="C589" s="18" t="str">
        <f>+C588</f>
        <v>DIO1</v>
      </c>
      <c r="D589" s="18">
        <v>132</v>
      </c>
      <c r="E589" s="84">
        <f>+E588</f>
        <v>2</v>
      </c>
      <c r="F589" s="84">
        <f>+F588</f>
        <v>7</v>
      </c>
      <c r="G589" s="84">
        <v>0</v>
      </c>
      <c r="H589" s="83"/>
      <c r="I589" s="245" t="s">
        <v>1088</v>
      </c>
      <c r="J589" s="246"/>
      <c r="K589" s="18" t="s">
        <v>1087</v>
      </c>
      <c r="L589" s="83"/>
      <c r="M589" s="242" t="s">
        <v>1086</v>
      </c>
      <c r="N589" s="84"/>
      <c r="O589" s="242" t="s">
        <v>1085</v>
      </c>
      <c r="P589" s="84"/>
      <c r="Q589" s="242" t="s">
        <v>1084</v>
      </c>
      <c r="R589" s="83"/>
      <c r="S589" s="83"/>
      <c r="T589" s="83"/>
      <c r="U589" s="83"/>
      <c r="V589" s="83"/>
      <c r="W589" s="83"/>
      <c r="X589" s="17"/>
      <c r="Y589" s="20"/>
      <c r="Z589" s="20"/>
      <c r="AA589" s="20"/>
      <c r="AB589" s="20"/>
      <c r="AC589" s="20"/>
      <c r="AD589" s="20"/>
      <c r="AE589" s="20"/>
      <c r="AF589" s="20"/>
      <c r="AG589" s="92"/>
      <c r="AH589" s="92"/>
      <c r="AI589" s="92"/>
      <c r="AJ589" s="92"/>
      <c r="AK589" s="92"/>
      <c r="AL589" s="284"/>
      <c r="AM589" s="17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</row>
    <row r="590" spans="1:51" s="33" customFormat="1" ht="13.5" thickBot="1" x14ac:dyDescent="0.35">
      <c r="A590" s="268" t="s">
        <v>2132</v>
      </c>
      <c r="B590" s="17" t="s">
        <v>2041</v>
      </c>
      <c r="C590" s="18" t="str">
        <f>+C589</f>
        <v>DIO1</v>
      </c>
      <c r="D590" s="18">
        <v>132</v>
      </c>
      <c r="E590" s="84">
        <f>+E589</f>
        <v>2</v>
      </c>
      <c r="F590" s="84">
        <f>+F589</f>
        <v>7</v>
      </c>
      <c r="G590" s="84">
        <v>0</v>
      </c>
      <c r="H590" s="65">
        <v>0</v>
      </c>
      <c r="I590" s="245" t="s">
        <v>1083</v>
      </c>
      <c r="J590" s="244"/>
      <c r="K590" s="17" t="s">
        <v>1082</v>
      </c>
      <c r="L590" s="99" t="s">
        <v>1314</v>
      </c>
      <c r="M590" s="242">
        <f>+COUNTA(L591:L714)</f>
        <v>104</v>
      </c>
      <c r="N590" s="84"/>
      <c r="O590" s="242">
        <f>+COUNTBLANK(O591:O714)</f>
        <v>83</v>
      </c>
      <c r="P590" s="84"/>
      <c r="Q590" s="241">
        <f>+O590/M590</f>
        <v>0.79807692307692313</v>
      </c>
      <c r="R590" s="17"/>
      <c r="S590" s="17"/>
      <c r="T590" s="17"/>
      <c r="U590" s="17"/>
      <c r="V590" s="17"/>
      <c r="W590" s="17"/>
      <c r="X590" s="17"/>
      <c r="Y590" s="20"/>
      <c r="Z590" s="20"/>
      <c r="AA590" s="20"/>
      <c r="AB590" s="20"/>
      <c r="AC590" s="20"/>
      <c r="AD590" s="20"/>
      <c r="AE590" s="20"/>
      <c r="AF590" s="20"/>
      <c r="AG590" s="64"/>
      <c r="AH590" s="64"/>
      <c r="AI590" s="64"/>
      <c r="AJ590" s="64"/>
      <c r="AK590" s="64"/>
      <c r="AL590" s="264"/>
      <c r="AM590" s="17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</row>
    <row r="591" spans="1:51" s="33" customFormat="1" ht="14.5" x14ac:dyDescent="0.35">
      <c r="A591" s="268" t="s">
        <v>194</v>
      </c>
      <c r="B591" s="17" t="s">
        <v>2041</v>
      </c>
      <c r="C591" s="18" t="str">
        <f>+C590</f>
        <v>DIO1</v>
      </c>
      <c r="D591" s="18">
        <v>132</v>
      </c>
      <c r="E591" s="84">
        <f>+E590</f>
        <v>2</v>
      </c>
      <c r="F591" s="84">
        <f>+F590</f>
        <v>7</v>
      </c>
      <c r="G591" s="84">
        <v>0</v>
      </c>
      <c r="H591" s="214">
        <v>1</v>
      </c>
      <c r="I591" s="188">
        <v>0</v>
      </c>
      <c r="J591" s="205" t="s">
        <v>767</v>
      </c>
      <c r="K591" s="18" t="s">
        <v>766</v>
      </c>
      <c r="L591" s="17" t="s">
        <v>323</v>
      </c>
      <c r="M591" s="17">
        <v>4</v>
      </c>
      <c r="N591" s="300"/>
      <c r="O591" s="18" t="s">
        <v>646</v>
      </c>
      <c r="P591" s="59"/>
      <c r="Q591" s="18" t="s">
        <v>1313</v>
      </c>
      <c r="R591" s="18" t="s">
        <v>247</v>
      </c>
      <c r="S591" s="97" t="s">
        <v>1312</v>
      </c>
      <c r="T591" s="97" t="s">
        <v>2</v>
      </c>
      <c r="U591" s="97"/>
      <c r="V591" s="17" t="str">
        <f>+CONCATENATE(E591,".",F591,"\",G591,".",H591,":",I591)</f>
        <v>2.7\0.1:0</v>
      </c>
      <c r="W591" s="17" t="s">
        <v>2129</v>
      </c>
      <c r="X591" s="272">
        <v>0</v>
      </c>
      <c r="Y591" s="20"/>
      <c r="Z591" s="20" t="s">
        <v>1200</v>
      </c>
      <c r="AA591" s="20"/>
      <c r="AB591" s="20"/>
      <c r="AC591" s="20"/>
      <c r="AD591" s="20"/>
      <c r="AE591" s="20"/>
      <c r="AF591" s="17"/>
      <c r="AG591" s="64" t="s">
        <v>1079</v>
      </c>
      <c r="AH591" s="64"/>
      <c r="AI591" s="64">
        <v>1</v>
      </c>
      <c r="AJ591" s="64"/>
      <c r="AK591" s="64"/>
      <c r="AL591" s="264"/>
      <c r="AM591" s="84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</row>
    <row r="592" spans="1:51" s="33" customFormat="1" ht="14.5" x14ac:dyDescent="0.35">
      <c r="A592" s="268" t="s">
        <v>194</v>
      </c>
      <c r="B592" s="17" t="s">
        <v>2041</v>
      </c>
      <c r="C592" s="18" t="str">
        <f>+C591</f>
        <v>DIO1</v>
      </c>
      <c r="D592" s="18">
        <v>132</v>
      </c>
      <c r="E592" s="84">
        <f>+E591</f>
        <v>2</v>
      </c>
      <c r="F592" s="84">
        <f>+F591</f>
        <v>7</v>
      </c>
      <c r="G592" s="84">
        <v>0</v>
      </c>
      <c r="H592" s="200">
        <f>H591</f>
        <v>1</v>
      </c>
      <c r="I592" s="187">
        <f>+I591+1</f>
        <v>1</v>
      </c>
      <c r="J592" s="205"/>
      <c r="K592" s="17"/>
      <c r="L592" s="17" t="s">
        <v>323</v>
      </c>
      <c r="M592" s="17">
        <v>4</v>
      </c>
      <c r="N592" s="300"/>
      <c r="O592" s="97" t="s">
        <v>770</v>
      </c>
      <c r="P592" s="59"/>
      <c r="Q592" s="283" t="s">
        <v>1311</v>
      </c>
      <c r="R592" s="97" t="s">
        <v>211</v>
      </c>
      <c r="S592" s="97" t="s">
        <v>1310</v>
      </c>
      <c r="T592" s="97" t="s">
        <v>2</v>
      </c>
      <c r="U592" s="97"/>
      <c r="V592" s="17" t="str">
        <f>+CONCATENATE(E592,".",F592,"\",G592,".",H592,":",I592)</f>
        <v>2.7\0.1:1</v>
      </c>
      <c r="W592" s="17" t="s">
        <v>2129</v>
      </c>
      <c r="X592" s="272">
        <v>0</v>
      </c>
      <c r="Y592" s="20"/>
      <c r="Z592" s="20" t="s">
        <v>1200</v>
      </c>
      <c r="AA592" s="20"/>
      <c r="AB592" s="20"/>
      <c r="AC592" s="20"/>
      <c r="AD592" s="20"/>
      <c r="AE592" s="20"/>
      <c r="AF592" s="17"/>
      <c r="AG592" s="64" t="s">
        <v>1079</v>
      </c>
      <c r="AH592" s="64"/>
      <c r="AI592" s="64">
        <v>2</v>
      </c>
      <c r="AJ592" s="64"/>
      <c r="AK592" s="64"/>
      <c r="AL592" s="282"/>
      <c r="AM592" s="84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</row>
    <row r="593" spans="1:51" s="33" customFormat="1" ht="14.5" x14ac:dyDescent="0.35">
      <c r="A593" s="63" t="str">
        <f>A592</f>
        <v>BCV131</v>
      </c>
      <c r="B593" s="17" t="s">
        <v>2041</v>
      </c>
      <c r="C593" s="18" t="str">
        <f>+C592</f>
        <v>DIO1</v>
      </c>
      <c r="D593" s="18">
        <v>132</v>
      </c>
      <c r="E593" s="84">
        <f>+E592</f>
        <v>2</v>
      </c>
      <c r="F593" s="84">
        <f>+F592</f>
        <v>7</v>
      </c>
      <c r="G593" s="84">
        <v>0</v>
      </c>
      <c r="H593" s="200">
        <f>H591</f>
        <v>1</v>
      </c>
      <c r="I593" s="187">
        <f>+I592+1</f>
        <v>2</v>
      </c>
      <c r="J593" s="205"/>
      <c r="K593" s="79"/>
      <c r="L593" s="17" t="s">
        <v>323</v>
      </c>
      <c r="M593" s="17">
        <v>4</v>
      </c>
      <c r="N593" s="300"/>
      <c r="O593" s="97" t="s">
        <v>837</v>
      </c>
      <c r="P593" s="59"/>
      <c r="Q593" s="17" t="s">
        <v>1309</v>
      </c>
      <c r="R593" s="97" t="s">
        <v>211</v>
      </c>
      <c r="S593" s="97" t="s">
        <v>1308</v>
      </c>
      <c r="T593" s="97" t="s">
        <v>2</v>
      </c>
      <c r="U593" s="97"/>
      <c r="V593" s="17" t="str">
        <f>+CONCATENATE(E593,".",F593,"\",G593,".",H593,":",I593)</f>
        <v>2.7\0.1:2</v>
      </c>
      <c r="W593" s="17" t="s">
        <v>2129</v>
      </c>
      <c r="X593" s="272">
        <v>0</v>
      </c>
      <c r="Y593" s="20"/>
      <c r="Z593" s="20" t="s">
        <v>1200</v>
      </c>
      <c r="AA593" s="20"/>
      <c r="AB593" s="20"/>
      <c r="AC593" s="20"/>
      <c r="AD593" s="20"/>
      <c r="AE593" s="20"/>
      <c r="AF593" s="17"/>
      <c r="AG593" s="64" t="s">
        <v>1079</v>
      </c>
      <c r="AH593" s="64"/>
      <c r="AI593" s="64">
        <v>3</v>
      </c>
      <c r="AJ593" s="64"/>
      <c r="AK593" s="64"/>
      <c r="AL593" s="282"/>
      <c r="AM593" s="84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</row>
    <row r="594" spans="1:51" s="33" customFormat="1" ht="14.5" x14ac:dyDescent="0.35">
      <c r="A594" s="63" t="str">
        <f>A593</f>
        <v>BCV131</v>
      </c>
      <c r="B594" s="17" t="s">
        <v>2041</v>
      </c>
      <c r="C594" s="18" t="str">
        <f>+C593</f>
        <v>DIO1</v>
      </c>
      <c r="D594" s="18">
        <v>132</v>
      </c>
      <c r="E594" s="84">
        <f>+E593</f>
        <v>2</v>
      </c>
      <c r="F594" s="84">
        <f>+F593</f>
        <v>7</v>
      </c>
      <c r="G594" s="84">
        <v>0</v>
      </c>
      <c r="H594" s="200">
        <f>H591</f>
        <v>1</v>
      </c>
      <c r="I594" s="187">
        <f>+I593+1</f>
        <v>3</v>
      </c>
      <c r="J594" s="205"/>
      <c r="K594" s="79"/>
      <c r="L594" s="17" t="s">
        <v>323</v>
      </c>
      <c r="M594" s="17">
        <v>4</v>
      </c>
      <c r="N594" s="300"/>
      <c r="O594" s="97" t="s">
        <v>832</v>
      </c>
      <c r="P594" s="59"/>
      <c r="Q594" s="17" t="s">
        <v>1307</v>
      </c>
      <c r="R594" s="97" t="s">
        <v>211</v>
      </c>
      <c r="S594" s="97" t="s">
        <v>1306</v>
      </c>
      <c r="T594" s="97" t="s">
        <v>2</v>
      </c>
      <c r="U594" s="97"/>
      <c r="V594" s="17" t="str">
        <f>+CONCATENATE(E594,".",F594,"\",G594,".",H594,":",I594)</f>
        <v>2.7\0.1:3</v>
      </c>
      <c r="W594" s="17" t="s">
        <v>2129</v>
      </c>
      <c r="X594" s="272">
        <v>0</v>
      </c>
      <c r="Y594" s="20"/>
      <c r="Z594" s="20" t="s">
        <v>1200</v>
      </c>
      <c r="AA594" s="20"/>
      <c r="AB594" s="20"/>
      <c r="AC594" s="20"/>
      <c r="AD594" s="20"/>
      <c r="AE594" s="20"/>
      <c r="AF594" s="17"/>
      <c r="AG594" s="64" t="s">
        <v>1079</v>
      </c>
      <c r="AH594" s="64"/>
      <c r="AI594" s="64">
        <v>4</v>
      </c>
      <c r="AJ594" s="64"/>
      <c r="AK594" s="64"/>
      <c r="AL594" s="282"/>
      <c r="AM594" s="84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</row>
    <row r="595" spans="1:51" s="33" customFormat="1" ht="14.5" x14ac:dyDescent="0.35">
      <c r="A595" s="63" t="str">
        <f>A594</f>
        <v>BCV131</v>
      </c>
      <c r="B595" s="17" t="s">
        <v>2041</v>
      </c>
      <c r="C595" s="18" t="str">
        <f>+C594</f>
        <v>DIO1</v>
      </c>
      <c r="D595" s="18">
        <v>132</v>
      </c>
      <c r="E595" s="84">
        <f>+E594</f>
        <v>2</v>
      </c>
      <c r="F595" s="84">
        <f>+F594</f>
        <v>7</v>
      </c>
      <c r="G595" s="84">
        <v>0</v>
      </c>
      <c r="H595" s="200">
        <f>H592</f>
        <v>1</v>
      </c>
      <c r="I595" s="187">
        <f>+I594+1</f>
        <v>4</v>
      </c>
      <c r="J595" s="205"/>
      <c r="K595" s="79"/>
      <c r="L595" s="17" t="s">
        <v>323</v>
      </c>
      <c r="M595" s="17">
        <v>4</v>
      </c>
      <c r="N595" s="300"/>
      <c r="O595" s="97" t="s">
        <v>828</v>
      </c>
      <c r="P595" s="59"/>
      <c r="Q595" s="17" t="s">
        <v>1305</v>
      </c>
      <c r="R595" s="97" t="s">
        <v>211</v>
      </c>
      <c r="S595" s="97" t="s">
        <v>1304</v>
      </c>
      <c r="T595" s="97" t="s">
        <v>2</v>
      </c>
      <c r="U595" s="97"/>
      <c r="V595" s="17" t="str">
        <f>+CONCATENATE(E595,".",F595,"\",G595,".",H595,":",I595)</f>
        <v>2.7\0.1:4</v>
      </c>
      <c r="W595" s="17" t="s">
        <v>2129</v>
      </c>
      <c r="X595" s="272">
        <v>0</v>
      </c>
      <c r="Y595" s="20"/>
      <c r="Z595" s="20" t="s">
        <v>1200</v>
      </c>
      <c r="AA595" s="20"/>
      <c r="AB595" s="20"/>
      <c r="AC595" s="20"/>
      <c r="AD595" s="20"/>
      <c r="AE595" s="20"/>
      <c r="AF595" s="17"/>
      <c r="AG595" s="64" t="s">
        <v>1079</v>
      </c>
      <c r="AH595" s="64"/>
      <c r="AI595" s="64">
        <v>5</v>
      </c>
      <c r="AJ595" s="64"/>
      <c r="AK595" s="64"/>
      <c r="AL595" s="264"/>
      <c r="AM595" s="84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</row>
    <row r="596" spans="1:51" s="33" customFormat="1" ht="14.5" x14ac:dyDescent="0.35">
      <c r="A596" s="63" t="str">
        <f>A595</f>
        <v>BCV131</v>
      </c>
      <c r="B596" s="17" t="s">
        <v>2041</v>
      </c>
      <c r="C596" s="18" t="str">
        <f>+C595</f>
        <v>DIO1</v>
      </c>
      <c r="D596" s="18">
        <v>132</v>
      </c>
      <c r="E596" s="84">
        <f>+E595</f>
        <v>2</v>
      </c>
      <c r="F596" s="84">
        <f>+F595</f>
        <v>7</v>
      </c>
      <c r="G596" s="84">
        <v>0</v>
      </c>
      <c r="H596" s="200">
        <f>H593</f>
        <v>1</v>
      </c>
      <c r="I596" s="187">
        <f>+I595+1</f>
        <v>5</v>
      </c>
      <c r="J596" s="205"/>
      <c r="K596" s="79"/>
      <c r="L596" s="17" t="s">
        <v>323</v>
      </c>
      <c r="M596" s="17">
        <v>4</v>
      </c>
      <c r="N596" s="18"/>
      <c r="O596" s="97" t="s">
        <v>824</v>
      </c>
      <c r="P596" s="59"/>
      <c r="Q596" s="17" t="s">
        <v>2131</v>
      </c>
      <c r="R596" s="97" t="s">
        <v>211</v>
      </c>
      <c r="S596" s="97" t="s">
        <v>1302</v>
      </c>
      <c r="T596" s="97" t="s">
        <v>2</v>
      </c>
      <c r="U596" s="97"/>
      <c r="V596" s="17" t="str">
        <f>+CONCATENATE(E596,".",F596,"\",G596,".",H596,":",I596)</f>
        <v>2.7\0.1:5</v>
      </c>
      <c r="W596" s="17" t="s">
        <v>2129</v>
      </c>
      <c r="X596" s="272">
        <v>0</v>
      </c>
      <c r="Y596" s="20"/>
      <c r="Z596" s="20" t="s">
        <v>1200</v>
      </c>
      <c r="AA596" s="20"/>
      <c r="AB596" s="20"/>
      <c r="AC596" s="20"/>
      <c r="AD596" s="20"/>
      <c r="AE596" s="20"/>
      <c r="AF596" s="17"/>
      <c r="AG596" s="64" t="s">
        <v>1079</v>
      </c>
      <c r="AH596" s="64"/>
      <c r="AI596" s="64">
        <v>6</v>
      </c>
      <c r="AJ596" s="64"/>
      <c r="AK596" s="64"/>
      <c r="AL596" s="264"/>
      <c r="AM596" s="84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</row>
    <row r="597" spans="1:51" s="33" customFormat="1" ht="14.5" x14ac:dyDescent="0.35">
      <c r="A597" s="63" t="str">
        <f>A596</f>
        <v>BCV131</v>
      </c>
      <c r="B597" s="17" t="s">
        <v>2041</v>
      </c>
      <c r="C597" s="18" t="str">
        <f>+C596</f>
        <v>DIO1</v>
      </c>
      <c r="D597" s="18">
        <v>132</v>
      </c>
      <c r="E597" s="84">
        <f>+E596</f>
        <v>2</v>
      </c>
      <c r="F597" s="84">
        <f>+F596</f>
        <v>7</v>
      </c>
      <c r="G597" s="84">
        <v>0</v>
      </c>
      <c r="H597" s="200">
        <f>H594</f>
        <v>1</v>
      </c>
      <c r="I597" s="187">
        <f>+I596+1</f>
        <v>6</v>
      </c>
      <c r="J597" s="205"/>
      <c r="K597" s="79"/>
      <c r="L597" s="17" t="s">
        <v>323</v>
      </c>
      <c r="M597" s="17">
        <v>4</v>
      </c>
      <c r="N597" s="18"/>
      <c r="O597" s="97" t="s">
        <v>820</v>
      </c>
      <c r="P597" s="59"/>
      <c r="Q597" s="17" t="s">
        <v>2130</v>
      </c>
      <c r="R597" s="97" t="s">
        <v>211</v>
      </c>
      <c r="S597" s="97" t="s">
        <v>1300</v>
      </c>
      <c r="T597" s="97" t="s">
        <v>2</v>
      </c>
      <c r="U597" s="97"/>
      <c r="V597" s="17" t="str">
        <f>+CONCATENATE(E597,".",F597,"\",G597,".",H597,":",I597)</f>
        <v>2.7\0.1:6</v>
      </c>
      <c r="W597" s="17" t="s">
        <v>2129</v>
      </c>
      <c r="X597" s="272">
        <v>0</v>
      </c>
      <c r="Y597" s="20"/>
      <c r="Z597" s="20" t="s">
        <v>1200</v>
      </c>
      <c r="AA597" s="20"/>
      <c r="AB597" s="20"/>
      <c r="AC597" s="20"/>
      <c r="AD597" s="20"/>
      <c r="AE597" s="20"/>
      <c r="AF597" s="17"/>
      <c r="AG597" s="64" t="s">
        <v>1079</v>
      </c>
      <c r="AH597" s="64"/>
      <c r="AI597" s="64">
        <v>7</v>
      </c>
      <c r="AJ597" s="64"/>
      <c r="AK597" s="64"/>
      <c r="AL597" s="264"/>
      <c r="AM597" s="84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</row>
    <row r="598" spans="1:51" s="33" customFormat="1" ht="14.5" x14ac:dyDescent="0.35">
      <c r="A598" s="63" t="str">
        <f>A597</f>
        <v>BCV131</v>
      </c>
      <c r="B598" s="17" t="s">
        <v>2041</v>
      </c>
      <c r="C598" s="18" t="str">
        <f>+C597</f>
        <v>DIO1</v>
      </c>
      <c r="D598" s="18">
        <v>132</v>
      </c>
      <c r="E598" s="84">
        <f>+E597</f>
        <v>2</v>
      </c>
      <c r="F598" s="84">
        <f>+F597</f>
        <v>7</v>
      </c>
      <c r="G598" s="84">
        <v>0</v>
      </c>
      <c r="H598" s="200">
        <f>H595</f>
        <v>1</v>
      </c>
      <c r="I598" s="187">
        <f>+I597+1</f>
        <v>7</v>
      </c>
      <c r="J598" s="205"/>
      <c r="K598" s="79"/>
      <c r="L598" s="17" t="s">
        <v>323</v>
      </c>
      <c r="M598" s="17">
        <v>4</v>
      </c>
      <c r="N598" s="18"/>
      <c r="O598" s="97" t="s">
        <v>817</v>
      </c>
      <c r="P598" s="59"/>
      <c r="Q598" s="17" t="s">
        <v>1295</v>
      </c>
      <c r="R598" s="97" t="s">
        <v>211</v>
      </c>
      <c r="S598" s="97" t="s">
        <v>976</v>
      </c>
      <c r="T598" s="97" t="s">
        <v>2</v>
      </c>
      <c r="U598" s="97"/>
      <c r="V598" s="17" t="str">
        <f>+CONCATENATE(E598,".",F598,"\",G598,".",H598,":",I598)</f>
        <v>2.7\0.1:7</v>
      </c>
      <c r="W598" s="17" t="s">
        <v>2129</v>
      </c>
      <c r="X598" s="272">
        <v>0</v>
      </c>
      <c r="Y598" s="20"/>
      <c r="Z598" s="20" t="s">
        <v>1200</v>
      </c>
      <c r="AA598" s="20"/>
      <c r="AB598" s="20"/>
      <c r="AC598" s="20"/>
      <c r="AD598" s="20"/>
      <c r="AE598" s="20"/>
      <c r="AF598" s="17"/>
      <c r="AG598" s="64" t="s">
        <v>1079</v>
      </c>
      <c r="AH598" s="64"/>
      <c r="AI598" s="64">
        <v>8</v>
      </c>
      <c r="AJ598" s="64"/>
      <c r="AK598" s="64"/>
      <c r="AL598" s="264"/>
      <c r="AM598" s="84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</row>
    <row r="599" spans="1:51" s="33" customFormat="1" ht="14.5" x14ac:dyDescent="0.35">
      <c r="A599" s="63" t="str">
        <f>A598</f>
        <v>BCV131</v>
      </c>
      <c r="B599" s="17" t="s">
        <v>2041</v>
      </c>
      <c r="C599" s="18" t="str">
        <f>+C598</f>
        <v>DIO1</v>
      </c>
      <c r="D599" s="18">
        <v>132</v>
      </c>
      <c r="E599" s="84">
        <f>+E598</f>
        <v>2</v>
      </c>
      <c r="F599" s="84">
        <f>+F598</f>
        <v>7</v>
      </c>
      <c r="G599" s="84">
        <v>0</v>
      </c>
      <c r="H599" s="200">
        <f>H596</f>
        <v>1</v>
      </c>
      <c r="I599" s="187">
        <f>+I598+1</f>
        <v>8</v>
      </c>
      <c r="J599" s="205"/>
      <c r="K599" s="79"/>
      <c r="L599" s="17" t="s">
        <v>323</v>
      </c>
      <c r="M599" s="17">
        <v>4</v>
      </c>
      <c r="N599" s="18"/>
      <c r="O599" s="97" t="s">
        <v>814</v>
      </c>
      <c r="P599" s="59"/>
      <c r="Q599" s="17" t="s">
        <v>1295</v>
      </c>
      <c r="R599" s="97" t="s">
        <v>211</v>
      </c>
      <c r="S599" s="97" t="s">
        <v>1298</v>
      </c>
      <c r="T599" s="97" t="s">
        <v>2</v>
      </c>
      <c r="U599" s="97"/>
      <c r="V599" s="17" t="str">
        <f>+CONCATENATE(E599,".",F599,"\",G599,".",H599,":",I599)</f>
        <v>2.7\0.1:8</v>
      </c>
      <c r="W599" s="17" t="s">
        <v>2129</v>
      </c>
      <c r="X599" s="272">
        <v>0</v>
      </c>
      <c r="Y599" s="20"/>
      <c r="Z599" s="20" t="s">
        <v>1200</v>
      </c>
      <c r="AA599" s="20"/>
      <c r="AB599" s="20"/>
      <c r="AC599" s="20"/>
      <c r="AD599" s="20"/>
      <c r="AE599" s="20"/>
      <c r="AF599" s="17"/>
      <c r="AG599" s="64" t="s">
        <v>1079</v>
      </c>
      <c r="AH599" s="64"/>
      <c r="AI599" s="64">
        <v>9</v>
      </c>
      <c r="AJ599" s="64"/>
      <c r="AK599" s="64"/>
      <c r="AL599" s="264"/>
      <c r="AM599" s="84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</row>
    <row r="600" spans="1:51" s="33" customFormat="1" ht="14.5" x14ac:dyDescent="0.35">
      <c r="A600" s="63" t="str">
        <f>A599</f>
        <v>BCV131</v>
      </c>
      <c r="B600" s="17" t="s">
        <v>2041</v>
      </c>
      <c r="C600" s="18" t="str">
        <f>+C599</f>
        <v>DIO1</v>
      </c>
      <c r="D600" s="18">
        <v>132</v>
      </c>
      <c r="E600" s="84">
        <f>+E599</f>
        <v>2</v>
      </c>
      <c r="F600" s="84">
        <f>+F599</f>
        <v>7</v>
      </c>
      <c r="G600" s="84">
        <v>0</v>
      </c>
      <c r="H600" s="200">
        <f>H597</f>
        <v>1</v>
      </c>
      <c r="I600" s="187">
        <f>+I599+1</f>
        <v>9</v>
      </c>
      <c r="J600" s="205"/>
      <c r="K600" s="79"/>
      <c r="L600" s="17" t="s">
        <v>323</v>
      </c>
      <c r="M600" s="17">
        <v>4</v>
      </c>
      <c r="N600" s="18"/>
      <c r="O600" s="97" t="s">
        <v>811</v>
      </c>
      <c r="P600" s="59"/>
      <c r="Q600" s="17" t="s">
        <v>1295</v>
      </c>
      <c r="R600" s="97" t="s">
        <v>211</v>
      </c>
      <c r="S600" s="97" t="s">
        <v>1297</v>
      </c>
      <c r="T600" s="97" t="s">
        <v>2</v>
      </c>
      <c r="U600" s="97"/>
      <c r="V600" s="17" t="str">
        <f>+CONCATENATE(E600,".",F600,"\",G600,".",H600,":",I600)</f>
        <v>2.7\0.1:9</v>
      </c>
      <c r="W600" s="17" t="s">
        <v>2129</v>
      </c>
      <c r="X600" s="272">
        <v>0</v>
      </c>
      <c r="Y600" s="20"/>
      <c r="Z600" s="20" t="s">
        <v>1200</v>
      </c>
      <c r="AA600" s="20"/>
      <c r="AB600" s="20"/>
      <c r="AC600" s="20"/>
      <c r="AD600" s="20"/>
      <c r="AE600" s="20"/>
      <c r="AF600" s="17"/>
      <c r="AG600" s="64" t="s">
        <v>1079</v>
      </c>
      <c r="AH600" s="64"/>
      <c r="AI600" s="64">
        <v>10</v>
      </c>
      <c r="AJ600" s="64"/>
      <c r="AK600" s="64"/>
      <c r="AL600" s="264"/>
      <c r="AM600" s="84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</row>
    <row r="601" spans="1:51" s="33" customFormat="1" ht="14.5" x14ac:dyDescent="0.35">
      <c r="A601" s="63" t="str">
        <f>A600</f>
        <v>BCV131</v>
      </c>
      <c r="B601" s="17" t="s">
        <v>2041</v>
      </c>
      <c r="C601" s="18" t="str">
        <f>+C600</f>
        <v>DIO1</v>
      </c>
      <c r="D601" s="18">
        <v>132</v>
      </c>
      <c r="E601" s="84">
        <f>+E600</f>
        <v>2</v>
      </c>
      <c r="F601" s="84">
        <f>+F600</f>
        <v>7</v>
      </c>
      <c r="G601" s="84">
        <v>0</v>
      </c>
      <c r="H601" s="200">
        <f>H598</f>
        <v>1</v>
      </c>
      <c r="I601" s="187">
        <f>+I600+1</f>
        <v>10</v>
      </c>
      <c r="J601" s="205"/>
      <c r="K601" s="79"/>
      <c r="L601" s="17" t="s">
        <v>323</v>
      </c>
      <c r="M601" s="17">
        <v>4</v>
      </c>
      <c r="N601" s="18"/>
      <c r="O601" s="97" t="s">
        <v>808</v>
      </c>
      <c r="P601" s="59"/>
      <c r="Q601" s="17" t="s">
        <v>1295</v>
      </c>
      <c r="R601" s="97" t="s">
        <v>211</v>
      </c>
      <c r="S601" s="97" t="s">
        <v>1296</v>
      </c>
      <c r="T601" s="17" t="s">
        <v>2</v>
      </c>
      <c r="U601" s="17"/>
      <c r="V601" s="17" t="str">
        <f>+CONCATENATE(E601,".",F601,"\",G601,".",H601,":",I601)</f>
        <v>2.7\0.1:10</v>
      </c>
      <c r="W601" s="17" t="s">
        <v>2129</v>
      </c>
      <c r="X601" s="272">
        <v>0</v>
      </c>
      <c r="Y601" s="20"/>
      <c r="Z601" s="20" t="s">
        <v>1200</v>
      </c>
      <c r="AA601" s="20"/>
      <c r="AB601" s="20"/>
      <c r="AC601" s="20"/>
      <c r="AD601" s="20"/>
      <c r="AE601" s="20"/>
      <c r="AF601" s="17"/>
      <c r="AG601" s="64" t="s">
        <v>1079</v>
      </c>
      <c r="AH601" s="64"/>
      <c r="AI601" s="64">
        <v>11</v>
      </c>
      <c r="AJ601" s="64"/>
      <c r="AK601" s="64"/>
      <c r="AL601" s="264"/>
      <c r="AM601" s="84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</row>
    <row r="602" spans="1:51" s="33" customFormat="1" ht="14.5" x14ac:dyDescent="0.35">
      <c r="A602" s="63" t="str">
        <f>A601</f>
        <v>BCV131</v>
      </c>
      <c r="B602" s="17" t="s">
        <v>2041</v>
      </c>
      <c r="C602" s="18" t="str">
        <f>+C601</f>
        <v>DIO1</v>
      </c>
      <c r="D602" s="18">
        <v>132</v>
      </c>
      <c r="E602" s="84">
        <f>+E601</f>
        <v>2</v>
      </c>
      <c r="F602" s="84">
        <f>+F601</f>
        <v>7</v>
      </c>
      <c r="G602" s="84">
        <v>0</v>
      </c>
      <c r="H602" s="200">
        <f>H599</f>
        <v>1</v>
      </c>
      <c r="I602" s="187">
        <f>+I601+1</f>
        <v>11</v>
      </c>
      <c r="J602" s="205"/>
      <c r="K602" s="79"/>
      <c r="L602" s="17" t="s">
        <v>323</v>
      </c>
      <c r="M602" s="17">
        <v>4</v>
      </c>
      <c r="N602" s="18"/>
      <c r="O602" s="97" t="s">
        <v>805</v>
      </c>
      <c r="P602" s="59"/>
      <c r="Q602" s="281" t="s">
        <v>1295</v>
      </c>
      <c r="R602" s="97" t="s">
        <v>211</v>
      </c>
      <c r="S602" s="97" t="s">
        <v>1294</v>
      </c>
      <c r="T602" s="17" t="s">
        <v>2</v>
      </c>
      <c r="U602" s="17"/>
      <c r="V602" s="17" t="str">
        <f>+CONCATENATE(E602,".",F602,"\",G602,".",H602,":",I602)</f>
        <v>2.7\0.1:11</v>
      </c>
      <c r="W602" s="17" t="s">
        <v>2129</v>
      </c>
      <c r="X602" s="272">
        <v>0</v>
      </c>
      <c r="Y602" s="20"/>
      <c r="Z602" s="20" t="s">
        <v>1200</v>
      </c>
      <c r="AA602" s="20"/>
      <c r="AB602" s="20"/>
      <c r="AC602" s="20"/>
      <c r="AD602" s="20"/>
      <c r="AE602" s="20"/>
      <c r="AF602" s="17"/>
      <c r="AG602" s="64" t="s">
        <v>1079</v>
      </c>
      <c r="AH602" s="64"/>
      <c r="AI602" s="64">
        <v>12</v>
      </c>
      <c r="AJ602" s="64"/>
      <c r="AK602" s="64"/>
      <c r="AL602" s="264"/>
      <c r="AM602" s="84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</row>
    <row r="603" spans="1:51" s="33" customFormat="1" x14ac:dyDescent="0.3">
      <c r="A603" s="63" t="str">
        <f>A602</f>
        <v>BCV131</v>
      </c>
      <c r="B603" s="17" t="s">
        <v>2041</v>
      </c>
      <c r="C603" s="18" t="str">
        <f>+C602</f>
        <v>DIO1</v>
      </c>
      <c r="D603" s="18">
        <v>132</v>
      </c>
      <c r="E603" s="84">
        <f>+E602</f>
        <v>2</v>
      </c>
      <c r="F603" s="84">
        <f>+F602</f>
        <v>7</v>
      </c>
      <c r="G603" s="84">
        <v>0</v>
      </c>
      <c r="H603" s="200">
        <f>H600</f>
        <v>1</v>
      </c>
      <c r="I603" s="187">
        <f>+I602+1</f>
        <v>12</v>
      </c>
      <c r="J603" s="205"/>
      <c r="K603" s="79"/>
      <c r="L603" s="17" t="s">
        <v>323</v>
      </c>
      <c r="M603" s="18"/>
      <c r="N603" s="18"/>
      <c r="O603" s="97"/>
      <c r="P603" s="18"/>
      <c r="Q603" s="17" t="s">
        <v>127</v>
      </c>
      <c r="R603" s="97" t="s">
        <v>127</v>
      </c>
      <c r="S603" s="18"/>
      <c r="T603" s="17"/>
      <c r="U603" s="17"/>
      <c r="V603" s="17" t="str">
        <f>+CONCATENATE(E603,".",F603,"\",G603,".",H603,":",I603)</f>
        <v>2.7\0.1:12</v>
      </c>
      <c r="W603" s="17"/>
      <c r="X603" s="17"/>
      <c r="Y603" s="20"/>
      <c r="Z603" s="20" t="s">
        <v>1159</v>
      </c>
      <c r="AA603" s="20"/>
      <c r="AB603" s="20"/>
      <c r="AC603" s="20"/>
      <c r="AD603" s="20"/>
      <c r="AE603" s="20"/>
      <c r="AF603" s="17"/>
      <c r="AG603" s="64" t="s">
        <v>1079</v>
      </c>
      <c r="AH603" s="64"/>
      <c r="AI603" s="64">
        <v>13</v>
      </c>
      <c r="AJ603" s="64"/>
      <c r="AK603" s="64"/>
      <c r="AL603" s="264"/>
      <c r="AM603" s="84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</row>
    <row r="604" spans="1:51" s="33" customFormat="1" x14ac:dyDescent="0.3">
      <c r="A604" s="63" t="str">
        <f>A603</f>
        <v>BCV131</v>
      </c>
      <c r="B604" s="17" t="s">
        <v>2041</v>
      </c>
      <c r="C604" s="18" t="str">
        <f>+C603</f>
        <v>DIO1</v>
      </c>
      <c r="D604" s="18">
        <v>132</v>
      </c>
      <c r="E604" s="84">
        <f>+E603</f>
        <v>2</v>
      </c>
      <c r="F604" s="84">
        <f>+F603</f>
        <v>7</v>
      </c>
      <c r="G604" s="84">
        <v>0</v>
      </c>
      <c r="H604" s="200">
        <f>H601</f>
        <v>1</v>
      </c>
      <c r="I604" s="187">
        <f>+I603+1</f>
        <v>13</v>
      </c>
      <c r="J604" s="205"/>
      <c r="K604" s="79"/>
      <c r="L604" s="17" t="s">
        <v>323</v>
      </c>
      <c r="M604" s="18"/>
      <c r="N604" s="18"/>
      <c r="O604" s="97"/>
      <c r="P604" s="18"/>
      <c r="Q604" s="17" t="s">
        <v>127</v>
      </c>
      <c r="R604" s="97" t="s">
        <v>127</v>
      </c>
      <c r="S604" s="18"/>
      <c r="T604" s="17"/>
      <c r="U604" s="17"/>
      <c r="V604" s="17" t="str">
        <f>+CONCATENATE(E604,".",F604,"\",G604,".",H604,":",I604)</f>
        <v>2.7\0.1:13</v>
      </c>
      <c r="W604" s="17"/>
      <c r="X604" s="17"/>
      <c r="Y604" s="20"/>
      <c r="Z604" s="20" t="s">
        <v>1159</v>
      </c>
      <c r="AA604" s="20"/>
      <c r="AB604" s="20"/>
      <c r="AC604" s="20"/>
      <c r="AD604" s="20"/>
      <c r="AE604" s="20"/>
      <c r="AF604" s="17"/>
      <c r="AG604" s="64" t="s">
        <v>1079</v>
      </c>
      <c r="AH604" s="64"/>
      <c r="AI604" s="64">
        <v>14</v>
      </c>
      <c r="AJ604" s="64"/>
      <c r="AK604" s="64"/>
      <c r="AL604" s="264"/>
      <c r="AM604" s="84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</row>
    <row r="605" spans="1:51" s="33" customFormat="1" x14ac:dyDescent="0.3">
      <c r="A605" s="63" t="str">
        <f>A604</f>
        <v>BCV131</v>
      </c>
      <c r="B605" s="17" t="s">
        <v>2041</v>
      </c>
      <c r="C605" s="18" t="str">
        <f>+C604</f>
        <v>DIO1</v>
      </c>
      <c r="D605" s="18">
        <v>132</v>
      </c>
      <c r="E605" s="84">
        <f>+E604</f>
        <v>2</v>
      </c>
      <c r="F605" s="84">
        <f>+F604</f>
        <v>7</v>
      </c>
      <c r="G605" s="84">
        <v>0</v>
      </c>
      <c r="H605" s="200">
        <f>H602</f>
        <v>1</v>
      </c>
      <c r="I605" s="187">
        <f>+I604+1</f>
        <v>14</v>
      </c>
      <c r="J605" s="205"/>
      <c r="K605" s="79"/>
      <c r="L605" s="17" t="s">
        <v>323</v>
      </c>
      <c r="M605" s="18"/>
      <c r="N605" s="18"/>
      <c r="O605" s="97"/>
      <c r="P605" s="18"/>
      <c r="Q605" s="17" t="s">
        <v>127</v>
      </c>
      <c r="R605" s="97" t="s">
        <v>127</v>
      </c>
      <c r="S605" s="18"/>
      <c r="T605" s="17"/>
      <c r="U605" s="17"/>
      <c r="V605" s="17" t="str">
        <f>+CONCATENATE(E605,".",F605,"\",G605,".",H605,":",I605)</f>
        <v>2.7\0.1:14</v>
      </c>
      <c r="W605" s="17"/>
      <c r="X605" s="17"/>
      <c r="Y605" s="20"/>
      <c r="Z605" s="20" t="s">
        <v>1159</v>
      </c>
      <c r="AA605" s="20"/>
      <c r="AB605" s="20"/>
      <c r="AC605" s="20"/>
      <c r="AD605" s="20"/>
      <c r="AE605" s="20"/>
      <c r="AF605" s="17"/>
      <c r="AG605" s="64" t="s">
        <v>1079</v>
      </c>
      <c r="AH605" s="64"/>
      <c r="AI605" s="64">
        <v>15</v>
      </c>
      <c r="AJ605" s="64"/>
      <c r="AK605" s="64"/>
      <c r="AL605" s="264"/>
      <c r="AM605" s="84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</row>
    <row r="606" spans="1:51" s="33" customFormat="1" x14ac:dyDescent="0.3">
      <c r="A606" s="63" t="str">
        <f>A605</f>
        <v>BCV131</v>
      </c>
      <c r="B606" s="17" t="s">
        <v>2041</v>
      </c>
      <c r="C606" s="18" t="str">
        <f>+C605</f>
        <v>DIO1</v>
      </c>
      <c r="D606" s="18">
        <v>132</v>
      </c>
      <c r="E606" s="84">
        <f>+E605</f>
        <v>2</v>
      </c>
      <c r="F606" s="84">
        <f>+F605</f>
        <v>7</v>
      </c>
      <c r="G606" s="84">
        <v>0</v>
      </c>
      <c r="H606" s="200">
        <f>H602</f>
        <v>1</v>
      </c>
      <c r="I606" s="187">
        <f>+I605+1</f>
        <v>15</v>
      </c>
      <c r="J606" s="205"/>
      <c r="K606" s="79"/>
      <c r="L606" s="17" t="s">
        <v>323</v>
      </c>
      <c r="M606" s="18"/>
      <c r="N606" s="18"/>
      <c r="O606" s="97"/>
      <c r="P606" s="18"/>
      <c r="Q606" s="18" t="s">
        <v>127</v>
      </c>
      <c r="R606" s="97" t="s">
        <v>127</v>
      </c>
      <c r="S606" s="18"/>
      <c r="T606" s="17"/>
      <c r="U606" s="17"/>
      <c r="V606" s="17" t="str">
        <f>+CONCATENATE(E606,".",F606,"\",G606,".",H606,":",I606)</f>
        <v>2.7\0.1:15</v>
      </c>
      <c r="W606" s="17"/>
      <c r="X606" s="17"/>
      <c r="Y606" s="20"/>
      <c r="Z606" s="20" t="s">
        <v>1159</v>
      </c>
      <c r="AA606" s="20"/>
      <c r="AB606" s="20"/>
      <c r="AC606" s="20"/>
      <c r="AD606" s="20"/>
      <c r="AE606" s="20"/>
      <c r="AF606" s="17"/>
      <c r="AG606" s="64" t="s">
        <v>1079</v>
      </c>
      <c r="AH606" s="64"/>
      <c r="AI606" s="64">
        <v>16</v>
      </c>
      <c r="AJ606" s="64"/>
      <c r="AK606" s="64"/>
      <c r="AL606" s="264"/>
      <c r="AM606" s="84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</row>
    <row r="607" spans="1:51" s="33" customFormat="1" x14ac:dyDescent="0.3">
      <c r="A607" s="63" t="str">
        <f>A606</f>
        <v>BCV131</v>
      </c>
      <c r="B607" s="17" t="s">
        <v>2041</v>
      </c>
      <c r="C607" s="18" t="str">
        <f>+C606</f>
        <v>DIO1</v>
      </c>
      <c r="D607" s="18">
        <v>132</v>
      </c>
      <c r="E607" s="84">
        <f>+E606</f>
        <v>2</v>
      </c>
      <c r="F607" s="84">
        <f>+F606</f>
        <v>7</v>
      </c>
      <c r="G607" s="84">
        <v>0</v>
      </c>
      <c r="H607" s="200">
        <f>H603</f>
        <v>1</v>
      </c>
      <c r="I607" s="187">
        <f>+I606+1</f>
        <v>16</v>
      </c>
      <c r="J607" s="205"/>
      <c r="K607" s="18"/>
      <c r="L607" s="17" t="s">
        <v>323</v>
      </c>
      <c r="M607" s="17">
        <v>4</v>
      </c>
      <c r="N607" s="18" t="s">
        <v>2127</v>
      </c>
      <c r="O607" s="68" t="s">
        <v>1242</v>
      </c>
      <c r="P607" s="18" t="s">
        <v>2047</v>
      </c>
      <c r="Q607" s="68" t="s">
        <v>2128</v>
      </c>
      <c r="R607" s="68" t="s">
        <v>299</v>
      </c>
      <c r="S607" s="68"/>
      <c r="T607" s="17" t="s">
        <v>594</v>
      </c>
      <c r="U607" s="17"/>
      <c r="V607" s="17" t="str">
        <f>+CONCATENATE(E607,".",F607,"\",G607,".",H607,":",I607)</f>
        <v>2.7\0.1:16</v>
      </c>
      <c r="W607" s="17" t="s">
        <v>2085</v>
      </c>
      <c r="X607" s="272">
        <v>0</v>
      </c>
      <c r="Y607" s="20"/>
      <c r="Z607" s="20" t="s">
        <v>1159</v>
      </c>
      <c r="AA607" s="20"/>
      <c r="AB607" s="20"/>
      <c r="AC607" s="20"/>
      <c r="AD607" s="20"/>
      <c r="AE607" s="20"/>
      <c r="AF607" s="17"/>
      <c r="AG607" s="64" t="s">
        <v>1079</v>
      </c>
      <c r="AH607" s="64">
        <v>17</v>
      </c>
      <c r="AI607" s="64">
        <v>18</v>
      </c>
      <c r="AJ607" s="64"/>
      <c r="AK607" s="64"/>
      <c r="AL607" s="264"/>
      <c r="AM607" s="84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</row>
    <row r="608" spans="1:51" s="33" customFormat="1" x14ac:dyDescent="0.3">
      <c r="A608" s="63" t="str">
        <f>A607</f>
        <v>BCV131</v>
      </c>
      <c r="B608" s="17" t="s">
        <v>2041</v>
      </c>
      <c r="C608" s="18" t="str">
        <f>+C607</f>
        <v>DIO1</v>
      </c>
      <c r="D608" s="18">
        <v>132</v>
      </c>
      <c r="E608" s="84">
        <f>+E607</f>
        <v>2</v>
      </c>
      <c r="F608" s="84">
        <f>+F607</f>
        <v>7</v>
      </c>
      <c r="G608" s="84">
        <v>0</v>
      </c>
      <c r="H608" s="200">
        <f>H604</f>
        <v>1</v>
      </c>
      <c r="I608" s="187">
        <f>+I607+1</f>
        <v>17</v>
      </c>
      <c r="J608" s="205"/>
      <c r="K608" s="79"/>
      <c r="L608" s="17" t="s">
        <v>323</v>
      </c>
      <c r="M608" s="17">
        <v>4</v>
      </c>
      <c r="N608" s="18" t="s">
        <v>2127</v>
      </c>
      <c r="O608" s="68" t="s">
        <v>1239</v>
      </c>
      <c r="P608" s="18" t="s">
        <v>2047</v>
      </c>
      <c r="Q608" s="68" t="s">
        <v>2126</v>
      </c>
      <c r="R608" s="68" t="s">
        <v>299</v>
      </c>
      <c r="S608" s="68"/>
      <c r="T608" s="17" t="s">
        <v>594</v>
      </c>
      <c r="U608" s="17"/>
      <c r="V608" s="17" t="str">
        <f>+CONCATENATE(E608,".",F608,"\",G608,".",H608,":",I608)</f>
        <v>2.7\0.1:17</v>
      </c>
      <c r="W608" s="17" t="s">
        <v>2085</v>
      </c>
      <c r="X608" s="272">
        <v>0</v>
      </c>
      <c r="Y608" s="20"/>
      <c r="Z608" s="20" t="s">
        <v>1159</v>
      </c>
      <c r="AA608" s="20"/>
      <c r="AB608" s="20"/>
      <c r="AC608" s="20"/>
      <c r="AD608" s="20"/>
      <c r="AE608" s="20"/>
      <c r="AF608" s="17"/>
      <c r="AG608" s="64" t="s">
        <v>1079</v>
      </c>
      <c r="AH608" s="64">
        <v>19</v>
      </c>
      <c r="AI608" s="64">
        <v>20</v>
      </c>
      <c r="AJ608" s="64"/>
      <c r="AK608" s="64"/>
      <c r="AL608" s="264"/>
      <c r="AM608" s="84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</row>
    <row r="609" spans="1:51" s="33" customFormat="1" ht="14.5" x14ac:dyDescent="0.35">
      <c r="A609" s="63" t="str">
        <f>A608</f>
        <v>BCV131</v>
      </c>
      <c r="B609" s="17" t="s">
        <v>2041</v>
      </c>
      <c r="C609" s="18" t="str">
        <f>+C608</f>
        <v>DIO1</v>
      </c>
      <c r="D609" s="18">
        <v>132</v>
      </c>
      <c r="E609" s="84">
        <f>+E608</f>
        <v>2</v>
      </c>
      <c r="F609" s="84">
        <f>+F608</f>
        <v>7</v>
      </c>
      <c r="G609" s="84">
        <v>0</v>
      </c>
      <c r="H609" s="200">
        <f>H605</f>
        <v>1</v>
      </c>
      <c r="I609" s="187">
        <f>+I608+1</f>
        <v>18</v>
      </c>
      <c r="J609" s="205"/>
      <c r="K609" s="79"/>
      <c r="L609" s="17" t="s">
        <v>323</v>
      </c>
      <c r="M609" s="18">
        <v>4</v>
      </c>
      <c r="N609" s="59" t="s">
        <v>5</v>
      </c>
      <c r="O609" s="68" t="s">
        <v>1242</v>
      </c>
      <c r="P609" s="59" t="s">
        <v>2124</v>
      </c>
      <c r="Q609" s="17" t="s">
        <v>2125</v>
      </c>
      <c r="R609" s="17" t="s">
        <v>299</v>
      </c>
      <c r="S609" s="17"/>
      <c r="T609" s="17" t="s">
        <v>659</v>
      </c>
      <c r="U609" s="17"/>
      <c r="V609" s="17" t="str">
        <f>+CONCATENATE(E609,".",F609,"\",G609,".",H609,":",I609)</f>
        <v>2.7\0.1:18</v>
      </c>
      <c r="W609" s="17" t="s">
        <v>658</v>
      </c>
      <c r="X609" s="83" t="s">
        <v>289</v>
      </c>
      <c r="Y609" s="20"/>
      <c r="Z609" s="20" t="s">
        <v>1159</v>
      </c>
      <c r="AA609" s="20"/>
      <c r="AB609" s="20"/>
      <c r="AC609" s="20"/>
      <c r="AD609" s="20"/>
      <c r="AE609" s="20"/>
      <c r="AF609" s="17"/>
      <c r="AG609" s="64" t="s">
        <v>1079</v>
      </c>
      <c r="AH609" s="64">
        <v>21</v>
      </c>
      <c r="AI609" s="64">
        <v>22</v>
      </c>
      <c r="AJ609" s="64"/>
      <c r="AK609" s="64"/>
      <c r="AL609" s="264"/>
      <c r="AM609" s="84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</row>
    <row r="610" spans="1:51" s="33" customFormat="1" ht="14.5" x14ac:dyDescent="0.35">
      <c r="A610" s="63" t="str">
        <f>A609</f>
        <v>BCV131</v>
      </c>
      <c r="B610" s="17" t="s">
        <v>2041</v>
      </c>
      <c r="C610" s="18" t="str">
        <f>+C609</f>
        <v>DIO1</v>
      </c>
      <c r="D610" s="18">
        <v>132</v>
      </c>
      <c r="E610" s="84">
        <f>+E609</f>
        <v>2</v>
      </c>
      <c r="F610" s="84">
        <f>+F609</f>
        <v>7</v>
      </c>
      <c r="G610" s="84">
        <v>0</v>
      </c>
      <c r="H610" s="200">
        <f>H606</f>
        <v>1</v>
      </c>
      <c r="I610" s="187">
        <f>+I609+1</f>
        <v>19</v>
      </c>
      <c r="J610" s="205"/>
      <c r="K610" s="79"/>
      <c r="L610" s="17" t="s">
        <v>323</v>
      </c>
      <c r="M610" s="18">
        <v>4</v>
      </c>
      <c r="N610" s="59" t="s">
        <v>5</v>
      </c>
      <c r="O610" s="68" t="s">
        <v>1239</v>
      </c>
      <c r="P610" s="59" t="s">
        <v>2124</v>
      </c>
      <c r="Q610" s="68" t="s">
        <v>2123</v>
      </c>
      <c r="R610" s="17" t="s">
        <v>299</v>
      </c>
      <c r="S610" s="17"/>
      <c r="T610" s="17" t="s">
        <v>659</v>
      </c>
      <c r="U610" s="17"/>
      <c r="V610" s="17" t="str">
        <f>+CONCATENATE(E610,".",F610,"\",G610,".",H610,":",I610)</f>
        <v>2.7\0.1:19</v>
      </c>
      <c r="W610" s="17" t="s">
        <v>658</v>
      </c>
      <c r="X610" s="83" t="s">
        <v>289</v>
      </c>
      <c r="Y610" s="20"/>
      <c r="Z610" s="20" t="s">
        <v>1159</v>
      </c>
      <c r="AA610" s="20"/>
      <c r="AB610" s="20"/>
      <c r="AC610" s="20"/>
      <c r="AD610" s="20"/>
      <c r="AE610" s="20"/>
      <c r="AF610" s="17"/>
      <c r="AG610" s="64" t="s">
        <v>1079</v>
      </c>
      <c r="AH610" s="64">
        <v>23</v>
      </c>
      <c r="AI610" s="64">
        <v>24</v>
      </c>
      <c r="AJ610" s="64"/>
      <c r="AK610" s="64"/>
      <c r="AL610" s="264"/>
      <c r="AM610" s="84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</row>
    <row r="611" spans="1:51" s="33" customFormat="1" ht="14.5" x14ac:dyDescent="0.35">
      <c r="A611" s="63" t="str">
        <f>A610</f>
        <v>BCV131</v>
      </c>
      <c r="B611" s="17" t="s">
        <v>2041</v>
      </c>
      <c r="C611" s="18" t="str">
        <f>+C610</f>
        <v>DIO1</v>
      </c>
      <c r="D611" s="18">
        <v>132</v>
      </c>
      <c r="E611" s="84">
        <f>+E610</f>
        <v>2</v>
      </c>
      <c r="F611" s="84">
        <f>+F610</f>
        <v>7</v>
      </c>
      <c r="G611" s="84">
        <v>0</v>
      </c>
      <c r="H611" s="200">
        <f>H607</f>
        <v>1</v>
      </c>
      <c r="I611" s="187">
        <f>+I610+1</f>
        <v>20</v>
      </c>
      <c r="J611" s="205"/>
      <c r="K611" s="79"/>
      <c r="L611" s="17" t="s">
        <v>323</v>
      </c>
      <c r="M611" s="18">
        <v>4</v>
      </c>
      <c r="N611" s="17" t="s">
        <v>22</v>
      </c>
      <c r="O611" s="68" t="s">
        <v>1242</v>
      </c>
      <c r="P611" s="59" t="s">
        <v>2121</v>
      </c>
      <c r="Q611" s="68" t="s">
        <v>2122</v>
      </c>
      <c r="R611" s="17" t="s">
        <v>299</v>
      </c>
      <c r="S611" s="17"/>
      <c r="T611" s="17" t="s">
        <v>657</v>
      </c>
      <c r="U611" s="17"/>
      <c r="V611" s="17" t="str">
        <f>+CONCATENATE(E611,".",F611,"\",G611,".",H611,":",I611)</f>
        <v>2.7\0.1:20</v>
      </c>
      <c r="W611" s="17" t="s">
        <v>656</v>
      </c>
      <c r="X611" s="83" t="s">
        <v>289</v>
      </c>
      <c r="Y611" s="20"/>
      <c r="Z611" s="20" t="s">
        <v>1159</v>
      </c>
      <c r="AA611" s="20"/>
      <c r="AB611" s="20"/>
      <c r="AC611" s="20"/>
      <c r="AD611" s="20"/>
      <c r="AE611" s="20"/>
      <c r="AF611" s="17"/>
      <c r="AG611" s="64" t="s">
        <v>1079</v>
      </c>
      <c r="AH611" s="64">
        <v>25</v>
      </c>
      <c r="AI611" s="64">
        <v>26</v>
      </c>
      <c r="AJ611" s="64"/>
      <c r="AK611" s="64"/>
      <c r="AL611" s="264"/>
      <c r="AM611" s="84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</row>
    <row r="612" spans="1:51" s="33" customFormat="1" ht="14.5" x14ac:dyDescent="0.35">
      <c r="A612" s="63" t="str">
        <f>A611</f>
        <v>BCV131</v>
      </c>
      <c r="B612" s="17" t="s">
        <v>2041</v>
      </c>
      <c r="C612" s="18" t="str">
        <f>+C611</f>
        <v>DIO1</v>
      </c>
      <c r="D612" s="18">
        <v>132</v>
      </c>
      <c r="E612" s="84">
        <f>+E611</f>
        <v>2</v>
      </c>
      <c r="F612" s="84">
        <f>+F611</f>
        <v>7</v>
      </c>
      <c r="G612" s="84">
        <v>0</v>
      </c>
      <c r="H612" s="200">
        <f>H608</f>
        <v>1</v>
      </c>
      <c r="I612" s="187">
        <f>+I611+1</f>
        <v>21</v>
      </c>
      <c r="J612" s="205"/>
      <c r="K612" s="79"/>
      <c r="L612" s="17" t="s">
        <v>323</v>
      </c>
      <c r="M612" s="18">
        <v>4</v>
      </c>
      <c r="N612" s="17" t="s">
        <v>22</v>
      </c>
      <c r="O612" s="68" t="s">
        <v>1239</v>
      </c>
      <c r="P612" s="59" t="s">
        <v>2121</v>
      </c>
      <c r="Q612" s="17" t="s">
        <v>2120</v>
      </c>
      <c r="R612" s="17" t="s">
        <v>299</v>
      </c>
      <c r="S612" s="17"/>
      <c r="T612" s="17" t="s">
        <v>657</v>
      </c>
      <c r="U612" s="17"/>
      <c r="V612" s="17" t="str">
        <f>+CONCATENATE(E612,".",F612,"\",G612,".",H612,":",I612)</f>
        <v>2.7\0.1:21</v>
      </c>
      <c r="W612" s="17" t="s">
        <v>656</v>
      </c>
      <c r="X612" s="83" t="s">
        <v>289</v>
      </c>
      <c r="Y612" s="20"/>
      <c r="Z612" s="20" t="s">
        <v>1159</v>
      </c>
      <c r="AA612" s="20"/>
      <c r="AB612" s="20"/>
      <c r="AC612" s="20"/>
      <c r="AD612" s="20"/>
      <c r="AE612" s="20"/>
      <c r="AF612" s="17"/>
      <c r="AG612" s="64" t="s">
        <v>1079</v>
      </c>
      <c r="AH612" s="64">
        <v>27</v>
      </c>
      <c r="AI612" s="64">
        <v>28</v>
      </c>
      <c r="AJ612" s="64"/>
      <c r="AK612" s="64"/>
      <c r="AL612" s="264"/>
      <c r="AM612" s="84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</row>
    <row r="613" spans="1:51" s="33" customFormat="1" ht="14.5" x14ac:dyDescent="0.35">
      <c r="A613" s="63" t="str">
        <f>A612</f>
        <v>BCV131</v>
      </c>
      <c r="B613" s="17" t="s">
        <v>2041</v>
      </c>
      <c r="C613" s="18" t="str">
        <f>+C612</f>
        <v>DIO1</v>
      </c>
      <c r="D613" s="18">
        <v>132</v>
      </c>
      <c r="E613" s="84">
        <f>+E612</f>
        <v>2</v>
      </c>
      <c r="F613" s="84">
        <f>+F612</f>
        <v>7</v>
      </c>
      <c r="G613" s="84">
        <v>0</v>
      </c>
      <c r="H613" s="200">
        <f>H609</f>
        <v>1</v>
      </c>
      <c r="I613" s="187">
        <f>+I612+1</f>
        <v>22</v>
      </c>
      <c r="J613" s="205"/>
      <c r="K613" s="79"/>
      <c r="L613" s="17" t="s">
        <v>323</v>
      </c>
      <c r="M613" s="17">
        <v>5</v>
      </c>
      <c r="N613" s="306"/>
      <c r="O613" s="78"/>
      <c r="P613" s="55"/>
      <c r="Q613" s="211"/>
      <c r="R613" s="78"/>
      <c r="S613" s="78"/>
      <c r="T613" s="78"/>
      <c r="U613" s="17"/>
      <c r="V613" s="17" t="str">
        <f>+CONCATENATE(E613,".",F613,"\",G613,".",H613,":",I613)</f>
        <v>2.7\0.1:22</v>
      </c>
      <c r="W613" s="78" t="s">
        <v>654</v>
      </c>
      <c r="X613" s="83" t="s">
        <v>289</v>
      </c>
      <c r="Y613" s="20"/>
      <c r="Z613" s="20" t="s">
        <v>1159</v>
      </c>
      <c r="AA613" s="20"/>
      <c r="AB613" s="20"/>
      <c r="AC613" s="20"/>
      <c r="AD613" s="20"/>
      <c r="AE613" s="20"/>
      <c r="AF613" s="17"/>
      <c r="AG613" s="64" t="s">
        <v>1079</v>
      </c>
      <c r="AH613" s="64">
        <v>29</v>
      </c>
      <c r="AI613" s="64">
        <v>30</v>
      </c>
      <c r="AJ613" s="64"/>
      <c r="AK613" s="64"/>
      <c r="AL613" s="264"/>
      <c r="AM613" s="84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</row>
    <row r="614" spans="1:51" s="33" customFormat="1" ht="14.5" x14ac:dyDescent="0.35">
      <c r="A614" s="63" t="str">
        <f>A613</f>
        <v>BCV131</v>
      </c>
      <c r="B614" s="17" t="s">
        <v>2041</v>
      </c>
      <c r="C614" s="18" t="str">
        <f>+C613</f>
        <v>DIO1</v>
      </c>
      <c r="D614" s="18">
        <v>132</v>
      </c>
      <c r="E614" s="84">
        <f>+E613</f>
        <v>2</v>
      </c>
      <c r="F614" s="84">
        <f>+F613</f>
        <v>7</v>
      </c>
      <c r="G614" s="84">
        <v>0</v>
      </c>
      <c r="H614" s="200">
        <f>H610</f>
        <v>1</v>
      </c>
      <c r="I614" s="187">
        <f>+I613+1</f>
        <v>23</v>
      </c>
      <c r="J614" s="205"/>
      <c r="K614" s="79"/>
      <c r="L614" s="17" t="s">
        <v>323</v>
      </c>
      <c r="M614" s="17">
        <v>5</v>
      </c>
      <c r="N614" s="306"/>
      <c r="O614" s="78"/>
      <c r="P614" s="55"/>
      <c r="Q614" s="211"/>
      <c r="R614" s="78"/>
      <c r="S614" s="78"/>
      <c r="T614" s="78"/>
      <c r="U614" s="17"/>
      <c r="V614" s="17" t="str">
        <f>+CONCATENATE(E614,".",F614,"\",G614,".",H614,":",I614)</f>
        <v>2.7\0.1:23</v>
      </c>
      <c r="W614" s="78" t="s">
        <v>654</v>
      </c>
      <c r="X614" s="83" t="s">
        <v>289</v>
      </c>
      <c r="Y614" s="20"/>
      <c r="Z614" s="20" t="s">
        <v>1159</v>
      </c>
      <c r="AA614" s="20"/>
      <c r="AB614" s="20"/>
      <c r="AC614" s="20"/>
      <c r="AD614" s="20"/>
      <c r="AE614" s="20"/>
      <c r="AF614" s="17"/>
      <c r="AG614" s="64" t="s">
        <v>1079</v>
      </c>
      <c r="AH614" s="64">
        <v>31</v>
      </c>
      <c r="AI614" s="64">
        <v>32</v>
      </c>
      <c r="AJ614" s="64"/>
      <c r="AK614" s="64"/>
      <c r="AL614" s="264"/>
      <c r="AM614" s="84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</row>
    <row r="615" spans="1:51" s="33" customFormat="1" ht="14.5" x14ac:dyDescent="0.35">
      <c r="A615" s="63" t="str">
        <f>A614</f>
        <v>BCV131</v>
      </c>
      <c r="B615" s="17" t="s">
        <v>2041</v>
      </c>
      <c r="C615" s="18" t="str">
        <f>+C614</f>
        <v>DIO1</v>
      </c>
      <c r="D615" s="18">
        <v>132</v>
      </c>
      <c r="E615" s="84">
        <f>+E614</f>
        <v>2</v>
      </c>
      <c r="F615" s="84">
        <f>+F614</f>
        <v>7</v>
      </c>
      <c r="G615" s="84">
        <v>0</v>
      </c>
      <c r="H615" s="200">
        <f>H611</f>
        <v>1</v>
      </c>
      <c r="I615" s="187">
        <f>+I614+1</f>
        <v>24</v>
      </c>
      <c r="J615" s="205"/>
      <c r="K615" s="79"/>
      <c r="L615" s="17" t="s">
        <v>323</v>
      </c>
      <c r="M615" s="78">
        <v>4</v>
      </c>
      <c r="N615" s="59" t="s">
        <v>2119</v>
      </c>
      <c r="O615" s="17" t="s">
        <v>2118</v>
      </c>
      <c r="P615" s="59" t="s">
        <v>1163</v>
      </c>
      <c r="Q615" s="68" t="s">
        <v>2117</v>
      </c>
      <c r="R615" s="17" t="s">
        <v>211</v>
      </c>
      <c r="S615" s="17"/>
      <c r="T615" s="17" t="s">
        <v>194</v>
      </c>
      <c r="U615" s="17"/>
      <c r="V615" s="17" t="str">
        <f>+CONCATENATE(E615,".",F615,"\",G615,".",H615,":",I615)</f>
        <v>2.7\0.1:24</v>
      </c>
      <c r="W615" s="17" t="s">
        <v>2085</v>
      </c>
      <c r="X615" s="272">
        <v>0</v>
      </c>
      <c r="Y615" s="20"/>
      <c r="Z615" s="20" t="s">
        <v>1159</v>
      </c>
      <c r="AA615" s="20"/>
      <c r="AB615" s="20"/>
      <c r="AC615" s="20"/>
      <c r="AD615" s="20"/>
      <c r="AE615" s="20"/>
      <c r="AF615" s="17"/>
      <c r="AG615" s="64" t="s">
        <v>1079</v>
      </c>
      <c r="AH615" s="64">
        <v>33</v>
      </c>
      <c r="AI615" s="64">
        <v>34</v>
      </c>
      <c r="AJ615" s="64"/>
      <c r="AK615" s="64"/>
      <c r="AL615" s="264"/>
      <c r="AM615" s="84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</row>
    <row r="616" spans="1:51" s="33" customFormat="1" ht="14.5" x14ac:dyDescent="0.35">
      <c r="A616" s="63" t="str">
        <f>A615</f>
        <v>BCV131</v>
      </c>
      <c r="B616" s="17" t="s">
        <v>2041</v>
      </c>
      <c r="C616" s="18" t="str">
        <f>+C615</f>
        <v>DIO1</v>
      </c>
      <c r="D616" s="18">
        <v>132</v>
      </c>
      <c r="E616" s="84">
        <f>+E615</f>
        <v>2</v>
      </c>
      <c r="F616" s="84">
        <f>+F615</f>
        <v>7</v>
      </c>
      <c r="G616" s="84">
        <v>0</v>
      </c>
      <c r="H616" s="200">
        <f>H612</f>
        <v>1</v>
      </c>
      <c r="I616" s="187">
        <f>+I615+1</f>
        <v>25</v>
      </c>
      <c r="J616" s="205"/>
      <c r="K616" s="79"/>
      <c r="L616" s="17" t="s">
        <v>323</v>
      </c>
      <c r="M616" s="78">
        <v>4</v>
      </c>
      <c r="N616" s="59" t="s">
        <v>2116</v>
      </c>
      <c r="O616" s="17" t="s">
        <v>2115</v>
      </c>
      <c r="P616" s="59" t="s">
        <v>1163</v>
      </c>
      <c r="Q616" s="68" t="s">
        <v>2114</v>
      </c>
      <c r="R616" s="17" t="s">
        <v>211</v>
      </c>
      <c r="S616" s="17"/>
      <c r="T616" s="17" t="s">
        <v>194</v>
      </c>
      <c r="U616" s="17"/>
      <c r="V616" s="17" t="str">
        <f>+CONCATENATE(E616,".",F616,"\",G616,".",H616,":",I616)</f>
        <v>2.7\0.1:25</v>
      </c>
      <c r="W616" s="17" t="s">
        <v>2085</v>
      </c>
      <c r="X616" s="272">
        <v>0</v>
      </c>
      <c r="Y616" s="20"/>
      <c r="Z616" s="20" t="s">
        <v>1159</v>
      </c>
      <c r="AA616" s="20"/>
      <c r="AB616" s="20"/>
      <c r="AC616" s="20"/>
      <c r="AD616" s="20"/>
      <c r="AE616" s="20"/>
      <c r="AF616" s="17"/>
      <c r="AG616" s="64" t="s">
        <v>1079</v>
      </c>
      <c r="AH616" s="64">
        <v>35</v>
      </c>
      <c r="AI616" s="64">
        <v>36</v>
      </c>
      <c r="AJ616" s="64"/>
      <c r="AK616" s="64"/>
      <c r="AL616" s="264"/>
      <c r="AM616" s="84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</row>
    <row r="617" spans="1:51" s="33" customFormat="1" ht="14.5" x14ac:dyDescent="0.35">
      <c r="A617" s="63" t="str">
        <f>A616</f>
        <v>BCV131</v>
      </c>
      <c r="B617" s="17" t="s">
        <v>2041</v>
      </c>
      <c r="C617" s="18" t="str">
        <f>+C616</f>
        <v>DIO1</v>
      </c>
      <c r="D617" s="18">
        <v>132</v>
      </c>
      <c r="E617" s="84">
        <f>+E616</f>
        <v>2</v>
      </c>
      <c r="F617" s="84">
        <f>+F616</f>
        <v>7</v>
      </c>
      <c r="G617" s="84">
        <v>0</v>
      </c>
      <c r="H617" s="200">
        <f>H613</f>
        <v>1</v>
      </c>
      <c r="I617" s="187">
        <f>+I616+1</f>
        <v>26</v>
      </c>
      <c r="J617" s="205"/>
      <c r="K617" s="79"/>
      <c r="L617" s="17" t="s">
        <v>323</v>
      </c>
      <c r="M617" s="18">
        <v>5</v>
      </c>
      <c r="N617" s="59" t="s">
        <v>2113</v>
      </c>
      <c r="O617" s="17" t="s">
        <v>1049</v>
      </c>
      <c r="P617" s="59" t="s">
        <v>2112</v>
      </c>
      <c r="Q617" s="17" t="s">
        <v>2111</v>
      </c>
      <c r="R617" s="17" t="s">
        <v>211</v>
      </c>
      <c r="S617" s="272" t="s">
        <v>2110</v>
      </c>
      <c r="T617" s="17" t="s">
        <v>194</v>
      </c>
      <c r="U617" s="17"/>
      <c r="V617" s="17" t="str">
        <f>+CONCATENATE(E617,".",F617,"\",G617,".",H617,":",I617)</f>
        <v>2.7\0.1:26</v>
      </c>
      <c r="W617" s="17" t="s">
        <v>2085</v>
      </c>
      <c r="X617" s="272">
        <v>0</v>
      </c>
      <c r="Y617" s="20"/>
      <c r="Z617" s="20" t="s">
        <v>1159</v>
      </c>
      <c r="AA617" s="20"/>
      <c r="AB617" s="17"/>
      <c r="AC617" s="20"/>
      <c r="AD617" s="20"/>
      <c r="AE617" s="20"/>
      <c r="AF617" s="17"/>
      <c r="AG617" s="64" t="s">
        <v>1079</v>
      </c>
      <c r="AH617" s="64">
        <v>37</v>
      </c>
      <c r="AI617" s="64">
        <v>38</v>
      </c>
      <c r="AJ617" s="64"/>
      <c r="AK617" s="64"/>
      <c r="AL617" s="264"/>
      <c r="AM617" s="84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</row>
    <row r="618" spans="1:51" s="33" customFormat="1" ht="14.5" x14ac:dyDescent="0.35">
      <c r="A618" s="63" t="str">
        <f>A617</f>
        <v>BCV131</v>
      </c>
      <c r="B618" s="17" t="s">
        <v>2041</v>
      </c>
      <c r="C618" s="18" t="str">
        <f>+C617</f>
        <v>DIO1</v>
      </c>
      <c r="D618" s="18">
        <v>132</v>
      </c>
      <c r="E618" s="84">
        <f>+E617</f>
        <v>2</v>
      </c>
      <c r="F618" s="84">
        <f>+F617</f>
        <v>7</v>
      </c>
      <c r="G618" s="84">
        <v>0</v>
      </c>
      <c r="H618" s="200">
        <f>H614</f>
        <v>1</v>
      </c>
      <c r="I618" s="187">
        <f>+I617+1</f>
        <v>27</v>
      </c>
      <c r="J618" s="205"/>
      <c r="K618" s="79"/>
      <c r="L618" s="17" t="s">
        <v>323</v>
      </c>
      <c r="M618" s="18">
        <v>5</v>
      </c>
      <c r="N618" s="59" t="s">
        <v>2109</v>
      </c>
      <c r="O618" s="17" t="s">
        <v>2108</v>
      </c>
      <c r="P618" s="305" t="s">
        <v>2107</v>
      </c>
      <c r="Q618" s="206" t="s">
        <v>2106</v>
      </c>
      <c r="R618" s="280" t="s">
        <v>211</v>
      </c>
      <c r="S618" s="272" t="s">
        <v>2105</v>
      </c>
      <c r="T618" s="17" t="s">
        <v>194</v>
      </c>
      <c r="U618" s="17"/>
      <c r="V618" s="17" t="str">
        <f>+CONCATENATE(E618,".",F618,"\",G618,".",H618,":",I618)</f>
        <v>2.7\0.1:27</v>
      </c>
      <c r="W618" s="17" t="s">
        <v>2085</v>
      </c>
      <c r="X618" s="272">
        <v>0</v>
      </c>
      <c r="Y618" s="20"/>
      <c r="Z618" s="20" t="s">
        <v>1159</v>
      </c>
      <c r="AA618" s="20"/>
      <c r="AB618" s="17"/>
      <c r="AC618" s="20"/>
      <c r="AD618" s="20"/>
      <c r="AE618" s="20"/>
      <c r="AF618" s="17"/>
      <c r="AG618" s="64" t="s">
        <v>1079</v>
      </c>
      <c r="AH618" s="64">
        <v>39</v>
      </c>
      <c r="AI618" s="64">
        <v>40</v>
      </c>
      <c r="AJ618" s="64"/>
      <c r="AK618" s="64"/>
      <c r="AL618" s="264"/>
      <c r="AM618" s="84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</row>
    <row r="619" spans="1:51" s="33" customFormat="1" ht="14.5" x14ac:dyDescent="0.35">
      <c r="A619" s="63" t="str">
        <f>A618</f>
        <v>BCV131</v>
      </c>
      <c r="B619" s="17" t="s">
        <v>2041</v>
      </c>
      <c r="C619" s="18" t="str">
        <f>+C618</f>
        <v>DIO1</v>
      </c>
      <c r="D619" s="18">
        <v>132</v>
      </c>
      <c r="E619" s="84">
        <f>+E618</f>
        <v>2</v>
      </c>
      <c r="F619" s="84">
        <f>+F618</f>
        <v>7</v>
      </c>
      <c r="G619" s="84">
        <v>0</v>
      </c>
      <c r="H619" s="200">
        <f>H615</f>
        <v>1</v>
      </c>
      <c r="I619" s="187">
        <f>+I618+1</f>
        <v>28</v>
      </c>
      <c r="J619" s="205"/>
      <c r="K619" s="79"/>
      <c r="L619" s="17" t="s">
        <v>323</v>
      </c>
      <c r="M619" s="83">
        <v>4</v>
      </c>
      <c r="N619" s="59" t="s">
        <v>5</v>
      </c>
      <c r="O619" s="68" t="s">
        <v>2104</v>
      </c>
      <c r="P619" s="59" t="s">
        <v>2100</v>
      </c>
      <c r="Q619" s="68" t="s">
        <v>2103</v>
      </c>
      <c r="R619" s="17" t="s">
        <v>299</v>
      </c>
      <c r="S619" s="17"/>
      <c r="T619" s="59" t="s">
        <v>653</v>
      </c>
      <c r="U619" s="17"/>
      <c r="V619" s="17" t="str">
        <f>+CONCATENATE(E619,".",F619,"\",G619,".",H619,":",I619)</f>
        <v>2.7\0.1:28</v>
      </c>
      <c r="W619" s="92" t="s">
        <v>652</v>
      </c>
      <c r="X619" s="83" t="s">
        <v>289</v>
      </c>
      <c r="Y619" s="20" t="s">
        <v>2102</v>
      </c>
      <c r="Z619" s="20" t="s">
        <v>1159</v>
      </c>
      <c r="AA619" s="20"/>
      <c r="AB619" s="17"/>
      <c r="AC619" s="20"/>
      <c r="AD619" s="20"/>
      <c r="AE619" s="20"/>
      <c r="AF619" s="17"/>
      <c r="AG619" s="64" t="s">
        <v>1079</v>
      </c>
      <c r="AH619" s="64">
        <v>41</v>
      </c>
      <c r="AI619" s="64">
        <v>42</v>
      </c>
      <c r="AJ619" s="64"/>
      <c r="AK619" s="64"/>
      <c r="AL619" s="264"/>
      <c r="AM619" s="84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</row>
    <row r="620" spans="1:51" s="33" customFormat="1" ht="14.5" x14ac:dyDescent="0.35">
      <c r="A620" s="63" t="str">
        <f>A619</f>
        <v>BCV131</v>
      </c>
      <c r="B620" s="17" t="s">
        <v>2041</v>
      </c>
      <c r="C620" s="18" t="str">
        <f>+C619</f>
        <v>DIO1</v>
      </c>
      <c r="D620" s="18">
        <v>132</v>
      </c>
      <c r="E620" s="84">
        <f>+E619</f>
        <v>2</v>
      </c>
      <c r="F620" s="84">
        <f>+F619</f>
        <v>7</v>
      </c>
      <c r="G620" s="84">
        <v>0</v>
      </c>
      <c r="H620" s="200">
        <f>H616</f>
        <v>1</v>
      </c>
      <c r="I620" s="187">
        <f>+I619+1</f>
        <v>29</v>
      </c>
      <c r="J620" s="205"/>
      <c r="K620" s="79"/>
      <c r="L620" s="17" t="s">
        <v>323</v>
      </c>
      <c r="M620" s="83">
        <v>4</v>
      </c>
      <c r="N620" s="59" t="s">
        <v>5</v>
      </c>
      <c r="O620" s="68" t="s">
        <v>2101</v>
      </c>
      <c r="P620" s="59" t="s">
        <v>2100</v>
      </c>
      <c r="Q620" s="68" t="s">
        <v>2099</v>
      </c>
      <c r="R620" s="17" t="s">
        <v>299</v>
      </c>
      <c r="S620" s="17"/>
      <c r="T620" s="59" t="s">
        <v>653</v>
      </c>
      <c r="U620" s="17"/>
      <c r="V620" s="17" t="str">
        <f>+CONCATENATE(E620,".",F620,"\",G620,".",H620,":",I620)</f>
        <v>2.7\0.1:29</v>
      </c>
      <c r="W620" s="92" t="s">
        <v>652</v>
      </c>
      <c r="X620" s="83" t="s">
        <v>289</v>
      </c>
      <c r="Y620" s="20" t="s">
        <v>2098</v>
      </c>
      <c r="Z620" s="20" t="s">
        <v>1159</v>
      </c>
      <c r="AA620" s="20"/>
      <c r="AB620" s="17"/>
      <c r="AC620" s="20"/>
      <c r="AD620" s="20"/>
      <c r="AE620" s="20"/>
      <c r="AF620" s="17"/>
      <c r="AG620" s="64" t="s">
        <v>1079</v>
      </c>
      <c r="AH620" s="64">
        <v>43</v>
      </c>
      <c r="AI620" s="64">
        <v>44</v>
      </c>
      <c r="AJ620" s="64"/>
      <c r="AK620" s="64"/>
      <c r="AL620" s="264"/>
      <c r="AM620" s="84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</row>
    <row r="621" spans="1:51" s="33" customFormat="1" x14ac:dyDescent="0.3">
      <c r="A621" s="63" t="str">
        <f>A620</f>
        <v>BCV131</v>
      </c>
      <c r="B621" s="17" t="s">
        <v>2041</v>
      </c>
      <c r="C621" s="18" t="str">
        <f>+C620</f>
        <v>DIO1</v>
      </c>
      <c r="D621" s="18">
        <v>132</v>
      </c>
      <c r="E621" s="84">
        <f>+E620</f>
        <v>2</v>
      </c>
      <c r="F621" s="84">
        <f>+F620</f>
        <v>7</v>
      </c>
      <c r="G621" s="84">
        <v>0</v>
      </c>
      <c r="H621" s="200">
        <f>H617</f>
        <v>1</v>
      </c>
      <c r="I621" s="187">
        <f>+I620+1</f>
        <v>30</v>
      </c>
      <c r="J621" s="205"/>
      <c r="K621" s="79"/>
      <c r="L621" s="17" t="s">
        <v>323</v>
      </c>
      <c r="M621" s="18"/>
      <c r="N621" s="18"/>
      <c r="O621" s="17"/>
      <c r="P621" s="18" t="s">
        <v>127</v>
      </c>
      <c r="Q621" s="206" t="s">
        <v>127</v>
      </c>
      <c r="R621" s="280"/>
      <c r="S621" s="17"/>
      <c r="T621" s="17"/>
      <c r="U621" s="17"/>
      <c r="V621" s="17" t="str">
        <f>+CONCATENATE(E621,".",F621,"\",G621,".",H621,":",I621)</f>
        <v>2.7\0.1:30</v>
      </c>
      <c r="W621" s="17"/>
      <c r="X621" s="17"/>
      <c r="Y621" s="20"/>
      <c r="Z621" s="20" t="s">
        <v>1159</v>
      </c>
      <c r="AA621" s="20"/>
      <c r="AB621" s="17"/>
      <c r="AC621" s="20"/>
      <c r="AD621" s="20"/>
      <c r="AE621" s="20"/>
      <c r="AF621" s="17"/>
      <c r="AG621" s="64" t="s">
        <v>1079</v>
      </c>
      <c r="AH621" s="64">
        <v>45</v>
      </c>
      <c r="AI621" s="64">
        <v>46</v>
      </c>
      <c r="AJ621" s="64"/>
      <c r="AK621" s="64"/>
      <c r="AL621" s="264"/>
      <c r="AM621" s="84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</row>
    <row r="622" spans="1:51" s="33" customFormat="1" ht="13.5" thickBot="1" x14ac:dyDescent="0.35">
      <c r="A622" s="63" t="str">
        <f>A621</f>
        <v>BCV131</v>
      </c>
      <c r="B622" s="17" t="s">
        <v>2041</v>
      </c>
      <c r="C622" s="18" t="str">
        <f>+C621</f>
        <v>DIO1</v>
      </c>
      <c r="D622" s="18">
        <v>132</v>
      </c>
      <c r="E622" s="84">
        <f>+E621</f>
        <v>2</v>
      </c>
      <c r="F622" s="84">
        <f>+F621</f>
        <v>7</v>
      </c>
      <c r="G622" s="84">
        <v>0</v>
      </c>
      <c r="H622" s="200">
        <f>H618</f>
        <v>1</v>
      </c>
      <c r="I622" s="191">
        <f>+I621+1</f>
        <v>31</v>
      </c>
      <c r="J622" s="203"/>
      <c r="K622" s="79"/>
      <c r="L622" s="17" t="s">
        <v>323</v>
      </c>
      <c r="M622" s="18"/>
      <c r="N622" s="18"/>
      <c r="O622" s="18"/>
      <c r="P622" s="18" t="s">
        <v>127</v>
      </c>
      <c r="Q622" s="17" t="s">
        <v>127</v>
      </c>
      <c r="R622" s="17"/>
      <c r="S622" s="18"/>
      <c r="T622" s="18"/>
      <c r="U622" s="17"/>
      <c r="V622" s="17" t="str">
        <f>+CONCATENATE(E622,".",F622,"\",G622,".",H622,":",I622)</f>
        <v>2.7\0.1:31</v>
      </c>
      <c r="W622" s="17"/>
      <c r="X622" s="17"/>
      <c r="Y622" s="20"/>
      <c r="Z622" s="20" t="s">
        <v>1159</v>
      </c>
      <c r="AA622" s="20"/>
      <c r="AB622" s="17"/>
      <c r="AC622" s="20"/>
      <c r="AD622" s="20"/>
      <c r="AE622" s="20"/>
      <c r="AF622" s="17"/>
      <c r="AG622" s="64" t="s">
        <v>1079</v>
      </c>
      <c r="AH622" s="64">
        <v>47</v>
      </c>
      <c r="AI622" s="64">
        <v>48</v>
      </c>
      <c r="AJ622" s="64"/>
      <c r="AK622" s="64"/>
      <c r="AL622" s="264"/>
      <c r="AM622" s="84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</row>
    <row r="623" spans="1:51" s="33" customFormat="1" x14ac:dyDescent="0.3">
      <c r="A623" s="268" t="s">
        <v>194</v>
      </c>
      <c r="B623" s="17" t="s">
        <v>2041</v>
      </c>
      <c r="C623" s="18" t="str">
        <f>+C622</f>
        <v>DIO1</v>
      </c>
      <c r="D623" s="18">
        <v>132</v>
      </c>
      <c r="E623" s="84">
        <f>+E622</f>
        <v>2</v>
      </c>
      <c r="F623" s="84">
        <f>+F622</f>
        <v>7</v>
      </c>
      <c r="G623" s="84">
        <v>0</v>
      </c>
      <c r="H623" s="202">
        <f>+H607+1</f>
        <v>2</v>
      </c>
      <c r="I623" s="188">
        <v>0</v>
      </c>
      <c r="J623" s="279" t="s">
        <v>767</v>
      </c>
      <c r="K623" s="18" t="s">
        <v>766</v>
      </c>
      <c r="L623" s="17" t="s">
        <v>323</v>
      </c>
      <c r="M623" s="18">
        <v>4</v>
      </c>
      <c r="N623" s="17" t="s">
        <v>41</v>
      </c>
      <c r="O623" s="68" t="s">
        <v>1242</v>
      </c>
      <c r="P623" s="18" t="s">
        <v>2093</v>
      </c>
      <c r="Q623" s="17" t="s">
        <v>2097</v>
      </c>
      <c r="R623" s="17" t="s">
        <v>299</v>
      </c>
      <c r="S623" s="17"/>
      <c r="T623" s="17" t="s">
        <v>694</v>
      </c>
      <c r="U623" s="17"/>
      <c r="V623" s="17" t="str">
        <f>+CONCATENATE(E623,".",F623,"\",G623,".",H623,":",I623)</f>
        <v>2.7\0.2:0</v>
      </c>
      <c r="W623" s="17" t="s">
        <v>693</v>
      </c>
      <c r="X623" s="83" t="s">
        <v>289</v>
      </c>
      <c r="Y623" s="20"/>
      <c r="Z623" s="20" t="s">
        <v>1159</v>
      </c>
      <c r="AA623" s="20"/>
      <c r="AB623" s="17"/>
      <c r="AC623" s="20"/>
      <c r="AD623" s="20"/>
      <c r="AE623" s="20"/>
      <c r="AF623" s="17"/>
      <c r="AG623" s="64" t="s">
        <v>1045</v>
      </c>
      <c r="AH623" s="64">
        <v>1</v>
      </c>
      <c r="AI623" s="64">
        <v>2</v>
      </c>
      <c r="AJ623" s="64"/>
      <c r="AK623" s="64"/>
      <c r="AL623" s="264"/>
      <c r="AM623" s="84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</row>
    <row r="624" spans="1:51" s="33" customFormat="1" x14ac:dyDescent="0.3">
      <c r="A624" s="63" t="str">
        <f>A623</f>
        <v>BCV131</v>
      </c>
      <c r="B624" s="17" t="s">
        <v>2041</v>
      </c>
      <c r="C624" s="18" t="str">
        <f>+C623</f>
        <v>DIO1</v>
      </c>
      <c r="D624" s="18">
        <v>132</v>
      </c>
      <c r="E624" s="84">
        <f>+E623</f>
        <v>2</v>
      </c>
      <c r="F624" s="84">
        <f>+F623</f>
        <v>7</v>
      </c>
      <c r="G624" s="84">
        <v>0</v>
      </c>
      <c r="H624" s="200">
        <f>H623</f>
        <v>2</v>
      </c>
      <c r="I624" s="187">
        <f>+I623+1</f>
        <v>1</v>
      </c>
      <c r="J624" s="205"/>
      <c r="K624" s="17"/>
      <c r="L624" s="17" t="s">
        <v>323</v>
      </c>
      <c r="M624" s="18">
        <v>4</v>
      </c>
      <c r="N624" s="17" t="s">
        <v>41</v>
      </c>
      <c r="O624" s="68" t="s">
        <v>1239</v>
      </c>
      <c r="P624" s="18" t="s">
        <v>2093</v>
      </c>
      <c r="Q624" s="17" t="s">
        <v>2096</v>
      </c>
      <c r="R624" s="17" t="s">
        <v>299</v>
      </c>
      <c r="S624" s="17"/>
      <c r="T624" s="17" t="s">
        <v>694</v>
      </c>
      <c r="U624" s="17"/>
      <c r="V624" s="17" t="str">
        <f>+CONCATENATE(E624,".",F624,"\",G624,".",H624,":",I624)</f>
        <v>2.7\0.2:1</v>
      </c>
      <c r="W624" s="17" t="s">
        <v>693</v>
      </c>
      <c r="X624" s="83" t="s">
        <v>289</v>
      </c>
      <c r="Y624" s="20"/>
      <c r="Z624" s="20" t="s">
        <v>1159</v>
      </c>
      <c r="AA624" s="20"/>
      <c r="AB624" s="17"/>
      <c r="AC624" s="20"/>
      <c r="AD624" s="20"/>
      <c r="AE624" s="20"/>
      <c r="AF624" s="17"/>
      <c r="AG624" s="64" t="s">
        <v>1045</v>
      </c>
      <c r="AH624" s="64">
        <v>3</v>
      </c>
      <c r="AI624" s="64">
        <v>4</v>
      </c>
      <c r="AJ624" s="64"/>
      <c r="AK624" s="64"/>
      <c r="AL624" s="264"/>
      <c r="AM624" s="84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</row>
    <row r="625" spans="1:51" s="33" customFormat="1" x14ac:dyDescent="0.3">
      <c r="A625" s="63" t="str">
        <f>A624</f>
        <v>BCV131</v>
      </c>
      <c r="B625" s="17" t="s">
        <v>2041</v>
      </c>
      <c r="C625" s="18" t="str">
        <f>+C624</f>
        <v>DIO1</v>
      </c>
      <c r="D625" s="18">
        <v>132</v>
      </c>
      <c r="E625" s="84">
        <f>+E624</f>
        <v>2</v>
      </c>
      <c r="F625" s="84">
        <f>+F624</f>
        <v>7</v>
      </c>
      <c r="G625" s="84">
        <v>0</v>
      </c>
      <c r="H625" s="200">
        <f>H623</f>
        <v>2</v>
      </c>
      <c r="I625" s="187">
        <f>+I624+1</f>
        <v>2</v>
      </c>
      <c r="J625" s="205"/>
      <c r="K625" s="79"/>
      <c r="L625" s="17" t="s">
        <v>323</v>
      </c>
      <c r="M625" s="18">
        <v>4</v>
      </c>
      <c r="N625" s="17" t="s">
        <v>41</v>
      </c>
      <c r="O625" s="17" t="s">
        <v>616</v>
      </c>
      <c r="P625" s="18" t="s">
        <v>2093</v>
      </c>
      <c r="Q625" s="17" t="s">
        <v>2095</v>
      </c>
      <c r="R625" s="83" t="s">
        <v>247</v>
      </c>
      <c r="S625" s="17"/>
      <c r="T625" s="17" t="s">
        <v>694</v>
      </c>
      <c r="U625" s="17"/>
      <c r="V625" s="17" t="str">
        <f>+CONCATENATE(E625,".",F625,"\",G625,".",H625,":",I625)</f>
        <v>2.7\0.2:2</v>
      </c>
      <c r="W625" s="17" t="s">
        <v>693</v>
      </c>
      <c r="X625" s="83" t="s">
        <v>289</v>
      </c>
      <c r="Y625" s="20"/>
      <c r="Z625" s="20" t="s">
        <v>1159</v>
      </c>
      <c r="AA625" s="20"/>
      <c r="AB625" s="17"/>
      <c r="AC625" s="20"/>
      <c r="AD625" s="20"/>
      <c r="AE625" s="20"/>
      <c r="AF625" s="17"/>
      <c r="AG625" s="64" t="s">
        <v>1045</v>
      </c>
      <c r="AH625" s="64">
        <v>5</v>
      </c>
      <c r="AI625" s="64">
        <v>6</v>
      </c>
      <c r="AJ625" s="64"/>
      <c r="AK625" s="64"/>
      <c r="AL625" s="264"/>
      <c r="AM625" s="84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</row>
    <row r="626" spans="1:51" s="33" customFormat="1" ht="14.5" x14ac:dyDescent="0.35">
      <c r="A626" s="63" t="str">
        <f>A625</f>
        <v>BCV131</v>
      </c>
      <c r="B626" s="17" t="s">
        <v>2041</v>
      </c>
      <c r="C626" s="18" t="str">
        <f>+C625</f>
        <v>DIO1</v>
      </c>
      <c r="D626" s="18">
        <v>132</v>
      </c>
      <c r="E626" s="84">
        <f>+E625</f>
        <v>2</v>
      </c>
      <c r="F626" s="84">
        <f>+F625</f>
        <v>7</v>
      </c>
      <c r="G626" s="84">
        <v>0</v>
      </c>
      <c r="H626" s="200">
        <f>H623</f>
        <v>2</v>
      </c>
      <c r="I626" s="187">
        <f>+I625+1</f>
        <v>3</v>
      </c>
      <c r="J626" s="205"/>
      <c r="K626" s="79"/>
      <c r="L626" s="17" t="s">
        <v>323</v>
      </c>
      <c r="M626" s="18"/>
      <c r="N626" s="215"/>
      <c r="O626" s="17"/>
      <c r="P626" s="59"/>
      <c r="Q626" s="17"/>
      <c r="R626" s="17"/>
      <c r="S626" s="17"/>
      <c r="T626" s="18"/>
      <c r="U626" s="17"/>
      <c r="V626" s="17" t="str">
        <f>+CONCATENATE(E626,".",F626,"\",G626,".",H626,":",I626)</f>
        <v>2.7\0.2:3</v>
      </c>
      <c r="W626" s="17"/>
      <c r="X626" s="17"/>
      <c r="Y626" s="20"/>
      <c r="Z626" s="20" t="s">
        <v>1159</v>
      </c>
      <c r="AA626" s="20"/>
      <c r="AB626" s="17"/>
      <c r="AC626" s="20"/>
      <c r="AD626" s="20"/>
      <c r="AE626" s="20"/>
      <c r="AF626" s="17"/>
      <c r="AG626" s="64" t="s">
        <v>1045</v>
      </c>
      <c r="AH626" s="64">
        <v>7</v>
      </c>
      <c r="AI626" s="64">
        <v>8</v>
      </c>
      <c r="AJ626" s="64"/>
      <c r="AK626" s="64"/>
      <c r="AL626" s="264"/>
      <c r="AM626" s="84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</row>
    <row r="627" spans="1:51" s="33" customFormat="1" ht="14.5" x14ac:dyDescent="0.35">
      <c r="A627" s="63" t="str">
        <f>A626</f>
        <v>BCV131</v>
      </c>
      <c r="B627" s="17" t="s">
        <v>2041</v>
      </c>
      <c r="C627" s="18" t="str">
        <f>+C626</f>
        <v>DIO1</v>
      </c>
      <c r="D627" s="18">
        <v>132</v>
      </c>
      <c r="E627" s="84">
        <f>+E626</f>
        <v>2</v>
      </c>
      <c r="F627" s="84">
        <f>+F626</f>
        <v>7</v>
      </c>
      <c r="G627" s="84">
        <v>0</v>
      </c>
      <c r="H627" s="200">
        <f>H624</f>
        <v>2</v>
      </c>
      <c r="I627" s="187">
        <f>+I626+1</f>
        <v>4</v>
      </c>
      <c r="J627" s="205"/>
      <c r="K627" s="79"/>
      <c r="L627" s="17" t="s">
        <v>323</v>
      </c>
      <c r="M627" s="18"/>
      <c r="N627" s="215"/>
      <c r="O627" s="17"/>
      <c r="P627" s="59"/>
      <c r="Q627" s="17"/>
      <c r="R627" s="17"/>
      <c r="S627" s="17"/>
      <c r="T627" s="18"/>
      <c r="U627" s="17"/>
      <c r="V627" s="17" t="str">
        <f>+CONCATENATE(E627,".",F627,"\",G627,".",H627,":",I627)</f>
        <v>2.7\0.2:4</v>
      </c>
      <c r="W627" s="17"/>
      <c r="X627" s="17"/>
      <c r="Y627" s="20"/>
      <c r="Z627" s="20" t="s">
        <v>1159</v>
      </c>
      <c r="AA627" s="20"/>
      <c r="AB627" s="17"/>
      <c r="AC627" s="20"/>
      <c r="AD627" s="20"/>
      <c r="AE627" s="20"/>
      <c r="AF627" s="17"/>
      <c r="AG627" s="64" t="s">
        <v>1045</v>
      </c>
      <c r="AH627" s="64">
        <v>9</v>
      </c>
      <c r="AI627" s="64">
        <v>10</v>
      </c>
      <c r="AJ627" s="64"/>
      <c r="AK627" s="64"/>
      <c r="AL627" s="264"/>
      <c r="AM627" s="84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</row>
    <row r="628" spans="1:51" s="33" customFormat="1" ht="14.5" x14ac:dyDescent="0.35">
      <c r="A628" s="63" t="str">
        <f>A627</f>
        <v>BCV131</v>
      </c>
      <c r="B628" s="17" t="s">
        <v>2041</v>
      </c>
      <c r="C628" s="18" t="str">
        <f>+C627</f>
        <v>DIO1</v>
      </c>
      <c r="D628" s="18">
        <v>132</v>
      </c>
      <c r="E628" s="84">
        <f>+E627</f>
        <v>2</v>
      </c>
      <c r="F628" s="84">
        <f>+F627</f>
        <v>7</v>
      </c>
      <c r="G628" s="84">
        <v>0</v>
      </c>
      <c r="H628" s="200">
        <f>H625</f>
        <v>2</v>
      </c>
      <c r="I628" s="187">
        <f>+I627+1</f>
        <v>5</v>
      </c>
      <c r="J628" s="205"/>
      <c r="K628" s="79"/>
      <c r="L628" s="17" t="s">
        <v>323</v>
      </c>
      <c r="M628" s="18"/>
      <c r="N628" s="215"/>
      <c r="O628" s="17"/>
      <c r="P628" s="59"/>
      <c r="Q628" s="17"/>
      <c r="R628" s="17"/>
      <c r="S628" s="17"/>
      <c r="T628" s="18"/>
      <c r="U628" s="17"/>
      <c r="V628" s="17" t="str">
        <f>+CONCATENATE(E628,".",F628,"\",G628,".",H628,":",I628)</f>
        <v>2.7\0.2:5</v>
      </c>
      <c r="W628" s="17"/>
      <c r="X628" s="17"/>
      <c r="Y628" s="20"/>
      <c r="Z628" s="20" t="s">
        <v>1159</v>
      </c>
      <c r="AA628" s="20"/>
      <c r="AB628" s="17"/>
      <c r="AC628" s="20"/>
      <c r="AD628" s="20"/>
      <c r="AE628" s="20"/>
      <c r="AF628" s="17"/>
      <c r="AG628" s="64" t="s">
        <v>1045</v>
      </c>
      <c r="AH628" s="64">
        <v>11</v>
      </c>
      <c r="AI628" s="64">
        <v>12</v>
      </c>
      <c r="AJ628" s="64"/>
      <c r="AK628" s="64"/>
      <c r="AL628" s="264"/>
      <c r="AM628" s="84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</row>
    <row r="629" spans="1:51" s="33" customFormat="1" ht="14.5" x14ac:dyDescent="0.35">
      <c r="A629" s="63" t="str">
        <f>A628</f>
        <v>BCV131</v>
      </c>
      <c r="B629" s="17" t="s">
        <v>2041</v>
      </c>
      <c r="C629" s="18" t="str">
        <f>+C628</f>
        <v>DIO1</v>
      </c>
      <c r="D629" s="18">
        <v>132</v>
      </c>
      <c r="E629" s="84">
        <f>+E628</f>
        <v>2</v>
      </c>
      <c r="F629" s="84">
        <f>+F628</f>
        <v>7</v>
      </c>
      <c r="G629" s="84">
        <v>0</v>
      </c>
      <c r="H629" s="200">
        <f>H626</f>
        <v>2</v>
      </c>
      <c r="I629" s="187">
        <f>+I628+1</f>
        <v>6</v>
      </c>
      <c r="J629" s="205"/>
      <c r="K629" s="79"/>
      <c r="L629" s="17" t="s">
        <v>323</v>
      </c>
      <c r="M629" s="18"/>
      <c r="N629" s="215"/>
      <c r="O629" s="280"/>
      <c r="P629" s="305"/>
      <c r="Q629" s="17"/>
      <c r="R629" s="17"/>
      <c r="S629" s="17"/>
      <c r="T629" s="18"/>
      <c r="U629" s="17"/>
      <c r="V629" s="17" t="str">
        <f>+CONCATENATE(E629,".",F629,"\",G629,".",H629,":",I629)</f>
        <v>2.7\0.2:6</v>
      </c>
      <c r="W629" s="17"/>
      <c r="X629" s="17"/>
      <c r="Y629" s="20"/>
      <c r="Z629" s="20" t="s">
        <v>1159</v>
      </c>
      <c r="AA629" s="20"/>
      <c r="AB629" s="17"/>
      <c r="AC629" s="20"/>
      <c r="AD629" s="20"/>
      <c r="AE629" s="20"/>
      <c r="AF629" s="17"/>
      <c r="AG629" s="64" t="s">
        <v>1045</v>
      </c>
      <c r="AH629" s="64">
        <v>13</v>
      </c>
      <c r="AI629" s="64">
        <v>14</v>
      </c>
      <c r="AJ629" s="64"/>
      <c r="AK629" s="64"/>
      <c r="AL629" s="264"/>
      <c r="AM629" s="84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</row>
    <row r="630" spans="1:51" s="33" customFormat="1" x14ac:dyDescent="0.3">
      <c r="A630" s="63" t="str">
        <f>A629</f>
        <v>BCV131</v>
      </c>
      <c r="B630" s="17" t="s">
        <v>2041</v>
      </c>
      <c r="C630" s="18" t="str">
        <f>+C629</f>
        <v>DIO1</v>
      </c>
      <c r="D630" s="18">
        <v>132</v>
      </c>
      <c r="E630" s="84">
        <f>+E629</f>
        <v>2</v>
      </c>
      <c r="F630" s="84">
        <f>+F629</f>
        <v>7</v>
      </c>
      <c r="G630" s="84">
        <v>0</v>
      </c>
      <c r="H630" s="200">
        <f>H627</f>
        <v>2</v>
      </c>
      <c r="I630" s="187">
        <f>+I629+1</f>
        <v>7</v>
      </c>
      <c r="J630" s="205"/>
      <c r="K630" s="79"/>
      <c r="L630" s="17" t="s">
        <v>323</v>
      </c>
      <c r="M630" s="18"/>
      <c r="N630" s="18"/>
      <c r="O630" s="280"/>
      <c r="P630" s="280"/>
      <c r="Q630" s="17"/>
      <c r="R630" s="17"/>
      <c r="S630" s="17"/>
      <c r="T630" s="18"/>
      <c r="U630" s="17"/>
      <c r="V630" s="17" t="str">
        <f>+CONCATENATE(E630,".",F630,"\",G630,".",H630,":",I630)</f>
        <v>2.7\0.2:7</v>
      </c>
      <c r="W630" s="17"/>
      <c r="X630" s="17"/>
      <c r="Y630" s="20"/>
      <c r="Z630" s="20" t="s">
        <v>1159</v>
      </c>
      <c r="AA630" s="20"/>
      <c r="AB630" s="17"/>
      <c r="AC630" s="20"/>
      <c r="AD630" s="20"/>
      <c r="AE630" s="20"/>
      <c r="AF630" s="17"/>
      <c r="AG630" s="64" t="s">
        <v>1045</v>
      </c>
      <c r="AH630" s="64">
        <v>15</v>
      </c>
      <c r="AI630" s="64">
        <v>16</v>
      </c>
      <c r="AJ630" s="64"/>
      <c r="AK630" s="64"/>
      <c r="AL630" s="264"/>
      <c r="AM630" s="84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</row>
    <row r="631" spans="1:51" s="33" customFormat="1" x14ac:dyDescent="0.3">
      <c r="A631" s="63" t="str">
        <f>A630</f>
        <v>BCV131</v>
      </c>
      <c r="B631" s="17" t="s">
        <v>2041</v>
      </c>
      <c r="C631" s="18" t="str">
        <f>+C630</f>
        <v>DIO1</v>
      </c>
      <c r="D631" s="18">
        <v>132</v>
      </c>
      <c r="E631" s="84">
        <f>+E630</f>
        <v>2</v>
      </c>
      <c r="F631" s="84">
        <f>+F630</f>
        <v>7</v>
      </c>
      <c r="G631" s="84">
        <v>0</v>
      </c>
      <c r="H631" s="200">
        <f>H628</f>
        <v>2</v>
      </c>
      <c r="I631" s="187">
        <f>+I630+1</f>
        <v>8</v>
      </c>
      <c r="J631" s="205"/>
      <c r="K631" s="79"/>
      <c r="L631" s="17" t="s">
        <v>323</v>
      </c>
      <c r="M631" s="18"/>
      <c r="N631" s="18"/>
      <c r="O631" s="17"/>
      <c r="P631" s="17"/>
      <c r="Q631" s="17"/>
      <c r="R631" s="17"/>
      <c r="S631" s="17"/>
      <c r="T631" s="18"/>
      <c r="U631" s="17"/>
      <c r="V631" s="17" t="str">
        <f>+CONCATENATE(E631,".",F631,"\",G631,".",H631,":",I631)</f>
        <v>2.7\0.2:8</v>
      </c>
      <c r="W631" s="17"/>
      <c r="X631" s="17"/>
      <c r="Y631" s="20"/>
      <c r="Z631" s="20" t="s">
        <v>1159</v>
      </c>
      <c r="AA631" s="20"/>
      <c r="AB631" s="17"/>
      <c r="AC631" s="20"/>
      <c r="AD631" s="20"/>
      <c r="AE631" s="20"/>
      <c r="AF631" s="17"/>
      <c r="AG631" s="64" t="s">
        <v>1045</v>
      </c>
      <c r="AH631" s="64">
        <v>17</v>
      </c>
      <c r="AI631" s="64">
        <v>18</v>
      </c>
      <c r="AJ631" s="64"/>
      <c r="AK631" s="64"/>
      <c r="AL631" s="264"/>
      <c r="AM631" s="84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</row>
    <row r="632" spans="1:51" s="33" customFormat="1" x14ac:dyDescent="0.3">
      <c r="A632" s="63" t="str">
        <f>A631</f>
        <v>BCV131</v>
      </c>
      <c r="B632" s="17" t="s">
        <v>2041</v>
      </c>
      <c r="C632" s="18" t="str">
        <f>+C631</f>
        <v>DIO1</v>
      </c>
      <c r="D632" s="18">
        <v>132</v>
      </c>
      <c r="E632" s="84">
        <f>+E631</f>
        <v>2</v>
      </c>
      <c r="F632" s="84">
        <f>+F631</f>
        <v>7</v>
      </c>
      <c r="G632" s="84">
        <v>0</v>
      </c>
      <c r="H632" s="200">
        <f>H629</f>
        <v>2</v>
      </c>
      <c r="I632" s="187">
        <f>+I631+1</f>
        <v>9</v>
      </c>
      <c r="J632" s="205"/>
      <c r="K632" s="79"/>
      <c r="L632" s="17" t="s">
        <v>323</v>
      </c>
      <c r="M632" s="18"/>
      <c r="N632" s="18"/>
      <c r="O632" s="17"/>
      <c r="P632" s="17"/>
      <c r="Q632" s="17"/>
      <c r="R632" s="17"/>
      <c r="S632" s="17"/>
      <c r="T632" s="18"/>
      <c r="U632" s="17"/>
      <c r="V632" s="17" t="str">
        <f>+CONCATENATE(E632,".",F632,"\",G632,".",H632,":",I632)</f>
        <v>2.7\0.2:9</v>
      </c>
      <c r="W632" s="17"/>
      <c r="X632" s="17"/>
      <c r="Y632" s="20"/>
      <c r="Z632" s="20" t="s">
        <v>1159</v>
      </c>
      <c r="AA632" s="20"/>
      <c r="AB632" s="17"/>
      <c r="AC632" s="20"/>
      <c r="AD632" s="20"/>
      <c r="AE632" s="20"/>
      <c r="AF632" s="17"/>
      <c r="AG632" s="64" t="s">
        <v>1045</v>
      </c>
      <c r="AH632" s="64">
        <v>19</v>
      </c>
      <c r="AI632" s="64">
        <v>20</v>
      </c>
      <c r="AJ632" s="64"/>
      <c r="AK632" s="64"/>
      <c r="AL632" s="264"/>
      <c r="AM632" s="84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</row>
    <row r="633" spans="1:51" s="33" customFormat="1" x14ac:dyDescent="0.3">
      <c r="A633" s="63" t="str">
        <f>A632</f>
        <v>BCV131</v>
      </c>
      <c r="B633" s="17" t="s">
        <v>2041</v>
      </c>
      <c r="C633" s="18" t="str">
        <f>+C632</f>
        <v>DIO1</v>
      </c>
      <c r="D633" s="18">
        <v>132</v>
      </c>
      <c r="E633" s="84">
        <f>+E632</f>
        <v>2</v>
      </c>
      <c r="F633" s="84">
        <f>+F632</f>
        <v>7</v>
      </c>
      <c r="G633" s="84">
        <v>0</v>
      </c>
      <c r="H633" s="200">
        <f>H630</f>
        <v>2</v>
      </c>
      <c r="I633" s="187">
        <f>+I632+1</f>
        <v>10</v>
      </c>
      <c r="J633" s="205"/>
      <c r="K633" s="79"/>
      <c r="L633" s="17" t="s">
        <v>323</v>
      </c>
      <c r="M633" s="18"/>
      <c r="N633" s="18"/>
      <c r="O633" s="280"/>
      <c r="P633" s="280"/>
      <c r="Q633" s="17"/>
      <c r="R633" s="17"/>
      <c r="S633" s="17"/>
      <c r="T633" s="17"/>
      <c r="U633" s="17"/>
      <c r="V633" s="17" t="str">
        <f>+CONCATENATE(E633,".",F633,"\",G633,".",H633,":",I633)</f>
        <v>2.7\0.2:10</v>
      </c>
      <c r="W633" s="17"/>
      <c r="X633" s="17"/>
      <c r="Y633" s="17"/>
      <c r="Z633" s="20" t="s">
        <v>1159</v>
      </c>
      <c r="AA633" s="17"/>
      <c r="AB633" s="17"/>
      <c r="AC633" s="20"/>
      <c r="AD633" s="20"/>
      <c r="AE633" s="20"/>
      <c r="AF633" s="17"/>
      <c r="AG633" s="64" t="s">
        <v>1045</v>
      </c>
      <c r="AH633" s="64">
        <v>21</v>
      </c>
      <c r="AI633" s="64">
        <v>22</v>
      </c>
      <c r="AJ633" s="64"/>
      <c r="AK633" s="64"/>
      <c r="AL633" s="264"/>
      <c r="AM633" s="84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</row>
    <row r="634" spans="1:51" s="33" customFormat="1" x14ac:dyDescent="0.3">
      <c r="A634" s="63" t="str">
        <f>A633</f>
        <v>BCV131</v>
      </c>
      <c r="B634" s="17" t="s">
        <v>2041</v>
      </c>
      <c r="C634" s="18" t="str">
        <f>+C633</f>
        <v>DIO1</v>
      </c>
      <c r="D634" s="18">
        <v>132</v>
      </c>
      <c r="E634" s="84">
        <f>+E633</f>
        <v>2</v>
      </c>
      <c r="F634" s="84">
        <f>+F633</f>
        <v>7</v>
      </c>
      <c r="G634" s="84">
        <v>0</v>
      </c>
      <c r="H634" s="200">
        <f>H631</f>
        <v>2</v>
      </c>
      <c r="I634" s="187">
        <f>+I633+1</f>
        <v>11</v>
      </c>
      <c r="J634" s="205"/>
      <c r="K634" s="79"/>
      <c r="L634" s="17" t="s">
        <v>323</v>
      </c>
      <c r="M634" s="18"/>
      <c r="N634" s="18"/>
      <c r="O634" s="280"/>
      <c r="P634" s="280"/>
      <c r="Q634" s="17"/>
      <c r="R634" s="17"/>
      <c r="S634" s="17"/>
      <c r="T634" s="18"/>
      <c r="U634" s="17"/>
      <c r="V634" s="17" t="str">
        <f>+CONCATENATE(E634,".",F634,"\",G634,".",H634,":",I634)</f>
        <v>2.7\0.2:11</v>
      </c>
      <c r="W634" s="17"/>
      <c r="X634" s="17"/>
      <c r="Y634" s="17"/>
      <c r="Z634" s="20" t="s">
        <v>1159</v>
      </c>
      <c r="AA634" s="17"/>
      <c r="AB634" s="17"/>
      <c r="AC634" s="20"/>
      <c r="AD634" s="20"/>
      <c r="AE634" s="20"/>
      <c r="AF634" s="17"/>
      <c r="AG634" s="64" t="s">
        <v>1045</v>
      </c>
      <c r="AH634" s="64">
        <v>23</v>
      </c>
      <c r="AI634" s="64">
        <v>24</v>
      </c>
      <c r="AJ634" s="64"/>
      <c r="AK634" s="64"/>
      <c r="AL634" s="264"/>
      <c r="AM634" s="84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</row>
    <row r="635" spans="1:51" s="33" customFormat="1" x14ac:dyDescent="0.3">
      <c r="A635" s="63" t="str">
        <f>A634</f>
        <v>BCV131</v>
      </c>
      <c r="B635" s="17" t="s">
        <v>2041</v>
      </c>
      <c r="C635" s="18" t="str">
        <f>+C634</f>
        <v>DIO1</v>
      </c>
      <c r="D635" s="18">
        <v>132</v>
      </c>
      <c r="E635" s="84">
        <f>+E634</f>
        <v>2</v>
      </c>
      <c r="F635" s="84">
        <f>+F634</f>
        <v>7</v>
      </c>
      <c r="G635" s="84">
        <v>0</v>
      </c>
      <c r="H635" s="200">
        <f>H632</f>
        <v>2</v>
      </c>
      <c r="I635" s="187">
        <f>+I634+1</f>
        <v>12</v>
      </c>
      <c r="J635" s="205"/>
      <c r="K635" s="79"/>
      <c r="L635" s="17" t="s">
        <v>323</v>
      </c>
      <c r="M635" s="18"/>
      <c r="N635" s="18"/>
      <c r="O635" s="97"/>
      <c r="P635" s="97"/>
      <c r="Q635" s="97"/>
      <c r="R635" s="97"/>
      <c r="S635" s="17"/>
      <c r="T635" s="17"/>
      <c r="U635" s="17"/>
      <c r="V635" s="17" t="str">
        <f>+CONCATENATE(E635,".",F635,"\",G635,".",H635,":",I635)</f>
        <v>2.7\0.2:12</v>
      </c>
      <c r="W635" s="17"/>
      <c r="X635" s="17"/>
      <c r="Y635" s="20"/>
      <c r="Z635" s="20" t="s">
        <v>1159</v>
      </c>
      <c r="AA635" s="20"/>
      <c r="AB635" s="17"/>
      <c r="AC635" s="20"/>
      <c r="AD635" s="20"/>
      <c r="AE635" s="20"/>
      <c r="AF635" s="17"/>
      <c r="AG635" s="64" t="s">
        <v>1045</v>
      </c>
      <c r="AH635" s="64">
        <v>25</v>
      </c>
      <c r="AI635" s="64">
        <v>26</v>
      </c>
      <c r="AJ635" s="64"/>
      <c r="AK635" s="64"/>
      <c r="AL635" s="264"/>
      <c r="AM635" s="84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</row>
    <row r="636" spans="1:51" s="33" customFormat="1" x14ac:dyDescent="0.3">
      <c r="A636" s="63" t="str">
        <f>A635</f>
        <v>BCV131</v>
      </c>
      <c r="B636" s="17" t="s">
        <v>2041</v>
      </c>
      <c r="C636" s="18" t="str">
        <f>+C635</f>
        <v>DIO1</v>
      </c>
      <c r="D636" s="18">
        <v>132</v>
      </c>
      <c r="E636" s="84">
        <f>+E635</f>
        <v>2</v>
      </c>
      <c r="F636" s="84">
        <f>+F635</f>
        <v>7</v>
      </c>
      <c r="G636" s="84">
        <v>0</v>
      </c>
      <c r="H636" s="200">
        <f>H633</f>
        <v>2</v>
      </c>
      <c r="I636" s="187">
        <f>+I635+1</f>
        <v>13</v>
      </c>
      <c r="J636" s="205"/>
      <c r="K636" s="79"/>
      <c r="L636" s="17" t="s">
        <v>323</v>
      </c>
      <c r="M636" s="18"/>
      <c r="N636" s="18"/>
      <c r="O636" s="17"/>
      <c r="P636" s="17"/>
      <c r="Q636" s="17"/>
      <c r="R636" s="17"/>
      <c r="S636" s="17"/>
      <c r="T636" s="17"/>
      <c r="U636" s="17"/>
      <c r="V636" s="17" t="str">
        <f>+CONCATENATE(E636,".",F636,"\",G636,".",H636,":",I636)</f>
        <v>2.7\0.2:13</v>
      </c>
      <c r="W636" s="17"/>
      <c r="X636" s="17"/>
      <c r="Y636" s="20"/>
      <c r="Z636" s="20" t="s">
        <v>1159</v>
      </c>
      <c r="AA636" s="20"/>
      <c r="AB636" s="17"/>
      <c r="AC636" s="20"/>
      <c r="AD636" s="20"/>
      <c r="AE636" s="20"/>
      <c r="AF636" s="17"/>
      <c r="AG636" s="64" t="s">
        <v>1045</v>
      </c>
      <c r="AH636" s="64">
        <v>27</v>
      </c>
      <c r="AI636" s="64">
        <v>28</v>
      </c>
      <c r="AJ636" s="64"/>
      <c r="AK636" s="64"/>
      <c r="AL636" s="264"/>
      <c r="AM636" s="84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</row>
    <row r="637" spans="1:51" s="33" customFormat="1" x14ac:dyDescent="0.3">
      <c r="A637" s="63" t="str">
        <f>A636</f>
        <v>BCV131</v>
      </c>
      <c r="B637" s="17" t="s">
        <v>2041</v>
      </c>
      <c r="C637" s="18" t="str">
        <f>+C636</f>
        <v>DIO1</v>
      </c>
      <c r="D637" s="18">
        <v>132</v>
      </c>
      <c r="E637" s="84">
        <f>+E636</f>
        <v>2</v>
      </c>
      <c r="F637" s="84">
        <f>+F636</f>
        <v>7</v>
      </c>
      <c r="G637" s="84">
        <v>0</v>
      </c>
      <c r="H637" s="200">
        <f>H634</f>
        <v>2</v>
      </c>
      <c r="I637" s="187">
        <f>+I636+1</f>
        <v>14</v>
      </c>
      <c r="J637" s="205"/>
      <c r="K637" s="79"/>
      <c r="L637" s="17" t="s">
        <v>323</v>
      </c>
      <c r="M637" s="18"/>
      <c r="N637" s="18"/>
      <c r="O637" s="17"/>
      <c r="P637" s="17"/>
      <c r="Q637" s="17"/>
      <c r="R637" s="17"/>
      <c r="S637" s="17"/>
      <c r="T637" s="17"/>
      <c r="U637" s="17"/>
      <c r="V637" s="17" t="str">
        <f>+CONCATENATE(E637,".",F637,"\",G637,".",H637,":",I637)</f>
        <v>2.7\0.2:14</v>
      </c>
      <c r="W637" s="17"/>
      <c r="X637" s="17"/>
      <c r="Y637" s="20"/>
      <c r="Z637" s="20" t="s">
        <v>1159</v>
      </c>
      <c r="AA637" s="20"/>
      <c r="AB637" s="17"/>
      <c r="AC637" s="20"/>
      <c r="AD637" s="20"/>
      <c r="AE637" s="20"/>
      <c r="AF637" s="17"/>
      <c r="AG637" s="64" t="s">
        <v>1045</v>
      </c>
      <c r="AH637" s="64">
        <v>29</v>
      </c>
      <c r="AI637" s="64">
        <v>30</v>
      </c>
      <c r="AJ637" s="64"/>
      <c r="AK637" s="64"/>
      <c r="AL637" s="264"/>
      <c r="AM637" s="84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</row>
    <row r="638" spans="1:51" s="33" customFormat="1" x14ac:dyDescent="0.3">
      <c r="A638" s="63" t="str">
        <f>A637</f>
        <v>BCV131</v>
      </c>
      <c r="B638" s="17" t="s">
        <v>2041</v>
      </c>
      <c r="C638" s="18" t="str">
        <f>+C637</f>
        <v>DIO1</v>
      </c>
      <c r="D638" s="18">
        <v>132</v>
      </c>
      <c r="E638" s="84">
        <f>+E637</f>
        <v>2</v>
      </c>
      <c r="F638" s="84">
        <f>+F637</f>
        <v>7</v>
      </c>
      <c r="G638" s="84">
        <v>0</v>
      </c>
      <c r="H638" s="200">
        <f>H634</f>
        <v>2</v>
      </c>
      <c r="I638" s="187">
        <f>+I637+1</f>
        <v>15</v>
      </c>
      <c r="J638" s="205"/>
      <c r="K638" s="79"/>
      <c r="L638" s="17" t="s">
        <v>323</v>
      </c>
      <c r="M638" s="18"/>
      <c r="N638" s="18"/>
      <c r="O638" s="17"/>
      <c r="P638" s="17"/>
      <c r="Q638" s="17"/>
      <c r="R638" s="17"/>
      <c r="S638" s="17"/>
      <c r="T638" s="17"/>
      <c r="U638" s="17"/>
      <c r="V638" s="17" t="str">
        <f>+CONCATENATE(E638,".",F638,"\",G638,".",H638,":",I638)</f>
        <v>2.7\0.2:15</v>
      </c>
      <c r="W638" s="17"/>
      <c r="X638" s="17"/>
      <c r="Y638" s="20"/>
      <c r="Z638" s="20" t="s">
        <v>1159</v>
      </c>
      <c r="AA638" s="20"/>
      <c r="AB638" s="17"/>
      <c r="AC638" s="20"/>
      <c r="AD638" s="20"/>
      <c r="AE638" s="20"/>
      <c r="AF638" s="17"/>
      <c r="AG638" s="64" t="s">
        <v>1045</v>
      </c>
      <c r="AH638" s="64">
        <v>31</v>
      </c>
      <c r="AI638" s="64">
        <v>32</v>
      </c>
      <c r="AJ638" s="64"/>
      <c r="AK638" s="64"/>
      <c r="AL638" s="264"/>
      <c r="AM638" s="84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</row>
    <row r="639" spans="1:51" s="33" customFormat="1" x14ac:dyDescent="0.3">
      <c r="A639" s="63" t="str">
        <f>A638</f>
        <v>BCV131</v>
      </c>
      <c r="B639" s="17" t="s">
        <v>2041</v>
      </c>
      <c r="C639" s="18" t="str">
        <f>+C638</f>
        <v>DIO1</v>
      </c>
      <c r="D639" s="18">
        <v>132</v>
      </c>
      <c r="E639" s="84">
        <f>+E638</f>
        <v>2</v>
      </c>
      <c r="F639" s="84">
        <f>+F638</f>
        <v>7</v>
      </c>
      <c r="G639" s="84">
        <v>0</v>
      </c>
      <c r="H639" s="200">
        <f>H635</f>
        <v>2</v>
      </c>
      <c r="I639" s="187">
        <f>+I638+1</f>
        <v>16</v>
      </c>
      <c r="J639" s="205"/>
      <c r="K639" s="18"/>
      <c r="L639" s="17" t="s">
        <v>323</v>
      </c>
      <c r="M639" s="18"/>
      <c r="N639" s="18"/>
      <c r="O639" s="17"/>
      <c r="P639" s="17"/>
      <c r="Q639" s="17"/>
      <c r="R639" s="17"/>
      <c r="S639" s="78"/>
      <c r="T639" s="17"/>
      <c r="U639" s="17"/>
      <c r="V639" s="17" t="str">
        <f>+CONCATENATE(E639,".",F639,"\",G639,".",H639,":",I639)</f>
        <v>2.7\0.2:16</v>
      </c>
      <c r="W639" s="17"/>
      <c r="X639" s="17"/>
      <c r="Y639" s="20"/>
      <c r="Z639" s="20" t="s">
        <v>1159</v>
      </c>
      <c r="AA639" s="20"/>
      <c r="AB639" s="17"/>
      <c r="AC639" s="20"/>
      <c r="AD639" s="20"/>
      <c r="AE639" s="20"/>
      <c r="AF639" s="17"/>
      <c r="AG639" s="64" t="s">
        <v>985</v>
      </c>
      <c r="AH639" s="64">
        <v>1</v>
      </c>
      <c r="AI639" s="64">
        <v>2</v>
      </c>
      <c r="AJ639" s="64"/>
      <c r="AK639" s="64"/>
      <c r="AL639" s="264"/>
      <c r="AM639" s="84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</row>
    <row r="640" spans="1:51" s="33" customFormat="1" x14ac:dyDescent="0.3">
      <c r="A640" s="63" t="str">
        <f>A639</f>
        <v>BCV131</v>
      </c>
      <c r="B640" s="17" t="s">
        <v>2041</v>
      </c>
      <c r="C640" s="18" t="str">
        <f>+C639</f>
        <v>DIO1</v>
      </c>
      <c r="D640" s="18">
        <v>132</v>
      </c>
      <c r="E640" s="84">
        <f>+E639</f>
        <v>2</v>
      </c>
      <c r="F640" s="84">
        <f>+F639</f>
        <v>7</v>
      </c>
      <c r="G640" s="84">
        <v>0</v>
      </c>
      <c r="H640" s="200">
        <f>H636</f>
        <v>2</v>
      </c>
      <c r="I640" s="187">
        <f>+I639+1</f>
        <v>17</v>
      </c>
      <c r="J640" s="205"/>
      <c r="K640" s="79"/>
      <c r="L640" s="17" t="s">
        <v>323</v>
      </c>
      <c r="M640" s="18"/>
      <c r="N640" s="18"/>
      <c r="O640" s="17"/>
      <c r="P640" s="17"/>
      <c r="Q640" s="68"/>
      <c r="R640" s="17"/>
      <c r="S640" s="78"/>
      <c r="T640" s="17"/>
      <c r="U640" s="17"/>
      <c r="V640" s="17" t="str">
        <f>+CONCATENATE(E640,".",F640,"\",G640,".",H640,":",I640)</f>
        <v>2.7\0.2:17</v>
      </c>
      <c r="W640" s="17"/>
      <c r="X640" s="17"/>
      <c r="Y640" s="20"/>
      <c r="Z640" s="20" t="s">
        <v>1159</v>
      </c>
      <c r="AA640" s="20"/>
      <c r="AB640" s="17"/>
      <c r="AC640" s="20"/>
      <c r="AD640" s="20"/>
      <c r="AE640" s="20"/>
      <c r="AF640" s="17"/>
      <c r="AG640" s="64" t="s">
        <v>985</v>
      </c>
      <c r="AH640" s="64">
        <v>3</v>
      </c>
      <c r="AI640" s="64">
        <v>4</v>
      </c>
      <c r="AJ640" s="64"/>
      <c r="AK640" s="64"/>
      <c r="AL640" s="264"/>
      <c r="AM640" s="84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</row>
    <row r="641" spans="1:51" s="33" customFormat="1" x14ac:dyDescent="0.3">
      <c r="A641" s="63" t="str">
        <f>A640</f>
        <v>BCV131</v>
      </c>
      <c r="B641" s="17" t="s">
        <v>2041</v>
      </c>
      <c r="C641" s="18" t="str">
        <f>+C640</f>
        <v>DIO1</v>
      </c>
      <c r="D641" s="18">
        <v>132</v>
      </c>
      <c r="E641" s="84">
        <f>+E640</f>
        <v>2</v>
      </c>
      <c r="F641" s="84">
        <f>+F640</f>
        <v>7</v>
      </c>
      <c r="G641" s="84">
        <v>0</v>
      </c>
      <c r="H641" s="200">
        <f>H637</f>
        <v>2</v>
      </c>
      <c r="I641" s="187">
        <f>+I640+1</f>
        <v>18</v>
      </c>
      <c r="J641" s="205"/>
      <c r="K641" s="79"/>
      <c r="L641" s="17" t="s">
        <v>323</v>
      </c>
      <c r="M641" s="18"/>
      <c r="N641" s="18"/>
      <c r="O641" s="17"/>
      <c r="P641" s="17"/>
      <c r="Q641" s="68"/>
      <c r="R641" s="17"/>
      <c r="S641" s="17"/>
      <c r="T641" s="17"/>
      <c r="U641" s="17"/>
      <c r="V641" s="17" t="str">
        <f>+CONCATENATE(E641,".",F641,"\",G641,".",H641,":",I641)</f>
        <v>2.7\0.2:18</v>
      </c>
      <c r="W641" s="17"/>
      <c r="X641" s="17"/>
      <c r="Y641" s="20"/>
      <c r="Z641" s="20" t="s">
        <v>1159</v>
      </c>
      <c r="AA641" s="20"/>
      <c r="AB641" s="17"/>
      <c r="AC641" s="20"/>
      <c r="AD641" s="20"/>
      <c r="AE641" s="20"/>
      <c r="AF641" s="17"/>
      <c r="AG641" s="64" t="s">
        <v>985</v>
      </c>
      <c r="AH641" s="64">
        <v>5</v>
      </c>
      <c r="AI641" s="64">
        <v>6</v>
      </c>
      <c r="AJ641" s="64"/>
      <c r="AK641" s="64"/>
      <c r="AL641" s="264"/>
      <c r="AM641" s="84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</row>
    <row r="642" spans="1:51" s="33" customFormat="1" x14ac:dyDescent="0.3">
      <c r="A642" s="63" t="str">
        <f>A641</f>
        <v>BCV131</v>
      </c>
      <c r="B642" s="17" t="s">
        <v>2041</v>
      </c>
      <c r="C642" s="18" t="str">
        <f>+C641</f>
        <v>DIO1</v>
      </c>
      <c r="D642" s="18">
        <v>132</v>
      </c>
      <c r="E642" s="84">
        <f>+E641</f>
        <v>2</v>
      </c>
      <c r="F642" s="84">
        <f>+F641</f>
        <v>7</v>
      </c>
      <c r="G642" s="84">
        <v>0</v>
      </c>
      <c r="H642" s="200">
        <f>H638</f>
        <v>2</v>
      </c>
      <c r="I642" s="187">
        <f>+I641+1</f>
        <v>19</v>
      </c>
      <c r="J642" s="205"/>
      <c r="K642" s="79"/>
      <c r="L642" s="17" t="s">
        <v>323</v>
      </c>
      <c r="M642" s="18"/>
      <c r="N642" s="18"/>
      <c r="O642" s="280"/>
      <c r="P642" s="280"/>
      <c r="Q642" s="206"/>
      <c r="R642" s="280"/>
      <c r="S642" s="17"/>
      <c r="T642" s="17"/>
      <c r="U642" s="17"/>
      <c r="V642" s="17" t="str">
        <f>+CONCATENATE(E642,".",F642,"\",G642,".",H642,":",I642)</f>
        <v>2.7\0.2:19</v>
      </c>
      <c r="W642" s="17"/>
      <c r="X642" s="17"/>
      <c r="Y642" s="20"/>
      <c r="Z642" s="20" t="s">
        <v>1159</v>
      </c>
      <c r="AA642" s="20"/>
      <c r="AB642" s="17"/>
      <c r="AC642" s="20"/>
      <c r="AD642" s="20"/>
      <c r="AE642" s="20"/>
      <c r="AF642" s="17"/>
      <c r="AG642" s="64" t="s">
        <v>985</v>
      </c>
      <c r="AH642" s="64">
        <v>7</v>
      </c>
      <c r="AI642" s="64">
        <v>8</v>
      </c>
      <c r="AJ642" s="64"/>
      <c r="AK642" s="64"/>
      <c r="AL642" s="264"/>
      <c r="AM642" s="84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</row>
    <row r="643" spans="1:51" s="33" customFormat="1" x14ac:dyDescent="0.3">
      <c r="A643" s="63" t="str">
        <f>A642</f>
        <v>BCV131</v>
      </c>
      <c r="B643" s="17" t="s">
        <v>2041</v>
      </c>
      <c r="C643" s="18" t="str">
        <f>+C642</f>
        <v>DIO1</v>
      </c>
      <c r="D643" s="18">
        <v>132</v>
      </c>
      <c r="E643" s="84">
        <f>+E642</f>
        <v>2</v>
      </c>
      <c r="F643" s="84">
        <f>+F642</f>
        <v>7</v>
      </c>
      <c r="G643" s="84">
        <v>0</v>
      </c>
      <c r="H643" s="200">
        <f>H639</f>
        <v>2</v>
      </c>
      <c r="I643" s="187">
        <f>+I642+1</f>
        <v>20</v>
      </c>
      <c r="J643" s="205"/>
      <c r="K643" s="79"/>
      <c r="L643" s="17" t="s">
        <v>323</v>
      </c>
      <c r="M643" s="18"/>
      <c r="N643" s="18"/>
      <c r="O643" s="18"/>
      <c r="P643" s="18"/>
      <c r="Q643" s="18"/>
      <c r="R643" s="18"/>
      <c r="S643" s="17"/>
      <c r="T643" s="17"/>
      <c r="U643" s="17"/>
      <c r="V643" s="17" t="str">
        <f>+CONCATENATE(E643,".",F643,"\",G643,".",H643,":",I643)</f>
        <v>2.7\0.2:20</v>
      </c>
      <c r="W643" s="17"/>
      <c r="X643" s="17"/>
      <c r="Y643" s="20"/>
      <c r="Z643" s="20" t="s">
        <v>1159</v>
      </c>
      <c r="AA643" s="20"/>
      <c r="AB643" s="17"/>
      <c r="AC643" s="20"/>
      <c r="AD643" s="20"/>
      <c r="AE643" s="20"/>
      <c r="AF643" s="17"/>
      <c r="AG643" s="64" t="s">
        <v>985</v>
      </c>
      <c r="AH643" s="64">
        <v>9</v>
      </c>
      <c r="AI643" s="64">
        <v>10</v>
      </c>
      <c r="AJ643" s="64"/>
      <c r="AK643" s="64"/>
      <c r="AL643" s="264"/>
      <c r="AM643" s="84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</row>
    <row r="644" spans="1:51" s="33" customFormat="1" x14ac:dyDescent="0.3">
      <c r="A644" s="63" t="str">
        <f>A643</f>
        <v>BCV131</v>
      </c>
      <c r="B644" s="17" t="s">
        <v>2041</v>
      </c>
      <c r="C644" s="18" t="str">
        <f>+C643</f>
        <v>DIO1</v>
      </c>
      <c r="D644" s="18">
        <v>132</v>
      </c>
      <c r="E644" s="84">
        <f>+E643</f>
        <v>2</v>
      </c>
      <c r="F644" s="84">
        <f>+F643</f>
        <v>7</v>
      </c>
      <c r="G644" s="84">
        <v>0</v>
      </c>
      <c r="H644" s="200">
        <f>H640</f>
        <v>2</v>
      </c>
      <c r="I644" s="187">
        <f>+I643+1</f>
        <v>21</v>
      </c>
      <c r="J644" s="205"/>
      <c r="K644" s="79"/>
      <c r="L644" s="17" t="s">
        <v>323</v>
      </c>
      <c r="M644" s="18"/>
      <c r="N644" s="18"/>
      <c r="O644" s="18"/>
      <c r="P644" s="18"/>
      <c r="Q644" s="18"/>
      <c r="R644" s="18"/>
      <c r="S644" s="17"/>
      <c r="T644" s="17"/>
      <c r="U644" s="17"/>
      <c r="V644" s="17" t="str">
        <f>+CONCATENATE(E644,".",F644,"\",G644,".",H644,":",I644)</f>
        <v>2.7\0.2:21</v>
      </c>
      <c r="W644" s="17"/>
      <c r="X644" s="17"/>
      <c r="Y644" s="20"/>
      <c r="Z644" s="20" t="s">
        <v>1159</v>
      </c>
      <c r="AA644" s="20"/>
      <c r="AB644" s="17"/>
      <c r="AC644" s="20"/>
      <c r="AD644" s="20"/>
      <c r="AE644" s="20"/>
      <c r="AF644" s="17"/>
      <c r="AG644" s="64" t="s">
        <v>985</v>
      </c>
      <c r="AH644" s="64">
        <v>11</v>
      </c>
      <c r="AI644" s="64">
        <v>12</v>
      </c>
      <c r="AJ644" s="64"/>
      <c r="AK644" s="64"/>
      <c r="AL644" s="264"/>
      <c r="AM644" s="84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</row>
    <row r="645" spans="1:51" s="33" customFormat="1" x14ac:dyDescent="0.3">
      <c r="A645" s="63" t="str">
        <f>A644</f>
        <v>BCV131</v>
      </c>
      <c r="B645" s="17" t="s">
        <v>2041</v>
      </c>
      <c r="C645" s="18" t="str">
        <f>+C644</f>
        <v>DIO1</v>
      </c>
      <c r="D645" s="18">
        <v>132</v>
      </c>
      <c r="E645" s="84">
        <f>+E644</f>
        <v>2</v>
      </c>
      <c r="F645" s="84">
        <f>+F644</f>
        <v>7</v>
      </c>
      <c r="G645" s="84">
        <v>0</v>
      </c>
      <c r="H645" s="200">
        <f>H641</f>
        <v>2</v>
      </c>
      <c r="I645" s="187">
        <f>+I644+1</f>
        <v>22</v>
      </c>
      <c r="J645" s="205"/>
      <c r="K645" s="79"/>
      <c r="L645" s="17" t="s">
        <v>323</v>
      </c>
      <c r="M645" s="18"/>
      <c r="N645" s="18"/>
      <c r="O645" s="18"/>
      <c r="P645" s="18"/>
      <c r="Q645" s="18"/>
      <c r="R645" s="18"/>
      <c r="S645" s="17"/>
      <c r="T645" s="17"/>
      <c r="U645" s="17"/>
      <c r="V645" s="17" t="str">
        <f>+CONCATENATE(E645,".",F645,"\",G645,".",H645,":",I645)</f>
        <v>2.7\0.2:22</v>
      </c>
      <c r="W645" s="17"/>
      <c r="X645" s="17"/>
      <c r="Y645" s="17"/>
      <c r="Z645" s="20" t="s">
        <v>1159</v>
      </c>
      <c r="AA645" s="17"/>
      <c r="AB645" s="17"/>
      <c r="AC645" s="17"/>
      <c r="AD645" s="17"/>
      <c r="AE645" s="17"/>
      <c r="AF645" s="17"/>
      <c r="AG645" s="64" t="s">
        <v>985</v>
      </c>
      <c r="AH645" s="64">
        <v>13</v>
      </c>
      <c r="AI645" s="64">
        <v>14</v>
      </c>
      <c r="AJ645" s="64"/>
      <c r="AK645" s="64"/>
      <c r="AL645" s="264"/>
      <c r="AM645" s="84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</row>
    <row r="646" spans="1:51" s="33" customFormat="1" x14ac:dyDescent="0.3">
      <c r="A646" s="63" t="str">
        <f>A645</f>
        <v>BCV131</v>
      </c>
      <c r="B646" s="17" t="s">
        <v>2041</v>
      </c>
      <c r="C646" s="18" t="str">
        <f>+C645</f>
        <v>DIO1</v>
      </c>
      <c r="D646" s="18">
        <v>132</v>
      </c>
      <c r="E646" s="84">
        <f>+E645</f>
        <v>2</v>
      </c>
      <c r="F646" s="84">
        <f>+F645</f>
        <v>7</v>
      </c>
      <c r="G646" s="84">
        <v>0</v>
      </c>
      <c r="H646" s="200">
        <f>H642</f>
        <v>2</v>
      </c>
      <c r="I646" s="187">
        <f>+I645+1</f>
        <v>23</v>
      </c>
      <c r="J646" s="205"/>
      <c r="K646" s="79"/>
      <c r="L646" s="17" t="s">
        <v>323</v>
      </c>
      <c r="M646" s="18"/>
      <c r="N646" s="18"/>
      <c r="O646" s="18"/>
      <c r="P646" s="18"/>
      <c r="Q646" s="18"/>
      <c r="R646" s="18"/>
      <c r="S646" s="17"/>
      <c r="T646" s="17"/>
      <c r="U646" s="17"/>
      <c r="V646" s="17" t="str">
        <f>+CONCATENATE(E646,".",F646,"\",G646,".",H646,":",I646)</f>
        <v>2.7\0.2:23</v>
      </c>
      <c r="W646" s="17"/>
      <c r="X646" s="17"/>
      <c r="Y646" s="17"/>
      <c r="Z646" s="20" t="s">
        <v>1159</v>
      </c>
      <c r="AA646" s="17"/>
      <c r="AB646" s="17"/>
      <c r="AC646" s="17"/>
      <c r="AD646" s="17"/>
      <c r="AE646" s="17"/>
      <c r="AF646" s="17"/>
      <c r="AG646" s="64" t="s">
        <v>985</v>
      </c>
      <c r="AH646" s="64">
        <v>15</v>
      </c>
      <c r="AI646" s="64">
        <v>16</v>
      </c>
      <c r="AJ646" s="64"/>
      <c r="AK646" s="64"/>
      <c r="AL646" s="264"/>
      <c r="AM646" s="84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</row>
    <row r="647" spans="1:51" s="33" customFormat="1" x14ac:dyDescent="0.3">
      <c r="A647" s="63" t="str">
        <f>A646</f>
        <v>BCV131</v>
      </c>
      <c r="B647" s="17" t="s">
        <v>2041</v>
      </c>
      <c r="C647" s="18" t="str">
        <f>+C646</f>
        <v>DIO1</v>
      </c>
      <c r="D647" s="18">
        <v>132</v>
      </c>
      <c r="E647" s="84">
        <f>+E646</f>
        <v>2</v>
      </c>
      <c r="F647" s="84">
        <f>+F646</f>
        <v>7</v>
      </c>
      <c r="G647" s="84">
        <v>0</v>
      </c>
      <c r="H647" s="200">
        <f>H643</f>
        <v>2</v>
      </c>
      <c r="I647" s="187">
        <f>+I646+1</f>
        <v>24</v>
      </c>
      <c r="J647" s="205"/>
      <c r="K647" s="79"/>
      <c r="L647" s="17" t="s">
        <v>323</v>
      </c>
      <c r="M647" s="18"/>
      <c r="N647" s="18"/>
      <c r="O647" s="18"/>
      <c r="P647" s="18"/>
      <c r="Q647" s="18"/>
      <c r="R647" s="18"/>
      <c r="S647" s="17"/>
      <c r="T647" s="17"/>
      <c r="U647" s="17"/>
      <c r="V647" s="17" t="str">
        <f>+CONCATENATE(E647,".",F647,"\",G647,".",H647,":",I647)</f>
        <v>2.7\0.2:24</v>
      </c>
      <c r="W647" s="17"/>
      <c r="X647" s="17"/>
      <c r="Y647" s="17"/>
      <c r="Z647" s="20" t="s">
        <v>1159</v>
      </c>
      <c r="AA647" s="17"/>
      <c r="AB647" s="17"/>
      <c r="AC647" s="17"/>
      <c r="AD647" s="17"/>
      <c r="AE647" s="17"/>
      <c r="AF647" s="17"/>
      <c r="AG647" s="64" t="s">
        <v>985</v>
      </c>
      <c r="AH647" s="64">
        <v>17</v>
      </c>
      <c r="AI647" s="64">
        <v>18</v>
      </c>
      <c r="AJ647" s="64"/>
      <c r="AK647" s="64"/>
      <c r="AL647" s="264"/>
      <c r="AM647" s="84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</row>
    <row r="648" spans="1:51" s="33" customFormat="1" x14ac:dyDescent="0.3">
      <c r="A648" s="63" t="str">
        <f>A647</f>
        <v>BCV131</v>
      </c>
      <c r="B648" s="17" t="s">
        <v>2041</v>
      </c>
      <c r="C648" s="18" t="str">
        <f>+C647</f>
        <v>DIO1</v>
      </c>
      <c r="D648" s="18">
        <v>132</v>
      </c>
      <c r="E648" s="84">
        <f>+E647</f>
        <v>2</v>
      </c>
      <c r="F648" s="84">
        <f>+F647</f>
        <v>7</v>
      </c>
      <c r="G648" s="84">
        <v>0</v>
      </c>
      <c r="H648" s="200">
        <f>H644</f>
        <v>2</v>
      </c>
      <c r="I648" s="187">
        <f>+I647+1</f>
        <v>25</v>
      </c>
      <c r="J648" s="205"/>
      <c r="K648" s="79"/>
      <c r="L648" s="17" t="s">
        <v>323</v>
      </c>
      <c r="M648" s="18"/>
      <c r="N648" s="18"/>
      <c r="O648" s="17"/>
      <c r="P648" s="17"/>
      <c r="Q648" s="17"/>
      <c r="R648" s="17"/>
      <c r="S648" s="17"/>
      <c r="T648" s="17"/>
      <c r="U648" s="17"/>
      <c r="V648" s="17" t="str">
        <f>+CONCATENATE(E648,".",F648,"\",G648,".",H648,":",I648)</f>
        <v>2.7\0.2:25</v>
      </c>
      <c r="W648" s="17"/>
      <c r="X648" s="17"/>
      <c r="Y648" s="17"/>
      <c r="Z648" s="20" t="s">
        <v>1159</v>
      </c>
      <c r="AA648" s="17"/>
      <c r="AB648" s="17"/>
      <c r="AC648" s="17"/>
      <c r="AD648" s="17"/>
      <c r="AE648" s="17"/>
      <c r="AF648" s="17"/>
      <c r="AG648" s="64" t="s">
        <v>985</v>
      </c>
      <c r="AH648" s="64">
        <v>19</v>
      </c>
      <c r="AI648" s="64">
        <v>20</v>
      </c>
      <c r="AJ648" s="64"/>
      <c r="AK648" s="64"/>
      <c r="AL648" s="264"/>
      <c r="AM648" s="84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</row>
    <row r="649" spans="1:51" s="33" customFormat="1" x14ac:dyDescent="0.3">
      <c r="A649" s="63" t="str">
        <f>A648</f>
        <v>BCV131</v>
      </c>
      <c r="B649" s="17" t="s">
        <v>2041</v>
      </c>
      <c r="C649" s="18" t="str">
        <f>+C648</f>
        <v>DIO1</v>
      </c>
      <c r="D649" s="18">
        <v>132</v>
      </c>
      <c r="E649" s="84">
        <f>+E648</f>
        <v>2</v>
      </c>
      <c r="F649" s="84">
        <f>+F648</f>
        <v>7</v>
      </c>
      <c r="G649" s="84">
        <v>0</v>
      </c>
      <c r="H649" s="200">
        <f>H645</f>
        <v>2</v>
      </c>
      <c r="I649" s="187">
        <f>+I648+1</f>
        <v>26</v>
      </c>
      <c r="J649" s="205"/>
      <c r="K649" s="79"/>
      <c r="L649" s="17" t="s">
        <v>323</v>
      </c>
      <c r="M649" s="18"/>
      <c r="N649" s="18"/>
      <c r="O649" s="17"/>
      <c r="P649" s="17"/>
      <c r="Q649" s="17"/>
      <c r="R649" s="17"/>
      <c r="S649" s="17"/>
      <c r="T649" s="17"/>
      <c r="U649" s="17"/>
      <c r="V649" s="17" t="str">
        <f>+CONCATENATE(E649,".",F649,"\",G649,".",H649,":",I649)</f>
        <v>2.7\0.2:26</v>
      </c>
      <c r="W649" s="17"/>
      <c r="X649" s="17"/>
      <c r="Y649" s="17"/>
      <c r="Z649" s="20" t="s">
        <v>1159</v>
      </c>
      <c r="AA649" s="17"/>
      <c r="AB649" s="17"/>
      <c r="AC649" s="17"/>
      <c r="AD649" s="17"/>
      <c r="AE649" s="17"/>
      <c r="AF649" s="17"/>
      <c r="AG649" s="64" t="s">
        <v>985</v>
      </c>
      <c r="AH649" s="64">
        <v>21</v>
      </c>
      <c r="AI649" s="64">
        <v>22</v>
      </c>
      <c r="AJ649" s="64"/>
      <c r="AK649" s="64"/>
      <c r="AL649" s="264"/>
      <c r="AM649" s="84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</row>
    <row r="650" spans="1:51" s="33" customFormat="1" x14ac:dyDescent="0.3">
      <c r="A650" s="63" t="str">
        <f>A649</f>
        <v>BCV131</v>
      </c>
      <c r="B650" s="17" t="s">
        <v>2041</v>
      </c>
      <c r="C650" s="18" t="str">
        <f>+C649</f>
        <v>DIO1</v>
      </c>
      <c r="D650" s="18">
        <v>132</v>
      </c>
      <c r="E650" s="84">
        <f>+E649</f>
        <v>2</v>
      </c>
      <c r="F650" s="84">
        <f>+F649</f>
        <v>7</v>
      </c>
      <c r="G650" s="84">
        <v>0</v>
      </c>
      <c r="H650" s="200">
        <f>H646</f>
        <v>2</v>
      </c>
      <c r="I650" s="187">
        <f>+I649+1</f>
        <v>27</v>
      </c>
      <c r="J650" s="205"/>
      <c r="K650" s="79"/>
      <c r="L650" s="17" t="s">
        <v>323</v>
      </c>
      <c r="M650" s="18"/>
      <c r="N650" s="18"/>
      <c r="O650" s="17"/>
      <c r="P650" s="17"/>
      <c r="Q650" s="17"/>
      <c r="R650" s="17"/>
      <c r="S650" s="17"/>
      <c r="T650" s="17"/>
      <c r="U650" s="17"/>
      <c r="V650" s="17" t="str">
        <f>+CONCATENATE(E650,".",F650,"\",G650,".",H650,":",I650)</f>
        <v>2.7\0.2:27</v>
      </c>
      <c r="W650" s="17"/>
      <c r="X650" s="17"/>
      <c r="Y650" s="17"/>
      <c r="Z650" s="20" t="s">
        <v>1159</v>
      </c>
      <c r="AA650" s="17"/>
      <c r="AB650" s="17"/>
      <c r="AC650" s="17"/>
      <c r="AD650" s="17"/>
      <c r="AE650" s="17"/>
      <c r="AF650" s="17"/>
      <c r="AG650" s="64" t="s">
        <v>985</v>
      </c>
      <c r="AH650" s="64">
        <v>23</v>
      </c>
      <c r="AI650" s="64">
        <v>24</v>
      </c>
      <c r="AJ650" s="64"/>
      <c r="AK650" s="64"/>
      <c r="AL650" s="264"/>
      <c r="AM650" s="84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</row>
    <row r="651" spans="1:51" s="33" customFormat="1" x14ac:dyDescent="0.3">
      <c r="A651" s="63" t="str">
        <f>A650</f>
        <v>BCV131</v>
      </c>
      <c r="B651" s="17" t="s">
        <v>2041</v>
      </c>
      <c r="C651" s="18" t="str">
        <f>+C650</f>
        <v>DIO1</v>
      </c>
      <c r="D651" s="18">
        <v>132</v>
      </c>
      <c r="E651" s="84">
        <f>+E650</f>
        <v>2</v>
      </c>
      <c r="F651" s="84">
        <f>+F650</f>
        <v>7</v>
      </c>
      <c r="G651" s="84">
        <v>0</v>
      </c>
      <c r="H651" s="200">
        <f>H647</f>
        <v>2</v>
      </c>
      <c r="I651" s="187">
        <f>+I650+1</f>
        <v>28</v>
      </c>
      <c r="J651" s="205"/>
      <c r="K651" s="79"/>
      <c r="L651" s="17" t="s">
        <v>323</v>
      </c>
      <c r="M651" s="18"/>
      <c r="N651" s="18"/>
      <c r="O651" s="17"/>
      <c r="P651" s="17"/>
      <c r="Q651" s="17"/>
      <c r="R651" s="17"/>
      <c r="S651" s="17"/>
      <c r="T651" s="17"/>
      <c r="U651" s="17"/>
      <c r="V651" s="17" t="str">
        <f>+CONCATENATE(E651,".",F651,"\",G651,".",H651,":",I651)</f>
        <v>2.7\0.2:28</v>
      </c>
      <c r="W651" s="17"/>
      <c r="X651" s="17"/>
      <c r="Y651" s="17"/>
      <c r="Z651" s="20" t="s">
        <v>1159</v>
      </c>
      <c r="AA651" s="17"/>
      <c r="AB651" s="17"/>
      <c r="AC651" s="17"/>
      <c r="AD651" s="17"/>
      <c r="AE651" s="17"/>
      <c r="AF651" s="17"/>
      <c r="AG651" s="64" t="s">
        <v>985</v>
      </c>
      <c r="AH651" s="64">
        <v>25</v>
      </c>
      <c r="AI651" s="64">
        <v>26</v>
      </c>
      <c r="AJ651" s="64"/>
      <c r="AK651" s="64"/>
      <c r="AL651" s="264"/>
      <c r="AM651" s="84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</row>
    <row r="652" spans="1:51" s="33" customFormat="1" x14ac:dyDescent="0.3">
      <c r="A652" s="63" t="str">
        <f>A651</f>
        <v>BCV131</v>
      </c>
      <c r="B652" s="17" t="s">
        <v>2041</v>
      </c>
      <c r="C652" s="18" t="str">
        <f>+C651</f>
        <v>DIO1</v>
      </c>
      <c r="D652" s="18">
        <v>132</v>
      </c>
      <c r="E652" s="84">
        <f>+E651</f>
        <v>2</v>
      </c>
      <c r="F652" s="84">
        <f>+F651</f>
        <v>7</v>
      </c>
      <c r="G652" s="84">
        <v>0</v>
      </c>
      <c r="H652" s="200">
        <f>H648</f>
        <v>2</v>
      </c>
      <c r="I652" s="187">
        <f>+I651+1</f>
        <v>29</v>
      </c>
      <c r="J652" s="205"/>
      <c r="K652" s="79"/>
      <c r="L652" s="17" t="s">
        <v>323</v>
      </c>
      <c r="M652" s="18"/>
      <c r="N652" s="18"/>
      <c r="O652" s="17"/>
      <c r="P652" s="17"/>
      <c r="Q652" s="17"/>
      <c r="R652" s="17"/>
      <c r="S652" s="17"/>
      <c r="T652" s="17"/>
      <c r="U652" s="17"/>
      <c r="V652" s="17" t="str">
        <f>+CONCATENATE(E652,".",F652,"\",G652,".",H652,":",I652)</f>
        <v>2.7\0.2:29</v>
      </c>
      <c r="W652" s="17"/>
      <c r="X652" s="17"/>
      <c r="Y652" s="17"/>
      <c r="Z652" s="20" t="s">
        <v>1159</v>
      </c>
      <c r="AA652" s="17"/>
      <c r="AB652" s="17"/>
      <c r="AC652" s="17"/>
      <c r="AD652" s="17"/>
      <c r="AE652" s="17"/>
      <c r="AF652" s="17"/>
      <c r="AG652" s="64" t="s">
        <v>985</v>
      </c>
      <c r="AH652" s="64">
        <v>27</v>
      </c>
      <c r="AI652" s="64">
        <v>28</v>
      </c>
      <c r="AJ652" s="64"/>
      <c r="AK652" s="64"/>
      <c r="AL652" s="264"/>
      <c r="AM652" s="84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</row>
    <row r="653" spans="1:51" s="33" customFormat="1" x14ac:dyDescent="0.3">
      <c r="A653" s="63" t="str">
        <f>A652</f>
        <v>BCV131</v>
      </c>
      <c r="B653" s="17" t="s">
        <v>2041</v>
      </c>
      <c r="C653" s="18" t="str">
        <f>+C652</f>
        <v>DIO1</v>
      </c>
      <c r="D653" s="18">
        <v>132</v>
      </c>
      <c r="E653" s="84">
        <f>+E652</f>
        <v>2</v>
      </c>
      <c r="F653" s="84">
        <f>+F652</f>
        <v>7</v>
      </c>
      <c r="G653" s="84">
        <v>0</v>
      </c>
      <c r="H653" s="200">
        <f>H649</f>
        <v>2</v>
      </c>
      <c r="I653" s="187">
        <f>+I652+1</f>
        <v>30</v>
      </c>
      <c r="J653" s="205"/>
      <c r="K653" s="79"/>
      <c r="L653" s="17" t="s">
        <v>323</v>
      </c>
      <c r="M653" s="18"/>
      <c r="N653" s="18"/>
      <c r="O653" s="17"/>
      <c r="P653" s="17"/>
      <c r="Q653" s="17"/>
      <c r="R653" s="17"/>
      <c r="S653" s="17"/>
      <c r="T653" s="17"/>
      <c r="U653" s="17"/>
      <c r="V653" s="17" t="str">
        <f>+CONCATENATE(E653,".",F653,"\",G653,".",H653,":",I653)</f>
        <v>2.7\0.2:30</v>
      </c>
      <c r="W653" s="17"/>
      <c r="X653" s="17"/>
      <c r="Y653" s="17"/>
      <c r="Z653" s="20" t="s">
        <v>1159</v>
      </c>
      <c r="AA653" s="17"/>
      <c r="AB653" s="17"/>
      <c r="AC653" s="17"/>
      <c r="AD653" s="17"/>
      <c r="AE653" s="17"/>
      <c r="AF653" s="17"/>
      <c r="AG653" s="64" t="s">
        <v>985</v>
      </c>
      <c r="AH653" s="64">
        <v>29</v>
      </c>
      <c r="AI653" s="64">
        <v>30</v>
      </c>
      <c r="AJ653" s="64"/>
      <c r="AK653" s="64"/>
      <c r="AL653" s="264"/>
      <c r="AM653" s="84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</row>
    <row r="654" spans="1:51" s="33" customFormat="1" ht="13.5" thickBot="1" x14ac:dyDescent="0.35">
      <c r="A654" s="63" t="str">
        <f>A653</f>
        <v>BCV131</v>
      </c>
      <c r="B654" s="17" t="s">
        <v>2041</v>
      </c>
      <c r="C654" s="18" t="str">
        <f>+C653</f>
        <v>DIO1</v>
      </c>
      <c r="D654" s="18">
        <v>132</v>
      </c>
      <c r="E654" s="84">
        <f>+E653</f>
        <v>2</v>
      </c>
      <c r="F654" s="84">
        <f>+F653</f>
        <v>7</v>
      </c>
      <c r="G654" s="84">
        <v>0</v>
      </c>
      <c r="H654" s="200">
        <f>H650</f>
        <v>2</v>
      </c>
      <c r="I654" s="191">
        <f>+I653+1</f>
        <v>31</v>
      </c>
      <c r="J654" s="203"/>
      <c r="K654" s="79"/>
      <c r="L654" s="17" t="s">
        <v>323</v>
      </c>
      <c r="M654" s="18"/>
      <c r="N654" s="18"/>
      <c r="O654" s="17"/>
      <c r="P654" s="17"/>
      <c r="Q654" s="17"/>
      <c r="R654" s="17"/>
      <c r="S654" s="17"/>
      <c r="T654" s="17"/>
      <c r="U654" s="17"/>
      <c r="V654" s="17" t="str">
        <f>+CONCATENATE(E654,".",F654,"\",G654,".",H654,":",I654)</f>
        <v>2.7\0.2:31</v>
      </c>
      <c r="W654" s="17"/>
      <c r="X654" s="17"/>
      <c r="Y654" s="17"/>
      <c r="Z654" s="20" t="s">
        <v>1159</v>
      </c>
      <c r="AA654" s="17"/>
      <c r="AB654" s="17"/>
      <c r="AC654" s="17"/>
      <c r="AD654" s="17"/>
      <c r="AE654" s="17"/>
      <c r="AF654" s="17"/>
      <c r="AG654" s="64" t="s">
        <v>985</v>
      </c>
      <c r="AH654" s="64">
        <v>31</v>
      </c>
      <c r="AI654" s="64">
        <v>32</v>
      </c>
      <c r="AJ654" s="64"/>
      <c r="AK654" s="64"/>
      <c r="AL654" s="264"/>
      <c r="AM654" s="84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</row>
    <row r="655" spans="1:51" s="33" customFormat="1" ht="14.5" x14ac:dyDescent="0.35">
      <c r="A655" s="268" t="s">
        <v>194</v>
      </c>
      <c r="B655" s="17" t="s">
        <v>2041</v>
      </c>
      <c r="C655" s="18" t="str">
        <f>+C654</f>
        <v>DIO1</v>
      </c>
      <c r="D655" s="18">
        <v>132</v>
      </c>
      <c r="E655" s="84">
        <f>+E654</f>
        <v>2</v>
      </c>
      <c r="F655" s="84">
        <f>+F654</f>
        <v>7</v>
      </c>
      <c r="G655" s="84">
        <v>0</v>
      </c>
      <c r="H655" s="214">
        <v>3</v>
      </c>
      <c r="I655" s="188">
        <v>0</v>
      </c>
      <c r="J655" s="201" t="s">
        <v>722</v>
      </c>
      <c r="K655" s="18" t="s">
        <v>721</v>
      </c>
      <c r="L655" s="79" t="s">
        <v>292</v>
      </c>
      <c r="M655" s="18">
        <v>5</v>
      </c>
      <c r="N655" s="59" t="s">
        <v>2094</v>
      </c>
      <c r="O655" s="17" t="s">
        <v>1198</v>
      </c>
      <c r="P655" s="59" t="s">
        <v>2093</v>
      </c>
      <c r="Q655" s="17" t="s">
        <v>2092</v>
      </c>
      <c r="R655" s="17" t="s">
        <v>308</v>
      </c>
      <c r="S655" s="17"/>
      <c r="T655" s="17" t="s">
        <v>694</v>
      </c>
      <c r="U655" s="17"/>
      <c r="V655" s="17" t="str">
        <f>+CONCATENATE(E655,".",F655,"\",G655,".",H655,":",I655)</f>
        <v>2.7\0.3:0</v>
      </c>
      <c r="W655" s="17" t="s">
        <v>2085</v>
      </c>
      <c r="X655" s="17">
        <v>0</v>
      </c>
      <c r="Y655" s="17"/>
      <c r="Z655" s="20" t="s">
        <v>1159</v>
      </c>
      <c r="AA655" s="17"/>
      <c r="AB655" s="17"/>
      <c r="AC655" s="17"/>
      <c r="AD655" s="17"/>
      <c r="AE655" s="17"/>
      <c r="AF655" s="17"/>
      <c r="AG655" s="64" t="s">
        <v>844</v>
      </c>
      <c r="AH655" s="64">
        <v>1</v>
      </c>
      <c r="AI655" s="64">
        <v>2</v>
      </c>
      <c r="AJ655" s="64"/>
      <c r="AK655" s="64"/>
      <c r="AL655" s="264"/>
      <c r="AM655" s="84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</row>
    <row r="656" spans="1:51" s="33" customFormat="1" x14ac:dyDescent="0.3">
      <c r="A656" s="63" t="str">
        <f>A655</f>
        <v>BCV131</v>
      </c>
      <c r="B656" s="17" t="s">
        <v>2041</v>
      </c>
      <c r="C656" s="18" t="str">
        <f>+C655</f>
        <v>DIO1</v>
      </c>
      <c r="D656" s="18">
        <v>132</v>
      </c>
      <c r="E656" s="84">
        <f>+E655</f>
        <v>2</v>
      </c>
      <c r="F656" s="84">
        <f>+F655</f>
        <v>7</v>
      </c>
      <c r="G656" s="84">
        <v>0</v>
      </c>
      <c r="H656" s="200">
        <f>H655</f>
        <v>3</v>
      </c>
      <c r="I656" s="187">
        <f>+I655+1</f>
        <v>1</v>
      </c>
      <c r="J656" s="193"/>
      <c r="K656" s="79"/>
      <c r="L656" s="79" t="s">
        <v>292</v>
      </c>
      <c r="M656" s="18"/>
      <c r="N656" s="18"/>
      <c r="O656" s="17"/>
      <c r="P656" s="17"/>
      <c r="Q656" s="17" t="s">
        <v>127</v>
      </c>
      <c r="R656" s="17" t="s">
        <v>127</v>
      </c>
      <c r="S656" s="17"/>
      <c r="T656" s="17"/>
      <c r="U656" s="17"/>
      <c r="V656" s="17" t="str">
        <f>+CONCATENATE(E656,".",F656,"\",G656,".",H656,":",I656)</f>
        <v>2.7\0.3:1</v>
      </c>
      <c r="W656" s="17"/>
      <c r="X656" s="17"/>
      <c r="Y656" s="17"/>
      <c r="Z656" s="20" t="s">
        <v>1159</v>
      </c>
      <c r="AA656" s="17"/>
      <c r="AB656" s="17"/>
      <c r="AC656" s="17"/>
      <c r="AD656" s="17"/>
      <c r="AE656" s="17"/>
      <c r="AF656" s="17"/>
      <c r="AG656" s="64" t="s">
        <v>844</v>
      </c>
      <c r="AH656" s="64">
        <v>3</v>
      </c>
      <c r="AI656" s="64">
        <v>4</v>
      </c>
      <c r="AJ656" s="64"/>
      <c r="AK656" s="64"/>
      <c r="AL656" s="264"/>
      <c r="AM656" s="84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</row>
    <row r="657" spans="1:51" s="33" customFormat="1" x14ac:dyDescent="0.3">
      <c r="A657" s="63" t="str">
        <f>A656</f>
        <v>BCV131</v>
      </c>
      <c r="B657" s="17" t="s">
        <v>2041</v>
      </c>
      <c r="C657" s="18" t="str">
        <f>+C656</f>
        <v>DIO1</v>
      </c>
      <c r="D657" s="18">
        <v>132</v>
      </c>
      <c r="E657" s="84">
        <f>+E656</f>
        <v>2</v>
      </c>
      <c r="F657" s="84">
        <f>+F656</f>
        <v>7</v>
      </c>
      <c r="G657" s="84">
        <v>0</v>
      </c>
      <c r="H657" s="186">
        <f>+H656</f>
        <v>3</v>
      </c>
      <c r="I657" s="187">
        <f>+I656+1</f>
        <v>2</v>
      </c>
      <c r="J657" s="193"/>
      <c r="K657" s="65"/>
      <c r="L657" s="79" t="s">
        <v>292</v>
      </c>
      <c r="M657" s="18"/>
      <c r="N657" s="18"/>
      <c r="O657" s="17"/>
      <c r="P657" s="17"/>
      <c r="Q657" s="17" t="s">
        <v>127</v>
      </c>
      <c r="R657" s="17" t="s">
        <v>127</v>
      </c>
      <c r="S657" s="17"/>
      <c r="T657" s="17"/>
      <c r="U657" s="17"/>
      <c r="V657" s="17" t="str">
        <f>+CONCATENATE(E657,".",F657,"\",G657,".",H657,":",I657)</f>
        <v>2.7\0.3:2</v>
      </c>
      <c r="W657" s="17"/>
      <c r="X657" s="17"/>
      <c r="Y657" s="17"/>
      <c r="Z657" s="20" t="s">
        <v>1159</v>
      </c>
      <c r="AA657" s="17"/>
      <c r="AB657" s="17"/>
      <c r="AC657" s="17"/>
      <c r="AD657" s="17"/>
      <c r="AE657" s="17"/>
      <c r="AF657" s="17"/>
      <c r="AG657" s="64" t="s">
        <v>844</v>
      </c>
      <c r="AH657" s="64">
        <v>5</v>
      </c>
      <c r="AI657" s="64">
        <v>6</v>
      </c>
      <c r="AJ657" s="64"/>
      <c r="AK657" s="64"/>
      <c r="AL657" s="264"/>
      <c r="AM657" s="84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</row>
    <row r="658" spans="1:51" s="33" customFormat="1" x14ac:dyDescent="0.3">
      <c r="A658" s="63" t="str">
        <f>A657</f>
        <v>BCV131</v>
      </c>
      <c r="B658" s="17" t="s">
        <v>2041</v>
      </c>
      <c r="C658" s="18" t="str">
        <f>+C657</f>
        <v>DIO1</v>
      </c>
      <c r="D658" s="18">
        <v>132</v>
      </c>
      <c r="E658" s="84">
        <f>+E657</f>
        <v>2</v>
      </c>
      <c r="F658" s="84">
        <f>+F657</f>
        <v>7</v>
      </c>
      <c r="G658" s="84">
        <v>0</v>
      </c>
      <c r="H658" s="186">
        <f>+H657</f>
        <v>3</v>
      </c>
      <c r="I658" s="187">
        <f>+I657+1</f>
        <v>3</v>
      </c>
      <c r="J658" s="193"/>
      <c r="K658" s="65"/>
      <c r="L658" s="79" t="s">
        <v>292</v>
      </c>
      <c r="M658" s="18"/>
      <c r="N658" s="18"/>
      <c r="O658" s="17"/>
      <c r="P658" s="17"/>
      <c r="T658" s="17"/>
      <c r="U658" s="17"/>
      <c r="V658" s="17" t="str">
        <f>+CONCATENATE(E658,".",F658,"\",G658,".",H658,":",I658)</f>
        <v>2.7\0.3:3</v>
      </c>
      <c r="W658" s="17"/>
      <c r="X658" s="17"/>
      <c r="Y658" s="17"/>
      <c r="Z658" s="20" t="s">
        <v>1159</v>
      </c>
      <c r="AA658" s="17"/>
      <c r="AB658" s="17"/>
      <c r="AC658" s="17"/>
      <c r="AD658" s="17"/>
      <c r="AE658" s="17"/>
      <c r="AF658" s="17"/>
      <c r="AG658" s="64" t="s">
        <v>844</v>
      </c>
      <c r="AH658" s="64">
        <v>7</v>
      </c>
      <c r="AI658" s="64">
        <v>8</v>
      </c>
      <c r="AJ658" s="64"/>
      <c r="AK658" s="64"/>
      <c r="AL658" s="264"/>
      <c r="AM658" s="84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</row>
    <row r="659" spans="1:51" s="33" customFormat="1" x14ac:dyDescent="0.3">
      <c r="A659" s="63" t="str">
        <f>A658</f>
        <v>BCV131</v>
      </c>
      <c r="B659" s="17" t="s">
        <v>2041</v>
      </c>
      <c r="C659" s="18" t="str">
        <f>+C658</f>
        <v>DIO1</v>
      </c>
      <c r="D659" s="18">
        <v>132</v>
      </c>
      <c r="E659" s="84">
        <f>+E658</f>
        <v>2</v>
      </c>
      <c r="F659" s="84">
        <f>+F658</f>
        <v>7</v>
      </c>
      <c r="G659" s="84">
        <v>0</v>
      </c>
      <c r="H659" s="186">
        <f>+H658</f>
        <v>3</v>
      </c>
      <c r="I659" s="187">
        <f>+I658+1</f>
        <v>4</v>
      </c>
      <c r="J659" s="193"/>
      <c r="K659" s="65"/>
      <c r="L659" s="79" t="s">
        <v>292</v>
      </c>
      <c r="M659" s="18"/>
      <c r="N659" s="18"/>
      <c r="O659" s="17"/>
      <c r="P659" s="17"/>
      <c r="T659" s="17"/>
      <c r="U659" s="17"/>
      <c r="V659" s="17" t="str">
        <f>+CONCATENATE(E659,".",F659,"\",G659,".",H659,":",I659)</f>
        <v>2.7\0.3:4</v>
      </c>
      <c r="W659" s="17"/>
      <c r="X659" s="17"/>
      <c r="Y659" s="17"/>
      <c r="Z659" s="20" t="s">
        <v>1159</v>
      </c>
      <c r="AA659" s="17"/>
      <c r="AB659" s="17"/>
      <c r="AC659" s="17"/>
      <c r="AD659" s="17"/>
      <c r="AE659" s="17"/>
      <c r="AF659" s="17"/>
      <c r="AG659" s="64" t="s">
        <v>844</v>
      </c>
      <c r="AH659" s="64">
        <v>9</v>
      </c>
      <c r="AI659" s="64">
        <v>10</v>
      </c>
      <c r="AJ659" s="64"/>
      <c r="AK659" s="64"/>
      <c r="AL659" s="264"/>
      <c r="AM659" s="84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</row>
    <row r="660" spans="1:51" s="33" customFormat="1" x14ac:dyDescent="0.3">
      <c r="A660" s="63" t="str">
        <f>A659</f>
        <v>BCV131</v>
      </c>
      <c r="B660" s="17" t="s">
        <v>2041</v>
      </c>
      <c r="C660" s="18" t="str">
        <f>+C659</f>
        <v>DIO1</v>
      </c>
      <c r="D660" s="18">
        <v>132</v>
      </c>
      <c r="E660" s="84">
        <f>+E659</f>
        <v>2</v>
      </c>
      <c r="F660" s="84">
        <f>+F659</f>
        <v>7</v>
      </c>
      <c r="G660" s="84">
        <v>0</v>
      </c>
      <c r="H660" s="186">
        <f>+H659</f>
        <v>3</v>
      </c>
      <c r="I660" s="187">
        <f>+I659+1</f>
        <v>5</v>
      </c>
      <c r="J660" s="193"/>
      <c r="K660" s="65"/>
      <c r="L660" s="79" t="s">
        <v>292</v>
      </c>
      <c r="M660" s="18"/>
      <c r="N660" s="18"/>
      <c r="O660" s="17"/>
      <c r="P660" s="17"/>
      <c r="Q660" s="17"/>
      <c r="R660" s="17"/>
      <c r="S660" s="18"/>
      <c r="T660" s="17"/>
      <c r="U660" s="17"/>
      <c r="V660" s="17" t="str">
        <f>+CONCATENATE(E660,".",F660,"\",G660,".",H660,":",I660)</f>
        <v>2.7\0.3:5</v>
      </c>
      <c r="W660" s="17"/>
      <c r="X660" s="17"/>
      <c r="Y660" s="17"/>
      <c r="Z660" s="20" t="s">
        <v>1159</v>
      </c>
      <c r="AA660" s="17"/>
      <c r="AB660" s="17"/>
      <c r="AC660" s="17"/>
      <c r="AD660" s="17"/>
      <c r="AE660" s="17"/>
      <c r="AF660" s="17"/>
      <c r="AG660" s="64" t="s">
        <v>844</v>
      </c>
      <c r="AH660" s="64">
        <v>11</v>
      </c>
      <c r="AI660" s="64">
        <v>12</v>
      </c>
      <c r="AJ660" s="64"/>
      <c r="AK660" s="64"/>
      <c r="AL660" s="264"/>
      <c r="AM660" s="84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</row>
    <row r="661" spans="1:51" s="33" customFormat="1" x14ac:dyDescent="0.3">
      <c r="A661" s="63" t="str">
        <f>A660</f>
        <v>BCV131</v>
      </c>
      <c r="B661" s="17" t="s">
        <v>2041</v>
      </c>
      <c r="C661" s="18" t="str">
        <f>+C660</f>
        <v>DIO1</v>
      </c>
      <c r="D661" s="18">
        <v>132</v>
      </c>
      <c r="E661" s="84">
        <f>+E660</f>
        <v>2</v>
      </c>
      <c r="F661" s="84">
        <f>+F660</f>
        <v>7</v>
      </c>
      <c r="G661" s="84">
        <v>0</v>
      </c>
      <c r="H661" s="186">
        <f>+H660</f>
        <v>3</v>
      </c>
      <c r="I661" s="187">
        <f>+I660+1</f>
        <v>6</v>
      </c>
      <c r="J661" s="193"/>
      <c r="K661" s="65"/>
      <c r="L661" s="79" t="s">
        <v>292</v>
      </c>
      <c r="M661" s="18"/>
      <c r="N661" s="18"/>
      <c r="O661" s="17"/>
      <c r="P661" s="17"/>
      <c r="Q661" s="17"/>
      <c r="R661" s="17"/>
      <c r="S661" s="17"/>
      <c r="T661" s="17"/>
      <c r="U661" s="17"/>
      <c r="V661" s="17" t="str">
        <f>+CONCATENATE(E661,".",F661,"\",G661,".",H661,":",I661)</f>
        <v>2.7\0.3:6</v>
      </c>
      <c r="W661" s="17"/>
      <c r="X661" s="17"/>
      <c r="Y661" s="17"/>
      <c r="Z661" s="20" t="s">
        <v>1159</v>
      </c>
      <c r="AA661" s="17"/>
      <c r="AB661" s="17"/>
      <c r="AC661" s="17"/>
      <c r="AD661" s="17"/>
      <c r="AE661" s="17"/>
      <c r="AF661" s="17"/>
      <c r="AG661" s="64" t="s">
        <v>844</v>
      </c>
      <c r="AH661" s="64">
        <v>13</v>
      </c>
      <c r="AI661" s="64">
        <v>14</v>
      </c>
      <c r="AJ661" s="64"/>
      <c r="AK661" s="64"/>
      <c r="AL661" s="264"/>
      <c r="AM661" s="17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</row>
    <row r="662" spans="1:51" s="33" customFormat="1" x14ac:dyDescent="0.3">
      <c r="A662" s="63" t="str">
        <f>A661</f>
        <v>BCV131</v>
      </c>
      <c r="B662" s="17" t="s">
        <v>2041</v>
      </c>
      <c r="C662" s="18" t="str">
        <f>+C661</f>
        <v>DIO1</v>
      </c>
      <c r="D662" s="18">
        <v>132</v>
      </c>
      <c r="E662" s="84">
        <f>+E661</f>
        <v>2</v>
      </c>
      <c r="F662" s="84">
        <f>+F661</f>
        <v>7</v>
      </c>
      <c r="G662" s="84">
        <v>0</v>
      </c>
      <c r="H662" s="186">
        <f>+H661</f>
        <v>3</v>
      </c>
      <c r="I662" s="187">
        <f>+I661+1</f>
        <v>7</v>
      </c>
      <c r="J662" s="193"/>
      <c r="K662" s="65"/>
      <c r="L662" s="79" t="s">
        <v>292</v>
      </c>
      <c r="M662" s="18"/>
      <c r="N662" s="18"/>
      <c r="O662" s="17"/>
      <c r="P662" s="17"/>
      <c r="Q662" s="17"/>
      <c r="R662" s="17"/>
      <c r="S662" s="17"/>
      <c r="T662" s="17"/>
      <c r="U662" s="17"/>
      <c r="V662" s="17" t="str">
        <f>+CONCATENATE(E662,".",F662,"\",G662,".",H662,":",I662)</f>
        <v>2.7\0.3:7</v>
      </c>
      <c r="W662" s="17"/>
      <c r="X662" s="17"/>
      <c r="Y662" s="17"/>
      <c r="Z662" s="20" t="s">
        <v>1159</v>
      </c>
      <c r="AA662" s="17"/>
      <c r="AB662" s="17"/>
      <c r="AC662" s="17"/>
      <c r="AD662" s="17"/>
      <c r="AE662" s="17"/>
      <c r="AF662" s="17"/>
      <c r="AG662" s="64" t="s">
        <v>844</v>
      </c>
      <c r="AH662" s="64">
        <v>15</v>
      </c>
      <c r="AI662" s="64">
        <v>16</v>
      </c>
      <c r="AJ662" s="64"/>
      <c r="AK662" s="64"/>
      <c r="AL662" s="264"/>
      <c r="AM662" s="84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</row>
    <row r="663" spans="1:51" s="33" customFormat="1" x14ac:dyDescent="0.3">
      <c r="A663" s="63" t="str">
        <f>A662</f>
        <v>BCV131</v>
      </c>
      <c r="B663" s="17" t="s">
        <v>2041</v>
      </c>
      <c r="C663" s="18" t="str">
        <f>+C662</f>
        <v>DIO1</v>
      </c>
      <c r="D663" s="18">
        <v>132</v>
      </c>
      <c r="E663" s="84">
        <f>+E662</f>
        <v>2</v>
      </c>
      <c r="F663" s="84">
        <f>+F662</f>
        <v>7</v>
      </c>
      <c r="G663" s="84">
        <v>0</v>
      </c>
      <c r="H663" s="186">
        <f>+H662</f>
        <v>3</v>
      </c>
      <c r="I663" s="187">
        <f>+I662+1</f>
        <v>8</v>
      </c>
      <c r="J663" s="193"/>
      <c r="K663" s="65"/>
      <c r="L663" s="79" t="s">
        <v>292</v>
      </c>
      <c r="M663" s="18"/>
      <c r="N663" s="18"/>
      <c r="O663" s="17"/>
      <c r="P663" s="17"/>
      <c r="Q663" s="17"/>
      <c r="R663" s="17"/>
      <c r="S663" s="17"/>
      <c r="T663" s="17"/>
      <c r="U663" s="17"/>
      <c r="V663" s="17" t="str">
        <f>+CONCATENATE(E663,".",F663,"\",G663,".",H663,":",I663)</f>
        <v>2.7\0.3:8</v>
      </c>
      <c r="W663" s="17"/>
      <c r="X663" s="17"/>
      <c r="Y663" s="17"/>
      <c r="Z663" s="20" t="s">
        <v>1159</v>
      </c>
      <c r="AA663" s="17"/>
      <c r="AB663" s="17"/>
      <c r="AC663" s="17"/>
      <c r="AD663" s="17"/>
      <c r="AE663" s="17"/>
      <c r="AF663" s="17"/>
      <c r="AG663" s="64" t="s">
        <v>844</v>
      </c>
      <c r="AH663" s="64">
        <v>17</v>
      </c>
      <c r="AI663" s="64">
        <v>18</v>
      </c>
      <c r="AJ663" s="64"/>
      <c r="AK663" s="64"/>
      <c r="AL663" s="264"/>
      <c r="AM663" s="84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</row>
    <row r="664" spans="1:51" s="33" customFormat="1" x14ac:dyDescent="0.3">
      <c r="A664" s="63" t="str">
        <f>A663</f>
        <v>BCV131</v>
      </c>
      <c r="B664" s="17" t="s">
        <v>2041</v>
      </c>
      <c r="C664" s="18" t="str">
        <f>+C663</f>
        <v>DIO1</v>
      </c>
      <c r="D664" s="18">
        <v>132</v>
      </c>
      <c r="E664" s="84">
        <f>+E663</f>
        <v>2</v>
      </c>
      <c r="F664" s="84">
        <f>+F663</f>
        <v>7</v>
      </c>
      <c r="G664" s="84">
        <v>0</v>
      </c>
      <c r="H664" s="186">
        <f>+H663</f>
        <v>3</v>
      </c>
      <c r="I664" s="187">
        <f>+I663+1</f>
        <v>9</v>
      </c>
      <c r="J664" s="193"/>
      <c r="K664" s="65"/>
      <c r="L664" s="79" t="s">
        <v>292</v>
      </c>
      <c r="M664" s="18"/>
      <c r="N664" s="18"/>
      <c r="O664" s="17"/>
      <c r="P664" s="17"/>
      <c r="Q664" s="17"/>
      <c r="R664" s="17"/>
      <c r="S664" s="17"/>
      <c r="T664" s="17"/>
      <c r="U664" s="17"/>
      <c r="V664" s="17" t="str">
        <f>+CONCATENATE(E664,".",F664,"\",G664,".",H664,":",I664)</f>
        <v>2.7\0.3:9</v>
      </c>
      <c r="W664" s="17"/>
      <c r="X664" s="17"/>
      <c r="Y664" s="17"/>
      <c r="Z664" s="20" t="s">
        <v>1159</v>
      </c>
      <c r="AA664" s="17"/>
      <c r="AB664" s="17"/>
      <c r="AC664" s="17"/>
      <c r="AD664" s="17"/>
      <c r="AE664" s="17"/>
      <c r="AF664" s="17"/>
      <c r="AG664" s="64" t="s">
        <v>844</v>
      </c>
      <c r="AH664" s="64">
        <v>19</v>
      </c>
      <c r="AI664" s="64">
        <v>20</v>
      </c>
      <c r="AJ664" s="64"/>
      <c r="AK664" s="64"/>
      <c r="AL664" s="264"/>
      <c r="AM664" s="84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</row>
    <row r="665" spans="1:51" s="33" customFormat="1" x14ac:dyDescent="0.3">
      <c r="A665" s="63" t="str">
        <f>A664</f>
        <v>BCV131</v>
      </c>
      <c r="B665" s="17" t="s">
        <v>2041</v>
      </c>
      <c r="C665" s="18" t="str">
        <f>+C664</f>
        <v>DIO1</v>
      </c>
      <c r="D665" s="18">
        <v>132</v>
      </c>
      <c r="E665" s="84">
        <f>+E664</f>
        <v>2</v>
      </c>
      <c r="F665" s="84">
        <f>+F664</f>
        <v>7</v>
      </c>
      <c r="G665" s="84">
        <v>0</v>
      </c>
      <c r="H665" s="186">
        <f>+H664</f>
        <v>3</v>
      </c>
      <c r="I665" s="187">
        <f>+I664+1</f>
        <v>10</v>
      </c>
      <c r="J665" s="193"/>
      <c r="K665" s="65"/>
      <c r="L665" s="79" t="s">
        <v>292</v>
      </c>
      <c r="M665" s="18"/>
      <c r="N665" s="18"/>
      <c r="O665" s="17"/>
      <c r="P665" s="17"/>
      <c r="Q665" s="299"/>
      <c r="R665" s="17"/>
      <c r="S665" s="17"/>
      <c r="T665" s="17"/>
      <c r="U665" s="17"/>
      <c r="V665" s="17" t="str">
        <f>+CONCATENATE(E665,".",F665,"\",G665,".",H665,":",I665)</f>
        <v>2.7\0.3:10</v>
      </c>
      <c r="W665" s="17"/>
      <c r="X665" s="17"/>
      <c r="Y665" s="17"/>
      <c r="Z665" s="20" t="s">
        <v>1159</v>
      </c>
      <c r="AA665" s="17"/>
      <c r="AB665" s="17"/>
      <c r="AC665" s="17"/>
      <c r="AD665" s="17"/>
      <c r="AE665" s="17"/>
      <c r="AF665" s="17"/>
      <c r="AG665" s="64" t="s">
        <v>844</v>
      </c>
      <c r="AH665" s="64">
        <v>21</v>
      </c>
      <c r="AI665" s="64">
        <v>22</v>
      </c>
      <c r="AJ665" s="64"/>
      <c r="AK665" s="64"/>
      <c r="AL665" s="264"/>
      <c r="AM665" s="84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</row>
    <row r="666" spans="1:51" s="33" customFormat="1" x14ac:dyDescent="0.3">
      <c r="A666" s="63" t="str">
        <f>A665</f>
        <v>BCV131</v>
      </c>
      <c r="B666" s="17" t="s">
        <v>2041</v>
      </c>
      <c r="C666" s="18" t="str">
        <f>+C665</f>
        <v>DIO1</v>
      </c>
      <c r="D666" s="18">
        <v>132</v>
      </c>
      <c r="E666" s="84">
        <f>+E665</f>
        <v>2</v>
      </c>
      <c r="F666" s="84">
        <f>+F665</f>
        <v>7</v>
      </c>
      <c r="G666" s="84">
        <v>0</v>
      </c>
      <c r="H666" s="186">
        <f>+H665</f>
        <v>3</v>
      </c>
      <c r="I666" s="187">
        <f>+I665+1</f>
        <v>11</v>
      </c>
      <c r="J666" s="193"/>
      <c r="K666" s="65"/>
      <c r="L666" s="79" t="s">
        <v>292</v>
      </c>
      <c r="M666" s="18"/>
      <c r="N666" s="18"/>
      <c r="O666" s="17"/>
      <c r="P666" s="17"/>
      <c r="Q666" s="17"/>
      <c r="R666" s="17"/>
      <c r="S666" s="17"/>
      <c r="T666" s="17"/>
      <c r="U666" s="17"/>
      <c r="V666" s="17" t="str">
        <f>+CONCATENATE(E666,".",F666,"\",G666,".",H666,":",I666)</f>
        <v>2.7\0.3:11</v>
      </c>
      <c r="W666" s="17"/>
      <c r="X666" s="17"/>
      <c r="Y666" s="17"/>
      <c r="Z666" s="20" t="s">
        <v>1159</v>
      </c>
      <c r="AA666" s="17"/>
      <c r="AB666" s="17"/>
      <c r="AC666" s="17"/>
      <c r="AD666" s="17"/>
      <c r="AE666" s="17"/>
      <c r="AF666" s="17"/>
      <c r="AG666" s="64" t="s">
        <v>844</v>
      </c>
      <c r="AH666" s="64">
        <v>23</v>
      </c>
      <c r="AI666" s="64">
        <v>24</v>
      </c>
      <c r="AJ666" s="64"/>
      <c r="AK666" s="64"/>
      <c r="AL666" s="264"/>
      <c r="AM666" s="84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</row>
    <row r="667" spans="1:51" s="33" customFormat="1" x14ac:dyDescent="0.3">
      <c r="A667" s="63" t="str">
        <f>A666</f>
        <v>BCV131</v>
      </c>
      <c r="B667" s="17" t="s">
        <v>2041</v>
      </c>
      <c r="C667" s="18" t="str">
        <f>+C666</f>
        <v>DIO1</v>
      </c>
      <c r="D667" s="18">
        <v>132</v>
      </c>
      <c r="E667" s="84">
        <f>+E666</f>
        <v>2</v>
      </c>
      <c r="F667" s="84">
        <f>+F666</f>
        <v>7</v>
      </c>
      <c r="G667" s="84">
        <v>0</v>
      </c>
      <c r="H667" s="186">
        <f>+H666</f>
        <v>3</v>
      </c>
      <c r="I667" s="187">
        <f>+I666+1</f>
        <v>12</v>
      </c>
      <c r="J667" s="193"/>
      <c r="K667" s="65"/>
      <c r="L667" s="79" t="s">
        <v>292</v>
      </c>
      <c r="M667" s="18"/>
      <c r="N667" s="18"/>
      <c r="O667" s="17"/>
      <c r="P667" s="17"/>
      <c r="Q667" s="17"/>
      <c r="R667" s="17"/>
      <c r="S667" s="17"/>
      <c r="T667" s="17"/>
      <c r="U667" s="17"/>
      <c r="V667" s="17" t="str">
        <f>+CONCATENATE(E667,".",F667,"\",G667,".",H667,":",I667)</f>
        <v>2.7\0.3:12</v>
      </c>
      <c r="W667" s="17"/>
      <c r="X667" s="17"/>
      <c r="Y667" s="17"/>
      <c r="Z667" s="20" t="s">
        <v>1159</v>
      </c>
      <c r="AA667" s="17"/>
      <c r="AB667" s="17"/>
      <c r="AC667" s="17"/>
      <c r="AD667" s="17"/>
      <c r="AE667" s="17"/>
      <c r="AF667" s="17"/>
      <c r="AG667" s="64" t="s">
        <v>844</v>
      </c>
      <c r="AH667" s="64">
        <v>25</v>
      </c>
      <c r="AI667" s="64">
        <v>26</v>
      </c>
      <c r="AJ667" s="64"/>
      <c r="AK667" s="64"/>
      <c r="AL667" s="264"/>
      <c r="AM667" s="84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</row>
    <row r="668" spans="1:51" s="33" customFormat="1" x14ac:dyDescent="0.3">
      <c r="A668" s="63" t="str">
        <f>A667</f>
        <v>BCV131</v>
      </c>
      <c r="B668" s="17" t="s">
        <v>2041</v>
      </c>
      <c r="C668" s="18" t="str">
        <f>+C667</f>
        <v>DIO1</v>
      </c>
      <c r="D668" s="18">
        <v>132</v>
      </c>
      <c r="E668" s="84">
        <f>+E667</f>
        <v>2</v>
      </c>
      <c r="F668" s="84">
        <f>+F667</f>
        <v>7</v>
      </c>
      <c r="G668" s="84">
        <v>0</v>
      </c>
      <c r="H668" s="186">
        <f>+H667</f>
        <v>3</v>
      </c>
      <c r="I668" s="187">
        <f>+I667+1</f>
        <v>13</v>
      </c>
      <c r="J668" s="193"/>
      <c r="K668" s="65"/>
      <c r="L668" s="79" t="s">
        <v>292</v>
      </c>
      <c r="M668" s="18"/>
      <c r="N668" s="18"/>
      <c r="O668" s="17"/>
      <c r="P668" s="17"/>
      <c r="Q668" s="17"/>
      <c r="R668" s="17"/>
      <c r="S668" s="17"/>
      <c r="T668" s="17"/>
      <c r="U668" s="18"/>
      <c r="V668" s="17" t="str">
        <f>+CONCATENATE(E668,".",F668,"\",G668,".",H668,":",I668)</f>
        <v>2.7\0.3:13</v>
      </c>
      <c r="W668" s="18"/>
      <c r="X668" s="18"/>
      <c r="Y668" s="17"/>
      <c r="Z668" s="20" t="s">
        <v>1159</v>
      </c>
      <c r="AA668" s="17"/>
      <c r="AB668" s="17"/>
      <c r="AC668" s="17"/>
      <c r="AD668" s="17"/>
      <c r="AE668" s="17"/>
      <c r="AF668" s="17"/>
      <c r="AG668" s="64" t="s">
        <v>844</v>
      </c>
      <c r="AH668" s="64">
        <v>27</v>
      </c>
      <c r="AI668" s="64">
        <v>28</v>
      </c>
      <c r="AJ668" s="64"/>
      <c r="AK668" s="64"/>
      <c r="AL668" s="264"/>
      <c r="AM668" s="84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</row>
    <row r="669" spans="1:51" s="33" customFormat="1" x14ac:dyDescent="0.3">
      <c r="A669" s="63" t="str">
        <f>A668</f>
        <v>BCV131</v>
      </c>
      <c r="B669" s="17" t="s">
        <v>2041</v>
      </c>
      <c r="C669" s="18" t="str">
        <f>+C668</f>
        <v>DIO1</v>
      </c>
      <c r="D669" s="18">
        <v>132</v>
      </c>
      <c r="E669" s="84">
        <f>+E668</f>
        <v>2</v>
      </c>
      <c r="F669" s="84">
        <f>+F668</f>
        <v>7</v>
      </c>
      <c r="G669" s="84">
        <v>0</v>
      </c>
      <c r="H669" s="186">
        <f>+H668</f>
        <v>3</v>
      </c>
      <c r="I669" s="187">
        <f>+I668+1</f>
        <v>14</v>
      </c>
      <c r="J669" s="193"/>
      <c r="K669" s="65"/>
      <c r="L669" s="79" t="s">
        <v>292</v>
      </c>
      <c r="M669" s="18"/>
      <c r="N669" s="18"/>
      <c r="O669" s="17"/>
      <c r="P669" s="17"/>
      <c r="Q669" s="17"/>
      <c r="R669" s="17"/>
      <c r="S669" s="17"/>
      <c r="T669" s="17"/>
      <c r="U669" s="18"/>
      <c r="V669" s="17" t="str">
        <f>+CONCATENATE(E669,".",F669,"\",G669,".",H669,":",I669)</f>
        <v>2.7\0.3:14</v>
      </c>
      <c r="W669" s="18"/>
      <c r="X669" s="18"/>
      <c r="Y669" s="17"/>
      <c r="Z669" s="20" t="s">
        <v>1159</v>
      </c>
      <c r="AA669" s="17"/>
      <c r="AB669" s="17"/>
      <c r="AC669" s="17"/>
      <c r="AD669" s="17"/>
      <c r="AE669" s="17"/>
      <c r="AF669" s="17"/>
      <c r="AG669" s="64" t="s">
        <v>844</v>
      </c>
      <c r="AH669" s="64">
        <v>29</v>
      </c>
      <c r="AI669" s="64">
        <v>30</v>
      </c>
      <c r="AJ669" s="64"/>
      <c r="AK669" s="64"/>
      <c r="AL669" s="264"/>
      <c r="AM669" s="84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</row>
    <row r="670" spans="1:51" s="33" customFormat="1" ht="13.5" thickBot="1" x14ac:dyDescent="0.35">
      <c r="A670" s="63" t="str">
        <f>A669</f>
        <v>BCV131</v>
      </c>
      <c r="B670" s="17" t="s">
        <v>2041</v>
      </c>
      <c r="C670" s="18" t="str">
        <f>+C669</f>
        <v>DIO1</v>
      </c>
      <c r="D670" s="18">
        <v>132</v>
      </c>
      <c r="E670" s="84">
        <f>+E669</f>
        <v>2</v>
      </c>
      <c r="F670" s="84">
        <f>+F669</f>
        <v>7</v>
      </c>
      <c r="G670" s="84">
        <v>0</v>
      </c>
      <c r="H670" s="186">
        <f>+H669</f>
        <v>3</v>
      </c>
      <c r="I670" s="191">
        <f>+I669+1</f>
        <v>15</v>
      </c>
      <c r="J670" s="190"/>
      <c r="K670" s="65"/>
      <c r="L670" s="79" t="s">
        <v>292</v>
      </c>
      <c r="M670" s="18"/>
      <c r="N670" s="18"/>
      <c r="O670" s="17"/>
      <c r="P670" s="17"/>
      <c r="Q670" s="17"/>
      <c r="R670" s="17"/>
      <c r="S670" s="17"/>
      <c r="T670" s="17"/>
      <c r="U670" s="17"/>
      <c r="V670" s="17" t="str">
        <f>+CONCATENATE(E670,".",F670,"\",G670,".",H670,":",I670)</f>
        <v>2.7\0.3:15</v>
      </c>
      <c r="W670" s="17"/>
      <c r="X670" s="17"/>
      <c r="Y670" s="17"/>
      <c r="Z670" s="20" t="s">
        <v>1159</v>
      </c>
      <c r="AA670" s="17"/>
      <c r="AB670" s="17"/>
      <c r="AC670" s="17"/>
      <c r="AD670" s="17"/>
      <c r="AE670" s="17"/>
      <c r="AF670" s="17"/>
      <c r="AG670" s="64" t="s">
        <v>844</v>
      </c>
      <c r="AH670" s="64">
        <v>31</v>
      </c>
      <c r="AI670" s="64">
        <v>32</v>
      </c>
      <c r="AJ670" s="64"/>
      <c r="AK670" s="64"/>
      <c r="AL670" s="264"/>
      <c r="AM670" s="84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</row>
    <row r="671" spans="1:51" s="33" customFormat="1" x14ac:dyDescent="0.3">
      <c r="A671" s="268" t="s">
        <v>194</v>
      </c>
      <c r="B671" s="17" t="s">
        <v>2041</v>
      </c>
      <c r="C671" s="18" t="str">
        <f>+C670</f>
        <v>DIO1</v>
      </c>
      <c r="D671" s="18">
        <v>132</v>
      </c>
      <c r="E671" s="84">
        <f>+E670</f>
        <v>2</v>
      </c>
      <c r="F671" s="84">
        <f>+F670</f>
        <v>7</v>
      </c>
      <c r="G671" s="84">
        <v>0</v>
      </c>
      <c r="H671" s="214">
        <v>4</v>
      </c>
      <c r="I671" s="188">
        <v>0</v>
      </c>
      <c r="J671" s="276" t="s">
        <v>1185</v>
      </c>
      <c r="K671" s="17" t="s">
        <v>1184</v>
      </c>
      <c r="L671" s="79" t="s">
        <v>1170</v>
      </c>
      <c r="M671" s="18">
        <v>4</v>
      </c>
      <c r="N671" s="17" t="s">
        <v>2091</v>
      </c>
      <c r="O671" s="17" t="s">
        <v>2090</v>
      </c>
      <c r="P671" s="17" t="s">
        <v>2089</v>
      </c>
      <c r="Q671" s="17" t="s">
        <v>2088</v>
      </c>
      <c r="R671" s="17"/>
      <c r="S671" s="271" t="s">
        <v>2087</v>
      </c>
      <c r="T671" s="17" t="s">
        <v>2086</v>
      </c>
      <c r="U671" s="17" t="s">
        <v>1177</v>
      </c>
      <c r="V671" s="17" t="str">
        <f>+CONCATENATE(E671,".",F671,"\",G671,".",H671,":",I671)</f>
        <v>2.7\0.4:0</v>
      </c>
      <c r="W671" s="17" t="s">
        <v>2085</v>
      </c>
      <c r="X671" s="17">
        <v>0</v>
      </c>
      <c r="Y671" s="17"/>
      <c r="Z671" s="20" t="s">
        <v>1159</v>
      </c>
      <c r="AA671" s="17"/>
      <c r="AB671" s="17">
        <v>0</v>
      </c>
      <c r="AC671" s="17">
        <v>100</v>
      </c>
      <c r="AD671" s="17">
        <v>0</v>
      </c>
      <c r="AE671" s="17">
        <v>100</v>
      </c>
      <c r="AF671" s="17" t="s">
        <v>1176</v>
      </c>
      <c r="AG671" s="64" t="s">
        <v>844</v>
      </c>
      <c r="AH671" s="64">
        <v>33</v>
      </c>
      <c r="AI671" s="64">
        <v>34</v>
      </c>
      <c r="AJ671" s="64"/>
      <c r="AK671" s="64"/>
      <c r="AL671" s="264"/>
      <c r="AM671" s="84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</row>
    <row r="672" spans="1:51" s="33" customFormat="1" ht="14.5" x14ac:dyDescent="0.35">
      <c r="A672" s="63" t="str">
        <f>A671</f>
        <v>BCV131</v>
      </c>
      <c r="B672" s="17" t="s">
        <v>2041</v>
      </c>
      <c r="C672" s="18" t="str">
        <f>+C671</f>
        <v>DIO1</v>
      </c>
      <c r="D672" s="18">
        <v>132</v>
      </c>
      <c r="E672" s="84">
        <f>+E671</f>
        <v>2</v>
      </c>
      <c r="F672" s="84">
        <f>+F671</f>
        <v>7</v>
      </c>
      <c r="G672" s="84">
        <v>0</v>
      </c>
      <c r="H672" s="186">
        <f>+H671</f>
        <v>4</v>
      </c>
      <c r="I672" s="187">
        <f>+I671+1</f>
        <v>1</v>
      </c>
      <c r="J672" s="275"/>
      <c r="K672" s="18"/>
      <c r="L672" s="79" t="s">
        <v>1170</v>
      </c>
      <c r="M672" s="18">
        <v>5</v>
      </c>
      <c r="N672" s="59" t="s">
        <v>2084</v>
      </c>
      <c r="O672" s="217" t="s">
        <v>1182</v>
      </c>
      <c r="P672" s="217" t="s">
        <v>2083</v>
      </c>
      <c r="Q672" s="217" t="s">
        <v>2082</v>
      </c>
      <c r="R672" s="17"/>
      <c r="S672" s="17" t="s">
        <v>2081</v>
      </c>
      <c r="T672" s="17" t="s">
        <v>653</v>
      </c>
      <c r="U672" s="17" t="s">
        <v>1177</v>
      </c>
      <c r="V672" s="17" t="str">
        <f>+CONCATENATE(E672,".",F672,"\",G672,".",H672,":",I672)</f>
        <v>2.7\0.4:1</v>
      </c>
      <c r="W672" s="17" t="s">
        <v>2080</v>
      </c>
      <c r="X672" s="17"/>
      <c r="Y672" s="17" t="s">
        <v>2079</v>
      </c>
      <c r="Z672" s="20" t="s">
        <v>1159</v>
      </c>
      <c r="AA672" s="17"/>
      <c r="AB672" s="17">
        <v>0</v>
      </c>
      <c r="AC672" s="17">
        <v>25</v>
      </c>
      <c r="AD672" s="17">
        <v>0</v>
      </c>
      <c r="AE672" s="17">
        <v>25</v>
      </c>
      <c r="AF672" s="17" t="s">
        <v>1176</v>
      </c>
      <c r="AG672" s="64" t="s">
        <v>844</v>
      </c>
      <c r="AH672" s="64">
        <v>35</v>
      </c>
      <c r="AI672" s="64">
        <v>36</v>
      </c>
      <c r="AJ672" s="64"/>
      <c r="AK672" s="64"/>
      <c r="AL672" s="264"/>
      <c r="AM672" s="84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</row>
    <row r="673" spans="1:51" s="33" customFormat="1" x14ac:dyDescent="0.3">
      <c r="A673" s="63" t="str">
        <f>A672</f>
        <v>BCV131</v>
      </c>
      <c r="B673" s="17" t="s">
        <v>2041</v>
      </c>
      <c r="C673" s="18" t="str">
        <f>+C672</f>
        <v>DIO1</v>
      </c>
      <c r="D673" s="18">
        <v>132</v>
      </c>
      <c r="E673" s="84">
        <f>+E672</f>
        <v>2</v>
      </c>
      <c r="F673" s="84">
        <f>+F672</f>
        <v>7</v>
      </c>
      <c r="G673" s="84">
        <v>0</v>
      </c>
      <c r="H673" s="186">
        <f>+H672</f>
        <v>4</v>
      </c>
      <c r="I673" s="187">
        <f>+I672+1</f>
        <v>2</v>
      </c>
      <c r="J673" s="275"/>
      <c r="K673" s="18"/>
      <c r="L673" s="79" t="s">
        <v>1170</v>
      </c>
      <c r="M673" s="18"/>
      <c r="N673" s="18"/>
      <c r="O673" s="17"/>
      <c r="P673" s="18"/>
      <c r="T673" s="17"/>
      <c r="U673" s="17"/>
      <c r="V673" s="17" t="str">
        <f>+CONCATENATE(E673,".",F673,"\",G673,".",H673,":",I673)</f>
        <v>2.7\0.4:2</v>
      </c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64" t="s">
        <v>844</v>
      </c>
      <c r="AH673" s="64">
        <v>37</v>
      </c>
      <c r="AI673" s="64">
        <v>38</v>
      </c>
      <c r="AJ673" s="64"/>
      <c r="AK673" s="64"/>
      <c r="AL673" s="264" t="s">
        <v>1452</v>
      </c>
      <c r="AM673" s="84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</row>
    <row r="674" spans="1:51" s="33" customFormat="1" x14ac:dyDescent="0.3">
      <c r="A674" s="63" t="str">
        <f>A673</f>
        <v>BCV131</v>
      </c>
      <c r="B674" s="17" t="s">
        <v>2041</v>
      </c>
      <c r="C674" s="18" t="str">
        <f>+C673</f>
        <v>DIO1</v>
      </c>
      <c r="D674" s="18">
        <v>132</v>
      </c>
      <c r="E674" s="84">
        <f>+E673</f>
        <v>2</v>
      </c>
      <c r="F674" s="84">
        <f>+F673</f>
        <v>7</v>
      </c>
      <c r="G674" s="84">
        <v>0</v>
      </c>
      <c r="H674" s="186">
        <f>+H673</f>
        <v>4</v>
      </c>
      <c r="I674" s="187">
        <f>+I673+1</f>
        <v>3</v>
      </c>
      <c r="J674" s="275"/>
      <c r="K674" s="18"/>
      <c r="L674" s="79" t="s">
        <v>1170</v>
      </c>
      <c r="M674" s="18"/>
      <c r="N674" s="18"/>
      <c r="O674" s="17"/>
      <c r="P674" s="17"/>
      <c r="Q674" s="17"/>
      <c r="R674" s="18"/>
      <c r="S674" s="18"/>
      <c r="T674" s="17"/>
      <c r="U674" s="17"/>
      <c r="V674" s="17" t="str">
        <f>+CONCATENATE(E674,".",F674,"\",G674,".",H674,":",I674)</f>
        <v>2.7\0.4:3</v>
      </c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64" t="s">
        <v>844</v>
      </c>
      <c r="AH674" s="64">
        <v>39</v>
      </c>
      <c r="AI674" s="64">
        <v>40</v>
      </c>
      <c r="AJ674" s="64"/>
      <c r="AK674" s="64"/>
      <c r="AL674" s="264" t="s">
        <v>1452</v>
      </c>
      <c r="AM674" s="84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</row>
    <row r="675" spans="1:51" s="33" customFormat="1" x14ac:dyDescent="0.3">
      <c r="A675" s="63" t="str">
        <f>A674</f>
        <v>BCV131</v>
      </c>
      <c r="B675" s="17" t="s">
        <v>2041</v>
      </c>
      <c r="C675" s="18" t="str">
        <f>+C674</f>
        <v>DIO1</v>
      </c>
      <c r="D675" s="18">
        <v>132</v>
      </c>
      <c r="E675" s="84">
        <f>+E674</f>
        <v>2</v>
      </c>
      <c r="F675" s="84">
        <f>+F674</f>
        <v>7</v>
      </c>
      <c r="G675" s="84">
        <v>0</v>
      </c>
      <c r="H675" s="186">
        <f>+H674</f>
        <v>4</v>
      </c>
      <c r="I675" s="187">
        <f>+I674+1</f>
        <v>4</v>
      </c>
      <c r="J675" s="275"/>
      <c r="K675" s="18"/>
      <c r="L675" s="79" t="s">
        <v>1170</v>
      </c>
      <c r="M675" s="18"/>
      <c r="N675" s="18"/>
      <c r="O675" s="17"/>
      <c r="P675" s="17"/>
      <c r="Q675" s="17"/>
      <c r="R675" s="17"/>
      <c r="S675" s="17"/>
      <c r="T675" s="17"/>
      <c r="U675" s="17"/>
      <c r="V675" s="17" t="str">
        <f>+CONCATENATE(E675,".",F675,"\",G675,".",H675,":",I675)</f>
        <v>2.7\0.4:4</v>
      </c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64" t="s">
        <v>844</v>
      </c>
      <c r="AH675" s="64">
        <v>41</v>
      </c>
      <c r="AI675" s="64">
        <v>42</v>
      </c>
      <c r="AJ675" s="64"/>
      <c r="AK675" s="64"/>
      <c r="AL675" s="264"/>
      <c r="AM675" s="84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</row>
    <row r="676" spans="1:51" s="33" customFormat="1" x14ac:dyDescent="0.3">
      <c r="A676" s="63" t="str">
        <f>A675</f>
        <v>BCV131</v>
      </c>
      <c r="B676" s="17" t="s">
        <v>2041</v>
      </c>
      <c r="C676" s="18" t="str">
        <f>+C675</f>
        <v>DIO1</v>
      </c>
      <c r="D676" s="18">
        <v>132</v>
      </c>
      <c r="E676" s="84">
        <f>+E675</f>
        <v>2</v>
      </c>
      <c r="F676" s="84">
        <f>+F675</f>
        <v>7</v>
      </c>
      <c r="G676" s="84">
        <v>0</v>
      </c>
      <c r="H676" s="186">
        <f>+H675</f>
        <v>4</v>
      </c>
      <c r="I676" s="187">
        <f>+I675+1</f>
        <v>5</v>
      </c>
      <c r="J676" s="275"/>
      <c r="K676" s="18"/>
      <c r="L676" s="79" t="s">
        <v>1170</v>
      </c>
      <c r="M676" s="18"/>
      <c r="N676" s="18"/>
      <c r="O676" s="17"/>
      <c r="P676" s="17"/>
      <c r="Q676" s="17"/>
      <c r="R676" s="18"/>
      <c r="S676" s="18"/>
      <c r="T676" s="17"/>
      <c r="U676" s="17"/>
      <c r="V676" s="17" t="str">
        <f>+CONCATENATE(E676,".",F676,"\",G676,".",H676,":",I676)</f>
        <v>2.7\0.4:5</v>
      </c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64" t="s">
        <v>844</v>
      </c>
      <c r="AH676" s="64">
        <v>43</v>
      </c>
      <c r="AI676" s="64">
        <v>44</v>
      </c>
      <c r="AJ676" s="64"/>
      <c r="AK676" s="64"/>
      <c r="AL676" s="264"/>
      <c r="AM676" s="84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</row>
    <row r="677" spans="1:51" s="33" customFormat="1" x14ac:dyDescent="0.3">
      <c r="A677" s="63" t="str">
        <f>A676</f>
        <v>BCV131</v>
      </c>
      <c r="B677" s="17" t="s">
        <v>2041</v>
      </c>
      <c r="C677" s="18" t="str">
        <f>+C676</f>
        <v>DIO1</v>
      </c>
      <c r="D677" s="18">
        <v>132</v>
      </c>
      <c r="E677" s="84">
        <f>+E676</f>
        <v>2</v>
      </c>
      <c r="F677" s="84">
        <f>+F676</f>
        <v>7</v>
      </c>
      <c r="G677" s="84">
        <v>0</v>
      </c>
      <c r="H677" s="186">
        <f>+H676</f>
        <v>4</v>
      </c>
      <c r="I677" s="187">
        <f>+I676+1</f>
        <v>6</v>
      </c>
      <c r="J677" s="275"/>
      <c r="K677" s="18"/>
      <c r="L677" s="79" t="s">
        <v>1170</v>
      </c>
      <c r="M677" s="18"/>
      <c r="N677" s="18"/>
      <c r="O677" s="17"/>
      <c r="P677" s="17"/>
      <c r="Q677" s="17"/>
      <c r="R677" s="18"/>
      <c r="S677" s="18"/>
      <c r="T677" s="17"/>
      <c r="U677" s="17"/>
      <c r="V677" s="17" t="str">
        <f>+CONCATENATE(E677,".",F677,"\",G677,".",H677,":",I677)</f>
        <v>2.7\0.4:6</v>
      </c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64" t="s">
        <v>844</v>
      </c>
      <c r="AH677" s="64">
        <v>45</v>
      </c>
      <c r="AI677" s="64">
        <v>46</v>
      </c>
      <c r="AJ677" s="64"/>
      <c r="AK677" s="64"/>
      <c r="AL677" s="264"/>
      <c r="AM677" s="84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</row>
    <row r="678" spans="1:51" s="33" customFormat="1" ht="13.5" thickBot="1" x14ac:dyDescent="0.35">
      <c r="A678" s="63" t="str">
        <f>A677</f>
        <v>BCV131</v>
      </c>
      <c r="B678" s="17" t="s">
        <v>2041</v>
      </c>
      <c r="C678" s="18" t="str">
        <f>+C677</f>
        <v>DIO1</v>
      </c>
      <c r="D678" s="18">
        <v>132</v>
      </c>
      <c r="E678" s="84">
        <f>+E677</f>
        <v>2</v>
      </c>
      <c r="F678" s="84">
        <f>+F677</f>
        <v>7</v>
      </c>
      <c r="G678" s="84">
        <v>0</v>
      </c>
      <c r="H678" s="186">
        <f>+H677</f>
        <v>4</v>
      </c>
      <c r="I678" s="191">
        <f>+I677+1</f>
        <v>7</v>
      </c>
      <c r="J678" s="274"/>
      <c r="K678" s="18"/>
      <c r="L678" s="79" t="s">
        <v>1170</v>
      </c>
      <c r="M678" s="18"/>
      <c r="N678" s="18"/>
      <c r="O678" s="17"/>
      <c r="P678" s="17"/>
      <c r="Q678" s="17"/>
      <c r="R678" s="18"/>
      <c r="S678" s="18"/>
      <c r="T678" s="17"/>
      <c r="U678" s="17"/>
      <c r="V678" s="17" t="str">
        <f>+CONCATENATE(E678,".",F678,"\",G678,".",H678,":",I678)</f>
        <v>2.7\0.4:7</v>
      </c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64" t="s">
        <v>844</v>
      </c>
      <c r="AH678" s="64">
        <v>47</v>
      </c>
      <c r="AI678" s="64">
        <v>48</v>
      </c>
      <c r="AJ678" s="64"/>
      <c r="AK678" s="64"/>
      <c r="AL678" s="264"/>
      <c r="AM678" s="84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</row>
    <row r="679" spans="1:51" s="33" customFormat="1" ht="14.5" x14ac:dyDescent="0.35">
      <c r="A679" s="268" t="s">
        <v>194</v>
      </c>
      <c r="B679" s="17" t="s">
        <v>2041</v>
      </c>
      <c r="C679" s="18" t="str">
        <f>+C678</f>
        <v>DIO1</v>
      </c>
      <c r="D679" s="18">
        <v>132</v>
      </c>
      <c r="E679" s="84">
        <f>+E678</f>
        <v>2</v>
      </c>
      <c r="F679" s="84">
        <f>+F678</f>
        <v>7</v>
      </c>
      <c r="G679" s="84">
        <v>0</v>
      </c>
      <c r="H679" s="304">
        <v>5</v>
      </c>
      <c r="I679" s="188">
        <v>0</v>
      </c>
      <c r="J679" s="303" t="s">
        <v>2052</v>
      </c>
      <c r="K679" s="18" t="s">
        <v>2056</v>
      </c>
      <c r="L679" s="79" t="s">
        <v>2042</v>
      </c>
      <c r="M679" s="18">
        <v>3</v>
      </c>
      <c r="N679" s="59" t="s">
        <v>2078</v>
      </c>
      <c r="O679" s="17" t="s">
        <v>2051</v>
      </c>
      <c r="P679" s="18" t="s">
        <v>2047</v>
      </c>
      <c r="Q679" s="139" t="s">
        <v>2077</v>
      </c>
      <c r="R679" s="17"/>
      <c r="S679" s="139" t="s">
        <v>322</v>
      </c>
      <c r="T679" s="17" t="s">
        <v>594</v>
      </c>
      <c r="U679" s="17" t="s">
        <v>1177</v>
      </c>
      <c r="V679" s="17" t="str">
        <f>+CONCATENATE(E679,".",F679,"\",G679,".",H679,":",I679)</f>
        <v>2.7\0.5:0</v>
      </c>
      <c r="W679" s="17" t="s">
        <v>2044</v>
      </c>
      <c r="X679" s="272">
        <v>0</v>
      </c>
      <c r="Y679" s="17"/>
      <c r="Z679" s="20" t="s">
        <v>1159</v>
      </c>
      <c r="AA679" s="17"/>
      <c r="AB679" s="17">
        <v>0</v>
      </c>
      <c r="AC679" s="17">
        <v>200</v>
      </c>
      <c r="AD679" s="17">
        <v>0</v>
      </c>
      <c r="AE679" s="17">
        <v>200</v>
      </c>
      <c r="AF679" s="17" t="s">
        <v>2043</v>
      </c>
      <c r="AG679" s="64" t="s">
        <v>863</v>
      </c>
      <c r="AH679" s="64">
        <v>1</v>
      </c>
      <c r="AI679" s="64">
        <v>2</v>
      </c>
      <c r="AJ679" s="64">
        <v>3</v>
      </c>
      <c r="AK679" s="64"/>
      <c r="AL679" s="79"/>
      <c r="AM679" s="17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</row>
    <row r="680" spans="1:51" s="33" customFormat="1" ht="14.5" x14ac:dyDescent="0.35">
      <c r="A680" s="63" t="str">
        <f>A679</f>
        <v>BCV131</v>
      </c>
      <c r="B680" s="17" t="s">
        <v>2041</v>
      </c>
      <c r="C680" s="18" t="str">
        <f>+C679</f>
        <v>DIO1</v>
      </c>
      <c r="D680" s="18">
        <v>132</v>
      </c>
      <c r="E680" s="84">
        <f>+E679</f>
        <v>2</v>
      </c>
      <c r="F680" s="84">
        <f>+F679</f>
        <v>7</v>
      </c>
      <c r="G680" s="84">
        <v>0</v>
      </c>
      <c r="H680" s="186">
        <f>+H679</f>
        <v>5</v>
      </c>
      <c r="I680" s="187">
        <f>+I679+1</f>
        <v>1</v>
      </c>
      <c r="J680" s="303" t="s">
        <v>2052</v>
      </c>
      <c r="K680" s="18"/>
      <c r="L680" s="79" t="s">
        <v>2042</v>
      </c>
      <c r="M680" s="18">
        <v>3</v>
      </c>
      <c r="N680" s="59" t="s">
        <v>2076</v>
      </c>
      <c r="O680" s="17" t="s">
        <v>2048</v>
      </c>
      <c r="P680" s="18" t="s">
        <v>2047</v>
      </c>
      <c r="Q680" s="139" t="s">
        <v>2075</v>
      </c>
      <c r="R680" s="17"/>
      <c r="S680" s="139" t="s">
        <v>322</v>
      </c>
      <c r="T680" s="17" t="s">
        <v>594</v>
      </c>
      <c r="U680" s="17" t="s">
        <v>1177</v>
      </c>
      <c r="V680" s="17" t="str">
        <f>+CONCATENATE(E680,".",F680,"\",G680,".",H680,":",I680)</f>
        <v>2.7\0.5:1</v>
      </c>
      <c r="W680" s="17" t="s">
        <v>2044</v>
      </c>
      <c r="X680" s="272">
        <v>0</v>
      </c>
      <c r="Y680" s="17"/>
      <c r="Z680" s="20" t="s">
        <v>1159</v>
      </c>
      <c r="AA680" s="17"/>
      <c r="AB680" s="17">
        <v>0</v>
      </c>
      <c r="AC680" s="17">
        <v>200</v>
      </c>
      <c r="AD680" s="17">
        <v>0</v>
      </c>
      <c r="AE680" s="17">
        <v>200</v>
      </c>
      <c r="AF680" s="17" t="s">
        <v>2043</v>
      </c>
      <c r="AG680" s="64" t="s">
        <v>863</v>
      </c>
      <c r="AH680" s="64">
        <v>4</v>
      </c>
      <c r="AI680" s="64">
        <v>5</v>
      </c>
      <c r="AJ680" s="64">
        <v>6</v>
      </c>
      <c r="AK680" s="64"/>
      <c r="AL680" s="79"/>
      <c r="AM680" s="17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</row>
    <row r="681" spans="1:51" s="33" customFormat="1" ht="14.5" x14ac:dyDescent="0.35">
      <c r="A681" s="63" t="str">
        <f>A680</f>
        <v>BCV131</v>
      </c>
      <c r="B681" s="17" t="s">
        <v>2041</v>
      </c>
      <c r="C681" s="18" t="str">
        <f>+C680</f>
        <v>DIO1</v>
      </c>
      <c r="D681" s="18">
        <v>132</v>
      </c>
      <c r="E681" s="84">
        <f>+E680</f>
        <v>2</v>
      </c>
      <c r="F681" s="84">
        <f>+F680</f>
        <v>7</v>
      </c>
      <c r="G681" s="84">
        <v>0</v>
      </c>
      <c r="H681" s="186">
        <f>+H680</f>
        <v>5</v>
      </c>
      <c r="I681" s="187">
        <f>+I680+1</f>
        <v>2</v>
      </c>
      <c r="J681" s="303"/>
      <c r="K681" s="18"/>
      <c r="L681" s="79" t="s">
        <v>2042</v>
      </c>
      <c r="M681" s="18">
        <v>3</v>
      </c>
      <c r="N681" s="59" t="s">
        <v>2074</v>
      </c>
      <c r="O681" s="17" t="s">
        <v>2073</v>
      </c>
      <c r="P681" s="18" t="s">
        <v>2047</v>
      </c>
      <c r="Q681" s="139" t="s">
        <v>2072</v>
      </c>
      <c r="R681" s="17"/>
      <c r="S681" s="139" t="s">
        <v>322</v>
      </c>
      <c r="T681" s="17" t="s">
        <v>594</v>
      </c>
      <c r="U681" s="17" t="s">
        <v>1177</v>
      </c>
      <c r="V681" s="17" t="str">
        <f>+CONCATENATE(E681,".",F681,"\",G681,".",H681,":",I681)</f>
        <v>2.7\0.5:2</v>
      </c>
      <c r="W681" s="17" t="s">
        <v>2044</v>
      </c>
      <c r="X681" s="272">
        <v>0</v>
      </c>
      <c r="Y681" s="17"/>
      <c r="Z681" s="20" t="s">
        <v>1159</v>
      </c>
      <c r="AA681" s="17"/>
      <c r="AB681" s="17">
        <v>0</v>
      </c>
      <c r="AC681" s="17">
        <v>200</v>
      </c>
      <c r="AD681" s="17">
        <v>0</v>
      </c>
      <c r="AE681" s="17">
        <v>200</v>
      </c>
      <c r="AF681" s="17" t="s">
        <v>2043</v>
      </c>
      <c r="AG681" s="64" t="s">
        <v>863</v>
      </c>
      <c r="AH681" s="64">
        <v>7</v>
      </c>
      <c r="AI681" s="64">
        <v>8</v>
      </c>
      <c r="AJ681" s="64">
        <v>9</v>
      </c>
      <c r="AK681" s="64"/>
      <c r="AL681" s="79"/>
      <c r="AM681" s="17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</row>
    <row r="682" spans="1:51" s="33" customFormat="1" ht="14.5" x14ac:dyDescent="0.35">
      <c r="A682" s="63" t="str">
        <f>A681</f>
        <v>BCV131</v>
      </c>
      <c r="B682" s="17" t="s">
        <v>2041</v>
      </c>
      <c r="C682" s="18" t="str">
        <f>+C681</f>
        <v>DIO1</v>
      </c>
      <c r="D682" s="18">
        <v>132</v>
      </c>
      <c r="E682" s="84">
        <f>+E681</f>
        <v>2</v>
      </c>
      <c r="F682" s="84">
        <f>+F681</f>
        <v>7</v>
      </c>
      <c r="G682" s="84">
        <v>0</v>
      </c>
      <c r="H682" s="186">
        <f>+H681</f>
        <v>5</v>
      </c>
      <c r="I682" s="187">
        <f>+I681+1</f>
        <v>3</v>
      </c>
      <c r="J682" s="303"/>
      <c r="K682" s="17"/>
      <c r="L682" s="79" t="s">
        <v>2042</v>
      </c>
      <c r="M682" s="18">
        <v>3</v>
      </c>
      <c r="N682" s="59" t="s">
        <v>2071</v>
      </c>
      <c r="O682" s="17" t="s">
        <v>2070</v>
      </c>
      <c r="P682" s="18" t="s">
        <v>2047</v>
      </c>
      <c r="Q682" s="139" t="s">
        <v>2069</v>
      </c>
      <c r="R682" s="17"/>
      <c r="S682" s="139" t="s">
        <v>322</v>
      </c>
      <c r="T682" s="17" t="s">
        <v>594</v>
      </c>
      <c r="U682" s="17" t="s">
        <v>1177</v>
      </c>
      <c r="V682" s="17" t="str">
        <f>+CONCATENATE(E682,".",F682,"\",G682,".",H682,":",I682)</f>
        <v>2.7\0.5:3</v>
      </c>
      <c r="W682" s="17" t="s">
        <v>2044</v>
      </c>
      <c r="X682" s="272">
        <v>0</v>
      </c>
      <c r="Y682" s="17"/>
      <c r="Z682" s="20" t="s">
        <v>1159</v>
      </c>
      <c r="AA682" s="17"/>
      <c r="AB682" s="17">
        <v>0</v>
      </c>
      <c r="AC682" s="17">
        <v>200</v>
      </c>
      <c r="AD682" s="17">
        <v>0</v>
      </c>
      <c r="AE682" s="17">
        <v>200</v>
      </c>
      <c r="AF682" s="17" t="s">
        <v>2043</v>
      </c>
      <c r="AG682" s="64" t="s">
        <v>863</v>
      </c>
      <c r="AH682" s="64">
        <v>10</v>
      </c>
      <c r="AI682" s="64">
        <v>11</v>
      </c>
      <c r="AJ682" s="64">
        <v>12</v>
      </c>
      <c r="AK682" s="64"/>
      <c r="AL682" s="79"/>
      <c r="AM682" s="17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</row>
    <row r="683" spans="1:51" s="33" customFormat="1" ht="14.5" x14ac:dyDescent="0.35">
      <c r="A683" s="63" t="str">
        <f>A682</f>
        <v>BCV131</v>
      </c>
      <c r="B683" s="17" t="s">
        <v>2041</v>
      </c>
      <c r="C683" s="18" t="str">
        <f>+C682</f>
        <v>DIO1</v>
      </c>
      <c r="D683" s="18">
        <v>132</v>
      </c>
      <c r="E683" s="84">
        <f>+E682</f>
        <v>2</v>
      </c>
      <c r="F683" s="84">
        <f>+F682</f>
        <v>7</v>
      </c>
      <c r="G683" s="84">
        <v>0</v>
      </c>
      <c r="H683" s="186">
        <f>+H682</f>
        <v>5</v>
      </c>
      <c r="I683" s="187">
        <f>+I682+1</f>
        <v>4</v>
      </c>
      <c r="J683" s="303"/>
      <c r="K683" s="17"/>
      <c r="L683" s="79" t="s">
        <v>2042</v>
      </c>
      <c r="M683" s="18">
        <v>3</v>
      </c>
      <c r="N683" s="59" t="s">
        <v>2068</v>
      </c>
      <c r="O683" s="17" t="s">
        <v>2067</v>
      </c>
      <c r="P683" s="18" t="s">
        <v>2047</v>
      </c>
      <c r="Q683" s="139" t="s">
        <v>2066</v>
      </c>
      <c r="R683" s="68"/>
      <c r="S683" s="139" t="s">
        <v>322</v>
      </c>
      <c r="T683" s="17" t="s">
        <v>594</v>
      </c>
      <c r="U683" s="17" t="s">
        <v>1177</v>
      </c>
      <c r="V683" s="17" t="str">
        <f>+CONCATENATE(E683,".",F683,"\",G683,".",H683,":",I683)</f>
        <v>2.7\0.5:4</v>
      </c>
      <c r="W683" s="17" t="s">
        <v>2044</v>
      </c>
      <c r="X683" s="272">
        <v>0</v>
      </c>
      <c r="Y683" s="17"/>
      <c r="Z683" s="20" t="s">
        <v>1159</v>
      </c>
      <c r="AA683" s="17"/>
      <c r="AB683" s="17">
        <v>0</v>
      </c>
      <c r="AC683" s="17">
        <v>200</v>
      </c>
      <c r="AD683" s="17">
        <v>0</v>
      </c>
      <c r="AE683" s="17">
        <v>200</v>
      </c>
      <c r="AF683" s="17" t="s">
        <v>2043</v>
      </c>
      <c r="AG683" s="64" t="s">
        <v>863</v>
      </c>
      <c r="AH683" s="64">
        <v>13</v>
      </c>
      <c r="AI683" s="64">
        <v>14</v>
      </c>
      <c r="AJ683" s="64">
        <v>15</v>
      </c>
      <c r="AK683" s="64"/>
      <c r="AL683" s="79"/>
      <c r="AM683" s="17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</row>
    <row r="684" spans="1:51" s="33" customFormat="1" ht="14.5" x14ac:dyDescent="0.35">
      <c r="A684" s="63" t="str">
        <f>A683</f>
        <v>BCV131</v>
      </c>
      <c r="B684" s="17" t="s">
        <v>2041</v>
      </c>
      <c r="C684" s="18" t="str">
        <f>+C683</f>
        <v>DIO1</v>
      </c>
      <c r="D684" s="18">
        <v>132</v>
      </c>
      <c r="E684" s="84">
        <f>+E683</f>
        <v>2</v>
      </c>
      <c r="F684" s="84">
        <f>+F683</f>
        <v>7</v>
      </c>
      <c r="G684" s="84">
        <v>0</v>
      </c>
      <c r="H684" s="186">
        <f>+H683</f>
        <v>5</v>
      </c>
      <c r="I684" s="187">
        <f>+I683+1</f>
        <v>5</v>
      </c>
      <c r="J684" s="303"/>
      <c r="K684" s="18"/>
      <c r="L684" s="79" t="s">
        <v>2042</v>
      </c>
      <c r="M684" s="18">
        <v>3</v>
      </c>
      <c r="N684" s="59" t="s">
        <v>2065</v>
      </c>
      <c r="O684" s="17" t="s">
        <v>2064</v>
      </c>
      <c r="P684" s="18" t="s">
        <v>2047</v>
      </c>
      <c r="Q684" s="139" t="s">
        <v>2063</v>
      </c>
      <c r="R684" s="68"/>
      <c r="S684" s="139" t="s">
        <v>322</v>
      </c>
      <c r="T684" s="17" t="s">
        <v>594</v>
      </c>
      <c r="U684" s="17" t="s">
        <v>1177</v>
      </c>
      <c r="V684" s="17" t="str">
        <f>+CONCATENATE(E684,".",F684,"\",G684,".",H684,":",I684)</f>
        <v>2.7\0.5:5</v>
      </c>
      <c r="W684" s="17" t="s">
        <v>2044</v>
      </c>
      <c r="X684" s="272">
        <v>0</v>
      </c>
      <c r="Y684" s="17"/>
      <c r="Z684" s="20" t="s">
        <v>1159</v>
      </c>
      <c r="AA684" s="17"/>
      <c r="AB684" s="17">
        <v>0</v>
      </c>
      <c r="AC684" s="17">
        <v>200</v>
      </c>
      <c r="AD684" s="17">
        <v>0</v>
      </c>
      <c r="AE684" s="17">
        <v>200</v>
      </c>
      <c r="AF684" s="17" t="s">
        <v>2043</v>
      </c>
      <c r="AG684" s="64" t="s">
        <v>863</v>
      </c>
      <c r="AH684" s="64">
        <v>16</v>
      </c>
      <c r="AI684" s="64">
        <v>17</v>
      </c>
      <c r="AJ684" s="64">
        <v>18</v>
      </c>
      <c r="AK684" s="64"/>
      <c r="AL684" s="79"/>
      <c r="AM684" s="17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</row>
    <row r="685" spans="1:51" s="33" customFormat="1" ht="14.5" x14ac:dyDescent="0.35">
      <c r="A685" s="63" t="str">
        <f>A684</f>
        <v>BCV131</v>
      </c>
      <c r="B685" s="17" t="s">
        <v>2041</v>
      </c>
      <c r="C685" s="18" t="str">
        <f>+C684</f>
        <v>DIO1</v>
      </c>
      <c r="D685" s="18">
        <v>132</v>
      </c>
      <c r="E685" s="84">
        <f>+E684</f>
        <v>2</v>
      </c>
      <c r="F685" s="84">
        <f>+F684</f>
        <v>7</v>
      </c>
      <c r="G685" s="84">
        <v>0</v>
      </c>
      <c r="H685" s="186">
        <f>+H684</f>
        <v>5</v>
      </c>
      <c r="I685" s="187">
        <f>+I684+1</f>
        <v>6</v>
      </c>
      <c r="J685" s="303"/>
      <c r="K685" s="18"/>
      <c r="L685" s="79" t="s">
        <v>2042</v>
      </c>
      <c r="M685" s="18">
        <v>3</v>
      </c>
      <c r="N685" s="59" t="s">
        <v>2062</v>
      </c>
      <c r="O685" s="17" t="s">
        <v>2061</v>
      </c>
      <c r="P685" s="18" t="s">
        <v>2047</v>
      </c>
      <c r="Q685" s="139" t="s">
        <v>2060</v>
      </c>
      <c r="R685" s="17"/>
      <c r="S685" s="139" t="s">
        <v>322</v>
      </c>
      <c r="T685" s="17" t="s">
        <v>594</v>
      </c>
      <c r="U685" s="17" t="s">
        <v>1177</v>
      </c>
      <c r="V685" s="17" t="str">
        <f>+CONCATENATE(E685,".",F685,"\",G685,".",H685,":",I685)</f>
        <v>2.7\0.5:6</v>
      </c>
      <c r="W685" s="17" t="s">
        <v>2044</v>
      </c>
      <c r="X685" s="272">
        <v>0</v>
      </c>
      <c r="Y685" s="17"/>
      <c r="Z685" s="20" t="s">
        <v>1159</v>
      </c>
      <c r="AA685" s="17"/>
      <c r="AB685" s="17">
        <v>0</v>
      </c>
      <c r="AC685" s="17">
        <v>200</v>
      </c>
      <c r="AD685" s="17">
        <v>0</v>
      </c>
      <c r="AE685" s="17">
        <v>200</v>
      </c>
      <c r="AF685" s="17" t="s">
        <v>2043</v>
      </c>
      <c r="AG685" s="64" t="s">
        <v>863</v>
      </c>
      <c r="AH685" s="64">
        <v>19</v>
      </c>
      <c r="AI685" s="64">
        <v>20</v>
      </c>
      <c r="AJ685" s="64">
        <v>21</v>
      </c>
      <c r="AK685" s="64"/>
      <c r="AL685" s="79"/>
      <c r="AM685" s="17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</row>
    <row r="686" spans="1:51" s="33" customFormat="1" ht="15" thickBot="1" x14ac:dyDescent="0.4">
      <c r="A686" s="63" t="str">
        <f>A685</f>
        <v>BCV131</v>
      </c>
      <c r="B686" s="17" t="s">
        <v>2041</v>
      </c>
      <c r="C686" s="18" t="str">
        <f>+C685</f>
        <v>DIO1</v>
      </c>
      <c r="D686" s="18">
        <v>132</v>
      </c>
      <c r="E686" s="84">
        <f>+E685</f>
        <v>2</v>
      </c>
      <c r="F686" s="84">
        <f>+F685</f>
        <v>7</v>
      </c>
      <c r="G686" s="84">
        <v>0</v>
      </c>
      <c r="H686" s="186">
        <f>+H685</f>
        <v>5</v>
      </c>
      <c r="I686" s="191">
        <f>+I685+1</f>
        <v>7</v>
      </c>
      <c r="J686" s="302"/>
      <c r="K686" s="18"/>
      <c r="L686" s="79" t="s">
        <v>2042</v>
      </c>
      <c r="M686" s="18">
        <v>3</v>
      </c>
      <c r="N686" s="59" t="s">
        <v>2059</v>
      </c>
      <c r="O686" s="17" t="s">
        <v>2058</v>
      </c>
      <c r="P686" s="18" t="s">
        <v>2047</v>
      </c>
      <c r="Q686" s="139" t="s">
        <v>2057</v>
      </c>
      <c r="R686" s="17"/>
      <c r="S686" s="139" t="s">
        <v>322</v>
      </c>
      <c r="T686" s="17" t="s">
        <v>594</v>
      </c>
      <c r="U686" s="17" t="s">
        <v>1177</v>
      </c>
      <c r="V686" s="17" t="str">
        <f>+CONCATENATE(E686,".",F686,"\",G686,".",H686,":",I686)</f>
        <v>2.7\0.5:7</v>
      </c>
      <c r="W686" s="17" t="s">
        <v>2044</v>
      </c>
      <c r="X686" s="272">
        <v>0</v>
      </c>
      <c r="Y686" s="17"/>
      <c r="Z686" s="20" t="s">
        <v>1159</v>
      </c>
      <c r="AA686" s="17"/>
      <c r="AB686" s="17">
        <v>0</v>
      </c>
      <c r="AC686" s="17">
        <v>200</v>
      </c>
      <c r="AD686" s="17">
        <v>0</v>
      </c>
      <c r="AE686" s="17">
        <v>200</v>
      </c>
      <c r="AF686" s="17" t="s">
        <v>2043</v>
      </c>
      <c r="AG686" s="64" t="s">
        <v>863</v>
      </c>
      <c r="AH686" s="64">
        <v>22</v>
      </c>
      <c r="AI686" s="64">
        <v>23</v>
      </c>
      <c r="AJ686" s="64">
        <v>24</v>
      </c>
      <c r="AK686" s="64"/>
      <c r="AL686" s="79"/>
      <c r="AM686" s="17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</row>
    <row r="687" spans="1:51" s="33" customFormat="1" ht="14.5" x14ac:dyDescent="0.35">
      <c r="A687" s="268" t="s">
        <v>194</v>
      </c>
      <c r="B687" s="17" t="s">
        <v>2041</v>
      </c>
      <c r="C687" s="18" t="str">
        <f>+C686</f>
        <v>DIO1</v>
      </c>
      <c r="D687" s="18">
        <v>132</v>
      </c>
      <c r="E687" s="84">
        <f>+E686</f>
        <v>2</v>
      </c>
      <c r="F687" s="84">
        <f>+F686</f>
        <v>7</v>
      </c>
      <c r="G687" s="84">
        <v>0</v>
      </c>
      <c r="H687" s="304">
        <v>6</v>
      </c>
      <c r="I687" s="188">
        <v>0</v>
      </c>
      <c r="J687" s="303" t="s">
        <v>2052</v>
      </c>
      <c r="K687" s="18" t="s">
        <v>2056</v>
      </c>
      <c r="L687" s="79" t="s">
        <v>2042</v>
      </c>
      <c r="M687" s="18">
        <v>3</v>
      </c>
      <c r="N687" s="59" t="s">
        <v>2055</v>
      </c>
      <c r="O687" s="17" t="s">
        <v>2054</v>
      </c>
      <c r="P687" s="18" t="s">
        <v>2047</v>
      </c>
      <c r="Q687" s="139" t="s">
        <v>2053</v>
      </c>
      <c r="R687" s="17"/>
      <c r="S687" s="139" t="s">
        <v>322</v>
      </c>
      <c r="T687" s="17" t="s">
        <v>594</v>
      </c>
      <c r="U687" s="17" t="s">
        <v>1177</v>
      </c>
      <c r="V687" s="17" t="str">
        <f>+CONCATENATE(E687,".",F687,"\",G687,".",H687,":",I687)</f>
        <v>2.7\0.6:0</v>
      </c>
      <c r="W687" s="17" t="s">
        <v>2044</v>
      </c>
      <c r="X687" s="272">
        <v>0</v>
      </c>
      <c r="Y687" s="17"/>
      <c r="Z687" s="20" t="s">
        <v>1159</v>
      </c>
      <c r="AA687" s="17"/>
      <c r="AB687" s="17">
        <v>0</v>
      </c>
      <c r="AC687" s="17">
        <v>200</v>
      </c>
      <c r="AD687" s="17">
        <v>0</v>
      </c>
      <c r="AE687" s="17">
        <v>200</v>
      </c>
      <c r="AF687" s="17" t="s">
        <v>2043</v>
      </c>
      <c r="AG687" s="64" t="s">
        <v>863</v>
      </c>
      <c r="AH687" s="64">
        <v>25</v>
      </c>
      <c r="AI687" s="64">
        <v>26</v>
      </c>
      <c r="AJ687" s="64">
        <v>27</v>
      </c>
      <c r="AK687" s="64"/>
      <c r="AL687" s="79"/>
      <c r="AM687" s="17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</row>
    <row r="688" spans="1:51" s="33" customFormat="1" x14ac:dyDescent="0.3">
      <c r="A688" s="63" t="str">
        <f>A687</f>
        <v>BCV131</v>
      </c>
      <c r="B688" s="17" t="s">
        <v>2041</v>
      </c>
      <c r="C688" s="18" t="str">
        <f>+C687</f>
        <v>DIO1</v>
      </c>
      <c r="D688" s="18">
        <v>132</v>
      </c>
      <c r="E688" s="84">
        <f>+E687</f>
        <v>2</v>
      </c>
      <c r="F688" s="84">
        <f>+F687</f>
        <v>7</v>
      </c>
      <c r="G688" s="84">
        <v>0</v>
      </c>
      <c r="H688" s="186">
        <f>+H687</f>
        <v>6</v>
      </c>
      <c r="I688" s="187">
        <f>+I687+1</f>
        <v>1</v>
      </c>
      <c r="J688" s="303" t="s">
        <v>2052</v>
      </c>
      <c r="K688" s="18"/>
      <c r="L688" s="79" t="s">
        <v>2042</v>
      </c>
      <c r="M688" s="18">
        <v>3</v>
      </c>
      <c r="N688" s="18" t="s">
        <v>2049</v>
      </c>
      <c r="O688" s="17" t="s">
        <v>2051</v>
      </c>
      <c r="P688" s="18" t="s">
        <v>2047</v>
      </c>
      <c r="Q688" s="139" t="s">
        <v>2050</v>
      </c>
      <c r="R688" s="17"/>
      <c r="S688" s="139" t="s">
        <v>322</v>
      </c>
      <c r="T688" s="17" t="s">
        <v>2049</v>
      </c>
      <c r="U688" s="17" t="s">
        <v>1177</v>
      </c>
      <c r="V688" s="17" t="str">
        <f>+CONCATENATE(E688,".",F688,"\",G688,".",H688,":",I688)</f>
        <v>2.7\0.6:1</v>
      </c>
      <c r="W688" s="17" t="s">
        <v>2044</v>
      </c>
      <c r="X688" s="272">
        <v>0</v>
      </c>
      <c r="Y688" s="17"/>
      <c r="Z688" s="20" t="s">
        <v>1159</v>
      </c>
      <c r="AA688" s="17"/>
      <c r="AB688" s="17">
        <v>0</v>
      </c>
      <c r="AC688" s="17">
        <v>200</v>
      </c>
      <c r="AD688" s="17">
        <v>0</v>
      </c>
      <c r="AE688" s="17">
        <v>200</v>
      </c>
      <c r="AF688" s="17" t="s">
        <v>2043</v>
      </c>
      <c r="AG688" s="64" t="s">
        <v>863</v>
      </c>
      <c r="AH688" s="64">
        <v>28</v>
      </c>
      <c r="AI688" s="64">
        <v>29</v>
      </c>
      <c r="AJ688" s="64">
        <v>30</v>
      </c>
      <c r="AK688" s="64"/>
      <c r="AL688" s="79"/>
      <c r="AM688" s="17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</row>
    <row r="689" spans="1:51" s="33" customFormat="1" x14ac:dyDescent="0.3">
      <c r="A689" s="63" t="str">
        <f>A688</f>
        <v>BCV131</v>
      </c>
      <c r="B689" s="17" t="s">
        <v>2041</v>
      </c>
      <c r="C689" s="18" t="str">
        <f>+C688</f>
        <v>DIO1</v>
      </c>
      <c r="D689" s="18">
        <v>132</v>
      </c>
      <c r="E689" s="84">
        <f>+E688</f>
        <v>2</v>
      </c>
      <c r="F689" s="84">
        <f>+F688</f>
        <v>7</v>
      </c>
      <c r="G689" s="84">
        <v>0</v>
      </c>
      <c r="H689" s="186">
        <f>+H688</f>
        <v>6</v>
      </c>
      <c r="I689" s="187">
        <f>+I688+1</f>
        <v>2</v>
      </c>
      <c r="J689" s="303"/>
      <c r="K689" s="18"/>
      <c r="L689" s="79" t="s">
        <v>2042</v>
      </c>
      <c r="M689" s="18">
        <v>3</v>
      </c>
      <c r="N689" s="18" t="s">
        <v>2045</v>
      </c>
      <c r="O689" s="17" t="s">
        <v>2048</v>
      </c>
      <c r="P689" s="18" t="s">
        <v>2047</v>
      </c>
      <c r="Q689" s="139" t="s">
        <v>2046</v>
      </c>
      <c r="R689" s="17"/>
      <c r="S689" s="139" t="s">
        <v>322</v>
      </c>
      <c r="T689" s="17" t="s">
        <v>2045</v>
      </c>
      <c r="U689" s="17" t="s">
        <v>1177</v>
      </c>
      <c r="V689" s="17" t="str">
        <f>+CONCATENATE(E689,".",F689,"\",G689,".",H689,":",I689)</f>
        <v>2.7\0.6:2</v>
      </c>
      <c r="W689" s="17" t="s">
        <v>2044</v>
      </c>
      <c r="X689" s="272">
        <v>0</v>
      </c>
      <c r="Y689" s="17"/>
      <c r="Z689" s="20" t="s">
        <v>1159</v>
      </c>
      <c r="AA689" s="17"/>
      <c r="AB689" s="17">
        <v>0</v>
      </c>
      <c r="AC689" s="17">
        <v>200</v>
      </c>
      <c r="AD689" s="17">
        <v>0</v>
      </c>
      <c r="AE689" s="17">
        <v>200</v>
      </c>
      <c r="AF689" s="17" t="s">
        <v>2043</v>
      </c>
      <c r="AG689" s="64" t="s">
        <v>863</v>
      </c>
      <c r="AH689" s="64">
        <v>31</v>
      </c>
      <c r="AI689" s="64">
        <v>32</v>
      </c>
      <c r="AJ689" s="64">
        <v>33</v>
      </c>
      <c r="AK689" s="64"/>
      <c r="AL689" s="79"/>
      <c r="AM689" s="17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</row>
    <row r="690" spans="1:51" s="33" customFormat="1" x14ac:dyDescent="0.3">
      <c r="A690" s="63" t="str">
        <f>A689</f>
        <v>BCV131</v>
      </c>
      <c r="B690" s="17" t="s">
        <v>2041</v>
      </c>
      <c r="C690" s="18" t="str">
        <f>+C689</f>
        <v>DIO1</v>
      </c>
      <c r="D690" s="18">
        <v>132</v>
      </c>
      <c r="E690" s="84">
        <f>+E689</f>
        <v>2</v>
      </c>
      <c r="F690" s="84">
        <f>+F689</f>
        <v>7</v>
      </c>
      <c r="G690" s="84">
        <v>0</v>
      </c>
      <c r="H690" s="186">
        <f>+H689</f>
        <v>6</v>
      </c>
      <c r="I690" s="187">
        <f>+I689+1</f>
        <v>3</v>
      </c>
      <c r="J690" s="303"/>
      <c r="K690" s="17"/>
      <c r="L690" s="79" t="s">
        <v>2042</v>
      </c>
      <c r="M690" s="18"/>
      <c r="N690" s="18"/>
      <c r="O690" s="17"/>
      <c r="P690" s="18"/>
      <c r="Q690" s="139" t="s">
        <v>127</v>
      </c>
      <c r="R690" s="17"/>
      <c r="S690" s="139"/>
      <c r="T690" s="17"/>
      <c r="U690" s="17"/>
      <c r="V690" s="17" t="str">
        <f>+CONCATENATE(E690,".",F690,"\",G690,".",H690,":",I690)</f>
        <v>2.7\0.6:3</v>
      </c>
      <c r="W690" s="17"/>
      <c r="X690" s="17"/>
      <c r="Y690" s="17"/>
      <c r="Z690" s="20"/>
      <c r="AA690" s="17"/>
      <c r="AB690" s="17"/>
      <c r="AC690" s="17"/>
      <c r="AD690" s="17"/>
      <c r="AE690" s="17"/>
      <c r="AF690" s="17"/>
      <c r="AG690" s="64" t="s">
        <v>863</v>
      </c>
      <c r="AH690" s="64">
        <v>34</v>
      </c>
      <c r="AI690" s="64">
        <v>35</v>
      </c>
      <c r="AJ690" s="64">
        <v>36</v>
      </c>
      <c r="AK690" s="64"/>
      <c r="AL690" s="79"/>
      <c r="AM690" s="17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</row>
    <row r="691" spans="1:51" s="33" customFormat="1" x14ac:dyDescent="0.3">
      <c r="A691" s="63" t="str">
        <f>A690</f>
        <v>BCV131</v>
      </c>
      <c r="B691" s="17" t="s">
        <v>2041</v>
      </c>
      <c r="C691" s="18" t="str">
        <f>+C690</f>
        <v>DIO1</v>
      </c>
      <c r="D691" s="18">
        <v>132</v>
      </c>
      <c r="E691" s="84">
        <f>+E690</f>
        <v>2</v>
      </c>
      <c r="F691" s="84">
        <f>+F690</f>
        <v>7</v>
      </c>
      <c r="G691" s="84">
        <v>0</v>
      </c>
      <c r="H691" s="186">
        <f>+H690</f>
        <v>6</v>
      </c>
      <c r="I691" s="187">
        <f>+I690+1</f>
        <v>4</v>
      </c>
      <c r="J691" s="303"/>
      <c r="K691" s="17"/>
      <c r="L691" s="79" t="s">
        <v>2042</v>
      </c>
      <c r="M691" s="18"/>
      <c r="N691" s="18"/>
      <c r="O691" s="17"/>
      <c r="P691" s="18"/>
      <c r="Q691" s="139" t="s">
        <v>127</v>
      </c>
      <c r="R691" s="68"/>
      <c r="S691" s="139"/>
      <c r="T691" s="17"/>
      <c r="U691" s="17"/>
      <c r="V691" s="17" t="str">
        <f>+CONCATENATE(E691,".",F691,"\",G691,".",H691,":",I691)</f>
        <v>2.7\0.6:4</v>
      </c>
      <c r="W691" s="17"/>
      <c r="X691" s="17"/>
      <c r="Y691" s="17"/>
      <c r="Z691" s="20"/>
      <c r="AA691" s="17"/>
      <c r="AB691" s="17"/>
      <c r="AC691" s="17"/>
      <c r="AD691" s="17"/>
      <c r="AE691" s="17"/>
      <c r="AF691" s="17"/>
      <c r="AG691" s="64" t="s">
        <v>863</v>
      </c>
      <c r="AH691" s="64">
        <v>37</v>
      </c>
      <c r="AI691" s="64">
        <v>38</v>
      </c>
      <c r="AJ691" s="64">
        <v>39</v>
      </c>
      <c r="AK691" s="64"/>
      <c r="AL691" s="79"/>
      <c r="AM691" s="17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</row>
    <row r="692" spans="1:51" s="33" customFormat="1" x14ac:dyDescent="0.3">
      <c r="A692" s="63" t="str">
        <f>A691</f>
        <v>BCV131</v>
      </c>
      <c r="B692" s="17" t="s">
        <v>2041</v>
      </c>
      <c r="C692" s="18" t="str">
        <f>+C691</f>
        <v>DIO1</v>
      </c>
      <c r="D692" s="18">
        <v>132</v>
      </c>
      <c r="E692" s="84">
        <f>+E691</f>
        <v>2</v>
      </c>
      <c r="F692" s="84">
        <f>+F691</f>
        <v>7</v>
      </c>
      <c r="G692" s="84">
        <v>0</v>
      </c>
      <c r="H692" s="186">
        <f>+H691</f>
        <v>6</v>
      </c>
      <c r="I692" s="187">
        <f>+I691+1</f>
        <v>5</v>
      </c>
      <c r="J692" s="303"/>
      <c r="K692" s="18"/>
      <c r="L692" s="79" t="s">
        <v>2042</v>
      </c>
      <c r="M692" s="18"/>
      <c r="N692" s="18"/>
      <c r="O692" s="17"/>
      <c r="P692" s="17"/>
      <c r="Q692" s="139" t="s">
        <v>127</v>
      </c>
      <c r="R692" s="68"/>
      <c r="S692" s="139"/>
      <c r="T692" s="17"/>
      <c r="U692" s="17"/>
      <c r="V692" s="17" t="str">
        <f>+CONCATENATE(E692,".",F692,"\",G692,".",H692,":",I692)</f>
        <v>2.7\0.6:5</v>
      </c>
      <c r="W692" s="17"/>
      <c r="X692" s="17"/>
      <c r="Y692" s="17"/>
      <c r="Z692" s="20"/>
      <c r="AA692" s="17"/>
      <c r="AB692" s="17"/>
      <c r="AC692" s="17"/>
      <c r="AD692" s="17"/>
      <c r="AE692" s="17"/>
      <c r="AF692" s="17"/>
      <c r="AG692" s="64" t="s">
        <v>863</v>
      </c>
      <c r="AH692" s="64">
        <v>40</v>
      </c>
      <c r="AI692" s="64">
        <v>41</v>
      </c>
      <c r="AJ692" s="64">
        <v>42</v>
      </c>
      <c r="AK692" s="64"/>
      <c r="AL692" s="79"/>
      <c r="AM692" s="17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</row>
    <row r="693" spans="1:51" s="33" customFormat="1" x14ac:dyDescent="0.3">
      <c r="A693" s="63" t="str">
        <f>A692</f>
        <v>BCV131</v>
      </c>
      <c r="B693" s="17" t="s">
        <v>2041</v>
      </c>
      <c r="C693" s="18" t="str">
        <f>+C692</f>
        <v>DIO1</v>
      </c>
      <c r="D693" s="18">
        <v>132</v>
      </c>
      <c r="E693" s="84">
        <f>+E692</f>
        <v>2</v>
      </c>
      <c r="F693" s="84">
        <f>+F692</f>
        <v>7</v>
      </c>
      <c r="G693" s="84">
        <v>0</v>
      </c>
      <c r="H693" s="186">
        <f>+H692</f>
        <v>6</v>
      </c>
      <c r="I693" s="187">
        <f>+I692+1</f>
        <v>6</v>
      </c>
      <c r="J693" s="303"/>
      <c r="K693" s="18"/>
      <c r="L693" s="79" t="s">
        <v>2042</v>
      </c>
      <c r="M693" s="18"/>
      <c r="N693" s="18"/>
      <c r="O693" s="17"/>
      <c r="P693" s="17"/>
      <c r="Q693" s="139" t="s">
        <v>127</v>
      </c>
      <c r="R693" s="17"/>
      <c r="S693" s="139"/>
      <c r="T693" s="17"/>
      <c r="U693" s="17"/>
      <c r="V693" s="17" t="str">
        <f>+CONCATENATE(E693,".",F693,"\",G693,".",H693,":",I693)</f>
        <v>2.7\0.6:6</v>
      </c>
      <c r="W693" s="17"/>
      <c r="X693" s="17"/>
      <c r="Y693" s="17"/>
      <c r="Z693" s="20"/>
      <c r="AA693" s="17"/>
      <c r="AB693" s="17"/>
      <c r="AC693" s="17"/>
      <c r="AD693" s="17"/>
      <c r="AE693" s="17"/>
      <c r="AF693" s="17"/>
      <c r="AG693" s="64" t="s">
        <v>863</v>
      </c>
      <c r="AH693" s="64">
        <v>43</v>
      </c>
      <c r="AI693" s="64">
        <v>44</v>
      </c>
      <c r="AJ693" s="64">
        <v>45</v>
      </c>
      <c r="AK693" s="64"/>
      <c r="AL693" s="79"/>
      <c r="AM693" s="17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</row>
    <row r="694" spans="1:51" s="33" customFormat="1" ht="13.5" thickBot="1" x14ac:dyDescent="0.35">
      <c r="A694" s="63" t="str">
        <f>A693</f>
        <v>BCV131</v>
      </c>
      <c r="B694" s="17" t="s">
        <v>2041</v>
      </c>
      <c r="C694" s="18" t="str">
        <f>+C693</f>
        <v>DIO1</v>
      </c>
      <c r="D694" s="18">
        <v>132</v>
      </c>
      <c r="E694" s="84">
        <f>+E693</f>
        <v>2</v>
      </c>
      <c r="F694" s="84">
        <f>+F693</f>
        <v>7</v>
      </c>
      <c r="G694" s="84">
        <v>0</v>
      </c>
      <c r="H694" s="186">
        <f>+H693</f>
        <v>6</v>
      </c>
      <c r="I694" s="191">
        <f>+I693+1</f>
        <v>7</v>
      </c>
      <c r="J694" s="302"/>
      <c r="K694" s="18"/>
      <c r="L694" s="79" t="s">
        <v>2042</v>
      </c>
      <c r="M694" s="18"/>
      <c r="N694" s="18"/>
      <c r="O694" s="17"/>
      <c r="P694" s="17"/>
      <c r="Q694" s="139" t="s">
        <v>127</v>
      </c>
      <c r="R694" s="17"/>
      <c r="S694" s="139"/>
      <c r="T694" s="17"/>
      <c r="U694" s="17"/>
      <c r="V694" s="17" t="str">
        <f>+CONCATENATE(E694,".",F694,"\",G694,".",H694,":",I694)</f>
        <v>2.7\0.6:7</v>
      </c>
      <c r="W694" s="17"/>
      <c r="X694" s="17"/>
      <c r="Y694" s="17"/>
      <c r="Z694" s="20"/>
      <c r="AA694" s="17"/>
      <c r="AB694" s="17"/>
      <c r="AC694" s="17"/>
      <c r="AD694" s="17"/>
      <c r="AE694" s="17"/>
      <c r="AF694" s="17"/>
      <c r="AG694" s="64" t="s">
        <v>863</v>
      </c>
      <c r="AH694" s="64">
        <v>46</v>
      </c>
      <c r="AI694" s="64">
        <v>47</v>
      </c>
      <c r="AJ694" s="64">
        <v>48</v>
      </c>
      <c r="AK694" s="64"/>
      <c r="AL694" s="79"/>
      <c r="AM694" s="17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</row>
    <row r="695" spans="1:51" s="33" customFormat="1" x14ac:dyDescent="0.3">
      <c r="A695" s="268" t="s">
        <v>194</v>
      </c>
      <c r="B695" s="17" t="s">
        <v>2041</v>
      </c>
      <c r="C695" s="18" t="str">
        <f>+C694</f>
        <v>DIO1</v>
      </c>
      <c r="D695" s="18">
        <v>132</v>
      </c>
      <c r="E695" s="84">
        <f>+E694</f>
        <v>2</v>
      </c>
      <c r="F695" s="84">
        <f>+F694</f>
        <v>7</v>
      </c>
      <c r="G695" s="84">
        <v>0</v>
      </c>
      <c r="H695" s="214">
        <v>7</v>
      </c>
      <c r="I695" s="188"/>
      <c r="J695" s="267"/>
      <c r="K695" s="68" t="s">
        <v>698</v>
      </c>
      <c r="L695" s="17"/>
      <c r="M695" s="18">
        <v>0</v>
      </c>
      <c r="N695" s="18"/>
      <c r="O695" s="17"/>
      <c r="P695" s="17"/>
      <c r="Q695" s="17"/>
      <c r="R695" s="17"/>
      <c r="S695" s="17"/>
      <c r="T695" s="17"/>
      <c r="U695" s="17"/>
      <c r="V695" s="17" t="str">
        <f>+CONCATENATE(E695,".",F695,"\",G695,".",H695,":",I695)</f>
        <v>2.7\0.7:</v>
      </c>
      <c r="W695" s="17"/>
      <c r="X695" s="17"/>
      <c r="Y695" s="17"/>
      <c r="Z695" s="17"/>
      <c r="AA695" s="17"/>
      <c r="AB695" s="20"/>
      <c r="AC695" s="17"/>
      <c r="AD695" s="17"/>
      <c r="AE695" s="17"/>
      <c r="AF695" s="17"/>
      <c r="AG695" s="64"/>
      <c r="AH695" s="64"/>
      <c r="AI695" s="64"/>
      <c r="AJ695" s="64"/>
      <c r="AK695" s="64"/>
      <c r="AL695" s="264"/>
      <c r="AM695" s="84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</row>
    <row r="696" spans="1:51" s="33" customFormat="1" x14ac:dyDescent="0.3">
      <c r="A696" s="63" t="str">
        <f>A695</f>
        <v>BCV131</v>
      </c>
      <c r="B696" s="17" t="s">
        <v>2041</v>
      </c>
      <c r="C696" s="18" t="str">
        <f>+C695</f>
        <v>DIO1</v>
      </c>
      <c r="D696" s="18">
        <v>132</v>
      </c>
      <c r="E696" s="84">
        <f>+E695</f>
        <v>2</v>
      </c>
      <c r="F696" s="84">
        <f>+F695</f>
        <v>7</v>
      </c>
      <c r="G696" s="84">
        <v>0</v>
      </c>
      <c r="H696" s="186">
        <f>+H695</f>
        <v>7</v>
      </c>
      <c r="I696" s="187"/>
      <c r="J696" s="266"/>
      <c r="K696" s="18"/>
      <c r="L696" s="17"/>
      <c r="M696" s="18">
        <v>0</v>
      </c>
      <c r="N696" s="18"/>
      <c r="O696" s="17"/>
      <c r="P696" s="17"/>
      <c r="Q696" s="17"/>
      <c r="R696" s="17"/>
      <c r="S696" s="17"/>
      <c r="T696" s="17"/>
      <c r="U696" s="17"/>
      <c r="V696" s="17" t="str">
        <f>+CONCATENATE(E696,".",F696,"\",G696,".",H696,":",I696)</f>
        <v>2.7\0.7:</v>
      </c>
      <c r="W696" s="17"/>
      <c r="X696" s="17"/>
      <c r="Y696" s="17"/>
      <c r="Z696" s="17"/>
      <c r="AA696" s="17"/>
      <c r="AB696" s="20"/>
      <c r="AC696" s="17"/>
      <c r="AD696" s="17"/>
      <c r="AE696" s="17"/>
      <c r="AF696" s="17"/>
      <c r="AG696" s="64"/>
      <c r="AH696" s="64"/>
      <c r="AI696" s="64"/>
      <c r="AJ696" s="64"/>
      <c r="AK696" s="64"/>
      <c r="AL696" s="264"/>
      <c r="AM696" s="84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</row>
    <row r="697" spans="1:51" s="33" customFormat="1" x14ac:dyDescent="0.3">
      <c r="A697" s="63" t="str">
        <f>A696</f>
        <v>BCV131</v>
      </c>
      <c r="B697" s="17" t="s">
        <v>2041</v>
      </c>
      <c r="C697" s="18" t="str">
        <f>+C696</f>
        <v>DIO1</v>
      </c>
      <c r="D697" s="18">
        <v>132</v>
      </c>
      <c r="E697" s="84">
        <f>+E696</f>
        <v>2</v>
      </c>
      <c r="F697" s="84">
        <f>+F696</f>
        <v>7</v>
      </c>
      <c r="G697" s="84">
        <v>0</v>
      </c>
      <c r="H697" s="186">
        <f>+H696</f>
        <v>7</v>
      </c>
      <c r="I697" s="187"/>
      <c r="J697" s="266"/>
      <c r="K697" s="18"/>
      <c r="L697" s="17"/>
      <c r="M697" s="18">
        <v>0</v>
      </c>
      <c r="N697" s="18"/>
      <c r="O697" s="17"/>
      <c r="P697" s="17"/>
      <c r="Q697" s="17"/>
      <c r="R697" s="17"/>
      <c r="S697" s="17"/>
      <c r="T697" s="17"/>
      <c r="U697" s="17"/>
      <c r="V697" s="17" t="str">
        <f>+CONCATENATE(E697,".",F697,"\",G697,".",H697,":",I697)</f>
        <v>2.7\0.7:</v>
      </c>
      <c r="W697" s="17"/>
      <c r="X697" s="17"/>
      <c r="Y697" s="17"/>
      <c r="Z697" s="17"/>
      <c r="AA697" s="17"/>
      <c r="AB697" s="20"/>
      <c r="AC697" s="17"/>
      <c r="AD697" s="17"/>
      <c r="AE697" s="17"/>
      <c r="AF697" s="17"/>
      <c r="AG697" s="64"/>
      <c r="AH697" s="64"/>
      <c r="AI697" s="64"/>
      <c r="AJ697" s="64"/>
      <c r="AK697" s="64"/>
      <c r="AL697" s="264"/>
      <c r="AM697" s="84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</row>
    <row r="698" spans="1:51" s="33" customFormat="1" ht="13.5" thickBot="1" x14ac:dyDescent="0.35">
      <c r="A698" s="63" t="str">
        <f>A697</f>
        <v>BCV131</v>
      </c>
      <c r="B698" s="17" t="s">
        <v>2041</v>
      </c>
      <c r="C698" s="18" t="str">
        <f>+C697</f>
        <v>DIO1</v>
      </c>
      <c r="D698" s="18">
        <v>132</v>
      </c>
      <c r="E698" s="84">
        <f>+E697</f>
        <v>2</v>
      </c>
      <c r="F698" s="84">
        <f>+F697</f>
        <v>7</v>
      </c>
      <c r="G698" s="84">
        <v>0</v>
      </c>
      <c r="H698" s="186">
        <f>+H697</f>
        <v>7</v>
      </c>
      <c r="I698" s="191"/>
      <c r="J698" s="265"/>
      <c r="K698" s="18"/>
      <c r="L698" s="17"/>
      <c r="M698" s="18">
        <v>0</v>
      </c>
      <c r="N698" s="18"/>
      <c r="O698" s="17"/>
      <c r="P698" s="17"/>
      <c r="Q698" s="17"/>
      <c r="R698" s="17"/>
      <c r="S698" s="17"/>
      <c r="T698" s="17"/>
      <c r="U698" s="17"/>
      <c r="V698" s="17" t="str">
        <f>+CONCATENATE(E698,".",F698,"\",G698,".",H698,":",I698)</f>
        <v>2.7\0.7:</v>
      </c>
      <c r="W698" s="17"/>
      <c r="X698" s="17"/>
      <c r="Y698" s="17"/>
      <c r="Z698" s="17"/>
      <c r="AA698" s="17"/>
      <c r="AB698" s="20"/>
      <c r="AC698" s="17"/>
      <c r="AD698" s="17"/>
      <c r="AE698" s="17"/>
      <c r="AF698" s="17"/>
      <c r="AG698" s="64"/>
      <c r="AH698" s="64"/>
      <c r="AI698" s="64"/>
      <c r="AJ698" s="64"/>
      <c r="AK698" s="64"/>
      <c r="AL698" s="264"/>
      <c r="AM698" s="84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</row>
    <row r="699" spans="1:51" s="33" customFormat="1" x14ac:dyDescent="0.3">
      <c r="A699" s="268" t="s">
        <v>194</v>
      </c>
      <c r="B699" s="17" t="s">
        <v>2041</v>
      </c>
      <c r="C699" s="18" t="str">
        <f>+C698</f>
        <v>DIO1</v>
      </c>
      <c r="D699" s="18">
        <v>132</v>
      </c>
      <c r="E699" s="84">
        <f>+E698</f>
        <v>2</v>
      </c>
      <c r="F699" s="84">
        <f>+F698</f>
        <v>7</v>
      </c>
      <c r="G699" s="84">
        <v>0</v>
      </c>
      <c r="H699" s="214">
        <v>8</v>
      </c>
      <c r="I699" s="188"/>
      <c r="J699" s="267"/>
      <c r="K699" s="68" t="s">
        <v>698</v>
      </c>
      <c r="L699" s="17"/>
      <c r="M699" s="18">
        <v>0</v>
      </c>
      <c r="N699" s="18"/>
      <c r="O699" s="17"/>
      <c r="P699" s="17"/>
      <c r="Q699" s="17"/>
      <c r="R699" s="17"/>
      <c r="S699" s="17"/>
      <c r="T699" s="17"/>
      <c r="U699" s="17"/>
      <c r="V699" s="17" t="str">
        <f>+CONCATENATE(E699,".",F699,"\",G699,".",H699,":",I699)</f>
        <v>2.7\0.8:</v>
      </c>
      <c r="W699" s="17"/>
      <c r="X699" s="17"/>
      <c r="Y699" s="17"/>
      <c r="Z699" s="17"/>
      <c r="AA699" s="17"/>
      <c r="AB699" s="20"/>
      <c r="AC699" s="17"/>
      <c r="AD699" s="17"/>
      <c r="AE699" s="17"/>
      <c r="AF699" s="17"/>
      <c r="AG699" s="64"/>
      <c r="AH699" s="64"/>
      <c r="AI699" s="64"/>
      <c r="AJ699" s="64"/>
      <c r="AK699" s="64"/>
      <c r="AL699" s="264"/>
      <c r="AM699" s="84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</row>
    <row r="700" spans="1:51" s="33" customFormat="1" x14ac:dyDescent="0.3">
      <c r="A700" s="63" t="str">
        <f>A699</f>
        <v>BCV131</v>
      </c>
      <c r="B700" s="17" t="s">
        <v>2041</v>
      </c>
      <c r="C700" s="18" t="str">
        <f>+C699</f>
        <v>DIO1</v>
      </c>
      <c r="D700" s="18">
        <v>132</v>
      </c>
      <c r="E700" s="84">
        <f>+E699</f>
        <v>2</v>
      </c>
      <c r="F700" s="84">
        <f>+F699</f>
        <v>7</v>
      </c>
      <c r="G700" s="84">
        <v>0</v>
      </c>
      <c r="H700" s="186">
        <f>+H699</f>
        <v>8</v>
      </c>
      <c r="I700" s="187"/>
      <c r="J700" s="266"/>
      <c r="K700" s="18"/>
      <c r="L700" s="17"/>
      <c r="M700" s="18">
        <v>0</v>
      </c>
      <c r="N700" s="18"/>
      <c r="O700" s="17"/>
      <c r="P700" s="17"/>
      <c r="Q700" s="17"/>
      <c r="R700" s="17"/>
      <c r="S700" s="17"/>
      <c r="T700" s="17"/>
      <c r="U700" s="17"/>
      <c r="V700" s="17" t="str">
        <f>+CONCATENATE(E700,".",F700,"\",G700,".",H700,":",I700)</f>
        <v>2.7\0.8:</v>
      </c>
      <c r="W700" s="17"/>
      <c r="X700" s="17"/>
      <c r="Y700" s="17"/>
      <c r="Z700" s="17"/>
      <c r="AA700" s="17"/>
      <c r="AB700" s="20"/>
      <c r="AC700" s="17"/>
      <c r="AD700" s="17"/>
      <c r="AE700" s="17"/>
      <c r="AF700" s="17"/>
      <c r="AG700" s="64"/>
      <c r="AH700" s="64"/>
      <c r="AI700" s="64"/>
      <c r="AJ700" s="64"/>
      <c r="AK700" s="64"/>
      <c r="AL700" s="264"/>
      <c r="AM700" s="84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</row>
    <row r="701" spans="1:51" s="33" customFormat="1" x14ac:dyDescent="0.3">
      <c r="A701" s="63" t="str">
        <f>A700</f>
        <v>BCV131</v>
      </c>
      <c r="B701" s="17" t="s">
        <v>2041</v>
      </c>
      <c r="C701" s="18" t="str">
        <f>+C700</f>
        <v>DIO1</v>
      </c>
      <c r="D701" s="18">
        <v>132</v>
      </c>
      <c r="E701" s="84">
        <f>+E700</f>
        <v>2</v>
      </c>
      <c r="F701" s="84">
        <f>+F700</f>
        <v>7</v>
      </c>
      <c r="G701" s="84">
        <v>0</v>
      </c>
      <c r="H701" s="186">
        <f>+H700</f>
        <v>8</v>
      </c>
      <c r="I701" s="187"/>
      <c r="J701" s="266"/>
      <c r="K701" s="18"/>
      <c r="L701" s="17"/>
      <c r="M701" s="18">
        <v>0</v>
      </c>
      <c r="N701" s="18"/>
      <c r="O701" s="17"/>
      <c r="P701" s="17"/>
      <c r="Q701" s="17"/>
      <c r="R701" s="17"/>
      <c r="S701" s="17"/>
      <c r="T701" s="17"/>
      <c r="U701" s="17"/>
      <c r="V701" s="17" t="str">
        <f>+CONCATENATE(E701,".",F701,"\",G701,".",H701,":",I701)</f>
        <v>2.7\0.8:</v>
      </c>
      <c r="W701" s="17"/>
      <c r="X701" s="17"/>
      <c r="Y701" s="17"/>
      <c r="Z701" s="17"/>
      <c r="AA701" s="17"/>
      <c r="AB701" s="20"/>
      <c r="AC701" s="17"/>
      <c r="AD701" s="17"/>
      <c r="AE701" s="17"/>
      <c r="AF701" s="17"/>
      <c r="AG701" s="64"/>
      <c r="AH701" s="64"/>
      <c r="AI701" s="64"/>
      <c r="AJ701" s="64"/>
      <c r="AK701" s="64"/>
      <c r="AL701" s="264"/>
      <c r="AM701" s="84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</row>
    <row r="702" spans="1:51" s="33" customFormat="1" ht="13.5" thickBot="1" x14ac:dyDescent="0.35">
      <c r="A702" s="63" t="str">
        <f>A701</f>
        <v>BCV131</v>
      </c>
      <c r="B702" s="17" t="s">
        <v>2041</v>
      </c>
      <c r="C702" s="18" t="str">
        <f>+C701</f>
        <v>DIO1</v>
      </c>
      <c r="D702" s="18">
        <v>132</v>
      </c>
      <c r="E702" s="84">
        <f>+E701</f>
        <v>2</v>
      </c>
      <c r="F702" s="84">
        <f>+F701</f>
        <v>7</v>
      </c>
      <c r="G702" s="84">
        <v>0</v>
      </c>
      <c r="H702" s="186">
        <f>+H701</f>
        <v>8</v>
      </c>
      <c r="I702" s="191"/>
      <c r="J702" s="265"/>
      <c r="K702" s="18"/>
      <c r="L702" s="17"/>
      <c r="M702" s="18">
        <v>0</v>
      </c>
      <c r="N702" s="18"/>
      <c r="O702" s="17"/>
      <c r="P702" s="17"/>
      <c r="Q702" s="17"/>
      <c r="R702" s="17"/>
      <c r="S702" s="17"/>
      <c r="T702" s="17"/>
      <c r="U702" s="17"/>
      <c r="V702" s="17" t="str">
        <f>+CONCATENATE(E702,".",F702,"\",G702,".",H702,":",I702)</f>
        <v>2.7\0.8:</v>
      </c>
      <c r="W702" s="17"/>
      <c r="X702" s="17"/>
      <c r="Y702" s="17"/>
      <c r="Z702" s="17"/>
      <c r="AA702" s="17"/>
      <c r="AB702" s="20"/>
      <c r="AC702" s="17"/>
      <c r="AD702" s="17"/>
      <c r="AE702" s="17"/>
      <c r="AF702" s="17"/>
      <c r="AG702" s="64"/>
      <c r="AH702" s="64"/>
      <c r="AI702" s="64"/>
      <c r="AJ702" s="64"/>
      <c r="AK702" s="64"/>
      <c r="AL702" s="264"/>
      <c r="AM702" s="84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</row>
    <row r="703" spans="1:51" s="33" customFormat="1" x14ac:dyDescent="0.3">
      <c r="A703" s="268" t="s">
        <v>194</v>
      </c>
      <c r="B703" s="17" t="s">
        <v>2041</v>
      </c>
      <c r="C703" s="18" t="str">
        <f>+C702</f>
        <v>DIO1</v>
      </c>
      <c r="D703" s="18">
        <v>132</v>
      </c>
      <c r="E703" s="84">
        <f>+E702</f>
        <v>2</v>
      </c>
      <c r="F703" s="84">
        <f>+F702</f>
        <v>7</v>
      </c>
      <c r="G703" s="84">
        <v>0</v>
      </c>
      <c r="H703" s="214">
        <v>9</v>
      </c>
      <c r="I703" s="188"/>
      <c r="J703" s="267"/>
      <c r="K703" s="68" t="s">
        <v>698</v>
      </c>
      <c r="L703" s="17"/>
      <c r="M703" s="18">
        <v>0</v>
      </c>
      <c r="N703" s="18"/>
      <c r="O703" s="17"/>
      <c r="P703" s="17"/>
      <c r="Q703" s="17"/>
      <c r="R703" s="17"/>
      <c r="S703" s="17"/>
      <c r="T703" s="17"/>
      <c r="U703" s="17"/>
      <c r="V703" s="17" t="str">
        <f>+CONCATENATE(E703,".",F703,"\",G703,".",H703,":",I703)</f>
        <v>2.7\0.9:</v>
      </c>
      <c r="W703" s="17"/>
      <c r="X703" s="17"/>
      <c r="Y703" s="17"/>
      <c r="Z703" s="17"/>
      <c r="AA703" s="17"/>
      <c r="AB703" s="20"/>
      <c r="AC703" s="17"/>
      <c r="AD703" s="17"/>
      <c r="AE703" s="17"/>
      <c r="AF703" s="17"/>
      <c r="AG703" s="64"/>
      <c r="AH703" s="64"/>
      <c r="AI703" s="64"/>
      <c r="AJ703" s="64"/>
      <c r="AK703" s="64"/>
      <c r="AL703" s="264"/>
      <c r="AM703" s="84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</row>
    <row r="704" spans="1:51" s="33" customFormat="1" x14ac:dyDescent="0.3">
      <c r="A704" s="63" t="str">
        <f>A703</f>
        <v>BCV131</v>
      </c>
      <c r="B704" s="17" t="s">
        <v>2041</v>
      </c>
      <c r="C704" s="18" t="str">
        <f>+C703</f>
        <v>DIO1</v>
      </c>
      <c r="D704" s="18">
        <v>132</v>
      </c>
      <c r="E704" s="84">
        <f>+E703</f>
        <v>2</v>
      </c>
      <c r="F704" s="84">
        <f>+F703</f>
        <v>7</v>
      </c>
      <c r="G704" s="84">
        <v>0</v>
      </c>
      <c r="H704" s="186">
        <f>+H703</f>
        <v>9</v>
      </c>
      <c r="I704" s="187"/>
      <c r="J704" s="266"/>
      <c r="K704" s="18"/>
      <c r="L704" s="17"/>
      <c r="M704" s="18">
        <v>0</v>
      </c>
      <c r="N704" s="18"/>
      <c r="O704" s="17"/>
      <c r="P704" s="17"/>
      <c r="Q704" s="17"/>
      <c r="R704" s="17"/>
      <c r="S704" s="17"/>
      <c r="T704" s="17"/>
      <c r="U704" s="17"/>
      <c r="V704" s="17" t="str">
        <f>+CONCATENATE(E704,".",F704,"\",G704,".",H704,":",I704)</f>
        <v>2.7\0.9:</v>
      </c>
      <c r="W704" s="17"/>
      <c r="X704" s="17"/>
      <c r="Y704" s="17"/>
      <c r="Z704" s="17"/>
      <c r="AA704" s="17"/>
      <c r="AB704" s="20"/>
      <c r="AC704" s="17"/>
      <c r="AD704" s="17"/>
      <c r="AE704" s="17"/>
      <c r="AF704" s="17"/>
      <c r="AG704" s="64"/>
      <c r="AH704" s="64"/>
      <c r="AI704" s="64"/>
      <c r="AJ704" s="64"/>
      <c r="AK704" s="64"/>
      <c r="AL704" s="264"/>
      <c r="AM704" s="84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</row>
    <row r="705" spans="1:51" s="33" customFormat="1" x14ac:dyDescent="0.3">
      <c r="A705" s="63" t="str">
        <f>A704</f>
        <v>BCV131</v>
      </c>
      <c r="B705" s="17" t="s">
        <v>2041</v>
      </c>
      <c r="C705" s="18" t="str">
        <f>+C704</f>
        <v>DIO1</v>
      </c>
      <c r="D705" s="18">
        <v>132</v>
      </c>
      <c r="E705" s="84">
        <f>+E704</f>
        <v>2</v>
      </c>
      <c r="F705" s="84">
        <f>+F704</f>
        <v>7</v>
      </c>
      <c r="G705" s="84">
        <v>0</v>
      </c>
      <c r="H705" s="186">
        <f>+H704</f>
        <v>9</v>
      </c>
      <c r="I705" s="187"/>
      <c r="J705" s="266"/>
      <c r="K705" s="18"/>
      <c r="L705" s="17"/>
      <c r="M705" s="18">
        <v>0</v>
      </c>
      <c r="N705" s="18"/>
      <c r="O705" s="17"/>
      <c r="P705" s="17"/>
      <c r="Q705" s="17"/>
      <c r="R705" s="17"/>
      <c r="S705" s="17"/>
      <c r="T705" s="17"/>
      <c r="U705" s="17"/>
      <c r="V705" s="17" t="str">
        <f>+CONCATENATE(E705,".",F705,"\",G705,".",H705,":",I705)</f>
        <v>2.7\0.9:</v>
      </c>
      <c r="W705" s="17"/>
      <c r="X705" s="17"/>
      <c r="Y705" s="17"/>
      <c r="Z705" s="17"/>
      <c r="AA705" s="17"/>
      <c r="AB705" s="20"/>
      <c r="AC705" s="17"/>
      <c r="AD705" s="17"/>
      <c r="AE705" s="17"/>
      <c r="AF705" s="17"/>
      <c r="AG705" s="64"/>
      <c r="AH705" s="64"/>
      <c r="AI705" s="64"/>
      <c r="AJ705" s="64"/>
      <c r="AK705" s="64"/>
      <c r="AL705" s="264"/>
      <c r="AM705" s="84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</row>
    <row r="706" spans="1:51" s="33" customFormat="1" ht="13.5" thickBot="1" x14ac:dyDescent="0.35">
      <c r="A706" s="63" t="str">
        <f>A705</f>
        <v>BCV131</v>
      </c>
      <c r="B706" s="17" t="s">
        <v>2041</v>
      </c>
      <c r="C706" s="18" t="str">
        <f>+C705</f>
        <v>DIO1</v>
      </c>
      <c r="D706" s="18">
        <v>132</v>
      </c>
      <c r="E706" s="84">
        <f>+E705</f>
        <v>2</v>
      </c>
      <c r="F706" s="84">
        <f>+F705</f>
        <v>7</v>
      </c>
      <c r="G706" s="84">
        <v>0</v>
      </c>
      <c r="H706" s="186">
        <f>+H705</f>
        <v>9</v>
      </c>
      <c r="I706" s="191"/>
      <c r="J706" s="265"/>
      <c r="K706" s="18"/>
      <c r="L706" s="17"/>
      <c r="M706" s="18">
        <v>0</v>
      </c>
      <c r="N706" s="18"/>
      <c r="O706" s="17"/>
      <c r="P706" s="17"/>
      <c r="Q706" s="17"/>
      <c r="R706" s="17"/>
      <c r="S706" s="17"/>
      <c r="T706" s="17"/>
      <c r="U706" s="17"/>
      <c r="V706" s="17" t="str">
        <f>+CONCATENATE(E706,".",F706,"\",G706,".",H706,":",I706)</f>
        <v>2.7\0.9:</v>
      </c>
      <c r="W706" s="17"/>
      <c r="X706" s="17"/>
      <c r="Y706" s="17"/>
      <c r="Z706" s="17"/>
      <c r="AA706" s="17"/>
      <c r="AB706" s="20"/>
      <c r="AC706" s="17"/>
      <c r="AD706" s="17"/>
      <c r="AE706" s="17"/>
      <c r="AF706" s="17"/>
      <c r="AG706" s="64"/>
      <c r="AH706" s="64"/>
      <c r="AI706" s="64"/>
      <c r="AJ706" s="64"/>
      <c r="AK706" s="64"/>
      <c r="AL706" s="264" t="s">
        <v>1452</v>
      </c>
      <c r="AM706" s="84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</row>
    <row r="707" spans="1:51" s="33" customFormat="1" x14ac:dyDescent="0.3">
      <c r="A707" s="268" t="s">
        <v>194</v>
      </c>
      <c r="B707" s="17" t="s">
        <v>2041</v>
      </c>
      <c r="C707" s="18" t="str">
        <f>+C706</f>
        <v>DIO1</v>
      </c>
      <c r="D707" s="18">
        <v>132</v>
      </c>
      <c r="E707" s="84">
        <f>+E706</f>
        <v>2</v>
      </c>
      <c r="F707" s="84">
        <f>+F706</f>
        <v>7</v>
      </c>
      <c r="G707" s="84">
        <v>0</v>
      </c>
      <c r="H707" s="214">
        <v>10</v>
      </c>
      <c r="I707" s="188"/>
      <c r="J707" s="267"/>
      <c r="K707" s="68" t="s">
        <v>698</v>
      </c>
      <c r="L707" s="17"/>
      <c r="M707" s="18">
        <v>0</v>
      </c>
      <c r="N707" s="18"/>
      <c r="O707" s="17"/>
      <c r="P707" s="17"/>
      <c r="Q707" s="17"/>
      <c r="R707" s="17"/>
      <c r="S707" s="17"/>
      <c r="T707" s="17"/>
      <c r="U707" s="17"/>
      <c r="V707" s="17" t="str">
        <f>+CONCATENATE(E707,".",F707,"\",G707,".",H707,":",I707)</f>
        <v>2.7\0.10:</v>
      </c>
      <c r="W707" s="17"/>
      <c r="X707" s="17"/>
      <c r="Y707" s="17"/>
      <c r="Z707" s="17"/>
      <c r="AA707" s="17"/>
      <c r="AB707" s="20"/>
      <c r="AC707" s="17"/>
      <c r="AD707" s="17"/>
      <c r="AE707" s="17"/>
      <c r="AF707" s="17"/>
      <c r="AG707" s="64"/>
      <c r="AH707" s="64"/>
      <c r="AI707" s="64"/>
      <c r="AJ707" s="64"/>
      <c r="AK707" s="64"/>
      <c r="AL707" s="264"/>
      <c r="AM707" s="84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</row>
    <row r="708" spans="1:51" s="33" customFormat="1" x14ac:dyDescent="0.3">
      <c r="A708" s="63" t="str">
        <f>A707</f>
        <v>BCV131</v>
      </c>
      <c r="B708" s="17" t="s">
        <v>2041</v>
      </c>
      <c r="C708" s="18" t="str">
        <f>+C707</f>
        <v>DIO1</v>
      </c>
      <c r="D708" s="18">
        <v>132</v>
      </c>
      <c r="E708" s="84">
        <f>+E707</f>
        <v>2</v>
      </c>
      <c r="F708" s="84">
        <f>+F707</f>
        <v>7</v>
      </c>
      <c r="G708" s="84">
        <v>0</v>
      </c>
      <c r="H708" s="186">
        <f>+H707</f>
        <v>10</v>
      </c>
      <c r="I708" s="187"/>
      <c r="J708" s="266"/>
      <c r="K708" s="18"/>
      <c r="L708" s="17"/>
      <c r="M708" s="18">
        <v>0</v>
      </c>
      <c r="N708" s="18"/>
      <c r="O708" s="17"/>
      <c r="P708" s="17"/>
      <c r="Q708" s="17"/>
      <c r="R708" s="17"/>
      <c r="S708" s="17"/>
      <c r="T708" s="17"/>
      <c r="U708" s="17"/>
      <c r="V708" s="17" t="str">
        <f>+CONCATENATE(E708,".",F708,"\",G708,".",H708,":",I708)</f>
        <v>2.7\0.10:</v>
      </c>
      <c r="W708" s="17"/>
      <c r="X708" s="17"/>
      <c r="Y708" s="17"/>
      <c r="Z708" s="17"/>
      <c r="AA708" s="17"/>
      <c r="AB708" s="20"/>
      <c r="AC708" s="17"/>
      <c r="AD708" s="17"/>
      <c r="AE708" s="17"/>
      <c r="AF708" s="17"/>
      <c r="AG708" s="64"/>
      <c r="AH708" s="64"/>
      <c r="AI708" s="64"/>
      <c r="AJ708" s="64"/>
      <c r="AK708" s="64"/>
      <c r="AL708" s="264"/>
      <c r="AM708" s="84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</row>
    <row r="709" spans="1:51" s="33" customFormat="1" x14ac:dyDescent="0.3">
      <c r="A709" s="63" t="str">
        <f>A708</f>
        <v>BCV131</v>
      </c>
      <c r="B709" s="17" t="s">
        <v>2041</v>
      </c>
      <c r="C709" s="18" t="str">
        <f>+C708</f>
        <v>DIO1</v>
      </c>
      <c r="D709" s="18">
        <v>132</v>
      </c>
      <c r="E709" s="84">
        <f>+E708</f>
        <v>2</v>
      </c>
      <c r="F709" s="84">
        <f>+F708</f>
        <v>7</v>
      </c>
      <c r="G709" s="84">
        <v>0</v>
      </c>
      <c r="H709" s="186">
        <f>+H708</f>
        <v>10</v>
      </c>
      <c r="I709" s="187"/>
      <c r="J709" s="266"/>
      <c r="K709" s="18"/>
      <c r="L709" s="17"/>
      <c r="M709" s="18">
        <v>0</v>
      </c>
      <c r="N709" s="18"/>
      <c r="O709" s="17"/>
      <c r="P709" s="17"/>
      <c r="Q709" s="17"/>
      <c r="R709" s="17"/>
      <c r="S709" s="17"/>
      <c r="T709" s="17"/>
      <c r="U709" s="17"/>
      <c r="V709" s="17" t="str">
        <f>+CONCATENATE(E709,".",F709,"\",G709,".",H709,":",I709)</f>
        <v>2.7\0.10:</v>
      </c>
      <c r="W709" s="17"/>
      <c r="X709" s="17"/>
      <c r="Y709" s="17"/>
      <c r="Z709" s="17"/>
      <c r="AA709" s="17"/>
      <c r="AB709" s="20"/>
      <c r="AC709" s="17"/>
      <c r="AD709" s="17"/>
      <c r="AE709" s="17"/>
      <c r="AF709" s="17"/>
      <c r="AG709" s="64"/>
      <c r="AH709" s="64"/>
      <c r="AI709" s="64"/>
      <c r="AJ709" s="64"/>
      <c r="AK709" s="64"/>
      <c r="AL709" s="264"/>
      <c r="AM709" s="84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</row>
    <row r="710" spans="1:51" s="33" customFormat="1" ht="13.5" thickBot="1" x14ac:dyDescent="0.35">
      <c r="A710" s="63" t="str">
        <f>A709</f>
        <v>BCV131</v>
      </c>
      <c r="B710" s="17" t="s">
        <v>2041</v>
      </c>
      <c r="C710" s="18" t="str">
        <f>+C709</f>
        <v>DIO1</v>
      </c>
      <c r="D710" s="18">
        <v>132</v>
      </c>
      <c r="E710" s="84">
        <f>+E709</f>
        <v>2</v>
      </c>
      <c r="F710" s="84">
        <f>+F709</f>
        <v>7</v>
      </c>
      <c r="G710" s="84">
        <v>0</v>
      </c>
      <c r="H710" s="186">
        <f>+H709</f>
        <v>10</v>
      </c>
      <c r="I710" s="191"/>
      <c r="J710" s="265"/>
      <c r="K710" s="18"/>
      <c r="L710" s="17"/>
      <c r="M710" s="18">
        <v>0</v>
      </c>
      <c r="N710" s="18"/>
      <c r="O710" s="17"/>
      <c r="P710" s="17"/>
      <c r="Q710" s="17"/>
      <c r="R710" s="17"/>
      <c r="S710" s="17"/>
      <c r="T710" s="17"/>
      <c r="U710" s="17"/>
      <c r="V710" s="17" t="str">
        <f>+CONCATENATE(E710,".",F710,"\",G710,".",H710,":",I710)</f>
        <v>2.7\0.10:</v>
      </c>
      <c r="W710" s="17"/>
      <c r="X710" s="17"/>
      <c r="Y710" s="17"/>
      <c r="Z710" s="17"/>
      <c r="AA710" s="17"/>
      <c r="AB710" s="20"/>
      <c r="AC710" s="17"/>
      <c r="AD710" s="17"/>
      <c r="AE710" s="17"/>
      <c r="AF710" s="17"/>
      <c r="AG710" s="64"/>
      <c r="AH710" s="64"/>
      <c r="AI710" s="64"/>
      <c r="AJ710" s="64"/>
      <c r="AK710" s="64"/>
      <c r="AL710" s="264"/>
      <c r="AM710" s="84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</row>
    <row r="711" spans="1:51" s="33" customFormat="1" x14ac:dyDescent="0.3">
      <c r="A711" s="268" t="s">
        <v>194</v>
      </c>
      <c r="B711" s="17" t="s">
        <v>2041</v>
      </c>
      <c r="C711" s="18" t="str">
        <f>+C710</f>
        <v>DIO1</v>
      </c>
      <c r="D711" s="18">
        <v>132</v>
      </c>
      <c r="E711" s="84">
        <f>+E710</f>
        <v>2</v>
      </c>
      <c r="F711" s="84">
        <f>+F710</f>
        <v>7</v>
      </c>
      <c r="G711" s="84">
        <v>0</v>
      </c>
      <c r="H711" s="214">
        <v>11</v>
      </c>
      <c r="I711" s="188"/>
      <c r="J711" s="267"/>
      <c r="K711" s="68" t="s">
        <v>698</v>
      </c>
      <c r="L711" s="17"/>
      <c r="M711" s="18">
        <v>0</v>
      </c>
      <c r="N711" s="18"/>
      <c r="O711" s="17"/>
      <c r="P711" s="17"/>
      <c r="Q711" s="17"/>
      <c r="R711" s="17"/>
      <c r="S711" s="17"/>
      <c r="T711" s="17"/>
      <c r="U711" s="17"/>
      <c r="V711" s="17" t="str">
        <f>+CONCATENATE(E711,".",F711,"\",G711,".",H711,":",I711)</f>
        <v>2.7\0.11:</v>
      </c>
      <c r="W711" s="17"/>
      <c r="X711" s="17"/>
      <c r="Y711" s="17"/>
      <c r="Z711" s="17"/>
      <c r="AA711" s="17"/>
      <c r="AB711" s="20"/>
      <c r="AC711" s="17"/>
      <c r="AD711" s="17"/>
      <c r="AE711" s="17"/>
      <c r="AF711" s="17"/>
      <c r="AG711" s="64"/>
      <c r="AH711" s="64"/>
      <c r="AI711" s="64"/>
      <c r="AJ711" s="64"/>
      <c r="AK711" s="64"/>
      <c r="AL711" s="264"/>
      <c r="AM711" s="84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</row>
    <row r="712" spans="1:51" s="33" customFormat="1" x14ac:dyDescent="0.3">
      <c r="A712" s="63" t="str">
        <f>A711</f>
        <v>BCV131</v>
      </c>
      <c r="B712" s="17" t="s">
        <v>2041</v>
      </c>
      <c r="C712" s="18" t="str">
        <f>+C711</f>
        <v>DIO1</v>
      </c>
      <c r="D712" s="18">
        <v>132</v>
      </c>
      <c r="E712" s="84">
        <f>+E711</f>
        <v>2</v>
      </c>
      <c r="F712" s="84">
        <f>+F711</f>
        <v>7</v>
      </c>
      <c r="G712" s="84">
        <v>0</v>
      </c>
      <c r="H712" s="186">
        <f>+H711</f>
        <v>11</v>
      </c>
      <c r="I712" s="187"/>
      <c r="J712" s="266"/>
      <c r="K712" s="18"/>
      <c r="L712" s="17"/>
      <c r="M712" s="18">
        <v>0</v>
      </c>
      <c r="N712" s="18"/>
      <c r="O712" s="17"/>
      <c r="P712" s="17"/>
      <c r="Q712" s="17"/>
      <c r="R712" s="17"/>
      <c r="S712" s="17"/>
      <c r="T712" s="17"/>
      <c r="U712" s="17"/>
      <c r="V712" s="17" t="str">
        <f>+CONCATENATE(E712,".",F712,"\",G712,".",H712,":",I712)</f>
        <v>2.7\0.11:</v>
      </c>
      <c r="W712" s="17"/>
      <c r="X712" s="17"/>
      <c r="Y712" s="17"/>
      <c r="Z712" s="17"/>
      <c r="AA712" s="17"/>
      <c r="AB712" s="20"/>
      <c r="AC712" s="17"/>
      <c r="AD712" s="17"/>
      <c r="AE712" s="17"/>
      <c r="AF712" s="17"/>
      <c r="AG712" s="64"/>
      <c r="AH712" s="64"/>
      <c r="AI712" s="64"/>
      <c r="AJ712" s="64"/>
      <c r="AK712" s="64"/>
      <c r="AL712" s="264"/>
      <c r="AM712" s="84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</row>
    <row r="713" spans="1:51" s="33" customFormat="1" x14ac:dyDescent="0.3">
      <c r="A713" s="63" t="str">
        <f>A712</f>
        <v>BCV131</v>
      </c>
      <c r="B713" s="17" t="s">
        <v>2041</v>
      </c>
      <c r="C713" s="18" t="str">
        <f>+C712</f>
        <v>DIO1</v>
      </c>
      <c r="D713" s="18">
        <v>132</v>
      </c>
      <c r="E713" s="84">
        <f>+E712</f>
        <v>2</v>
      </c>
      <c r="F713" s="84">
        <f>+F712</f>
        <v>7</v>
      </c>
      <c r="G713" s="84">
        <v>0</v>
      </c>
      <c r="H713" s="186">
        <f>+H712</f>
        <v>11</v>
      </c>
      <c r="I713" s="187"/>
      <c r="J713" s="266"/>
      <c r="K713" s="18"/>
      <c r="L713" s="17"/>
      <c r="M713" s="18">
        <v>0</v>
      </c>
      <c r="N713" s="18"/>
      <c r="O713" s="17"/>
      <c r="P713" s="17"/>
      <c r="Q713" s="17"/>
      <c r="R713" s="17"/>
      <c r="S713" s="17"/>
      <c r="T713" s="17"/>
      <c r="U713" s="17"/>
      <c r="V713" s="17" t="str">
        <f>+CONCATENATE(E713,".",F713,"\",G713,".",H713,":",I713)</f>
        <v>2.7\0.11:</v>
      </c>
      <c r="W713" s="17"/>
      <c r="X713" s="17"/>
      <c r="Y713" s="17"/>
      <c r="Z713" s="17"/>
      <c r="AA713" s="17"/>
      <c r="AB713" s="20"/>
      <c r="AC713" s="17"/>
      <c r="AD713" s="17"/>
      <c r="AE713" s="17"/>
      <c r="AF713" s="17"/>
      <c r="AG713" s="64"/>
      <c r="AH713" s="64"/>
      <c r="AI713" s="64"/>
      <c r="AJ713" s="64"/>
      <c r="AK713" s="64"/>
      <c r="AL713" s="264"/>
      <c r="AM713" s="84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</row>
    <row r="714" spans="1:51" s="33" customFormat="1" ht="13.5" thickBot="1" x14ac:dyDescent="0.35">
      <c r="A714" s="63" t="str">
        <f>A713</f>
        <v>BCV131</v>
      </c>
      <c r="B714" s="17" t="s">
        <v>2041</v>
      </c>
      <c r="C714" s="18" t="str">
        <f>+C713</f>
        <v>DIO1</v>
      </c>
      <c r="D714" s="18">
        <v>132</v>
      </c>
      <c r="E714" s="84">
        <f>+E713</f>
        <v>2</v>
      </c>
      <c r="F714" s="84">
        <f>+F713</f>
        <v>7</v>
      </c>
      <c r="G714" s="84">
        <v>0</v>
      </c>
      <c r="H714" s="186">
        <f>+H713</f>
        <v>11</v>
      </c>
      <c r="I714" s="191"/>
      <c r="J714" s="265"/>
      <c r="K714" s="18"/>
      <c r="L714" s="17"/>
      <c r="M714" s="18">
        <v>0</v>
      </c>
      <c r="N714" s="18"/>
      <c r="O714" s="17"/>
      <c r="P714" s="17"/>
      <c r="Q714" s="17"/>
      <c r="R714" s="17"/>
      <c r="S714" s="17"/>
      <c r="T714" s="17"/>
      <c r="U714" s="17"/>
      <c r="V714" s="17" t="str">
        <f>+CONCATENATE(E714,".",F714,"\",G714,".",H714,":",I714)</f>
        <v>2.7\0.11:</v>
      </c>
      <c r="W714" s="17"/>
      <c r="X714" s="17"/>
      <c r="Y714" s="17"/>
      <c r="Z714" s="17"/>
      <c r="AA714" s="17"/>
      <c r="AB714" s="20"/>
      <c r="AC714" s="17"/>
      <c r="AD714" s="17"/>
      <c r="AE714" s="17"/>
      <c r="AF714" s="17"/>
      <c r="AG714" s="64"/>
      <c r="AH714" s="64"/>
      <c r="AI714" s="64"/>
      <c r="AJ714" s="64"/>
      <c r="AK714" s="64"/>
      <c r="AL714" s="264" t="s">
        <v>1452</v>
      </c>
      <c r="AM714" s="84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</row>
    <row r="715" spans="1:51" s="18" customFormat="1" ht="12.5" x14ac:dyDescent="0.25"/>
    <row r="716" spans="1:51" s="33" customFormat="1" ht="14.5" x14ac:dyDescent="0.35">
      <c r="A716" s="63"/>
      <c r="B716" s="63"/>
      <c r="C716" s="63"/>
      <c r="D716" s="63"/>
      <c r="E716" s="288"/>
      <c r="F716" s="288"/>
      <c r="G716" s="288"/>
      <c r="H716" s="63"/>
      <c r="I716" s="63"/>
      <c r="J716" s="63"/>
      <c r="K716" s="17"/>
      <c r="L716" s="17"/>
      <c r="M716" s="17">
        <v>5</v>
      </c>
      <c r="N716" s="59" t="s">
        <v>41</v>
      </c>
      <c r="O716" s="68" t="s">
        <v>794</v>
      </c>
      <c r="P716" s="68"/>
      <c r="Q716" s="68" t="s">
        <v>2040</v>
      </c>
      <c r="R716" s="68"/>
      <c r="S716" s="68" t="s">
        <v>2036</v>
      </c>
      <c r="T716" s="68" t="s">
        <v>694</v>
      </c>
      <c r="U716" s="17"/>
      <c r="V716" s="17"/>
      <c r="W716" s="17" t="s">
        <v>693</v>
      </c>
      <c r="X716" s="17"/>
      <c r="Y716" s="17"/>
      <c r="Z716" s="17"/>
      <c r="AA716" s="17"/>
      <c r="AB716" s="20"/>
      <c r="AC716" s="17"/>
      <c r="AD716" s="17"/>
      <c r="AE716" s="17"/>
      <c r="AF716" s="17"/>
      <c r="AG716" s="298" t="s">
        <v>838</v>
      </c>
      <c r="AH716" s="301" t="s">
        <v>190</v>
      </c>
      <c r="AI716" s="301" t="s">
        <v>189</v>
      </c>
      <c r="AJ716" s="301" t="s">
        <v>188</v>
      </c>
      <c r="AK716" s="301">
        <v>4</v>
      </c>
      <c r="AL716" s="264"/>
      <c r="AM716" s="84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</row>
    <row r="717" spans="1:51" s="33" customFormat="1" ht="14.5" x14ac:dyDescent="0.35">
      <c r="A717" s="63"/>
      <c r="B717" s="63"/>
      <c r="C717" s="63"/>
      <c r="D717" s="63"/>
      <c r="E717" s="288"/>
      <c r="F717" s="288"/>
      <c r="G717" s="288"/>
      <c r="H717" s="63"/>
      <c r="I717" s="63"/>
      <c r="J717" s="63"/>
      <c r="K717" s="17"/>
      <c r="L717" s="17"/>
      <c r="M717" s="17">
        <v>5</v>
      </c>
      <c r="N717" s="59" t="s">
        <v>2039</v>
      </c>
      <c r="O717" s="68" t="s">
        <v>794</v>
      </c>
      <c r="P717" s="68"/>
      <c r="Q717" s="68" t="s">
        <v>2038</v>
      </c>
      <c r="R717" s="68"/>
      <c r="S717" s="68" t="s">
        <v>2036</v>
      </c>
      <c r="T717" s="68" t="s">
        <v>749</v>
      </c>
      <c r="U717" s="17"/>
      <c r="V717" s="17"/>
      <c r="W717" s="17" t="s">
        <v>658</v>
      </c>
      <c r="X717" s="17"/>
      <c r="Y717" s="17"/>
      <c r="Z717" s="17"/>
      <c r="AA717" s="17"/>
      <c r="AB717" s="20"/>
      <c r="AC717" s="17"/>
      <c r="AD717" s="17"/>
      <c r="AE717" s="17"/>
      <c r="AF717" s="17"/>
      <c r="AG717" s="298" t="s">
        <v>838</v>
      </c>
      <c r="AH717" s="301" t="s">
        <v>183</v>
      </c>
      <c r="AI717" s="301" t="s">
        <v>182</v>
      </c>
      <c r="AJ717" s="301" t="s">
        <v>181</v>
      </c>
      <c r="AK717" s="301">
        <v>8</v>
      </c>
      <c r="AL717" s="264"/>
      <c r="AM717" s="84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</row>
    <row r="718" spans="1:51" s="18" customFormat="1" ht="14.5" x14ac:dyDescent="0.35">
      <c r="M718" s="17">
        <v>5</v>
      </c>
      <c r="N718" s="59" t="s">
        <v>22</v>
      </c>
      <c r="O718" s="18" t="s">
        <v>794</v>
      </c>
      <c r="Q718" s="18" t="s">
        <v>2037</v>
      </c>
      <c r="S718" s="18" t="s">
        <v>2036</v>
      </c>
      <c r="T718" s="18" t="s">
        <v>657</v>
      </c>
      <c r="W718" s="18" t="s">
        <v>656</v>
      </c>
      <c r="AG718" s="298" t="s">
        <v>838</v>
      </c>
      <c r="AH718" s="298" t="s">
        <v>176</v>
      </c>
      <c r="AI718" s="298" t="s">
        <v>175</v>
      </c>
      <c r="AJ718" s="298" t="s">
        <v>174</v>
      </c>
      <c r="AK718" s="298">
        <v>12</v>
      </c>
    </row>
    <row r="719" spans="1:51" s="18" customFormat="1" ht="14.5" x14ac:dyDescent="0.35">
      <c r="AG719" s="298" t="s">
        <v>838</v>
      </c>
      <c r="AH719" s="298" t="s">
        <v>169</v>
      </c>
      <c r="AI719" s="298" t="s">
        <v>168</v>
      </c>
      <c r="AJ719" s="298" t="s">
        <v>167</v>
      </c>
      <c r="AK719" s="298">
        <v>16</v>
      </c>
    </row>
    <row r="720" spans="1:51" s="18" customFormat="1" ht="14.5" x14ac:dyDescent="0.35">
      <c r="AG720" s="298" t="s">
        <v>838</v>
      </c>
      <c r="AH720" s="298" t="s">
        <v>161</v>
      </c>
      <c r="AI720" s="298" t="s">
        <v>160</v>
      </c>
      <c r="AJ720" s="298" t="s">
        <v>159</v>
      </c>
      <c r="AK720" s="298">
        <v>20</v>
      </c>
    </row>
    <row r="721" spans="1:51" s="18" customFormat="1" ht="14.5" x14ac:dyDescent="0.35">
      <c r="AG721" s="298" t="s">
        <v>838</v>
      </c>
      <c r="AH721" s="298" t="s">
        <v>154</v>
      </c>
      <c r="AI721" s="298" t="s">
        <v>153</v>
      </c>
      <c r="AJ721" s="298" t="s">
        <v>152</v>
      </c>
      <c r="AK721" s="298">
        <v>24</v>
      </c>
    </row>
    <row r="722" spans="1:51" s="18" customFormat="1" ht="14.5" x14ac:dyDescent="0.35">
      <c r="AG722" s="298" t="s">
        <v>838</v>
      </c>
      <c r="AH722" s="298" t="s">
        <v>150</v>
      </c>
      <c r="AI722" s="298" t="s">
        <v>149</v>
      </c>
      <c r="AJ722" s="298" t="s">
        <v>148</v>
      </c>
      <c r="AK722" s="298">
        <v>28</v>
      </c>
    </row>
    <row r="723" spans="1:51" s="18" customFormat="1" ht="14.5" x14ac:dyDescent="0.35">
      <c r="AG723" s="298" t="s">
        <v>838</v>
      </c>
      <c r="AH723" s="298" t="s">
        <v>144</v>
      </c>
      <c r="AI723" s="298" t="s">
        <v>143</v>
      </c>
      <c r="AJ723" s="298" t="s">
        <v>142</v>
      </c>
      <c r="AK723" s="298">
        <v>32</v>
      </c>
    </row>
    <row r="724" spans="1:51" s="18" customFormat="1" ht="14.5" x14ac:dyDescent="0.35">
      <c r="AG724" s="298" t="s">
        <v>838</v>
      </c>
      <c r="AH724" s="298" t="s">
        <v>137</v>
      </c>
      <c r="AI724" s="298" t="s">
        <v>136</v>
      </c>
      <c r="AJ724" s="298" t="s">
        <v>135</v>
      </c>
      <c r="AK724" s="298">
        <v>36</v>
      </c>
    </row>
    <row r="725" spans="1:51" s="18" customFormat="1" ht="14.5" x14ac:dyDescent="0.35">
      <c r="AG725" s="298" t="s">
        <v>838</v>
      </c>
      <c r="AH725" s="298" t="s">
        <v>134</v>
      </c>
      <c r="AI725" s="298" t="s">
        <v>133</v>
      </c>
      <c r="AJ725" s="298" t="s">
        <v>132</v>
      </c>
      <c r="AK725" s="298">
        <v>40</v>
      </c>
    </row>
    <row r="726" spans="1:51" s="18" customFormat="1" ht="14.5" x14ac:dyDescent="0.35">
      <c r="AG726" s="298" t="s">
        <v>838</v>
      </c>
      <c r="AH726" s="298" t="s">
        <v>130</v>
      </c>
      <c r="AI726" s="298" t="s">
        <v>129</v>
      </c>
      <c r="AJ726" s="298" t="s">
        <v>128</v>
      </c>
      <c r="AK726" s="298">
        <v>44</v>
      </c>
    </row>
    <row r="727" spans="1:51" s="18" customFormat="1" ht="14.5" x14ac:dyDescent="0.35">
      <c r="AG727" s="298" t="s">
        <v>838</v>
      </c>
      <c r="AH727" s="298" t="s">
        <v>125</v>
      </c>
      <c r="AI727" s="298" t="s">
        <v>124</v>
      </c>
      <c r="AJ727" s="298" t="s">
        <v>123</v>
      </c>
      <c r="AK727" s="298">
        <v>48</v>
      </c>
    </row>
    <row r="728" spans="1:51" s="18" customFormat="1" ht="12.5" x14ac:dyDescent="0.25"/>
    <row r="729" spans="1:51" s="18" customFormat="1" ht="12.5" x14ac:dyDescent="0.25"/>
    <row r="730" spans="1:51" s="33" customFormat="1" x14ac:dyDescent="0.3">
      <c r="A730" s="63"/>
      <c r="B730" s="63"/>
      <c r="C730" s="63"/>
      <c r="D730" s="63"/>
      <c r="E730" s="288"/>
      <c r="F730" s="288"/>
      <c r="G730" s="288"/>
      <c r="H730" s="63"/>
      <c r="I730" s="63"/>
      <c r="J730" s="63"/>
      <c r="K730" s="17"/>
      <c r="L730" s="17"/>
      <c r="M730" s="17"/>
      <c r="N730" s="17"/>
      <c r="O730" s="68"/>
      <c r="P730" s="68"/>
      <c r="Q730" s="68"/>
      <c r="R730" s="68"/>
      <c r="S730" s="68"/>
      <c r="T730" s="68"/>
      <c r="U730" s="17"/>
      <c r="V730" s="17"/>
      <c r="W730" s="17"/>
      <c r="X730" s="17"/>
      <c r="Y730" s="17"/>
      <c r="Z730" s="17"/>
      <c r="AA730" s="17"/>
      <c r="AB730" s="20"/>
      <c r="AC730" s="17"/>
      <c r="AD730" s="17"/>
      <c r="AE730" s="17"/>
      <c r="AF730" s="17"/>
      <c r="AG730" s="64"/>
      <c r="AH730" s="64"/>
      <c r="AI730" s="64"/>
      <c r="AJ730" s="64"/>
      <c r="AK730" s="64"/>
      <c r="AL730" s="264"/>
      <c r="AM730" s="84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</row>
    <row r="731" spans="1:51" s="33" customFormat="1" ht="15.5" x14ac:dyDescent="0.35">
      <c r="A731" s="297"/>
      <c r="B731" s="96" t="s">
        <v>2035</v>
      </c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87"/>
      <c r="O731" s="256"/>
      <c r="P731" s="287"/>
      <c r="Q731" s="256"/>
      <c r="R731" s="256"/>
      <c r="S731" s="256"/>
      <c r="T731" s="256"/>
      <c r="U731" s="256"/>
      <c r="V731" s="256"/>
      <c r="W731" s="287"/>
      <c r="X731" s="256"/>
      <c r="Y731" s="256"/>
      <c r="Z731" s="17"/>
      <c r="AA731" s="17"/>
      <c r="AB731" s="20"/>
      <c r="AC731" s="17"/>
      <c r="AD731" s="17"/>
      <c r="AE731" s="17"/>
      <c r="AF731" s="17"/>
      <c r="AG731" s="64"/>
      <c r="AH731" s="64"/>
      <c r="AI731" s="64"/>
      <c r="AJ731" s="64"/>
      <c r="AK731" s="64"/>
      <c r="AL731" s="264"/>
      <c r="AM731" s="84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</row>
    <row r="732" spans="1:51" s="33" customFormat="1" ht="13.5" thickBot="1" x14ac:dyDescent="0.35">
      <c r="A732" s="63"/>
      <c r="B732" s="63"/>
      <c r="C732" s="63"/>
      <c r="D732" s="63"/>
      <c r="E732" s="288"/>
      <c r="F732" s="288"/>
      <c r="G732" s="288"/>
      <c r="H732" s="63"/>
      <c r="I732" s="63"/>
      <c r="J732" s="63"/>
      <c r="K732" s="17"/>
      <c r="L732" s="17"/>
      <c r="M732" s="17"/>
      <c r="N732" s="17"/>
      <c r="O732" s="68"/>
      <c r="P732" s="68"/>
      <c r="Q732" s="68"/>
      <c r="R732" s="68"/>
      <c r="S732" s="68"/>
      <c r="T732" s="68"/>
      <c r="U732" s="17"/>
      <c r="V732" s="17"/>
      <c r="W732" s="17"/>
      <c r="X732" s="17"/>
      <c r="Y732" s="17"/>
      <c r="Z732" s="17"/>
      <c r="AA732" s="17"/>
      <c r="AB732" s="20"/>
      <c r="AC732" s="17"/>
      <c r="AD732" s="17"/>
      <c r="AE732" s="17"/>
      <c r="AF732" s="17"/>
      <c r="AG732" s="64"/>
      <c r="AH732" s="64"/>
      <c r="AI732" s="64"/>
      <c r="AJ732" s="64"/>
      <c r="AK732" s="64"/>
      <c r="AL732" s="264"/>
      <c r="AM732" s="84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</row>
    <row r="733" spans="1:51" s="33" customFormat="1" ht="13.5" thickBot="1" x14ac:dyDescent="0.35">
      <c r="A733" s="17" t="s">
        <v>194</v>
      </c>
      <c r="B733" s="17" t="s">
        <v>2034</v>
      </c>
      <c r="C733" s="295" t="s">
        <v>271</v>
      </c>
      <c r="D733" s="290" t="s">
        <v>285</v>
      </c>
      <c r="E733" s="290">
        <v>1</v>
      </c>
      <c r="F733" s="290">
        <v>1</v>
      </c>
      <c r="G733" s="290">
        <v>0</v>
      </c>
      <c r="H733" s="89">
        <v>0</v>
      </c>
      <c r="I733" s="294" t="s">
        <v>1106</v>
      </c>
      <c r="J733" s="293"/>
      <c r="K733" s="84">
        <v>1059305</v>
      </c>
      <c r="L733" s="91" t="s">
        <v>2033</v>
      </c>
      <c r="M733" s="17"/>
      <c r="N733" s="17"/>
      <c r="O733" s="83"/>
      <c r="P733" s="83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64"/>
      <c r="AH733" s="64"/>
      <c r="AI733" s="64"/>
      <c r="AJ733" s="64"/>
      <c r="AK733" s="64"/>
      <c r="AL733" s="264"/>
      <c r="AM733" s="17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</row>
    <row r="734" spans="1:51" s="33" customFormat="1" x14ac:dyDescent="0.3">
      <c r="A734" s="63" t="str">
        <f>+A733</f>
        <v>BCV131</v>
      </c>
      <c r="B734" s="18" t="str">
        <f>+B733</f>
        <v>AX01</v>
      </c>
      <c r="C734" s="85" t="str">
        <f>+C733</f>
        <v>SIO1</v>
      </c>
      <c r="D734" s="85" t="str">
        <f>+D733</f>
        <v>SLC01</v>
      </c>
      <c r="E734" s="290">
        <f>+E733</f>
        <v>1</v>
      </c>
      <c r="F734" s="290">
        <f>+F733</f>
        <v>1</v>
      </c>
      <c r="G734" s="290">
        <f>+G733</f>
        <v>0</v>
      </c>
      <c r="H734" s="72">
        <v>1</v>
      </c>
      <c r="I734" s="77">
        <v>1</v>
      </c>
      <c r="J734" s="76" t="s">
        <v>269</v>
      </c>
      <c r="K734" s="65">
        <v>1044125</v>
      </c>
      <c r="L734" s="79" t="s">
        <v>244</v>
      </c>
      <c r="M734" s="18">
        <v>3</v>
      </c>
      <c r="N734" s="17" t="s">
        <v>2030</v>
      </c>
      <c r="O734" s="17" t="s">
        <v>2032</v>
      </c>
      <c r="P734" s="17"/>
      <c r="Q734" s="17" t="s">
        <v>2031</v>
      </c>
      <c r="R734" s="17" t="s">
        <v>211</v>
      </c>
      <c r="S734" s="17"/>
      <c r="T734" s="17" t="s">
        <v>194</v>
      </c>
      <c r="U734" s="17"/>
      <c r="V734" s="289" t="str">
        <f>+CONCATENATE(E734,".",F734,"\",G734,".",H734,":",I734)</f>
        <v>1.1\0.1:1</v>
      </c>
      <c r="W734" s="17" t="s">
        <v>2004</v>
      </c>
      <c r="X734" s="17">
        <v>0</v>
      </c>
      <c r="Y734" s="17"/>
      <c r="Z734" s="17"/>
      <c r="AA734" s="17"/>
      <c r="AB734" s="17"/>
      <c r="AC734" s="17"/>
      <c r="AD734" s="17"/>
      <c r="AE734" s="17"/>
      <c r="AF734" s="17"/>
      <c r="AG734" s="64"/>
      <c r="AH734" s="64"/>
      <c r="AI734" s="64"/>
      <c r="AJ734" s="64"/>
      <c r="AK734" s="64"/>
      <c r="AL734" s="264"/>
      <c r="AM734" s="17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</row>
    <row r="735" spans="1:51" s="33" customFormat="1" x14ac:dyDescent="0.3">
      <c r="A735" s="63" t="str">
        <f>+A734</f>
        <v>BCV131</v>
      </c>
      <c r="B735" s="18" t="str">
        <f>+B734</f>
        <v>AX01</v>
      </c>
      <c r="C735" s="85" t="str">
        <f>+C734</f>
        <v>SIO1</v>
      </c>
      <c r="D735" s="85" t="str">
        <f>+D734</f>
        <v>SLC01</v>
      </c>
      <c r="E735" s="290">
        <f>+E734</f>
        <v>1</v>
      </c>
      <c r="F735" s="290">
        <f>+F734</f>
        <v>1</v>
      </c>
      <c r="G735" s="290">
        <f>+G734</f>
        <v>0</v>
      </c>
      <c r="H735" s="72">
        <f>+H734</f>
        <v>1</v>
      </c>
      <c r="I735" s="75">
        <v>2</v>
      </c>
      <c r="J735" s="74" t="s">
        <v>265</v>
      </c>
      <c r="K735" s="84">
        <v>1047162</v>
      </c>
      <c r="L735" s="79" t="s">
        <v>244</v>
      </c>
      <c r="M735" s="18">
        <v>3</v>
      </c>
      <c r="N735" s="18" t="s">
        <v>2030</v>
      </c>
      <c r="O735" s="17" t="s">
        <v>2029</v>
      </c>
      <c r="P735" s="17"/>
      <c r="Q735" s="17" t="s">
        <v>2028</v>
      </c>
      <c r="R735" s="17" t="s">
        <v>211</v>
      </c>
      <c r="S735" s="17"/>
      <c r="T735" s="17" t="str">
        <f>+T734</f>
        <v>BCV131</v>
      </c>
      <c r="U735" s="17"/>
      <c r="V735" s="289" t="str">
        <f>+CONCATENATE(E735,".",F735,"\",G735,".",H735,":",I735)</f>
        <v>1.1\0.1:2</v>
      </c>
      <c r="W735" s="17" t="s">
        <v>2004</v>
      </c>
      <c r="X735" s="17">
        <v>0</v>
      </c>
      <c r="Y735" s="17"/>
      <c r="Z735" s="17"/>
      <c r="AA735" s="17"/>
      <c r="AB735" s="17"/>
      <c r="AC735" s="17"/>
      <c r="AD735" s="17"/>
      <c r="AE735" s="17"/>
      <c r="AF735" s="17"/>
      <c r="AG735" s="64"/>
      <c r="AH735" s="64"/>
      <c r="AI735" s="64"/>
      <c r="AJ735" s="64"/>
      <c r="AK735" s="64"/>
      <c r="AL735" s="264"/>
      <c r="AM735" s="17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</row>
    <row r="736" spans="1:51" s="33" customFormat="1" x14ac:dyDescent="0.3">
      <c r="A736" s="63" t="str">
        <f>+A735</f>
        <v>BCV131</v>
      </c>
      <c r="B736" s="18" t="str">
        <f>+B735</f>
        <v>AX01</v>
      </c>
      <c r="C736" s="85" t="str">
        <f>+C735</f>
        <v>SIO1</v>
      </c>
      <c r="D736" s="85" t="str">
        <f>+D735</f>
        <v>SLC01</v>
      </c>
      <c r="E736" s="290">
        <f>+E735</f>
        <v>1</v>
      </c>
      <c r="F736" s="290">
        <f>+F735</f>
        <v>1</v>
      </c>
      <c r="G736" s="290">
        <f>+G735</f>
        <v>0</v>
      </c>
      <c r="H736" s="72">
        <f>+H735</f>
        <v>1</v>
      </c>
      <c r="I736" s="75">
        <v>3</v>
      </c>
      <c r="J736" s="74" t="s">
        <v>261</v>
      </c>
      <c r="K736" s="85"/>
      <c r="L736" s="79" t="s">
        <v>244</v>
      </c>
      <c r="M736" s="18">
        <v>3</v>
      </c>
      <c r="N736" s="18" t="s">
        <v>2025</v>
      </c>
      <c r="O736" s="17" t="s">
        <v>2027</v>
      </c>
      <c r="P736" s="17"/>
      <c r="Q736" s="17" t="s">
        <v>2026</v>
      </c>
      <c r="R736" s="17" t="s">
        <v>211</v>
      </c>
      <c r="S736" s="17"/>
      <c r="T736" s="17" t="str">
        <f>+T735</f>
        <v>BCV131</v>
      </c>
      <c r="U736" s="17"/>
      <c r="V736" s="289" t="str">
        <f>+CONCATENATE(E736,".",F736,"\",G736,".",H736,":",I736)</f>
        <v>1.1\0.1:3</v>
      </c>
      <c r="W736" s="17" t="s">
        <v>2004</v>
      </c>
      <c r="X736" s="17">
        <v>0</v>
      </c>
      <c r="Y736" s="17"/>
      <c r="Z736" s="17"/>
      <c r="AA736" s="17"/>
      <c r="AB736" s="17"/>
      <c r="AC736" s="17"/>
      <c r="AD736" s="17"/>
      <c r="AE736" s="17"/>
      <c r="AF736" s="17"/>
      <c r="AG736" s="64"/>
      <c r="AH736" s="64"/>
      <c r="AI736" s="64"/>
      <c r="AJ736" s="64"/>
      <c r="AK736" s="64"/>
      <c r="AL736" s="264"/>
      <c r="AM736" s="17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</row>
    <row r="737" spans="1:51" s="33" customFormat="1" x14ac:dyDescent="0.3">
      <c r="A737" s="63" t="str">
        <f>+A736</f>
        <v>BCV131</v>
      </c>
      <c r="B737" s="18" t="str">
        <f>+B736</f>
        <v>AX01</v>
      </c>
      <c r="C737" s="85" t="str">
        <f>+C736</f>
        <v>SIO1</v>
      </c>
      <c r="D737" s="85" t="str">
        <f>+D736</f>
        <v>SLC01</v>
      </c>
      <c r="E737" s="290">
        <f>+E736</f>
        <v>1</v>
      </c>
      <c r="F737" s="290">
        <f>+F736</f>
        <v>1</v>
      </c>
      <c r="G737" s="290">
        <f>+G736</f>
        <v>0</v>
      </c>
      <c r="H737" s="72">
        <f>+H736</f>
        <v>1</v>
      </c>
      <c r="I737" s="75">
        <v>4</v>
      </c>
      <c r="J737" s="74" t="s">
        <v>257</v>
      </c>
      <c r="K737" s="85"/>
      <c r="L737" s="79" t="s">
        <v>244</v>
      </c>
      <c r="M737" s="18">
        <v>3</v>
      </c>
      <c r="N737" s="18" t="s">
        <v>2025</v>
      </c>
      <c r="O737" s="17" t="s">
        <v>2024</v>
      </c>
      <c r="P737" s="17"/>
      <c r="Q737" s="17" t="s">
        <v>2023</v>
      </c>
      <c r="R737" s="17" t="s">
        <v>211</v>
      </c>
      <c r="S737" s="17"/>
      <c r="T737" s="17" t="str">
        <f>+T736</f>
        <v>BCV131</v>
      </c>
      <c r="U737" s="17"/>
      <c r="V737" s="289" t="str">
        <f>+CONCATENATE(E737,".",F737,"\",G737,".",H737,":",I737)</f>
        <v>1.1\0.1:4</v>
      </c>
      <c r="W737" s="17" t="s">
        <v>2004</v>
      </c>
      <c r="X737" s="17">
        <v>0</v>
      </c>
      <c r="Y737" s="17"/>
      <c r="Z737" s="17"/>
      <c r="AA737" s="17"/>
      <c r="AB737" s="17"/>
      <c r="AC737" s="17"/>
      <c r="AD737" s="17"/>
      <c r="AE737" s="17"/>
      <c r="AF737" s="17"/>
      <c r="AG737" s="64"/>
      <c r="AH737" s="64"/>
      <c r="AI737" s="64"/>
      <c r="AJ737" s="64"/>
      <c r="AK737" s="64"/>
      <c r="AL737" s="264"/>
      <c r="AM737" s="17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</row>
    <row r="738" spans="1:51" s="33" customFormat="1" x14ac:dyDescent="0.3">
      <c r="A738" s="63" t="str">
        <f>+A737</f>
        <v>BCV131</v>
      </c>
      <c r="B738" s="18" t="str">
        <f>+B737</f>
        <v>AX01</v>
      </c>
      <c r="C738" s="85" t="str">
        <f>+C737</f>
        <v>SIO1</v>
      </c>
      <c r="D738" s="85" t="str">
        <f>+D737</f>
        <v>SLC01</v>
      </c>
      <c r="E738" s="290">
        <f>+E737</f>
        <v>1</v>
      </c>
      <c r="F738" s="290">
        <f>+F737</f>
        <v>1</v>
      </c>
      <c r="G738" s="290">
        <f>+G737</f>
        <v>0</v>
      </c>
      <c r="H738" s="72">
        <f>+H737</f>
        <v>1</v>
      </c>
      <c r="I738" s="75">
        <v>5</v>
      </c>
      <c r="J738" s="74" t="s">
        <v>1325</v>
      </c>
      <c r="K738" s="85"/>
      <c r="L738" s="79" t="s">
        <v>244</v>
      </c>
      <c r="M738" s="18">
        <v>3</v>
      </c>
      <c r="N738" s="18" t="s">
        <v>2020</v>
      </c>
      <c r="O738" s="17" t="s">
        <v>2022</v>
      </c>
      <c r="P738" s="17"/>
      <c r="Q738" s="17" t="s">
        <v>2021</v>
      </c>
      <c r="R738" s="17" t="s">
        <v>211</v>
      </c>
      <c r="S738" s="17"/>
      <c r="T738" s="17" t="str">
        <f>+T737</f>
        <v>BCV131</v>
      </c>
      <c r="U738" s="17"/>
      <c r="V738" s="289" t="str">
        <f>+CONCATENATE(E738,".",F738,"\",G738,".",H738,":",I738)</f>
        <v>1.1\0.1:5</v>
      </c>
      <c r="W738" s="17" t="s">
        <v>2004</v>
      </c>
      <c r="X738" s="17">
        <v>0</v>
      </c>
      <c r="Y738" s="17"/>
      <c r="Z738" s="17"/>
      <c r="AA738" s="17"/>
      <c r="AB738" s="17"/>
      <c r="AC738" s="17"/>
      <c r="AD738" s="17"/>
      <c r="AE738" s="17"/>
      <c r="AF738" s="17"/>
      <c r="AG738" s="64"/>
      <c r="AH738" s="64"/>
      <c r="AI738" s="64"/>
      <c r="AJ738" s="64"/>
      <c r="AK738" s="64"/>
      <c r="AL738" s="264"/>
      <c r="AM738" s="17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</row>
    <row r="739" spans="1:51" s="33" customFormat="1" x14ac:dyDescent="0.3">
      <c r="A739" s="63" t="str">
        <f>+A738</f>
        <v>BCV131</v>
      </c>
      <c r="B739" s="18" t="str">
        <f>+B738</f>
        <v>AX01</v>
      </c>
      <c r="C739" s="85" t="str">
        <f>+C738</f>
        <v>SIO1</v>
      </c>
      <c r="D739" s="85" t="str">
        <f>+D738</f>
        <v>SLC01</v>
      </c>
      <c r="E739" s="290">
        <f>+E738</f>
        <v>1</v>
      </c>
      <c r="F739" s="290">
        <f>+F738</f>
        <v>1</v>
      </c>
      <c r="G739" s="290">
        <f>+G738</f>
        <v>0</v>
      </c>
      <c r="H739" s="72">
        <f>+H738</f>
        <v>1</v>
      </c>
      <c r="I739" s="75">
        <v>6</v>
      </c>
      <c r="J739" s="74" t="s">
        <v>1323</v>
      </c>
      <c r="K739" s="292"/>
      <c r="L739" s="79" t="s">
        <v>244</v>
      </c>
      <c r="M739" s="18">
        <v>3</v>
      </c>
      <c r="N739" s="18" t="s">
        <v>2020</v>
      </c>
      <c r="O739" s="17" t="s">
        <v>2019</v>
      </c>
      <c r="P739" s="17"/>
      <c r="Q739" s="17" t="s">
        <v>2018</v>
      </c>
      <c r="R739" s="17" t="s">
        <v>211</v>
      </c>
      <c r="S739" s="17"/>
      <c r="T739" s="17" t="str">
        <f>+T738</f>
        <v>BCV131</v>
      </c>
      <c r="U739" s="17"/>
      <c r="V739" s="289" t="str">
        <f>+CONCATENATE(E739,".",F739,"\",G739,".",H739,":",I739)</f>
        <v>1.1\0.1:6</v>
      </c>
      <c r="W739" s="17" t="s">
        <v>2004</v>
      </c>
      <c r="X739" s="17">
        <v>0</v>
      </c>
      <c r="Y739" s="17"/>
      <c r="Z739" s="17"/>
      <c r="AA739" s="17"/>
      <c r="AB739" s="17"/>
      <c r="AC739" s="17"/>
      <c r="AD739" s="17"/>
      <c r="AE739" s="17"/>
      <c r="AF739" s="17"/>
      <c r="AG739" s="64"/>
      <c r="AH739" s="64"/>
      <c r="AI739" s="64"/>
      <c r="AJ739" s="64"/>
      <c r="AK739" s="64"/>
      <c r="AL739" s="264"/>
      <c r="AM739" s="17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</row>
    <row r="740" spans="1:51" s="33" customFormat="1" x14ac:dyDescent="0.3">
      <c r="A740" s="63" t="str">
        <f>+A739</f>
        <v>BCV131</v>
      </c>
      <c r="B740" s="18" t="str">
        <f>+B739</f>
        <v>AX01</v>
      </c>
      <c r="C740" s="85" t="str">
        <f>+C739</f>
        <v>SIO1</v>
      </c>
      <c r="D740" s="85" t="str">
        <f>+D739</f>
        <v>SLC01</v>
      </c>
      <c r="E740" s="290">
        <f>+E739</f>
        <v>1</v>
      </c>
      <c r="F740" s="290">
        <f>+F739</f>
        <v>1</v>
      </c>
      <c r="G740" s="290">
        <f>+G739</f>
        <v>0</v>
      </c>
      <c r="H740" s="72">
        <f>+H739</f>
        <v>1</v>
      </c>
      <c r="I740" s="75">
        <v>7</v>
      </c>
      <c r="J740" s="74" t="s">
        <v>246</v>
      </c>
      <c r="K740" s="85"/>
      <c r="L740" s="79" t="s">
        <v>244</v>
      </c>
      <c r="M740" s="18">
        <v>3</v>
      </c>
      <c r="N740" s="18" t="s">
        <v>2015</v>
      </c>
      <c r="O740" s="17" t="s">
        <v>2017</v>
      </c>
      <c r="P740" s="17"/>
      <c r="Q740" s="17" t="s">
        <v>2016</v>
      </c>
      <c r="R740" s="17" t="s">
        <v>211</v>
      </c>
      <c r="S740" s="17"/>
      <c r="T740" s="17" t="str">
        <f>+T739</f>
        <v>BCV131</v>
      </c>
      <c r="U740" s="17"/>
      <c r="V740" s="289" t="str">
        <f>+CONCATENATE(E740,".",F740,"\",G740,".",H740,":",I740)</f>
        <v>1.1\0.1:7</v>
      </c>
      <c r="W740" s="17" t="s">
        <v>2004</v>
      </c>
      <c r="X740" s="17">
        <v>0</v>
      </c>
      <c r="Y740" s="17"/>
      <c r="Z740" s="17"/>
      <c r="AA740" s="17"/>
      <c r="AB740" s="17"/>
      <c r="AC740" s="17"/>
      <c r="AD740" s="17"/>
      <c r="AE740" s="17"/>
      <c r="AF740" s="17"/>
      <c r="AG740" s="64"/>
      <c r="AH740" s="64"/>
      <c r="AI740" s="64"/>
      <c r="AJ740" s="64"/>
      <c r="AK740" s="64"/>
      <c r="AL740" s="264"/>
      <c r="AM740" s="17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</row>
    <row r="741" spans="1:51" s="33" customFormat="1" x14ac:dyDescent="0.3">
      <c r="A741" s="63" t="str">
        <f>+A740</f>
        <v>BCV131</v>
      </c>
      <c r="B741" s="18" t="str">
        <f>+B740</f>
        <v>AX01</v>
      </c>
      <c r="C741" s="85" t="str">
        <f>+C740</f>
        <v>SIO1</v>
      </c>
      <c r="D741" s="85" t="str">
        <f>+D740</f>
        <v>SLC01</v>
      </c>
      <c r="E741" s="290">
        <f>+E740</f>
        <v>1</v>
      </c>
      <c r="F741" s="290">
        <f>+F740</f>
        <v>1</v>
      </c>
      <c r="G741" s="290">
        <f>+G740</f>
        <v>0</v>
      </c>
      <c r="H741" s="72">
        <f>+H740</f>
        <v>1</v>
      </c>
      <c r="I741" s="75">
        <v>8</v>
      </c>
      <c r="J741" s="74" t="s">
        <v>245</v>
      </c>
      <c r="K741" s="85"/>
      <c r="L741" s="79" t="s">
        <v>244</v>
      </c>
      <c r="M741" s="18">
        <v>3</v>
      </c>
      <c r="N741" s="18" t="s">
        <v>2015</v>
      </c>
      <c r="O741" s="17" t="s">
        <v>2014</v>
      </c>
      <c r="P741" s="17"/>
      <c r="Q741" s="17" t="s">
        <v>2013</v>
      </c>
      <c r="R741" s="17" t="s">
        <v>211</v>
      </c>
      <c r="S741" s="17"/>
      <c r="T741" s="17" t="str">
        <f>+T740</f>
        <v>BCV131</v>
      </c>
      <c r="U741" s="17"/>
      <c r="V741" s="289" t="str">
        <f>+CONCATENATE(E741,".",F741,"\",G741,".",H741,":",I741)</f>
        <v>1.1\0.1:8</v>
      </c>
      <c r="W741" s="17" t="s">
        <v>2004</v>
      </c>
      <c r="X741" s="17">
        <v>0</v>
      </c>
      <c r="Y741" s="17"/>
      <c r="Z741" s="17"/>
      <c r="AA741" s="17"/>
      <c r="AB741" s="17"/>
      <c r="AC741" s="17"/>
      <c r="AD741" s="17"/>
      <c r="AE741" s="17"/>
      <c r="AF741" s="17"/>
      <c r="AG741" s="64"/>
      <c r="AH741" s="64"/>
      <c r="AI741" s="64"/>
      <c r="AJ741" s="64"/>
      <c r="AK741" s="64"/>
      <c r="AL741" s="264"/>
      <c r="AM741" s="17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</row>
    <row r="742" spans="1:51" s="33" customFormat="1" x14ac:dyDescent="0.3">
      <c r="A742" s="63" t="str">
        <f>+A741</f>
        <v>BCV131</v>
      </c>
      <c r="B742" s="18" t="str">
        <f>+B741</f>
        <v>AX01</v>
      </c>
      <c r="C742" s="85" t="str">
        <f>+C741</f>
        <v>SIO1</v>
      </c>
      <c r="D742" s="85" t="str">
        <f>+D741</f>
        <v>SLC01</v>
      </c>
      <c r="E742" s="290">
        <f>+E741</f>
        <v>1</v>
      </c>
      <c r="F742" s="290">
        <f>+F741</f>
        <v>1</v>
      </c>
      <c r="G742" s="290">
        <f>+G741</f>
        <v>0</v>
      </c>
      <c r="H742" s="72">
        <f>+H741</f>
        <v>1</v>
      </c>
      <c r="I742" s="75">
        <v>1</v>
      </c>
      <c r="J742" s="81" t="s">
        <v>1321</v>
      </c>
      <c r="K742" s="85"/>
      <c r="L742" s="79" t="s">
        <v>235</v>
      </c>
      <c r="M742" s="18">
        <v>3</v>
      </c>
      <c r="N742" s="18" t="s">
        <v>2011</v>
      </c>
      <c r="O742" s="17" t="s">
        <v>2012</v>
      </c>
      <c r="P742" s="17"/>
      <c r="Q742" s="17" t="s">
        <v>1335</v>
      </c>
      <c r="R742" s="17" t="s">
        <v>922</v>
      </c>
      <c r="S742" s="17"/>
      <c r="T742" s="17" t="str">
        <f>+T741</f>
        <v>BCV131</v>
      </c>
      <c r="U742" s="17"/>
      <c r="V742" s="289" t="str">
        <f>+CONCATENATE(E742,".",F742,"\",G742,".",H742,":",I742)</f>
        <v>1.1\0.1:1</v>
      </c>
      <c r="W742" s="17" t="s">
        <v>2004</v>
      </c>
      <c r="X742" s="17">
        <v>0</v>
      </c>
      <c r="Y742" s="17"/>
      <c r="Z742" s="17"/>
      <c r="AA742" s="17"/>
      <c r="AB742" s="17"/>
      <c r="AC742" s="17"/>
      <c r="AD742" s="17"/>
      <c r="AE742" s="17"/>
      <c r="AF742" s="17"/>
      <c r="AG742" s="64"/>
      <c r="AH742" s="64"/>
      <c r="AI742" s="64"/>
      <c r="AJ742" s="64"/>
      <c r="AK742" s="64"/>
      <c r="AL742" s="264"/>
      <c r="AM742" s="17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</row>
    <row r="743" spans="1:51" s="33" customFormat="1" x14ac:dyDescent="0.3">
      <c r="A743" s="63" t="str">
        <f>+A742</f>
        <v>BCV131</v>
      </c>
      <c r="B743" s="18" t="str">
        <f>+B742</f>
        <v>AX01</v>
      </c>
      <c r="C743" s="85" t="str">
        <f>+C742</f>
        <v>SIO1</v>
      </c>
      <c r="D743" s="85" t="str">
        <f>+D742</f>
        <v>SLC01</v>
      </c>
      <c r="E743" s="290">
        <f>+E742</f>
        <v>1</v>
      </c>
      <c r="F743" s="290">
        <f>+F742</f>
        <v>1</v>
      </c>
      <c r="G743" s="290">
        <f>+G742</f>
        <v>0</v>
      </c>
      <c r="H743" s="72">
        <f>+H742</f>
        <v>1</v>
      </c>
      <c r="I743" s="75">
        <v>2</v>
      </c>
      <c r="J743" s="74" t="s">
        <v>1320</v>
      </c>
      <c r="K743" s="85"/>
      <c r="L743" s="79" t="s">
        <v>235</v>
      </c>
      <c r="M743" s="18">
        <v>3</v>
      </c>
      <c r="N743" s="18" t="s">
        <v>2011</v>
      </c>
      <c r="O743" s="17" t="s">
        <v>264</v>
      </c>
      <c r="P743" s="17"/>
      <c r="Q743" s="17" t="s">
        <v>1330</v>
      </c>
      <c r="R743" s="17" t="s">
        <v>922</v>
      </c>
      <c r="S743" s="17"/>
      <c r="T743" s="17" t="str">
        <f>+T742</f>
        <v>BCV131</v>
      </c>
      <c r="U743" s="17"/>
      <c r="V743" s="289" t="str">
        <f>+CONCATENATE(E743,".",F743,"\",G743,".",H743,":",I743)</f>
        <v>1.1\0.1:2</v>
      </c>
      <c r="W743" s="17" t="s">
        <v>2004</v>
      </c>
      <c r="X743" s="17">
        <v>0</v>
      </c>
      <c r="Y743" s="17"/>
      <c r="Z743" s="17"/>
      <c r="AA743" s="17"/>
      <c r="AB743" s="17"/>
      <c r="AC743" s="17"/>
      <c r="AD743" s="17"/>
      <c r="AE743" s="17"/>
      <c r="AF743" s="17"/>
      <c r="AG743" s="64"/>
      <c r="AH743" s="64"/>
      <c r="AI743" s="64"/>
      <c r="AJ743" s="64"/>
      <c r="AK743" s="64"/>
      <c r="AL743" s="264"/>
      <c r="AM743" s="17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</row>
    <row r="744" spans="1:51" s="33" customFormat="1" x14ac:dyDescent="0.3">
      <c r="A744" s="63" t="str">
        <f>+A743</f>
        <v>BCV131</v>
      </c>
      <c r="B744" s="18" t="str">
        <f>+B743</f>
        <v>AX01</v>
      </c>
      <c r="C744" s="85" t="str">
        <f>+C743</f>
        <v>SIO1</v>
      </c>
      <c r="D744" s="85" t="str">
        <f>+D743</f>
        <v>SLC01</v>
      </c>
      <c r="E744" s="290">
        <f>+E743</f>
        <v>1</v>
      </c>
      <c r="F744" s="290">
        <f>+F743</f>
        <v>1</v>
      </c>
      <c r="G744" s="290">
        <f>+G743</f>
        <v>0</v>
      </c>
      <c r="H744" s="72">
        <f>+H743</f>
        <v>1</v>
      </c>
      <c r="I744" s="75">
        <v>3</v>
      </c>
      <c r="J744" s="74" t="s">
        <v>1319</v>
      </c>
      <c r="K744" s="85"/>
      <c r="L744" s="79" t="s">
        <v>235</v>
      </c>
      <c r="M744" s="18">
        <v>3</v>
      </c>
      <c r="N744" s="18" t="s">
        <v>2010</v>
      </c>
      <c r="O744" s="17" t="s">
        <v>2009</v>
      </c>
      <c r="P744" s="17"/>
      <c r="Q744" s="17" t="s">
        <v>1330</v>
      </c>
      <c r="R744" s="17" t="s">
        <v>922</v>
      </c>
      <c r="S744" s="17"/>
      <c r="T744" s="17" t="str">
        <f>+T743</f>
        <v>BCV131</v>
      </c>
      <c r="U744" s="17"/>
      <c r="V744" s="289" t="str">
        <f>+CONCATENATE(E744,".",F744,"\",G744,".",H744,":",I744)</f>
        <v>1.1\0.1:3</v>
      </c>
      <c r="W744" s="17" t="s">
        <v>2004</v>
      </c>
      <c r="X744" s="17">
        <v>0</v>
      </c>
      <c r="Y744" s="17"/>
      <c r="Z744" s="17"/>
      <c r="AA744" s="17"/>
      <c r="AB744" s="17"/>
      <c r="AC744" s="17"/>
      <c r="AD744" s="17"/>
      <c r="AE744" s="17"/>
      <c r="AF744" s="17"/>
      <c r="AG744" s="64"/>
      <c r="AH744" s="64"/>
      <c r="AI744" s="64"/>
      <c r="AJ744" s="64"/>
      <c r="AK744" s="64"/>
      <c r="AL744" s="264"/>
      <c r="AM744" s="17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</row>
    <row r="745" spans="1:51" s="33" customFormat="1" ht="13.5" thickBot="1" x14ac:dyDescent="0.35">
      <c r="A745" s="63" t="str">
        <f>+A744</f>
        <v>BCV131</v>
      </c>
      <c r="B745" s="18" t="str">
        <f>+B744</f>
        <v>AX01</v>
      </c>
      <c r="C745" s="85" t="str">
        <f>+C744</f>
        <v>SIO1</v>
      </c>
      <c r="D745" s="85" t="str">
        <f>+D744</f>
        <v>SLC01</v>
      </c>
      <c r="E745" s="290">
        <f>+E744</f>
        <v>1</v>
      </c>
      <c r="F745" s="290">
        <f>+F744</f>
        <v>1</v>
      </c>
      <c r="G745" s="290">
        <f>+G744</f>
        <v>0</v>
      </c>
      <c r="H745" s="72">
        <f>+H744</f>
        <v>1</v>
      </c>
      <c r="I745" s="71">
        <v>4</v>
      </c>
      <c r="J745" s="70" t="s">
        <v>1318</v>
      </c>
      <c r="K745" s="85"/>
      <c r="L745" s="79" t="s">
        <v>235</v>
      </c>
      <c r="M745" s="18">
        <v>3</v>
      </c>
      <c r="N745" s="18"/>
      <c r="O745" s="17"/>
      <c r="P745" s="17"/>
      <c r="Q745" s="17" t="s">
        <v>127</v>
      </c>
      <c r="R745" s="17"/>
      <c r="S745" s="17"/>
      <c r="T745" s="17"/>
      <c r="U745" s="17"/>
      <c r="V745" s="289" t="str">
        <f>+CONCATENATE(E745,".",F745,"\",G745,".",H745,":",I745)</f>
        <v>1.1\0.1:4</v>
      </c>
      <c r="W745" s="17" t="s">
        <v>2004</v>
      </c>
      <c r="X745" s="17">
        <v>0</v>
      </c>
      <c r="Y745" s="17"/>
      <c r="Z745" s="17"/>
      <c r="AA745" s="17"/>
      <c r="AB745" s="17"/>
      <c r="AC745" s="17"/>
      <c r="AD745" s="17"/>
      <c r="AE745" s="17"/>
      <c r="AF745" s="17"/>
      <c r="AG745" s="64"/>
      <c r="AH745" s="64"/>
      <c r="AI745" s="64"/>
      <c r="AJ745" s="64"/>
      <c r="AK745" s="64"/>
      <c r="AL745" s="264"/>
      <c r="AM745" s="17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</row>
    <row r="746" spans="1:51" s="33" customFormat="1" x14ac:dyDescent="0.3">
      <c r="A746" s="63" t="str">
        <f>+A745</f>
        <v>BCV131</v>
      </c>
      <c r="B746" s="18" t="str">
        <f>+B745</f>
        <v>AX01</v>
      </c>
      <c r="C746" s="85" t="str">
        <f>+C745</f>
        <v>SIO1</v>
      </c>
      <c r="D746" s="85" t="str">
        <f>+D745</f>
        <v>SLC01</v>
      </c>
      <c r="E746" s="290">
        <f>+E745</f>
        <v>1</v>
      </c>
      <c r="F746" s="290">
        <f>+F745</f>
        <v>1</v>
      </c>
      <c r="G746" s="290">
        <f>+G745</f>
        <v>0</v>
      </c>
      <c r="H746" s="72">
        <v>2</v>
      </c>
      <c r="I746" s="77">
        <v>1</v>
      </c>
      <c r="J746" s="76" t="s">
        <v>269</v>
      </c>
      <c r="K746" s="85">
        <v>1044125</v>
      </c>
      <c r="L746" s="79" t="s">
        <v>244</v>
      </c>
      <c r="M746" s="18">
        <v>3</v>
      </c>
      <c r="N746" s="18" t="s">
        <v>2008</v>
      </c>
      <c r="O746" s="291" t="s">
        <v>284</v>
      </c>
      <c r="P746" s="291"/>
      <c r="Q746" s="291" t="s">
        <v>283</v>
      </c>
      <c r="R746" s="17" t="s">
        <v>211</v>
      </c>
      <c r="S746" s="17"/>
      <c r="T746" s="17" t="str">
        <f>+T737</f>
        <v>BCV131</v>
      </c>
      <c r="U746" s="17"/>
      <c r="V746" s="289" t="str">
        <f>+CONCATENATE(E746,".",F746,"\",G746,".",H746,":",I746)</f>
        <v>1.1\0.2:1</v>
      </c>
      <c r="W746" s="17" t="s">
        <v>2004</v>
      </c>
      <c r="X746" s="17">
        <v>0</v>
      </c>
      <c r="Y746" s="17"/>
      <c r="Z746" s="17"/>
      <c r="AA746" s="17"/>
      <c r="AB746" s="17"/>
      <c r="AC746" s="17"/>
      <c r="AD746" s="17"/>
      <c r="AE746" s="17"/>
      <c r="AF746" s="17"/>
      <c r="AG746" s="64"/>
      <c r="AH746" s="64"/>
      <c r="AI746" s="64"/>
      <c r="AJ746" s="64"/>
      <c r="AK746" s="64"/>
      <c r="AL746" s="264"/>
      <c r="AM746" s="17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</row>
    <row r="747" spans="1:51" s="33" customFormat="1" x14ac:dyDescent="0.3">
      <c r="A747" s="63" t="str">
        <f>+A746</f>
        <v>BCV131</v>
      </c>
      <c r="B747" s="18" t="str">
        <f>+B746</f>
        <v>AX01</v>
      </c>
      <c r="C747" s="85" t="str">
        <f>+C746</f>
        <v>SIO1</v>
      </c>
      <c r="D747" s="85" t="str">
        <f>+D746</f>
        <v>SLC01</v>
      </c>
      <c r="E747" s="290">
        <f>+E746</f>
        <v>1</v>
      </c>
      <c r="F747" s="290">
        <f>+F746</f>
        <v>1</v>
      </c>
      <c r="G747" s="290">
        <f>+G746</f>
        <v>0</v>
      </c>
      <c r="H747" s="72">
        <f>+H746</f>
        <v>2</v>
      </c>
      <c r="I747" s="75">
        <v>2</v>
      </c>
      <c r="J747" s="74" t="s">
        <v>265</v>
      </c>
      <c r="K747" s="85"/>
      <c r="L747" s="79" t="s">
        <v>244</v>
      </c>
      <c r="M747" s="18">
        <v>3</v>
      </c>
      <c r="N747" s="18" t="s">
        <v>2008</v>
      </c>
      <c r="O747" s="291" t="s">
        <v>281</v>
      </c>
      <c r="P747" s="291"/>
      <c r="Q747" s="291" t="s">
        <v>280</v>
      </c>
      <c r="R747" s="17" t="s">
        <v>211</v>
      </c>
      <c r="S747" s="17"/>
      <c r="T747" s="17" t="str">
        <f>+T738</f>
        <v>BCV131</v>
      </c>
      <c r="U747" s="17"/>
      <c r="V747" s="289" t="str">
        <f>+CONCATENATE(E747,".",F747,"\",G747,".",H747,":",I747)</f>
        <v>1.1\0.2:2</v>
      </c>
      <c r="W747" s="17" t="s">
        <v>2004</v>
      </c>
      <c r="X747" s="17">
        <v>0</v>
      </c>
      <c r="Y747" s="17"/>
      <c r="Z747" s="17"/>
      <c r="AA747" s="17"/>
      <c r="AB747" s="17"/>
      <c r="AC747" s="17"/>
      <c r="AD747" s="17"/>
      <c r="AE747" s="17"/>
      <c r="AF747" s="17"/>
      <c r="AG747" s="64"/>
      <c r="AH747" s="64"/>
      <c r="AI747" s="64"/>
      <c r="AJ747" s="64"/>
      <c r="AK747" s="64"/>
      <c r="AL747" s="264"/>
      <c r="AM747" s="17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</row>
    <row r="748" spans="1:51" s="33" customFormat="1" x14ac:dyDescent="0.3">
      <c r="A748" s="63" t="str">
        <f>+A747</f>
        <v>BCV131</v>
      </c>
      <c r="B748" s="18" t="str">
        <f>+B747</f>
        <v>AX01</v>
      </c>
      <c r="C748" s="85" t="str">
        <f>+C747</f>
        <v>SIO1</v>
      </c>
      <c r="D748" s="85" t="str">
        <f>+D747</f>
        <v>SLC01</v>
      </c>
      <c r="E748" s="290">
        <f>+E747</f>
        <v>1</v>
      </c>
      <c r="F748" s="290">
        <f>+F747</f>
        <v>1</v>
      </c>
      <c r="G748" s="290">
        <f>+G747</f>
        <v>0</v>
      </c>
      <c r="H748" s="72">
        <f>+H747</f>
        <v>2</v>
      </c>
      <c r="I748" s="75">
        <v>3</v>
      </c>
      <c r="J748" s="74" t="s">
        <v>261</v>
      </c>
      <c r="K748" s="85"/>
      <c r="L748" s="79" t="s">
        <v>244</v>
      </c>
      <c r="M748" s="18">
        <v>3</v>
      </c>
      <c r="N748" s="18" t="s">
        <v>2006</v>
      </c>
      <c r="O748" s="291" t="s">
        <v>2007</v>
      </c>
      <c r="P748" s="291"/>
      <c r="Q748" s="291" t="s">
        <v>1324</v>
      </c>
      <c r="R748" s="17" t="s">
        <v>211</v>
      </c>
      <c r="S748" s="17"/>
      <c r="T748" s="17" t="str">
        <f>+T739</f>
        <v>BCV131</v>
      </c>
      <c r="U748" s="17"/>
      <c r="V748" s="289" t="str">
        <f>+CONCATENATE(E748,".",F748,"\",G748,".",H748,":",I748)</f>
        <v>1.1\0.2:3</v>
      </c>
      <c r="W748" s="17" t="s">
        <v>2004</v>
      </c>
      <c r="X748" s="17">
        <v>0</v>
      </c>
      <c r="Y748" s="17"/>
      <c r="Z748" s="17"/>
      <c r="AA748" s="17"/>
      <c r="AB748" s="17"/>
      <c r="AC748" s="17"/>
      <c r="AD748" s="17"/>
      <c r="AE748" s="17"/>
      <c r="AF748" s="17"/>
      <c r="AG748" s="64"/>
      <c r="AH748" s="64"/>
      <c r="AI748" s="64"/>
      <c r="AJ748" s="64"/>
      <c r="AK748" s="64"/>
      <c r="AL748" s="264"/>
      <c r="AM748" s="17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</row>
    <row r="749" spans="1:51" s="33" customFormat="1" x14ac:dyDescent="0.3">
      <c r="A749" s="63" t="str">
        <f>+A748</f>
        <v>BCV131</v>
      </c>
      <c r="B749" s="18" t="str">
        <f>+B748</f>
        <v>AX01</v>
      </c>
      <c r="C749" s="85" t="str">
        <f>+C748</f>
        <v>SIO1</v>
      </c>
      <c r="D749" s="85" t="str">
        <f>+D748</f>
        <v>SLC01</v>
      </c>
      <c r="E749" s="290">
        <f>+E748</f>
        <v>1</v>
      </c>
      <c r="F749" s="290">
        <f>+F748</f>
        <v>1</v>
      </c>
      <c r="G749" s="290">
        <f>+G748</f>
        <v>0</v>
      </c>
      <c r="H749" s="72">
        <f>+H748</f>
        <v>2</v>
      </c>
      <c r="I749" s="75">
        <v>4</v>
      </c>
      <c r="J749" s="74" t="s">
        <v>257</v>
      </c>
      <c r="K749" s="85"/>
      <c r="L749" s="79" t="s">
        <v>244</v>
      </c>
      <c r="M749" s="18">
        <v>3</v>
      </c>
      <c r="N749" s="18" t="s">
        <v>2006</v>
      </c>
      <c r="O749" s="291" t="s">
        <v>2005</v>
      </c>
      <c r="P749" s="291"/>
      <c r="Q749" s="291" t="s">
        <v>1322</v>
      </c>
      <c r="R749" s="17" t="s">
        <v>211</v>
      </c>
      <c r="S749" s="17"/>
      <c r="T749" s="17" t="str">
        <f>+T740</f>
        <v>BCV131</v>
      </c>
      <c r="U749" s="17"/>
      <c r="V749" s="289" t="str">
        <f>+CONCATENATE(E749,".",F749,"\",G749,".",H749,":",I749)</f>
        <v>1.1\0.2:4</v>
      </c>
      <c r="W749" s="17" t="s">
        <v>2004</v>
      </c>
      <c r="X749" s="17">
        <v>0</v>
      </c>
      <c r="Y749" s="17"/>
      <c r="Z749" s="17"/>
      <c r="AA749" s="17"/>
      <c r="AB749" s="17"/>
      <c r="AC749" s="17"/>
      <c r="AD749" s="17"/>
      <c r="AE749" s="17"/>
      <c r="AF749" s="17"/>
      <c r="AG749" s="64"/>
      <c r="AH749" s="64"/>
      <c r="AI749" s="64"/>
      <c r="AJ749" s="64"/>
      <c r="AK749" s="64"/>
      <c r="AL749" s="264"/>
      <c r="AM749" s="17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</row>
    <row r="750" spans="1:51" s="33" customFormat="1" x14ac:dyDescent="0.3">
      <c r="A750" s="63" t="str">
        <f>+A749</f>
        <v>BCV131</v>
      </c>
      <c r="B750" s="18" t="str">
        <f>+B749</f>
        <v>AX01</v>
      </c>
      <c r="C750" s="85" t="str">
        <f>+C749</f>
        <v>SIO1</v>
      </c>
      <c r="D750" s="85" t="str">
        <f>+D749</f>
        <v>SLC01</v>
      </c>
      <c r="E750" s="290">
        <f>+E749</f>
        <v>1</v>
      </c>
      <c r="F750" s="290">
        <f>+F749</f>
        <v>1</v>
      </c>
      <c r="G750" s="290">
        <f>+G749</f>
        <v>0</v>
      </c>
      <c r="H750" s="72">
        <f>+H749</f>
        <v>2</v>
      </c>
      <c r="I750" s="75">
        <v>5</v>
      </c>
      <c r="J750" s="74" t="s">
        <v>1325</v>
      </c>
      <c r="K750" s="85"/>
      <c r="L750" s="79" t="s">
        <v>244</v>
      </c>
      <c r="M750" s="18">
        <v>3</v>
      </c>
      <c r="N750" s="18"/>
      <c r="O750" s="291"/>
      <c r="P750" s="291"/>
      <c r="Q750" s="291" t="s">
        <v>127</v>
      </c>
      <c r="R750" s="17"/>
      <c r="S750" s="17"/>
      <c r="T750" s="17"/>
      <c r="U750" s="17"/>
      <c r="V750" s="289" t="str">
        <f>+CONCATENATE(E750,".",F750,"\",G750,".",H750,":",I750)</f>
        <v>1.1\0.2:5</v>
      </c>
      <c r="W750" s="17" t="s">
        <v>2004</v>
      </c>
      <c r="X750" s="17">
        <v>0</v>
      </c>
      <c r="Y750" s="17"/>
      <c r="Z750" s="17"/>
      <c r="AA750" s="17"/>
      <c r="AB750" s="17"/>
      <c r="AC750" s="17"/>
      <c r="AD750" s="17"/>
      <c r="AE750" s="17"/>
      <c r="AF750" s="17"/>
      <c r="AG750" s="64"/>
      <c r="AH750" s="64"/>
      <c r="AI750" s="64"/>
      <c r="AJ750" s="64"/>
      <c r="AK750" s="64"/>
      <c r="AL750" s="264"/>
      <c r="AM750" s="17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</row>
    <row r="751" spans="1:51" s="33" customFormat="1" x14ac:dyDescent="0.3">
      <c r="A751" s="63" t="str">
        <f>+A750</f>
        <v>BCV131</v>
      </c>
      <c r="B751" s="18" t="str">
        <f>+B750</f>
        <v>AX01</v>
      </c>
      <c r="C751" s="85" t="str">
        <f>+C750</f>
        <v>SIO1</v>
      </c>
      <c r="D751" s="85" t="str">
        <f>+D750</f>
        <v>SLC01</v>
      </c>
      <c r="E751" s="290">
        <f>+E750</f>
        <v>1</v>
      </c>
      <c r="F751" s="290">
        <f>+F750</f>
        <v>1</v>
      </c>
      <c r="G751" s="290">
        <f>+G750</f>
        <v>0</v>
      </c>
      <c r="H751" s="72">
        <f>+H750</f>
        <v>2</v>
      </c>
      <c r="I751" s="75">
        <v>6</v>
      </c>
      <c r="J751" s="74" t="s">
        <v>1323</v>
      </c>
      <c r="K751" s="85"/>
      <c r="L751" s="79" t="s">
        <v>244</v>
      </c>
      <c r="M751" s="18">
        <v>3</v>
      </c>
      <c r="N751" s="18"/>
      <c r="O751" s="291"/>
      <c r="P751" s="291"/>
      <c r="Q751" s="291"/>
      <c r="R751" s="17"/>
      <c r="S751" s="17"/>
      <c r="T751" s="17"/>
      <c r="U751" s="17"/>
      <c r="V751" s="289" t="str">
        <f>+CONCATENATE(E751,".",F751,"\",G751,".",H751,":",I751)</f>
        <v>1.1\0.2:6</v>
      </c>
      <c r="W751" s="17" t="s">
        <v>2004</v>
      </c>
      <c r="X751" s="17">
        <v>0</v>
      </c>
      <c r="Y751" s="17"/>
      <c r="Z751" s="17"/>
      <c r="AA751" s="17"/>
      <c r="AB751" s="17"/>
      <c r="AC751" s="17"/>
      <c r="AD751" s="17"/>
      <c r="AE751" s="17"/>
      <c r="AF751" s="17"/>
      <c r="AG751" s="64"/>
      <c r="AH751" s="64"/>
      <c r="AI751" s="64"/>
      <c r="AJ751" s="64"/>
      <c r="AK751" s="64"/>
      <c r="AL751" s="264"/>
      <c r="AM751" s="17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</row>
    <row r="752" spans="1:51" s="33" customFormat="1" x14ac:dyDescent="0.3">
      <c r="A752" s="63" t="str">
        <f>+A751</f>
        <v>BCV131</v>
      </c>
      <c r="B752" s="18" t="str">
        <f>+B751</f>
        <v>AX01</v>
      </c>
      <c r="C752" s="85" t="str">
        <f>+C751</f>
        <v>SIO1</v>
      </c>
      <c r="D752" s="85" t="str">
        <f>+D751</f>
        <v>SLC01</v>
      </c>
      <c r="E752" s="290">
        <f>+E751</f>
        <v>1</v>
      </c>
      <c r="F752" s="290">
        <f>+F751</f>
        <v>1</v>
      </c>
      <c r="G752" s="290">
        <f>+G751</f>
        <v>0</v>
      </c>
      <c r="H752" s="72">
        <f>+H751</f>
        <v>2</v>
      </c>
      <c r="I752" s="75">
        <v>7</v>
      </c>
      <c r="J752" s="74" t="s">
        <v>246</v>
      </c>
      <c r="K752" s="85"/>
      <c r="L752" s="79" t="s">
        <v>244</v>
      </c>
      <c r="M752" s="18">
        <v>3</v>
      </c>
      <c r="N752" s="18"/>
      <c r="O752" s="291"/>
      <c r="P752" s="291"/>
      <c r="Q752" s="291"/>
      <c r="R752" s="17"/>
      <c r="S752" s="17"/>
      <c r="T752" s="17"/>
      <c r="U752" s="17"/>
      <c r="V752" s="289" t="str">
        <f>+CONCATENATE(E752,".",F752,"\",G752,".",H752,":",I752)</f>
        <v>1.1\0.2:7</v>
      </c>
      <c r="W752" s="17" t="s">
        <v>2004</v>
      </c>
      <c r="X752" s="17">
        <v>0</v>
      </c>
      <c r="Y752" s="17"/>
      <c r="Z752" s="17"/>
      <c r="AA752" s="17"/>
      <c r="AB752" s="17"/>
      <c r="AC752" s="17"/>
      <c r="AD752" s="17"/>
      <c r="AE752" s="17"/>
      <c r="AF752" s="17"/>
      <c r="AG752" s="64"/>
      <c r="AH752" s="64"/>
      <c r="AI752" s="64"/>
      <c r="AJ752" s="64"/>
      <c r="AK752" s="64"/>
      <c r="AL752" s="264"/>
      <c r="AM752" s="17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</row>
    <row r="753" spans="1:51" s="33" customFormat="1" x14ac:dyDescent="0.3">
      <c r="A753" s="63" t="str">
        <f>+A752</f>
        <v>BCV131</v>
      </c>
      <c r="B753" s="18" t="str">
        <f>+B752</f>
        <v>AX01</v>
      </c>
      <c r="C753" s="85" t="str">
        <f>+C752</f>
        <v>SIO1</v>
      </c>
      <c r="D753" s="85" t="str">
        <f>+D752</f>
        <v>SLC01</v>
      </c>
      <c r="E753" s="290">
        <f>+E752</f>
        <v>1</v>
      </c>
      <c r="F753" s="290">
        <f>+F752</f>
        <v>1</v>
      </c>
      <c r="G753" s="290">
        <f>+G752</f>
        <v>0</v>
      </c>
      <c r="H753" s="72">
        <f>+H752</f>
        <v>2</v>
      </c>
      <c r="I753" s="75">
        <v>8</v>
      </c>
      <c r="J753" s="74" t="s">
        <v>245</v>
      </c>
      <c r="K753" s="85"/>
      <c r="L753" s="79" t="s">
        <v>244</v>
      </c>
      <c r="M753" s="18">
        <v>3</v>
      </c>
      <c r="N753" s="18"/>
      <c r="O753" s="291"/>
      <c r="P753" s="291"/>
      <c r="Q753" s="291"/>
      <c r="R753" s="17"/>
      <c r="S753" s="17"/>
      <c r="T753" s="17"/>
      <c r="U753" s="17"/>
      <c r="V753" s="289" t="str">
        <f>+CONCATENATE(E753,".",F753,"\",G753,".",H753,":",I753)</f>
        <v>1.1\0.2:8</v>
      </c>
      <c r="W753" s="17" t="s">
        <v>2004</v>
      </c>
      <c r="X753" s="17">
        <v>0</v>
      </c>
      <c r="Y753" s="17"/>
      <c r="Z753" s="17"/>
      <c r="AA753" s="17"/>
      <c r="AB753" s="17"/>
      <c r="AC753" s="17"/>
      <c r="AD753" s="17"/>
      <c r="AE753" s="17"/>
      <c r="AF753" s="17"/>
      <c r="AG753" s="64"/>
      <c r="AH753" s="64"/>
      <c r="AI753" s="64"/>
      <c r="AJ753" s="64"/>
      <c r="AK753" s="64"/>
      <c r="AL753" s="264"/>
      <c r="AM753" s="17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</row>
    <row r="754" spans="1:51" s="33" customFormat="1" x14ac:dyDescent="0.3">
      <c r="A754" s="63" t="str">
        <f>+A753</f>
        <v>BCV131</v>
      </c>
      <c r="B754" s="18" t="str">
        <f>+B753</f>
        <v>AX01</v>
      </c>
      <c r="C754" s="85" t="str">
        <f>+C753</f>
        <v>SIO1</v>
      </c>
      <c r="D754" s="85" t="str">
        <f>+D753</f>
        <v>SLC01</v>
      </c>
      <c r="E754" s="290">
        <f>+E753</f>
        <v>1</v>
      </c>
      <c r="F754" s="290">
        <f>+F753</f>
        <v>1</v>
      </c>
      <c r="G754" s="290">
        <f>+G753</f>
        <v>0</v>
      </c>
      <c r="H754" s="72">
        <f>+H753</f>
        <v>2</v>
      </c>
      <c r="I754" s="75">
        <v>1</v>
      </c>
      <c r="J754" s="81" t="s">
        <v>1321</v>
      </c>
      <c r="K754" s="85"/>
      <c r="L754" s="79" t="s">
        <v>235</v>
      </c>
      <c r="M754" s="18">
        <v>3</v>
      </c>
      <c r="N754" s="18"/>
      <c r="O754" s="78"/>
      <c r="P754" s="78"/>
      <c r="Q754" s="78"/>
      <c r="R754" s="78"/>
      <c r="S754" s="78"/>
      <c r="T754" s="78"/>
      <c r="U754" s="17"/>
      <c r="V754" s="289" t="str">
        <f>+CONCATENATE(E754,".",F754,"\",G754,".",H754,":",I754)</f>
        <v>1.1\0.2:1</v>
      </c>
      <c r="W754" s="17" t="s">
        <v>2004</v>
      </c>
      <c r="X754" s="17">
        <v>0</v>
      </c>
      <c r="Y754" s="17"/>
      <c r="Z754" s="17"/>
      <c r="AA754" s="17"/>
      <c r="AB754" s="46"/>
      <c r="AC754" s="17"/>
      <c r="AD754" s="17"/>
      <c r="AE754" s="17"/>
      <c r="AF754" s="17"/>
      <c r="AG754" s="64"/>
      <c r="AH754" s="64"/>
      <c r="AI754" s="64"/>
      <c r="AJ754" s="64"/>
      <c r="AK754" s="64"/>
      <c r="AL754" s="264"/>
      <c r="AM754" s="17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</row>
    <row r="755" spans="1:51" s="33" customFormat="1" x14ac:dyDescent="0.3">
      <c r="A755" s="63" t="str">
        <f>+A754</f>
        <v>BCV131</v>
      </c>
      <c r="B755" s="18" t="str">
        <f>+B754</f>
        <v>AX01</v>
      </c>
      <c r="C755" s="85" t="str">
        <f>+C754</f>
        <v>SIO1</v>
      </c>
      <c r="D755" s="85" t="str">
        <f>+D754</f>
        <v>SLC01</v>
      </c>
      <c r="E755" s="290">
        <f>+E754</f>
        <v>1</v>
      </c>
      <c r="F755" s="290">
        <f>+F754</f>
        <v>1</v>
      </c>
      <c r="G755" s="290">
        <f>+G754</f>
        <v>0</v>
      </c>
      <c r="H755" s="72">
        <f>+H754</f>
        <v>2</v>
      </c>
      <c r="I755" s="75">
        <v>2</v>
      </c>
      <c r="J755" s="74" t="s">
        <v>1320</v>
      </c>
      <c r="K755" s="85"/>
      <c r="L755" s="79" t="s">
        <v>235</v>
      </c>
      <c r="M755" s="18">
        <v>3</v>
      </c>
      <c r="N755" s="18"/>
      <c r="O755" s="78"/>
      <c r="P755" s="78"/>
      <c r="Q755" s="78"/>
      <c r="R755" s="78"/>
      <c r="S755" s="78"/>
      <c r="T755" s="78"/>
      <c r="U755" s="17"/>
      <c r="V755" s="289" t="str">
        <f>+CONCATENATE(E755,".",F755,"\",G755,".",H755,":",I755)</f>
        <v>1.1\0.2:2</v>
      </c>
      <c r="W755" s="17" t="s">
        <v>2004</v>
      </c>
      <c r="X755" s="17">
        <v>0</v>
      </c>
      <c r="Y755" s="17"/>
      <c r="Z755" s="17"/>
      <c r="AA755" s="17"/>
      <c r="AB755" s="46"/>
      <c r="AC755" s="17"/>
      <c r="AD755" s="17"/>
      <c r="AE755" s="17"/>
      <c r="AF755" s="17"/>
      <c r="AG755" s="64"/>
      <c r="AH755" s="64"/>
      <c r="AI755" s="64"/>
      <c r="AJ755" s="64"/>
      <c r="AK755" s="64"/>
      <c r="AL755" s="264"/>
      <c r="AM755" s="17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</row>
    <row r="756" spans="1:51" s="33" customFormat="1" x14ac:dyDescent="0.3">
      <c r="A756" s="63" t="str">
        <f>+A755</f>
        <v>BCV131</v>
      </c>
      <c r="B756" s="18" t="str">
        <f>+B755</f>
        <v>AX01</v>
      </c>
      <c r="C756" s="85" t="str">
        <f>+C755</f>
        <v>SIO1</v>
      </c>
      <c r="D756" s="85" t="str">
        <f>+D755</f>
        <v>SLC01</v>
      </c>
      <c r="E756" s="290">
        <f>+E755</f>
        <v>1</v>
      </c>
      <c r="F756" s="290">
        <f>+F755</f>
        <v>1</v>
      </c>
      <c r="G756" s="290">
        <f>+G755</f>
        <v>0</v>
      </c>
      <c r="H756" s="72">
        <f>+H755</f>
        <v>2</v>
      </c>
      <c r="I756" s="75">
        <v>3</v>
      </c>
      <c r="J756" s="74" t="s">
        <v>1319</v>
      </c>
      <c r="K756" s="85"/>
      <c r="L756" s="79" t="s">
        <v>235</v>
      </c>
      <c r="M756" s="18">
        <v>3</v>
      </c>
      <c r="N756" s="18"/>
      <c r="O756" s="78"/>
      <c r="P756" s="78"/>
      <c r="Q756" s="78"/>
      <c r="R756" s="78"/>
      <c r="S756" s="78"/>
      <c r="T756" s="78"/>
      <c r="U756" s="17"/>
      <c r="V756" s="289" t="str">
        <f>+CONCATENATE(E756,".",F756,"\",G756,".",H756,":",I756)</f>
        <v>1.1\0.2:3</v>
      </c>
      <c r="W756" s="17" t="s">
        <v>2004</v>
      </c>
      <c r="X756" s="17">
        <v>0</v>
      </c>
      <c r="Y756" s="17"/>
      <c r="Z756" s="17"/>
      <c r="AA756" s="17"/>
      <c r="AB756" s="46"/>
      <c r="AC756" s="17"/>
      <c r="AD756" s="17"/>
      <c r="AE756" s="17"/>
      <c r="AF756" s="17"/>
      <c r="AG756" s="64"/>
      <c r="AH756" s="64"/>
      <c r="AI756" s="64"/>
      <c r="AJ756" s="64"/>
      <c r="AK756" s="64"/>
      <c r="AL756" s="264"/>
      <c r="AM756" s="17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</row>
    <row r="757" spans="1:51" s="33" customFormat="1" ht="13.5" thickBot="1" x14ac:dyDescent="0.35">
      <c r="A757" s="63" t="str">
        <f>+A756</f>
        <v>BCV131</v>
      </c>
      <c r="B757" s="18" t="str">
        <f>+B756</f>
        <v>AX01</v>
      </c>
      <c r="C757" s="85" t="str">
        <f>+C756</f>
        <v>SIO1</v>
      </c>
      <c r="D757" s="85" t="str">
        <f>+D756</f>
        <v>SLC01</v>
      </c>
      <c r="E757" s="290">
        <f>+E756</f>
        <v>1</v>
      </c>
      <c r="F757" s="290">
        <f>+F756</f>
        <v>1</v>
      </c>
      <c r="G757" s="290">
        <f>+G756</f>
        <v>0</v>
      </c>
      <c r="H757" s="72">
        <f>+H756</f>
        <v>2</v>
      </c>
      <c r="I757" s="71">
        <v>4</v>
      </c>
      <c r="J757" s="70" t="s">
        <v>1318</v>
      </c>
      <c r="K757" s="85"/>
      <c r="L757" s="79" t="s">
        <v>235</v>
      </c>
      <c r="M757" s="18">
        <v>3</v>
      </c>
      <c r="N757" s="18"/>
      <c r="O757" s="17"/>
      <c r="P757" s="17"/>
      <c r="Q757" s="17"/>
      <c r="R757" s="17"/>
      <c r="S757" s="17"/>
      <c r="T757" s="17"/>
      <c r="U757" s="17"/>
      <c r="V757" s="289" t="str">
        <f>+CONCATENATE(E757,".",F757,"\",G757,".",H757,":",I757)</f>
        <v>1.1\0.2:4</v>
      </c>
      <c r="W757" s="17" t="s">
        <v>2004</v>
      </c>
      <c r="X757" s="17">
        <v>0</v>
      </c>
      <c r="Y757" s="17"/>
      <c r="Z757" s="17"/>
      <c r="AA757" s="17"/>
      <c r="AB757" s="46"/>
      <c r="AC757" s="17"/>
      <c r="AD757" s="17"/>
      <c r="AE757" s="17"/>
      <c r="AF757" s="17"/>
      <c r="AG757" s="64"/>
      <c r="AH757" s="64"/>
      <c r="AI757" s="64"/>
      <c r="AJ757" s="64"/>
      <c r="AK757" s="64"/>
      <c r="AL757" s="264"/>
      <c r="AM757" s="17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</row>
    <row r="758" spans="1:51" s="33" customFormat="1" x14ac:dyDescent="0.3">
      <c r="A758" s="63"/>
      <c r="B758" s="18"/>
      <c r="C758" s="85"/>
      <c r="D758" s="85"/>
      <c r="E758" s="290"/>
      <c r="F758" s="290"/>
      <c r="G758" s="290"/>
      <c r="H758" s="18"/>
      <c r="I758" s="18"/>
      <c r="J758" s="18"/>
      <c r="K758" s="85"/>
      <c r="L758" s="79"/>
      <c r="M758" s="17"/>
      <c r="N758" s="17"/>
      <c r="O758" s="17"/>
      <c r="P758" s="17"/>
      <c r="Q758" s="68"/>
      <c r="R758" s="68"/>
      <c r="S758" s="68"/>
      <c r="T758" s="68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64"/>
      <c r="AH758" s="64"/>
      <c r="AI758" s="64"/>
      <c r="AJ758" s="64"/>
      <c r="AK758" s="64"/>
      <c r="AL758" s="264"/>
      <c r="AM758" s="84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</row>
    <row r="759" spans="1:51" s="33" customFormat="1" x14ac:dyDescent="0.3">
      <c r="A759" s="63"/>
      <c r="B759" s="18"/>
      <c r="C759" s="85"/>
      <c r="D759" s="85"/>
      <c r="E759" s="290"/>
      <c r="F759" s="290"/>
      <c r="G759" s="290"/>
      <c r="H759" s="18"/>
      <c r="I759" s="18"/>
      <c r="J759" s="18"/>
      <c r="K759" s="85"/>
      <c r="L759" s="79"/>
      <c r="M759" s="17"/>
      <c r="N759" s="17"/>
      <c r="O759" s="17"/>
      <c r="P759" s="17"/>
      <c r="Q759" s="68"/>
      <c r="R759" s="68"/>
      <c r="S759" s="68"/>
      <c r="T759" s="68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64"/>
      <c r="AH759" s="64"/>
      <c r="AI759" s="64"/>
      <c r="AJ759" s="64"/>
      <c r="AK759" s="64"/>
      <c r="AL759" s="264"/>
      <c r="AM759" s="84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</row>
    <row r="760" spans="1:51" s="33" customFormat="1" x14ac:dyDescent="0.3">
      <c r="A760" s="63"/>
      <c r="B760" s="18"/>
      <c r="C760" s="85"/>
      <c r="D760" s="85"/>
      <c r="E760" s="290"/>
      <c r="F760" s="290"/>
      <c r="G760" s="290"/>
      <c r="H760" s="18"/>
      <c r="I760" s="18"/>
      <c r="J760" s="18"/>
      <c r="K760" s="85"/>
      <c r="L760" s="79"/>
      <c r="M760" s="17"/>
      <c r="N760" s="17"/>
      <c r="O760" s="17"/>
      <c r="P760" s="17"/>
      <c r="Q760" s="68"/>
      <c r="R760" s="68"/>
      <c r="S760" s="68"/>
      <c r="T760" s="68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64"/>
      <c r="AH760" s="64"/>
      <c r="AI760" s="64"/>
      <c r="AJ760" s="64"/>
      <c r="AK760" s="64"/>
      <c r="AL760" s="264"/>
      <c r="AM760" s="84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</row>
    <row r="761" spans="1:51" s="83" customFormat="1" ht="15.5" x14ac:dyDescent="0.35">
      <c r="A761" s="297"/>
      <c r="B761" s="96" t="s">
        <v>2003</v>
      </c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87"/>
      <c r="O761" s="256"/>
      <c r="P761" s="287"/>
      <c r="Q761" s="256"/>
      <c r="R761" s="256"/>
      <c r="S761" s="256"/>
      <c r="T761" s="256"/>
      <c r="U761" s="256"/>
      <c r="V761" s="256"/>
      <c r="W761" s="287"/>
      <c r="X761" s="256"/>
      <c r="Y761" s="256"/>
      <c r="Z761" s="46"/>
      <c r="AA761" s="46"/>
      <c r="AB761" s="17"/>
      <c r="AC761" s="46"/>
      <c r="AD761" s="46"/>
      <c r="AE761" s="46"/>
      <c r="AF761" s="46"/>
      <c r="AG761" s="92"/>
      <c r="AH761" s="92"/>
      <c r="AI761" s="92"/>
      <c r="AJ761" s="92"/>
      <c r="AK761" s="92"/>
      <c r="AL761" s="284"/>
      <c r="AM761" s="94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</row>
    <row r="762" spans="1:51" s="18" customFormat="1" thickBot="1" x14ac:dyDescent="0.3"/>
    <row r="763" spans="1:51" s="33" customFormat="1" ht="13.5" thickBot="1" x14ac:dyDescent="0.35">
      <c r="A763" s="162" t="s">
        <v>2002</v>
      </c>
      <c r="B763" s="17" t="s">
        <v>1978</v>
      </c>
      <c r="C763" s="18" t="s">
        <v>723</v>
      </c>
      <c r="D763" s="18">
        <v>132</v>
      </c>
      <c r="E763" s="84">
        <v>2</v>
      </c>
      <c r="F763" s="84">
        <v>8</v>
      </c>
      <c r="G763" s="84">
        <v>0</v>
      </c>
      <c r="H763" s="214"/>
      <c r="I763" s="245"/>
      <c r="J763" s="244"/>
      <c r="K763" s="18"/>
      <c r="L763" s="83"/>
      <c r="M763" s="83"/>
      <c r="N763" s="83"/>
      <c r="O763" s="83" t="s">
        <v>2001</v>
      </c>
      <c r="P763" s="83"/>
      <c r="Q763" s="83"/>
      <c r="R763" s="83"/>
      <c r="S763" s="83"/>
      <c r="T763" s="83"/>
      <c r="U763" s="83"/>
      <c r="V763" s="83"/>
      <c r="W763" s="83"/>
      <c r="X763" s="83"/>
      <c r="Y763" s="20"/>
      <c r="Z763" s="20"/>
      <c r="AA763" s="20"/>
      <c r="AB763" s="17"/>
      <c r="AC763" s="20"/>
      <c r="AD763" s="20"/>
      <c r="AE763" s="20"/>
      <c r="AF763" s="20"/>
      <c r="AG763" s="92"/>
      <c r="AH763" s="92"/>
      <c r="AI763" s="92"/>
      <c r="AJ763" s="92"/>
      <c r="AK763" s="92"/>
      <c r="AL763" s="284"/>
      <c r="AM763" s="17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</row>
    <row r="764" spans="1:51" s="33" customFormat="1" ht="13.5" thickBot="1" x14ac:dyDescent="0.35">
      <c r="A764" s="268" t="s">
        <v>194</v>
      </c>
      <c r="B764" s="17" t="s">
        <v>1978</v>
      </c>
      <c r="C764" s="18" t="str">
        <f>+C763</f>
        <v>DIO1</v>
      </c>
      <c r="D764" s="18">
        <v>132</v>
      </c>
      <c r="E764" s="84">
        <f>+E763</f>
        <v>2</v>
      </c>
      <c r="F764" s="84">
        <f>+F763</f>
        <v>8</v>
      </c>
      <c r="G764" s="84">
        <v>0</v>
      </c>
      <c r="H764" s="83"/>
      <c r="I764" s="245" t="s">
        <v>1090</v>
      </c>
      <c r="J764" s="246"/>
      <c r="K764" s="17" t="s">
        <v>1089</v>
      </c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20"/>
      <c r="Z764" s="20"/>
      <c r="AA764" s="20"/>
      <c r="AB764" s="17"/>
      <c r="AC764" s="20"/>
      <c r="AD764" s="20"/>
      <c r="AE764" s="20"/>
      <c r="AF764" s="20"/>
      <c r="AG764" s="92"/>
      <c r="AH764" s="92"/>
      <c r="AI764" s="92"/>
      <c r="AJ764" s="92"/>
      <c r="AK764" s="92"/>
      <c r="AL764" s="284"/>
      <c r="AM764" s="17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</row>
    <row r="765" spans="1:51" s="33" customFormat="1" ht="13.5" thickBot="1" x14ac:dyDescent="0.35">
      <c r="A765" s="268" t="s">
        <v>194</v>
      </c>
      <c r="B765" s="17" t="s">
        <v>1978</v>
      </c>
      <c r="C765" s="18" t="str">
        <f>+C764</f>
        <v>DIO1</v>
      </c>
      <c r="D765" s="18">
        <v>132</v>
      </c>
      <c r="E765" s="84">
        <f>+E764</f>
        <v>2</v>
      </c>
      <c r="F765" s="84">
        <f>+F764</f>
        <v>8</v>
      </c>
      <c r="G765" s="84">
        <v>0</v>
      </c>
      <c r="H765" s="83"/>
      <c r="I765" s="245" t="s">
        <v>1088</v>
      </c>
      <c r="J765" s="246"/>
      <c r="K765" s="18" t="s">
        <v>1087</v>
      </c>
      <c r="L765" s="83"/>
      <c r="M765" s="242" t="s">
        <v>1086</v>
      </c>
      <c r="N765" s="84"/>
      <c r="O765" s="242" t="s">
        <v>1085</v>
      </c>
      <c r="P765" s="84"/>
      <c r="Q765" s="242" t="s">
        <v>1084</v>
      </c>
      <c r="R765" s="83"/>
      <c r="S765" s="83"/>
      <c r="T765" s="83"/>
      <c r="U765" s="83"/>
      <c r="V765" s="83"/>
      <c r="W765" s="83"/>
      <c r="X765" s="83"/>
      <c r="Y765" s="20"/>
      <c r="Z765" s="20"/>
      <c r="AA765" s="20"/>
      <c r="AB765" s="17"/>
      <c r="AC765" s="20"/>
      <c r="AD765" s="20"/>
      <c r="AE765" s="20"/>
      <c r="AF765" s="20"/>
      <c r="AG765" s="92"/>
      <c r="AH765" s="92"/>
      <c r="AI765" s="92"/>
      <c r="AJ765" s="92"/>
      <c r="AK765" s="92"/>
      <c r="AL765" s="284"/>
      <c r="AM765" s="17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</row>
    <row r="766" spans="1:51" s="33" customFormat="1" ht="13.5" thickBot="1" x14ac:dyDescent="0.35">
      <c r="A766" s="268" t="s">
        <v>194</v>
      </c>
      <c r="B766" s="17" t="s">
        <v>1978</v>
      </c>
      <c r="C766" s="18" t="str">
        <f>+C765</f>
        <v>DIO1</v>
      </c>
      <c r="D766" s="18">
        <v>132</v>
      </c>
      <c r="E766" s="84">
        <f>+E765</f>
        <v>2</v>
      </c>
      <c r="F766" s="84">
        <f>+F765</f>
        <v>8</v>
      </c>
      <c r="G766" s="84">
        <v>0</v>
      </c>
      <c r="H766" s="65">
        <v>0</v>
      </c>
      <c r="I766" s="245" t="s">
        <v>1083</v>
      </c>
      <c r="J766" s="244"/>
      <c r="K766" s="17" t="s">
        <v>1082</v>
      </c>
      <c r="L766" s="99" t="s">
        <v>1314</v>
      </c>
      <c r="M766" s="242">
        <f>+COUNTA(L767:L854)</f>
        <v>56</v>
      </c>
      <c r="N766" s="84"/>
      <c r="O766" s="242">
        <f>+COUNTBLANK(O767:O854)</f>
        <v>71</v>
      </c>
      <c r="P766" s="84"/>
      <c r="Q766" s="241">
        <f>+O766/M766</f>
        <v>1.2678571428571428</v>
      </c>
      <c r="R766" s="17"/>
      <c r="S766" s="17"/>
      <c r="T766" s="17"/>
      <c r="U766" s="17"/>
      <c r="V766" s="17"/>
      <c r="W766" s="17"/>
      <c r="X766" s="17"/>
      <c r="Y766" s="20"/>
      <c r="Z766" s="20"/>
      <c r="AA766" s="20"/>
      <c r="AC766" s="20"/>
      <c r="AD766" s="20"/>
      <c r="AE766" s="20"/>
      <c r="AF766" s="20"/>
      <c r="AG766" s="64"/>
      <c r="AH766" s="64"/>
      <c r="AI766" s="64"/>
      <c r="AJ766" s="64"/>
      <c r="AK766" s="64"/>
      <c r="AL766" s="264"/>
      <c r="AM766" s="17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</row>
    <row r="767" spans="1:51" s="33" customFormat="1" ht="14.5" x14ac:dyDescent="0.35">
      <c r="A767" s="268" t="s">
        <v>194</v>
      </c>
      <c r="B767" s="17" t="s">
        <v>1978</v>
      </c>
      <c r="C767" s="18" t="str">
        <f>+C766</f>
        <v>DIO1</v>
      </c>
      <c r="D767" s="18">
        <v>132</v>
      </c>
      <c r="E767" s="84">
        <f>+E766</f>
        <v>2</v>
      </c>
      <c r="F767" s="84">
        <f>+F766</f>
        <v>8</v>
      </c>
      <c r="G767" s="84">
        <v>0</v>
      </c>
      <c r="H767" s="202">
        <v>1</v>
      </c>
      <c r="I767" s="188">
        <v>0</v>
      </c>
      <c r="J767" s="279" t="s">
        <v>767</v>
      </c>
      <c r="K767" s="18" t="s">
        <v>766</v>
      </c>
      <c r="L767" s="17" t="s">
        <v>323</v>
      </c>
      <c r="M767" s="18">
        <v>4</v>
      </c>
      <c r="N767" s="300"/>
      <c r="O767" s="17" t="s">
        <v>646</v>
      </c>
      <c r="P767" s="59"/>
      <c r="Q767" s="17" t="s">
        <v>1313</v>
      </c>
      <c r="R767" s="17" t="s">
        <v>247</v>
      </c>
      <c r="S767" s="17" t="s">
        <v>1312</v>
      </c>
      <c r="T767" s="18" t="s">
        <v>1998</v>
      </c>
      <c r="U767" s="17"/>
      <c r="V767" s="17" t="str">
        <f>+CONCATENATE(E767,".",F767,"\",G767,".",H767,":",I767)</f>
        <v>2.8\0.1:0</v>
      </c>
      <c r="W767" s="17" t="s">
        <v>1997</v>
      </c>
      <c r="X767" s="272">
        <v>0</v>
      </c>
      <c r="Y767" s="20"/>
      <c r="Z767" s="20" t="s">
        <v>1200</v>
      </c>
      <c r="AA767" s="20"/>
      <c r="AB767" s="17"/>
      <c r="AC767" s="20"/>
      <c r="AD767" s="20"/>
      <c r="AE767" s="20"/>
      <c r="AF767" s="17"/>
      <c r="AG767" s="64" t="s">
        <v>1079</v>
      </c>
      <c r="AH767" s="64"/>
      <c r="AI767" s="64">
        <v>1</v>
      </c>
      <c r="AJ767" s="64"/>
      <c r="AK767" s="64"/>
      <c r="AL767" s="264"/>
      <c r="AM767" s="84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</row>
    <row r="768" spans="1:51" s="33" customFormat="1" ht="14.5" x14ac:dyDescent="0.35">
      <c r="A768" s="63" t="str">
        <f>A767</f>
        <v>BCV131</v>
      </c>
      <c r="B768" s="17" t="s">
        <v>1978</v>
      </c>
      <c r="C768" s="18" t="str">
        <f>+C767</f>
        <v>DIO1</v>
      </c>
      <c r="D768" s="18">
        <v>132</v>
      </c>
      <c r="E768" s="84">
        <f>+E767</f>
        <v>2</v>
      </c>
      <c r="F768" s="84">
        <f>+F767</f>
        <v>8</v>
      </c>
      <c r="G768" s="84">
        <v>0</v>
      </c>
      <c r="H768" s="200">
        <f>H767</f>
        <v>1</v>
      </c>
      <c r="I768" s="187">
        <f>+I767+1</f>
        <v>1</v>
      </c>
      <c r="J768" s="205"/>
      <c r="K768" s="17"/>
      <c r="L768" s="17" t="s">
        <v>323</v>
      </c>
      <c r="M768" s="18">
        <v>4</v>
      </c>
      <c r="N768" s="300"/>
      <c r="O768" s="17" t="s">
        <v>770</v>
      </c>
      <c r="P768" s="59"/>
      <c r="Q768" s="17" t="s">
        <v>1311</v>
      </c>
      <c r="R768" s="17" t="s">
        <v>211</v>
      </c>
      <c r="S768" s="17" t="s">
        <v>1310</v>
      </c>
      <c r="T768" s="18" t="s">
        <v>1998</v>
      </c>
      <c r="U768" s="17"/>
      <c r="V768" s="17" t="str">
        <f>+CONCATENATE(E768,".",F768,"\",G768,".",H768,":",I768)</f>
        <v>2.8\0.1:1</v>
      </c>
      <c r="W768" s="17" t="s">
        <v>1997</v>
      </c>
      <c r="X768" s="272">
        <v>0</v>
      </c>
      <c r="Y768" s="20"/>
      <c r="Z768" s="20" t="s">
        <v>1200</v>
      </c>
      <c r="AA768" s="20"/>
      <c r="AB768" s="17"/>
      <c r="AC768" s="20"/>
      <c r="AD768" s="20"/>
      <c r="AE768" s="20"/>
      <c r="AF768" s="17"/>
      <c r="AG768" s="64" t="s">
        <v>1079</v>
      </c>
      <c r="AH768" s="64"/>
      <c r="AI768" s="64">
        <v>2</v>
      </c>
      <c r="AJ768" s="64"/>
      <c r="AK768" s="64"/>
      <c r="AL768" s="264"/>
      <c r="AM768" s="84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</row>
    <row r="769" spans="1:51" s="33" customFormat="1" ht="14.5" x14ac:dyDescent="0.35">
      <c r="A769" s="63" t="str">
        <f>A768</f>
        <v>BCV131</v>
      </c>
      <c r="B769" s="17" t="s">
        <v>1978</v>
      </c>
      <c r="C769" s="18" t="str">
        <f>+C768</f>
        <v>DIO1</v>
      </c>
      <c r="D769" s="18">
        <v>132</v>
      </c>
      <c r="E769" s="84">
        <f>+E768</f>
        <v>2</v>
      </c>
      <c r="F769" s="84">
        <f>+F768</f>
        <v>8</v>
      </c>
      <c r="G769" s="84">
        <v>0</v>
      </c>
      <c r="H769" s="200">
        <f>H767</f>
        <v>1</v>
      </c>
      <c r="I769" s="187">
        <f>+I768+1</f>
        <v>2</v>
      </c>
      <c r="J769" s="205"/>
      <c r="K769" s="79"/>
      <c r="L769" s="17" t="s">
        <v>323</v>
      </c>
      <c r="M769" s="18">
        <v>4</v>
      </c>
      <c r="N769" s="300"/>
      <c r="O769" s="17" t="s">
        <v>837</v>
      </c>
      <c r="P769" s="59"/>
      <c r="Q769" s="17" t="s">
        <v>1309</v>
      </c>
      <c r="R769" s="17" t="s">
        <v>211</v>
      </c>
      <c r="S769" s="17" t="s">
        <v>1308</v>
      </c>
      <c r="T769" s="17" t="s">
        <v>1998</v>
      </c>
      <c r="U769" s="17"/>
      <c r="V769" s="17" t="str">
        <f>+CONCATENATE(E769,".",F769,"\",G769,".",H769,":",I769)</f>
        <v>2.8\0.1:2</v>
      </c>
      <c r="W769" s="17" t="s">
        <v>1997</v>
      </c>
      <c r="X769" s="272">
        <v>0</v>
      </c>
      <c r="Y769" s="20"/>
      <c r="Z769" s="20" t="s">
        <v>1200</v>
      </c>
      <c r="AA769" s="20"/>
      <c r="AB769" s="17"/>
      <c r="AC769" s="20"/>
      <c r="AD769" s="20"/>
      <c r="AE769" s="20"/>
      <c r="AF769" s="17"/>
      <c r="AG769" s="64" t="s">
        <v>1079</v>
      </c>
      <c r="AH769" s="64"/>
      <c r="AI769" s="64">
        <v>3</v>
      </c>
      <c r="AJ769" s="64"/>
      <c r="AK769" s="64"/>
      <c r="AL769" s="264"/>
      <c r="AM769" s="84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</row>
    <row r="770" spans="1:51" s="33" customFormat="1" ht="14.5" x14ac:dyDescent="0.35">
      <c r="A770" s="63" t="str">
        <f>A769</f>
        <v>BCV131</v>
      </c>
      <c r="B770" s="17" t="s">
        <v>1978</v>
      </c>
      <c r="C770" s="18" t="str">
        <f>+C769</f>
        <v>DIO1</v>
      </c>
      <c r="D770" s="18">
        <v>132</v>
      </c>
      <c r="E770" s="84">
        <f>+E769</f>
        <v>2</v>
      </c>
      <c r="F770" s="84">
        <f>+F769</f>
        <v>8</v>
      </c>
      <c r="G770" s="84">
        <v>0</v>
      </c>
      <c r="H770" s="200">
        <f>H767</f>
        <v>1</v>
      </c>
      <c r="I770" s="187">
        <f>+I769+1</f>
        <v>3</v>
      </c>
      <c r="J770" s="205"/>
      <c r="K770" s="79"/>
      <c r="L770" s="17" t="s">
        <v>323</v>
      </c>
      <c r="M770" s="18">
        <v>4</v>
      </c>
      <c r="N770" s="300"/>
      <c r="O770" s="17" t="s">
        <v>832</v>
      </c>
      <c r="P770" s="59"/>
      <c r="Q770" s="17" t="s">
        <v>1307</v>
      </c>
      <c r="R770" s="17" t="s">
        <v>211</v>
      </c>
      <c r="S770" s="17" t="s">
        <v>1306</v>
      </c>
      <c r="T770" s="17" t="s">
        <v>1998</v>
      </c>
      <c r="U770" s="17"/>
      <c r="V770" s="17" t="str">
        <f>+CONCATENATE(E770,".",F770,"\",G770,".",H770,":",I770)</f>
        <v>2.8\0.1:3</v>
      </c>
      <c r="W770" s="17" t="s">
        <v>1997</v>
      </c>
      <c r="X770" s="272">
        <v>0</v>
      </c>
      <c r="Y770" s="20"/>
      <c r="Z770" s="20" t="s">
        <v>1200</v>
      </c>
      <c r="AA770" s="20"/>
      <c r="AB770" s="17"/>
      <c r="AC770" s="20"/>
      <c r="AD770" s="20"/>
      <c r="AE770" s="20"/>
      <c r="AF770" s="17"/>
      <c r="AG770" s="64" t="s">
        <v>1079</v>
      </c>
      <c r="AH770" s="64"/>
      <c r="AI770" s="64">
        <v>4</v>
      </c>
      <c r="AJ770" s="64"/>
      <c r="AK770" s="64"/>
      <c r="AL770" s="264"/>
      <c r="AM770" s="84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</row>
    <row r="771" spans="1:51" s="33" customFormat="1" ht="14.5" x14ac:dyDescent="0.35">
      <c r="A771" s="63" t="str">
        <f>A770</f>
        <v>BCV131</v>
      </c>
      <c r="B771" s="17" t="s">
        <v>1978</v>
      </c>
      <c r="C771" s="18" t="str">
        <f>+C770</f>
        <v>DIO1</v>
      </c>
      <c r="D771" s="18">
        <v>132</v>
      </c>
      <c r="E771" s="84">
        <f>+E770</f>
        <v>2</v>
      </c>
      <c r="F771" s="84">
        <f>+F770</f>
        <v>8</v>
      </c>
      <c r="G771" s="84">
        <v>0</v>
      </c>
      <c r="H771" s="200">
        <f>H768</f>
        <v>1</v>
      </c>
      <c r="I771" s="187">
        <f>+I770+1</f>
        <v>4</v>
      </c>
      <c r="J771" s="205"/>
      <c r="K771" s="79"/>
      <c r="L771" s="17" t="s">
        <v>323</v>
      </c>
      <c r="M771" s="18">
        <v>4</v>
      </c>
      <c r="N771" s="300"/>
      <c r="O771" s="17" t="s">
        <v>828</v>
      </c>
      <c r="P771" s="59"/>
      <c r="Q771" s="17" t="s">
        <v>1305</v>
      </c>
      <c r="R771" s="17" t="s">
        <v>211</v>
      </c>
      <c r="S771" s="17" t="s">
        <v>1304</v>
      </c>
      <c r="T771" s="18" t="s">
        <v>1998</v>
      </c>
      <c r="U771" s="17"/>
      <c r="V771" s="17" t="str">
        <f>+CONCATENATE(E771,".",F771,"\",G771,".",H771,":",I771)</f>
        <v>2.8\0.1:4</v>
      </c>
      <c r="W771" s="17" t="s">
        <v>1997</v>
      </c>
      <c r="X771" s="272">
        <v>0</v>
      </c>
      <c r="Y771" s="20"/>
      <c r="Z771" s="20" t="s">
        <v>1200</v>
      </c>
      <c r="AA771" s="20"/>
      <c r="AB771" s="17"/>
      <c r="AC771" s="20"/>
      <c r="AD771" s="20"/>
      <c r="AE771" s="20"/>
      <c r="AF771" s="17"/>
      <c r="AG771" s="64" t="s">
        <v>1079</v>
      </c>
      <c r="AH771" s="64"/>
      <c r="AI771" s="64">
        <v>5</v>
      </c>
      <c r="AJ771" s="64"/>
      <c r="AK771" s="64"/>
      <c r="AL771" s="264"/>
      <c r="AM771" s="84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</row>
    <row r="772" spans="1:51" s="33" customFormat="1" ht="14.5" x14ac:dyDescent="0.35">
      <c r="A772" s="63" t="str">
        <f>A771</f>
        <v>BCV131</v>
      </c>
      <c r="B772" s="17" t="s">
        <v>1978</v>
      </c>
      <c r="C772" s="18" t="str">
        <f>+C771</f>
        <v>DIO1</v>
      </c>
      <c r="D772" s="18">
        <v>132</v>
      </c>
      <c r="E772" s="84">
        <f>+E771</f>
        <v>2</v>
      </c>
      <c r="F772" s="84">
        <f>+F771</f>
        <v>8</v>
      </c>
      <c r="G772" s="84">
        <v>0</v>
      </c>
      <c r="H772" s="200">
        <f>H769</f>
        <v>1</v>
      </c>
      <c r="I772" s="187">
        <f>+I771+1</f>
        <v>5</v>
      </c>
      <c r="J772" s="205"/>
      <c r="K772" s="79"/>
      <c r="L772" s="17" t="s">
        <v>323</v>
      </c>
      <c r="M772" s="18">
        <v>4</v>
      </c>
      <c r="N772" s="300"/>
      <c r="O772" s="17" t="s">
        <v>824</v>
      </c>
      <c r="P772" s="59"/>
      <c r="Q772" s="17" t="s">
        <v>2000</v>
      </c>
      <c r="R772" s="17" t="s">
        <v>211</v>
      </c>
      <c r="S772" s="17" t="s">
        <v>1302</v>
      </c>
      <c r="T772" s="17" t="s">
        <v>1998</v>
      </c>
      <c r="U772" s="17"/>
      <c r="V772" s="17" t="str">
        <f>+CONCATENATE(E772,".",F772,"\",G772,".",H772,":",I772)</f>
        <v>2.8\0.1:5</v>
      </c>
      <c r="W772" s="17" t="s">
        <v>1997</v>
      </c>
      <c r="X772" s="272">
        <v>0</v>
      </c>
      <c r="Y772" s="20"/>
      <c r="Z772" s="20" t="s">
        <v>1200</v>
      </c>
      <c r="AA772" s="20"/>
      <c r="AB772" s="17"/>
      <c r="AC772" s="20"/>
      <c r="AD772" s="20"/>
      <c r="AE772" s="20"/>
      <c r="AF772" s="17"/>
      <c r="AG772" s="64" t="s">
        <v>1079</v>
      </c>
      <c r="AH772" s="64"/>
      <c r="AI772" s="64">
        <v>6</v>
      </c>
      <c r="AJ772" s="64"/>
      <c r="AK772" s="64"/>
      <c r="AL772" s="264"/>
      <c r="AM772" s="84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</row>
    <row r="773" spans="1:51" s="33" customFormat="1" ht="14.5" x14ac:dyDescent="0.35">
      <c r="A773" s="63" t="str">
        <f>A772</f>
        <v>BCV131</v>
      </c>
      <c r="B773" s="17" t="s">
        <v>1978</v>
      </c>
      <c r="C773" s="18" t="str">
        <f>+C772</f>
        <v>DIO1</v>
      </c>
      <c r="D773" s="18">
        <v>132</v>
      </c>
      <c r="E773" s="84">
        <f>+E772</f>
        <v>2</v>
      </c>
      <c r="F773" s="84">
        <f>+F772</f>
        <v>8</v>
      </c>
      <c r="G773" s="84">
        <v>0</v>
      </c>
      <c r="H773" s="200">
        <f>H770</f>
        <v>1</v>
      </c>
      <c r="I773" s="187">
        <f>+I772+1</f>
        <v>6</v>
      </c>
      <c r="J773" s="205"/>
      <c r="K773" s="79"/>
      <c r="L773" s="17" t="s">
        <v>323</v>
      </c>
      <c r="M773" s="18">
        <v>4</v>
      </c>
      <c r="N773" s="300"/>
      <c r="O773" s="280" t="s">
        <v>820</v>
      </c>
      <c r="P773" s="59"/>
      <c r="Q773" s="17" t="s">
        <v>1999</v>
      </c>
      <c r="R773" s="17" t="s">
        <v>211</v>
      </c>
      <c r="S773" s="17" t="s">
        <v>1300</v>
      </c>
      <c r="T773" s="18" t="s">
        <v>1998</v>
      </c>
      <c r="U773" s="17"/>
      <c r="V773" s="17" t="str">
        <f>+CONCATENATE(E773,".",F773,"\",G773,".",H773,":",I773)</f>
        <v>2.8\0.1:6</v>
      </c>
      <c r="W773" s="17" t="s">
        <v>1997</v>
      </c>
      <c r="X773" s="272">
        <v>0</v>
      </c>
      <c r="Y773" s="20"/>
      <c r="Z773" s="20" t="s">
        <v>1200</v>
      </c>
      <c r="AA773" s="20"/>
      <c r="AB773" s="17"/>
      <c r="AC773" s="20"/>
      <c r="AD773" s="20"/>
      <c r="AE773" s="20"/>
      <c r="AF773" s="17"/>
      <c r="AG773" s="64" t="s">
        <v>1079</v>
      </c>
      <c r="AH773" s="64"/>
      <c r="AI773" s="64">
        <v>7</v>
      </c>
      <c r="AJ773" s="64"/>
      <c r="AK773" s="64"/>
      <c r="AL773" s="264"/>
      <c r="AM773" s="84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</row>
    <row r="774" spans="1:51" s="33" customFormat="1" ht="14.5" x14ac:dyDescent="0.35">
      <c r="A774" s="63" t="str">
        <f>A773</f>
        <v>BCV131</v>
      </c>
      <c r="B774" s="17" t="s">
        <v>1978</v>
      </c>
      <c r="C774" s="18" t="str">
        <f>+C773</f>
        <v>DIO1</v>
      </c>
      <c r="D774" s="18">
        <v>132</v>
      </c>
      <c r="E774" s="84">
        <f>+E773</f>
        <v>2</v>
      </c>
      <c r="F774" s="84">
        <f>+F773</f>
        <v>8</v>
      </c>
      <c r="G774" s="84">
        <v>0</v>
      </c>
      <c r="H774" s="200">
        <f>H771</f>
        <v>1</v>
      </c>
      <c r="I774" s="187">
        <f>+I773+1</f>
        <v>7</v>
      </c>
      <c r="J774" s="205"/>
      <c r="K774" s="79"/>
      <c r="L774" s="17" t="s">
        <v>323</v>
      </c>
      <c r="M774" s="18">
        <v>4</v>
      </c>
      <c r="N774" s="18"/>
      <c r="O774" s="280" t="s">
        <v>817</v>
      </c>
      <c r="P774" s="59"/>
      <c r="Q774" s="17" t="s">
        <v>1295</v>
      </c>
      <c r="R774" s="17" t="s">
        <v>211</v>
      </c>
      <c r="S774" s="17" t="s">
        <v>976</v>
      </c>
      <c r="T774" s="18" t="s">
        <v>1998</v>
      </c>
      <c r="U774" s="17"/>
      <c r="V774" s="17" t="str">
        <f>+CONCATENATE(E774,".",F774,"\",G774,".",H774,":",I774)</f>
        <v>2.8\0.1:7</v>
      </c>
      <c r="W774" s="17" t="s">
        <v>1997</v>
      </c>
      <c r="X774" s="272">
        <v>0</v>
      </c>
      <c r="Y774" s="20"/>
      <c r="Z774" s="20" t="s">
        <v>1200</v>
      </c>
      <c r="AA774" s="20"/>
      <c r="AB774" s="17"/>
      <c r="AC774" s="20"/>
      <c r="AD774" s="20"/>
      <c r="AE774" s="20"/>
      <c r="AF774" s="17"/>
      <c r="AG774" s="64" t="s">
        <v>1079</v>
      </c>
      <c r="AH774" s="64"/>
      <c r="AI774" s="64">
        <v>8</v>
      </c>
      <c r="AJ774" s="64"/>
      <c r="AK774" s="64"/>
      <c r="AL774" s="264"/>
      <c r="AM774" s="84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</row>
    <row r="775" spans="1:51" s="33" customFormat="1" ht="14.5" x14ac:dyDescent="0.35">
      <c r="A775" s="63" t="str">
        <f>A774</f>
        <v>BCV131</v>
      </c>
      <c r="B775" s="17" t="s">
        <v>1978</v>
      </c>
      <c r="C775" s="18" t="str">
        <f>+C774</f>
        <v>DIO1</v>
      </c>
      <c r="D775" s="18">
        <v>132</v>
      </c>
      <c r="E775" s="84">
        <f>+E774</f>
        <v>2</v>
      </c>
      <c r="F775" s="84">
        <f>+F774</f>
        <v>8</v>
      </c>
      <c r="G775" s="84">
        <v>0</v>
      </c>
      <c r="H775" s="200">
        <f>H772</f>
        <v>1</v>
      </c>
      <c r="I775" s="187">
        <f>+I774+1</f>
        <v>8</v>
      </c>
      <c r="J775" s="205"/>
      <c r="K775" s="79"/>
      <c r="L775" s="17" t="s">
        <v>323</v>
      </c>
      <c r="M775" s="18">
        <v>4</v>
      </c>
      <c r="N775" s="18"/>
      <c r="O775" s="17" t="s">
        <v>814</v>
      </c>
      <c r="P775" s="59"/>
      <c r="Q775" s="17" t="s">
        <v>1295</v>
      </c>
      <c r="R775" s="17" t="s">
        <v>211</v>
      </c>
      <c r="S775" s="17" t="s">
        <v>1298</v>
      </c>
      <c r="T775" s="18" t="s">
        <v>1998</v>
      </c>
      <c r="U775" s="17"/>
      <c r="V775" s="17" t="str">
        <f>+CONCATENATE(E775,".",F775,"\",G775,".",H775,":",I775)</f>
        <v>2.8\0.1:8</v>
      </c>
      <c r="W775" s="17" t="s">
        <v>1997</v>
      </c>
      <c r="X775" s="272">
        <v>0</v>
      </c>
      <c r="Y775" s="20"/>
      <c r="Z775" s="20" t="s">
        <v>1200</v>
      </c>
      <c r="AA775" s="20"/>
      <c r="AB775" s="17"/>
      <c r="AC775" s="20"/>
      <c r="AD775" s="20"/>
      <c r="AE775" s="20"/>
      <c r="AF775" s="17"/>
      <c r="AG775" s="64" t="s">
        <v>1079</v>
      </c>
      <c r="AH775" s="64"/>
      <c r="AI775" s="64">
        <v>9</v>
      </c>
      <c r="AJ775" s="64"/>
      <c r="AK775" s="64"/>
      <c r="AL775" s="264"/>
      <c r="AM775" s="84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</row>
    <row r="776" spans="1:51" s="33" customFormat="1" ht="14.5" x14ac:dyDescent="0.35">
      <c r="A776" s="63" t="str">
        <f>A775</f>
        <v>BCV131</v>
      </c>
      <c r="B776" s="17" t="s">
        <v>1978</v>
      </c>
      <c r="C776" s="18" t="str">
        <f>+C775</f>
        <v>DIO1</v>
      </c>
      <c r="D776" s="18">
        <v>132</v>
      </c>
      <c r="E776" s="84">
        <f>+E775</f>
        <v>2</v>
      </c>
      <c r="F776" s="84">
        <f>+F775</f>
        <v>8</v>
      </c>
      <c r="G776" s="84">
        <v>0</v>
      </c>
      <c r="H776" s="200">
        <f>H773</f>
        <v>1</v>
      </c>
      <c r="I776" s="187">
        <f>+I775+1</f>
        <v>9</v>
      </c>
      <c r="J776" s="205"/>
      <c r="K776" s="79"/>
      <c r="L776" s="17" t="s">
        <v>323</v>
      </c>
      <c r="M776" s="18">
        <v>4</v>
      </c>
      <c r="N776" s="18"/>
      <c r="O776" s="17" t="s">
        <v>811</v>
      </c>
      <c r="P776" s="59"/>
      <c r="Q776" s="17" t="s">
        <v>1295</v>
      </c>
      <c r="R776" s="17" t="s">
        <v>211</v>
      </c>
      <c r="S776" s="17" t="s">
        <v>1297</v>
      </c>
      <c r="T776" s="18" t="s">
        <v>1998</v>
      </c>
      <c r="U776" s="17"/>
      <c r="V776" s="17" t="str">
        <f>+CONCATENATE(E776,".",F776,"\",G776,".",H776,":",I776)</f>
        <v>2.8\0.1:9</v>
      </c>
      <c r="W776" s="17" t="s">
        <v>1997</v>
      </c>
      <c r="X776" s="272">
        <v>0</v>
      </c>
      <c r="Y776" s="20"/>
      <c r="Z776" s="20" t="s">
        <v>1200</v>
      </c>
      <c r="AA776" s="20"/>
      <c r="AB776" s="17"/>
      <c r="AC776" s="20"/>
      <c r="AD776" s="20"/>
      <c r="AE776" s="20"/>
      <c r="AF776" s="17"/>
      <c r="AG776" s="64" t="s">
        <v>1079</v>
      </c>
      <c r="AH776" s="64"/>
      <c r="AI776" s="64">
        <v>10</v>
      </c>
      <c r="AJ776" s="64"/>
      <c r="AK776" s="64"/>
      <c r="AL776" s="264"/>
      <c r="AM776" s="84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</row>
    <row r="777" spans="1:51" s="33" customFormat="1" ht="14.5" x14ac:dyDescent="0.35">
      <c r="A777" s="63" t="str">
        <f>A776</f>
        <v>BCV131</v>
      </c>
      <c r="B777" s="17" t="s">
        <v>1978</v>
      </c>
      <c r="C777" s="18" t="str">
        <f>+C776</f>
        <v>DIO1</v>
      </c>
      <c r="D777" s="18">
        <v>132</v>
      </c>
      <c r="E777" s="84">
        <f>+E776</f>
        <v>2</v>
      </c>
      <c r="F777" s="84">
        <f>+F776</f>
        <v>8</v>
      </c>
      <c r="G777" s="84">
        <v>0</v>
      </c>
      <c r="H777" s="200">
        <f>H774</f>
        <v>1</v>
      </c>
      <c r="I777" s="187">
        <f>+I776+1</f>
        <v>10</v>
      </c>
      <c r="J777" s="205"/>
      <c r="K777" s="79"/>
      <c r="L777" s="17" t="s">
        <v>323</v>
      </c>
      <c r="M777" s="18">
        <v>4</v>
      </c>
      <c r="N777" s="18"/>
      <c r="O777" s="280" t="s">
        <v>808</v>
      </c>
      <c r="P777" s="59"/>
      <c r="Q777" s="17" t="s">
        <v>1295</v>
      </c>
      <c r="R777" s="17" t="s">
        <v>211</v>
      </c>
      <c r="S777" s="17" t="s">
        <v>1296</v>
      </c>
      <c r="T777" s="17" t="s">
        <v>1998</v>
      </c>
      <c r="U777" s="17"/>
      <c r="V777" s="17" t="str">
        <f>+CONCATENATE(E777,".",F777,"\",G777,".",H777,":",I777)</f>
        <v>2.8\0.1:10</v>
      </c>
      <c r="W777" s="17" t="s">
        <v>1997</v>
      </c>
      <c r="X777" s="272">
        <v>0</v>
      </c>
      <c r="Y777" s="17"/>
      <c r="Z777" s="20" t="s">
        <v>1200</v>
      </c>
      <c r="AA777" s="17"/>
      <c r="AB777" s="17"/>
      <c r="AC777" s="20"/>
      <c r="AD777" s="20"/>
      <c r="AE777" s="20"/>
      <c r="AF777" s="17"/>
      <c r="AG777" s="64" t="s">
        <v>1079</v>
      </c>
      <c r="AH777" s="64"/>
      <c r="AI777" s="64">
        <v>11</v>
      </c>
      <c r="AJ777" s="64"/>
      <c r="AK777" s="64"/>
      <c r="AL777" s="264"/>
      <c r="AM777" s="84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</row>
    <row r="778" spans="1:51" s="33" customFormat="1" ht="14.5" x14ac:dyDescent="0.35">
      <c r="A778" s="63" t="str">
        <f>A777</f>
        <v>BCV131</v>
      </c>
      <c r="B778" s="17" t="s">
        <v>1978</v>
      </c>
      <c r="C778" s="18" t="str">
        <f>+C777</f>
        <v>DIO1</v>
      </c>
      <c r="D778" s="18">
        <v>132</v>
      </c>
      <c r="E778" s="84">
        <f>+E777</f>
        <v>2</v>
      </c>
      <c r="F778" s="84">
        <f>+F777</f>
        <v>8</v>
      </c>
      <c r="G778" s="84">
        <v>0</v>
      </c>
      <c r="H778" s="200">
        <f>H775</f>
        <v>1</v>
      </c>
      <c r="I778" s="187">
        <f>+I777+1</f>
        <v>11</v>
      </c>
      <c r="J778" s="205"/>
      <c r="K778" s="79"/>
      <c r="L778" s="17" t="s">
        <v>323</v>
      </c>
      <c r="M778" s="18">
        <v>4</v>
      </c>
      <c r="N778" s="18"/>
      <c r="O778" s="280" t="s">
        <v>805</v>
      </c>
      <c r="P778" s="59"/>
      <c r="Q778" s="17" t="s">
        <v>1295</v>
      </c>
      <c r="R778" s="17" t="s">
        <v>211</v>
      </c>
      <c r="S778" s="17" t="s">
        <v>1294</v>
      </c>
      <c r="T778" s="18" t="s">
        <v>1998</v>
      </c>
      <c r="U778" s="17"/>
      <c r="V778" s="17" t="str">
        <f>+CONCATENATE(E778,".",F778,"\",G778,".",H778,":",I778)</f>
        <v>2.8\0.1:11</v>
      </c>
      <c r="W778" s="17" t="s">
        <v>1997</v>
      </c>
      <c r="X778" s="272">
        <v>0</v>
      </c>
      <c r="Y778" s="17"/>
      <c r="Z778" s="20" t="s">
        <v>1200</v>
      </c>
      <c r="AA778" s="17"/>
      <c r="AB778" s="17"/>
      <c r="AC778" s="20"/>
      <c r="AD778" s="20"/>
      <c r="AE778" s="20"/>
      <c r="AF778" s="17"/>
      <c r="AG778" s="64" t="s">
        <v>1079</v>
      </c>
      <c r="AH778" s="64"/>
      <c r="AI778" s="64">
        <v>12</v>
      </c>
      <c r="AJ778" s="64"/>
      <c r="AK778" s="64"/>
      <c r="AL778" s="264"/>
      <c r="AM778" s="84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</row>
    <row r="779" spans="1:51" s="33" customFormat="1" x14ac:dyDescent="0.3">
      <c r="A779" s="63" t="str">
        <f>A778</f>
        <v>BCV131</v>
      </c>
      <c r="B779" s="17" t="s">
        <v>1978</v>
      </c>
      <c r="C779" s="18" t="str">
        <f>+C778</f>
        <v>DIO1</v>
      </c>
      <c r="D779" s="18">
        <v>132</v>
      </c>
      <c r="E779" s="84">
        <f>+E778</f>
        <v>2</v>
      </c>
      <c r="F779" s="84">
        <f>+F778</f>
        <v>8</v>
      </c>
      <c r="G779" s="84">
        <v>0</v>
      </c>
      <c r="H779" s="200">
        <f>H776</f>
        <v>1</v>
      </c>
      <c r="I779" s="187">
        <f>+I778+1</f>
        <v>12</v>
      </c>
      <c r="J779" s="205"/>
      <c r="K779" s="79"/>
      <c r="L779" s="17" t="s">
        <v>323</v>
      </c>
      <c r="M779" s="18"/>
      <c r="N779" s="18"/>
      <c r="O779" s="97"/>
      <c r="P779" s="18"/>
      <c r="Q779" s="97" t="s">
        <v>127</v>
      </c>
      <c r="R779" s="97" t="s">
        <v>127</v>
      </c>
      <c r="S779" s="17"/>
      <c r="T779" s="17"/>
      <c r="U779" s="17"/>
      <c r="V779" s="17" t="str">
        <f>+CONCATENATE(E779,".",F779,"\",G779,".",H779,":",I779)</f>
        <v>2.8\0.1:12</v>
      </c>
      <c r="W779" s="17"/>
      <c r="X779" s="17"/>
      <c r="Y779" s="20"/>
      <c r="Z779" s="20" t="s">
        <v>1159</v>
      </c>
      <c r="AA779" s="20"/>
      <c r="AB779" s="17"/>
      <c r="AC779" s="20"/>
      <c r="AD779" s="20"/>
      <c r="AE779" s="20"/>
      <c r="AF779" s="17"/>
      <c r="AG779" s="64" t="s">
        <v>1079</v>
      </c>
      <c r="AH779" s="64"/>
      <c r="AI779" s="64">
        <v>13</v>
      </c>
      <c r="AJ779" s="64"/>
      <c r="AK779" s="64"/>
      <c r="AL779" s="264"/>
      <c r="AM779" s="84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</row>
    <row r="780" spans="1:51" s="33" customFormat="1" x14ac:dyDescent="0.3">
      <c r="A780" s="63" t="str">
        <f>A779</f>
        <v>BCV131</v>
      </c>
      <c r="B780" s="17" t="s">
        <v>1978</v>
      </c>
      <c r="C780" s="18" t="str">
        <f>+C779</f>
        <v>DIO1</v>
      </c>
      <c r="D780" s="18">
        <v>132</v>
      </c>
      <c r="E780" s="84">
        <f>+E779</f>
        <v>2</v>
      </c>
      <c r="F780" s="84">
        <f>+F779</f>
        <v>8</v>
      </c>
      <c r="G780" s="84">
        <v>0</v>
      </c>
      <c r="H780" s="200">
        <f>H777</f>
        <v>1</v>
      </c>
      <c r="I780" s="187">
        <f>+I779+1</f>
        <v>13</v>
      </c>
      <c r="J780" s="205"/>
      <c r="K780" s="79"/>
      <c r="L780" s="17" t="s">
        <v>323</v>
      </c>
      <c r="M780" s="18"/>
      <c r="N780" s="18"/>
      <c r="O780" s="17"/>
      <c r="P780" s="18"/>
      <c r="Q780" s="17" t="s">
        <v>127</v>
      </c>
      <c r="R780" s="17" t="s">
        <v>127</v>
      </c>
      <c r="S780" s="17"/>
      <c r="T780" s="17"/>
      <c r="U780" s="17"/>
      <c r="V780" s="17" t="str">
        <f>+CONCATENATE(E780,".",F780,"\",G780,".",H780,":",I780)</f>
        <v>2.8\0.1:13</v>
      </c>
      <c r="W780" s="17"/>
      <c r="X780" s="17"/>
      <c r="Y780" s="20"/>
      <c r="Z780" s="20" t="s">
        <v>1159</v>
      </c>
      <c r="AA780" s="20"/>
      <c r="AB780" s="17"/>
      <c r="AC780" s="20"/>
      <c r="AD780" s="20"/>
      <c r="AE780" s="20"/>
      <c r="AF780" s="17"/>
      <c r="AG780" s="64" t="s">
        <v>1079</v>
      </c>
      <c r="AH780" s="64"/>
      <c r="AI780" s="64">
        <v>14</v>
      </c>
      <c r="AJ780" s="64"/>
      <c r="AK780" s="64"/>
      <c r="AL780" s="264"/>
      <c r="AM780" s="84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</row>
    <row r="781" spans="1:51" s="33" customFormat="1" x14ac:dyDescent="0.3">
      <c r="A781" s="63" t="str">
        <f>A780</f>
        <v>BCV131</v>
      </c>
      <c r="B781" s="17" t="s">
        <v>1978</v>
      </c>
      <c r="C781" s="18" t="str">
        <f>+C780</f>
        <v>DIO1</v>
      </c>
      <c r="D781" s="18">
        <v>132</v>
      </c>
      <c r="E781" s="84">
        <f>+E780</f>
        <v>2</v>
      </c>
      <c r="F781" s="84">
        <f>+F780</f>
        <v>8</v>
      </c>
      <c r="G781" s="84">
        <v>0</v>
      </c>
      <c r="H781" s="200">
        <f>H778</f>
        <v>1</v>
      </c>
      <c r="I781" s="187">
        <f>+I780+1</f>
        <v>14</v>
      </c>
      <c r="J781" s="205"/>
      <c r="K781" s="79"/>
      <c r="L781" s="17" t="s">
        <v>323</v>
      </c>
      <c r="M781" s="18"/>
      <c r="N781" s="18"/>
      <c r="O781" s="17"/>
      <c r="P781" s="18"/>
      <c r="Q781" s="17" t="s">
        <v>127</v>
      </c>
      <c r="R781" s="17" t="s">
        <v>127</v>
      </c>
      <c r="S781" s="17"/>
      <c r="T781" s="17"/>
      <c r="U781" s="17"/>
      <c r="V781" s="17" t="str">
        <f>+CONCATENATE(E781,".",F781,"\",G781,".",H781,":",I781)</f>
        <v>2.8\0.1:14</v>
      </c>
      <c r="W781" s="17"/>
      <c r="X781" s="17"/>
      <c r="Y781" s="20"/>
      <c r="Z781" s="20" t="s">
        <v>1159</v>
      </c>
      <c r="AA781" s="20"/>
      <c r="AB781" s="17"/>
      <c r="AC781" s="20"/>
      <c r="AD781" s="20"/>
      <c r="AE781" s="20"/>
      <c r="AF781" s="17"/>
      <c r="AG781" s="64" t="s">
        <v>1079</v>
      </c>
      <c r="AH781" s="64"/>
      <c r="AI781" s="64">
        <v>15</v>
      </c>
      <c r="AJ781" s="64"/>
      <c r="AK781" s="64"/>
      <c r="AL781" s="264"/>
      <c r="AM781" s="84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</row>
    <row r="782" spans="1:51" s="33" customFormat="1" x14ac:dyDescent="0.3">
      <c r="A782" s="63" t="str">
        <f>A781</f>
        <v>BCV131</v>
      </c>
      <c r="B782" s="17" t="s">
        <v>1978</v>
      </c>
      <c r="C782" s="18" t="str">
        <f>+C781</f>
        <v>DIO1</v>
      </c>
      <c r="D782" s="18">
        <v>132</v>
      </c>
      <c r="E782" s="84">
        <f>+E781</f>
        <v>2</v>
      </c>
      <c r="F782" s="84">
        <f>+F781</f>
        <v>8</v>
      </c>
      <c r="G782" s="84">
        <v>0</v>
      </c>
      <c r="H782" s="200">
        <f>H778</f>
        <v>1</v>
      </c>
      <c r="I782" s="187">
        <f>+I781+1</f>
        <v>15</v>
      </c>
      <c r="J782" s="205"/>
      <c r="K782" s="79"/>
      <c r="L782" s="17" t="s">
        <v>323</v>
      </c>
      <c r="M782" s="18"/>
      <c r="N782" s="18"/>
      <c r="O782" s="17"/>
      <c r="P782" s="18"/>
      <c r="Q782" s="17" t="s">
        <v>127</v>
      </c>
      <c r="R782" s="17" t="s">
        <v>127</v>
      </c>
      <c r="S782" s="17"/>
      <c r="T782" s="17"/>
      <c r="U782" s="17"/>
      <c r="V782" s="17" t="str">
        <f>+CONCATENATE(E782,".",F782,"\",G782,".",H782,":",I782)</f>
        <v>2.8\0.1:15</v>
      </c>
      <c r="W782" s="17"/>
      <c r="X782" s="17"/>
      <c r="Y782" s="20"/>
      <c r="Z782" s="20" t="s">
        <v>1159</v>
      </c>
      <c r="AA782" s="20"/>
      <c r="AB782" s="17"/>
      <c r="AC782" s="20"/>
      <c r="AD782" s="20"/>
      <c r="AE782" s="20"/>
      <c r="AF782" s="17"/>
      <c r="AG782" s="64" t="s">
        <v>1079</v>
      </c>
      <c r="AH782" s="64"/>
      <c r="AI782" s="64">
        <v>16</v>
      </c>
      <c r="AJ782" s="64"/>
      <c r="AK782" s="64"/>
      <c r="AL782" s="264"/>
      <c r="AM782" s="84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</row>
    <row r="783" spans="1:51" s="33" customFormat="1" ht="14.5" x14ac:dyDescent="0.35">
      <c r="A783" s="63" t="str">
        <f>A782</f>
        <v>BCV131</v>
      </c>
      <c r="B783" s="17" t="s">
        <v>1978</v>
      </c>
      <c r="C783" s="18" t="str">
        <f>+C782</f>
        <v>DIO1</v>
      </c>
      <c r="D783" s="18">
        <v>132</v>
      </c>
      <c r="E783" s="84">
        <f>+E782</f>
        <v>2</v>
      </c>
      <c r="F783" s="84">
        <f>+F782</f>
        <v>8</v>
      </c>
      <c r="G783" s="84">
        <v>0</v>
      </c>
      <c r="H783" s="200">
        <f>H779</f>
        <v>1</v>
      </c>
      <c r="I783" s="187">
        <f>+I782+1</f>
        <v>16</v>
      </c>
      <c r="J783" s="205"/>
      <c r="K783" s="18"/>
      <c r="L783" s="17" t="s">
        <v>323</v>
      </c>
      <c r="M783" s="18">
        <v>5</v>
      </c>
      <c r="N783" s="59" t="s">
        <v>1983</v>
      </c>
      <c r="O783" s="17" t="s">
        <v>1996</v>
      </c>
      <c r="P783" s="59" t="s">
        <v>1981</v>
      </c>
      <c r="Q783" s="17" t="s">
        <v>1995</v>
      </c>
      <c r="R783" s="17" t="s">
        <v>922</v>
      </c>
      <c r="S783" s="78"/>
      <c r="T783" s="17" t="s">
        <v>194</v>
      </c>
      <c r="U783" s="17"/>
      <c r="V783" s="17" t="str">
        <f>+CONCATENATE(E783,".",F783,"\",G783,".",H783,":",I783)</f>
        <v>2.8\0.1:16</v>
      </c>
      <c r="W783" s="17" t="s">
        <v>1979</v>
      </c>
      <c r="X783" s="272">
        <v>0</v>
      </c>
      <c r="Y783" s="20"/>
      <c r="Z783" s="20" t="s">
        <v>1159</v>
      </c>
      <c r="AA783" s="20"/>
      <c r="AB783" s="17"/>
      <c r="AC783" s="20"/>
      <c r="AD783" s="20"/>
      <c r="AE783" s="20"/>
      <c r="AF783" s="17"/>
      <c r="AG783" s="64" t="s">
        <v>1079</v>
      </c>
      <c r="AH783" s="64">
        <v>17</v>
      </c>
      <c r="AI783" s="64">
        <v>18</v>
      </c>
      <c r="AJ783" s="64"/>
      <c r="AK783" s="64"/>
      <c r="AL783" s="264"/>
      <c r="AM783" s="84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</row>
    <row r="784" spans="1:51" s="33" customFormat="1" ht="14.5" x14ac:dyDescent="0.35">
      <c r="A784" s="63" t="str">
        <f>A783</f>
        <v>BCV131</v>
      </c>
      <c r="B784" s="17" t="s">
        <v>1978</v>
      </c>
      <c r="C784" s="18" t="str">
        <f>+C783</f>
        <v>DIO1</v>
      </c>
      <c r="D784" s="18">
        <v>132</v>
      </c>
      <c r="E784" s="84">
        <f>+E783</f>
        <v>2</v>
      </c>
      <c r="F784" s="84">
        <f>+F783</f>
        <v>8</v>
      </c>
      <c r="G784" s="84">
        <v>0</v>
      </c>
      <c r="H784" s="200">
        <f>H780</f>
        <v>1</v>
      </c>
      <c r="I784" s="187">
        <f>+I783+1</f>
        <v>17</v>
      </c>
      <c r="J784" s="205"/>
      <c r="K784" s="79"/>
      <c r="L784" s="17" t="s">
        <v>323</v>
      </c>
      <c r="M784" s="18"/>
      <c r="N784" s="59"/>
      <c r="O784" s="17"/>
      <c r="P784" s="59"/>
      <c r="Q784" s="68"/>
      <c r="R784" s="17"/>
      <c r="S784" s="78"/>
      <c r="T784" s="17"/>
      <c r="U784" s="17"/>
      <c r="V784" s="17" t="str">
        <f>+CONCATENATE(E784,".",F784,"\",G784,".",H784,":",I784)</f>
        <v>2.8\0.1:17</v>
      </c>
      <c r="W784" s="17"/>
      <c r="X784" s="17"/>
      <c r="Y784" s="20"/>
      <c r="Z784" s="20" t="s">
        <v>1159</v>
      </c>
      <c r="AA784" s="20"/>
      <c r="AB784" s="17"/>
      <c r="AC784" s="20"/>
      <c r="AD784" s="20"/>
      <c r="AE784" s="20"/>
      <c r="AF784" s="17"/>
      <c r="AG784" s="64" t="s">
        <v>1079</v>
      </c>
      <c r="AH784" s="64">
        <v>19</v>
      </c>
      <c r="AI784" s="64">
        <v>20</v>
      </c>
      <c r="AJ784" s="64"/>
      <c r="AK784" s="64"/>
      <c r="AL784" s="264"/>
      <c r="AM784" s="84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</row>
    <row r="785" spans="1:51" s="33" customFormat="1" ht="14.5" x14ac:dyDescent="0.35">
      <c r="A785" s="63" t="str">
        <f>A784</f>
        <v>BCV131</v>
      </c>
      <c r="B785" s="17" t="s">
        <v>1978</v>
      </c>
      <c r="C785" s="18" t="str">
        <f>+C784</f>
        <v>DIO1</v>
      </c>
      <c r="D785" s="18">
        <v>132</v>
      </c>
      <c r="E785" s="84">
        <f>+E784</f>
        <v>2</v>
      </c>
      <c r="F785" s="84">
        <f>+F784</f>
        <v>8</v>
      </c>
      <c r="G785" s="84">
        <v>0</v>
      </c>
      <c r="H785" s="200">
        <f>H781</f>
        <v>1</v>
      </c>
      <c r="I785" s="187">
        <f>+I784+1</f>
        <v>18</v>
      </c>
      <c r="J785" s="205"/>
      <c r="K785" s="79"/>
      <c r="L785" s="17" t="s">
        <v>323</v>
      </c>
      <c r="M785" s="18"/>
      <c r="N785" s="59"/>
      <c r="O785" s="17"/>
      <c r="P785" s="59"/>
      <c r="Q785" s="68"/>
      <c r="R785" s="17"/>
      <c r="S785" s="17"/>
      <c r="T785" s="17"/>
      <c r="U785" s="17"/>
      <c r="V785" s="17" t="str">
        <f>+CONCATENATE(E785,".",F785,"\",G785,".",H785,":",I785)</f>
        <v>2.8\0.1:18</v>
      </c>
      <c r="W785" s="17"/>
      <c r="X785" s="17"/>
      <c r="Y785" s="20"/>
      <c r="Z785" s="20" t="s">
        <v>1159</v>
      </c>
      <c r="AA785" s="20"/>
      <c r="AB785" s="17"/>
      <c r="AC785" s="20"/>
      <c r="AD785" s="20"/>
      <c r="AE785" s="20"/>
      <c r="AF785" s="17"/>
      <c r="AG785" s="64" t="s">
        <v>1079</v>
      </c>
      <c r="AH785" s="64">
        <v>21</v>
      </c>
      <c r="AI785" s="64">
        <v>22</v>
      </c>
      <c r="AJ785" s="64"/>
      <c r="AK785" s="64"/>
      <c r="AL785" s="264"/>
      <c r="AM785" s="84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</row>
    <row r="786" spans="1:51" s="33" customFormat="1" ht="14.5" x14ac:dyDescent="0.35">
      <c r="A786" s="63" t="str">
        <f>A785</f>
        <v>BCV131</v>
      </c>
      <c r="B786" s="17" t="s">
        <v>1978</v>
      </c>
      <c r="C786" s="18" t="str">
        <f>+C785</f>
        <v>DIO1</v>
      </c>
      <c r="D786" s="18">
        <v>132</v>
      </c>
      <c r="E786" s="84">
        <f>+E785</f>
        <v>2</v>
      </c>
      <c r="F786" s="84">
        <f>+F785</f>
        <v>8</v>
      </c>
      <c r="G786" s="84">
        <v>0</v>
      </c>
      <c r="H786" s="200">
        <f>H782</f>
        <v>1</v>
      </c>
      <c r="I786" s="187">
        <f>+I785+1</f>
        <v>19</v>
      </c>
      <c r="J786" s="205"/>
      <c r="K786" s="79"/>
      <c r="L786" s="17" t="s">
        <v>323</v>
      </c>
      <c r="M786" s="18"/>
      <c r="N786" s="59"/>
      <c r="O786" s="280"/>
      <c r="P786" s="59"/>
      <c r="Q786" s="206"/>
      <c r="R786" s="280"/>
      <c r="S786" s="17"/>
      <c r="T786" s="17"/>
      <c r="U786" s="17"/>
      <c r="V786" s="17" t="str">
        <f>+CONCATENATE(E786,".",F786,"\",G786,".",H786,":",I786)</f>
        <v>2.8\0.1:19</v>
      </c>
      <c r="W786" s="17"/>
      <c r="X786" s="17"/>
      <c r="Y786" s="20"/>
      <c r="Z786" s="20" t="s">
        <v>1159</v>
      </c>
      <c r="AA786" s="20"/>
      <c r="AB786" s="17"/>
      <c r="AC786" s="20"/>
      <c r="AD786" s="20"/>
      <c r="AE786" s="20"/>
      <c r="AF786" s="17"/>
      <c r="AG786" s="64" t="s">
        <v>1079</v>
      </c>
      <c r="AH786" s="64">
        <v>23</v>
      </c>
      <c r="AI786" s="64">
        <v>24</v>
      </c>
      <c r="AJ786" s="64"/>
      <c r="AK786" s="64"/>
      <c r="AL786" s="264"/>
      <c r="AM786" s="84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</row>
    <row r="787" spans="1:51" s="33" customFormat="1" ht="14.5" x14ac:dyDescent="0.35">
      <c r="A787" s="63" t="str">
        <f>A786</f>
        <v>BCV131</v>
      </c>
      <c r="B787" s="17" t="s">
        <v>1978</v>
      </c>
      <c r="C787" s="18" t="str">
        <f>+C786</f>
        <v>DIO1</v>
      </c>
      <c r="D787" s="18">
        <v>132</v>
      </c>
      <c r="E787" s="84">
        <f>+E786</f>
        <v>2</v>
      </c>
      <c r="F787" s="84">
        <f>+F786</f>
        <v>8</v>
      </c>
      <c r="G787" s="84">
        <v>0</v>
      </c>
      <c r="H787" s="200">
        <f>H783</f>
        <v>1</v>
      </c>
      <c r="I787" s="187">
        <f>+I786+1</f>
        <v>20</v>
      </c>
      <c r="J787" s="205"/>
      <c r="K787" s="79"/>
      <c r="L787" s="17" t="s">
        <v>323</v>
      </c>
      <c r="M787" s="18"/>
      <c r="N787" s="59"/>
      <c r="O787" s="18"/>
      <c r="P787" s="59"/>
      <c r="Q787" s="18"/>
      <c r="R787" s="18"/>
      <c r="S787" s="17"/>
      <c r="T787" s="17"/>
      <c r="U787" s="17"/>
      <c r="V787" s="17" t="str">
        <f>+CONCATENATE(E787,".",F787,"\",G787,".",H787,":",I787)</f>
        <v>2.8\0.1:20</v>
      </c>
      <c r="W787" s="17"/>
      <c r="X787" s="17"/>
      <c r="Y787" s="20"/>
      <c r="Z787" s="20" t="s">
        <v>1159</v>
      </c>
      <c r="AA787" s="20"/>
      <c r="AB787" s="17"/>
      <c r="AC787" s="20"/>
      <c r="AD787" s="20"/>
      <c r="AE787" s="20"/>
      <c r="AF787" s="17"/>
      <c r="AG787" s="64" t="s">
        <v>1079</v>
      </c>
      <c r="AH787" s="64">
        <v>25</v>
      </c>
      <c r="AI787" s="64">
        <v>26</v>
      </c>
      <c r="AJ787" s="64"/>
      <c r="AK787" s="64"/>
      <c r="AL787" s="264"/>
      <c r="AM787" s="84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</row>
    <row r="788" spans="1:51" s="33" customFormat="1" ht="14.5" x14ac:dyDescent="0.35">
      <c r="A788" s="63" t="str">
        <f>A787</f>
        <v>BCV131</v>
      </c>
      <c r="B788" s="17" t="s">
        <v>1978</v>
      </c>
      <c r="C788" s="18" t="str">
        <f>+C787</f>
        <v>DIO1</v>
      </c>
      <c r="D788" s="18">
        <v>132</v>
      </c>
      <c r="E788" s="84">
        <f>+E787</f>
        <v>2</v>
      </c>
      <c r="F788" s="84">
        <f>+F787</f>
        <v>8</v>
      </c>
      <c r="G788" s="84">
        <v>0</v>
      </c>
      <c r="H788" s="200">
        <f>H784</f>
        <v>1</v>
      </c>
      <c r="I788" s="187">
        <f>+I787+1</f>
        <v>21</v>
      </c>
      <c r="J788" s="205"/>
      <c r="K788" s="79"/>
      <c r="L788" s="17" t="s">
        <v>323</v>
      </c>
      <c r="M788" s="18"/>
      <c r="N788" s="59"/>
      <c r="O788" s="18"/>
      <c r="P788" s="59"/>
      <c r="Q788" s="18"/>
      <c r="R788" s="18"/>
      <c r="S788" s="17"/>
      <c r="T788" s="17"/>
      <c r="U788" s="17"/>
      <c r="V788" s="17" t="str">
        <f>+CONCATENATE(E788,".",F788,"\",G788,".",H788,":",I788)</f>
        <v>2.8\0.1:21</v>
      </c>
      <c r="W788" s="17"/>
      <c r="X788" s="17"/>
      <c r="Y788" s="20"/>
      <c r="Z788" s="20" t="s">
        <v>1159</v>
      </c>
      <c r="AA788" s="20"/>
      <c r="AB788" s="17"/>
      <c r="AC788" s="20"/>
      <c r="AD788" s="20"/>
      <c r="AE788" s="20"/>
      <c r="AF788" s="17"/>
      <c r="AG788" s="64" t="s">
        <v>1079</v>
      </c>
      <c r="AH788" s="64">
        <v>27</v>
      </c>
      <c r="AI788" s="64">
        <v>28</v>
      </c>
      <c r="AJ788" s="64"/>
      <c r="AK788" s="64"/>
      <c r="AL788" s="264"/>
      <c r="AM788" s="84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</row>
    <row r="789" spans="1:51" s="33" customFormat="1" ht="14.5" x14ac:dyDescent="0.35">
      <c r="A789" s="63" t="str">
        <f>A788</f>
        <v>BCV131</v>
      </c>
      <c r="B789" s="17" t="s">
        <v>1978</v>
      </c>
      <c r="C789" s="18" t="str">
        <f>+C788</f>
        <v>DIO1</v>
      </c>
      <c r="D789" s="18">
        <v>132</v>
      </c>
      <c r="E789" s="84">
        <f>+E788</f>
        <v>2</v>
      </c>
      <c r="F789" s="84">
        <f>+F788</f>
        <v>8</v>
      </c>
      <c r="G789" s="84">
        <v>0</v>
      </c>
      <c r="H789" s="200">
        <f>H785</f>
        <v>1</v>
      </c>
      <c r="I789" s="187">
        <f>+I788+1</f>
        <v>22</v>
      </c>
      <c r="J789" s="205"/>
      <c r="K789" s="79"/>
      <c r="L789" s="17" t="s">
        <v>323</v>
      </c>
      <c r="M789" s="18"/>
      <c r="N789" s="59"/>
      <c r="O789" s="18"/>
      <c r="P789" s="59"/>
      <c r="Q789" s="18"/>
      <c r="R789" s="18"/>
      <c r="S789" s="17"/>
      <c r="T789" s="17"/>
      <c r="U789" s="17"/>
      <c r="V789" s="17" t="str">
        <f>+CONCATENATE(E789,".",F789,"\",G789,".",H789,":",I789)</f>
        <v>2.8\0.1:22</v>
      </c>
      <c r="W789" s="17"/>
      <c r="X789" s="17"/>
      <c r="Y789" s="17"/>
      <c r="Z789" s="20" t="s">
        <v>1159</v>
      </c>
      <c r="AA789" s="17"/>
      <c r="AB789" s="17"/>
      <c r="AC789" s="17"/>
      <c r="AD789" s="17"/>
      <c r="AE789" s="17"/>
      <c r="AF789" s="17"/>
      <c r="AG789" s="64" t="s">
        <v>1079</v>
      </c>
      <c r="AH789" s="64">
        <v>29</v>
      </c>
      <c r="AI789" s="64">
        <v>30</v>
      </c>
      <c r="AJ789" s="64"/>
      <c r="AK789" s="64"/>
      <c r="AL789" s="264"/>
      <c r="AM789" s="84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</row>
    <row r="790" spans="1:51" s="33" customFormat="1" ht="14.5" x14ac:dyDescent="0.35">
      <c r="A790" s="63" t="str">
        <f>A789</f>
        <v>BCV131</v>
      </c>
      <c r="B790" s="17" t="s">
        <v>1978</v>
      </c>
      <c r="C790" s="18" t="str">
        <f>+C789</f>
        <v>DIO1</v>
      </c>
      <c r="D790" s="18">
        <v>132</v>
      </c>
      <c r="E790" s="84">
        <f>+E789</f>
        <v>2</v>
      </c>
      <c r="F790" s="84">
        <f>+F789</f>
        <v>8</v>
      </c>
      <c r="G790" s="84">
        <v>0</v>
      </c>
      <c r="H790" s="200">
        <f>H786</f>
        <v>1</v>
      </c>
      <c r="I790" s="187">
        <f>+I789+1</f>
        <v>23</v>
      </c>
      <c r="J790" s="205"/>
      <c r="K790" s="79"/>
      <c r="L790" s="17" t="s">
        <v>323</v>
      </c>
      <c r="M790" s="18"/>
      <c r="N790" s="59"/>
      <c r="O790" s="18"/>
      <c r="P790" s="59"/>
      <c r="Q790" s="18"/>
      <c r="R790" s="18"/>
      <c r="S790" s="17"/>
      <c r="T790" s="17"/>
      <c r="U790" s="17"/>
      <c r="V790" s="17" t="str">
        <f>+CONCATENATE(E790,".",F790,"\",G790,".",H790,":",I790)</f>
        <v>2.8\0.1:23</v>
      </c>
      <c r="W790" s="17"/>
      <c r="X790" s="17"/>
      <c r="Y790" s="17"/>
      <c r="Z790" s="20" t="s">
        <v>1159</v>
      </c>
      <c r="AA790" s="17"/>
      <c r="AB790" s="17"/>
      <c r="AC790" s="17"/>
      <c r="AD790" s="17"/>
      <c r="AE790" s="17"/>
      <c r="AF790" s="17"/>
      <c r="AG790" s="64" t="s">
        <v>1079</v>
      </c>
      <c r="AH790" s="64">
        <v>31</v>
      </c>
      <c r="AI790" s="64">
        <v>32</v>
      </c>
      <c r="AJ790" s="64"/>
      <c r="AK790" s="64"/>
      <c r="AL790" s="264"/>
      <c r="AM790" s="84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</row>
    <row r="791" spans="1:51" s="33" customFormat="1" ht="14.5" x14ac:dyDescent="0.35">
      <c r="A791" s="63" t="str">
        <f>A790</f>
        <v>BCV131</v>
      </c>
      <c r="B791" s="17" t="s">
        <v>1978</v>
      </c>
      <c r="C791" s="18" t="str">
        <f>+C790</f>
        <v>DIO1</v>
      </c>
      <c r="D791" s="18">
        <v>132</v>
      </c>
      <c r="E791" s="84">
        <f>+E790</f>
        <v>2</v>
      </c>
      <c r="F791" s="84">
        <f>+F790</f>
        <v>8</v>
      </c>
      <c r="G791" s="84">
        <v>0</v>
      </c>
      <c r="H791" s="200">
        <f>H787</f>
        <v>1</v>
      </c>
      <c r="I791" s="187">
        <f>+I790+1</f>
        <v>24</v>
      </c>
      <c r="J791" s="205"/>
      <c r="K791" s="79"/>
      <c r="L791" s="17" t="s">
        <v>323</v>
      </c>
      <c r="M791" s="18"/>
      <c r="N791" s="59"/>
      <c r="O791" s="18"/>
      <c r="P791" s="59"/>
      <c r="Q791" s="18"/>
      <c r="R791" s="18"/>
      <c r="S791" s="17"/>
      <c r="T791" s="17"/>
      <c r="U791" s="17"/>
      <c r="V791" s="17" t="str">
        <f>+CONCATENATE(E791,".",F791,"\",G791,".",H791,":",I791)</f>
        <v>2.8\0.1:24</v>
      </c>
      <c r="W791" s="17"/>
      <c r="X791" s="17"/>
      <c r="Y791" s="17"/>
      <c r="Z791" s="20" t="s">
        <v>1159</v>
      </c>
      <c r="AA791" s="17"/>
      <c r="AB791" s="17"/>
      <c r="AC791" s="17"/>
      <c r="AD791" s="17"/>
      <c r="AE791" s="17"/>
      <c r="AF791" s="17"/>
      <c r="AG791" s="64" t="s">
        <v>1079</v>
      </c>
      <c r="AH791" s="64">
        <v>33</v>
      </c>
      <c r="AI791" s="64">
        <v>34</v>
      </c>
      <c r="AJ791" s="64"/>
      <c r="AK791" s="64"/>
      <c r="AL791" s="264"/>
      <c r="AM791" s="84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</row>
    <row r="792" spans="1:51" s="33" customFormat="1" ht="14.5" x14ac:dyDescent="0.35">
      <c r="A792" s="63" t="str">
        <f>A791</f>
        <v>BCV131</v>
      </c>
      <c r="B792" s="17" t="s">
        <v>1978</v>
      </c>
      <c r="C792" s="18" t="str">
        <f>+C791</f>
        <v>DIO1</v>
      </c>
      <c r="D792" s="18">
        <v>132</v>
      </c>
      <c r="E792" s="84">
        <f>+E791</f>
        <v>2</v>
      </c>
      <c r="F792" s="84">
        <f>+F791</f>
        <v>8</v>
      </c>
      <c r="G792" s="84">
        <v>0</v>
      </c>
      <c r="H792" s="200">
        <f>H788</f>
        <v>1</v>
      </c>
      <c r="I792" s="187">
        <f>+I791+1</f>
        <v>25</v>
      </c>
      <c r="J792" s="205"/>
      <c r="K792" s="79"/>
      <c r="L792" s="17" t="s">
        <v>323</v>
      </c>
      <c r="M792" s="18"/>
      <c r="N792" s="59"/>
      <c r="O792" s="17"/>
      <c r="P792" s="59"/>
      <c r="Q792" s="17"/>
      <c r="R792" s="17"/>
      <c r="S792" s="17"/>
      <c r="T792" s="17"/>
      <c r="U792" s="17"/>
      <c r="V792" s="17" t="str">
        <f>+CONCATENATE(E792,".",F792,"\",G792,".",H792,":",I792)</f>
        <v>2.8\0.1:25</v>
      </c>
      <c r="W792" s="17"/>
      <c r="X792" s="17"/>
      <c r="Y792" s="17"/>
      <c r="Z792" s="20" t="s">
        <v>1159</v>
      </c>
      <c r="AA792" s="17"/>
      <c r="AB792" s="17"/>
      <c r="AC792" s="17"/>
      <c r="AD792" s="17"/>
      <c r="AE792" s="17"/>
      <c r="AF792" s="17"/>
      <c r="AG792" s="64" t="s">
        <v>1079</v>
      </c>
      <c r="AH792" s="64">
        <v>35</v>
      </c>
      <c r="AI792" s="64">
        <v>36</v>
      </c>
      <c r="AJ792" s="64"/>
      <c r="AK792" s="64"/>
      <c r="AL792" s="264"/>
      <c r="AM792" s="84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</row>
    <row r="793" spans="1:51" s="33" customFormat="1" ht="14.5" x14ac:dyDescent="0.35">
      <c r="A793" s="63" t="str">
        <f>A792</f>
        <v>BCV131</v>
      </c>
      <c r="B793" s="17" t="s">
        <v>1978</v>
      </c>
      <c r="C793" s="18" t="str">
        <f>+C792</f>
        <v>DIO1</v>
      </c>
      <c r="D793" s="18">
        <v>132</v>
      </c>
      <c r="E793" s="84">
        <f>+E792</f>
        <v>2</v>
      </c>
      <c r="F793" s="84">
        <f>+F792</f>
        <v>8</v>
      </c>
      <c r="G793" s="84">
        <v>0</v>
      </c>
      <c r="H793" s="200">
        <f>H789</f>
        <v>1</v>
      </c>
      <c r="I793" s="187">
        <f>+I792+1</f>
        <v>26</v>
      </c>
      <c r="J793" s="205"/>
      <c r="K793" s="79"/>
      <c r="L793" s="17" t="s">
        <v>323</v>
      </c>
      <c r="M793" s="18"/>
      <c r="N793" s="59"/>
      <c r="O793" s="17"/>
      <c r="P793" s="59"/>
      <c r="Q793" s="17"/>
      <c r="R793" s="17"/>
      <c r="S793" s="17"/>
      <c r="T793" s="17"/>
      <c r="U793" s="17"/>
      <c r="V793" s="17" t="str">
        <f>+CONCATENATE(E793,".",F793,"\",G793,".",H793,":",I793)</f>
        <v>2.8\0.1:26</v>
      </c>
      <c r="W793" s="17"/>
      <c r="X793" s="17"/>
      <c r="Y793" s="17"/>
      <c r="Z793" s="20" t="s">
        <v>1159</v>
      </c>
      <c r="AA793" s="17"/>
      <c r="AB793" s="17"/>
      <c r="AC793" s="17"/>
      <c r="AD793" s="17"/>
      <c r="AE793" s="17"/>
      <c r="AF793" s="17"/>
      <c r="AG793" s="64" t="s">
        <v>1079</v>
      </c>
      <c r="AH793" s="64">
        <v>37</v>
      </c>
      <c r="AI793" s="64">
        <v>38</v>
      </c>
      <c r="AJ793" s="64"/>
      <c r="AK793" s="64"/>
      <c r="AL793" s="264"/>
      <c r="AM793" s="84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</row>
    <row r="794" spans="1:51" s="33" customFormat="1" ht="14.5" x14ac:dyDescent="0.35">
      <c r="A794" s="63" t="str">
        <f>A793</f>
        <v>BCV131</v>
      </c>
      <c r="B794" s="17" t="s">
        <v>1978</v>
      </c>
      <c r="C794" s="18" t="str">
        <f>+C793</f>
        <v>DIO1</v>
      </c>
      <c r="D794" s="18">
        <v>132</v>
      </c>
      <c r="E794" s="84">
        <f>+E793</f>
        <v>2</v>
      </c>
      <c r="F794" s="84">
        <f>+F793</f>
        <v>8</v>
      </c>
      <c r="G794" s="84">
        <v>0</v>
      </c>
      <c r="H794" s="200">
        <f>H790</f>
        <v>1</v>
      </c>
      <c r="I794" s="187">
        <f>+I793+1</f>
        <v>27</v>
      </c>
      <c r="J794" s="205"/>
      <c r="K794" s="79"/>
      <c r="L794" s="17" t="s">
        <v>323</v>
      </c>
      <c r="M794" s="18"/>
      <c r="N794" s="59"/>
      <c r="O794" s="17"/>
      <c r="P794" s="59"/>
      <c r="Q794" s="17"/>
      <c r="R794" s="17"/>
      <c r="S794" s="17"/>
      <c r="T794" s="17"/>
      <c r="U794" s="17"/>
      <c r="V794" s="17" t="str">
        <f>+CONCATENATE(E794,".",F794,"\",G794,".",H794,":",I794)</f>
        <v>2.8\0.1:27</v>
      </c>
      <c r="W794" s="17"/>
      <c r="X794" s="17"/>
      <c r="Y794" s="17"/>
      <c r="Z794" s="20" t="s">
        <v>1159</v>
      </c>
      <c r="AA794" s="17"/>
      <c r="AB794" s="17"/>
      <c r="AC794" s="17"/>
      <c r="AD794" s="17"/>
      <c r="AE794" s="17"/>
      <c r="AF794" s="17"/>
      <c r="AG794" s="64" t="s">
        <v>1079</v>
      </c>
      <c r="AH794" s="64">
        <v>39</v>
      </c>
      <c r="AI794" s="64">
        <v>40</v>
      </c>
      <c r="AJ794" s="64"/>
      <c r="AK794" s="64"/>
      <c r="AL794" s="264"/>
      <c r="AM794" s="84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</row>
    <row r="795" spans="1:51" s="33" customFormat="1" ht="14.5" x14ac:dyDescent="0.35">
      <c r="A795" s="63" t="str">
        <f>A794</f>
        <v>BCV131</v>
      </c>
      <c r="B795" s="17" t="s">
        <v>1978</v>
      </c>
      <c r="C795" s="18" t="str">
        <f>+C794</f>
        <v>DIO1</v>
      </c>
      <c r="D795" s="18">
        <v>132</v>
      </c>
      <c r="E795" s="84">
        <f>+E794</f>
        <v>2</v>
      </c>
      <c r="F795" s="84">
        <f>+F794</f>
        <v>8</v>
      </c>
      <c r="G795" s="84">
        <v>0</v>
      </c>
      <c r="H795" s="200">
        <f>H791</f>
        <v>1</v>
      </c>
      <c r="I795" s="187">
        <f>+I794+1</f>
        <v>28</v>
      </c>
      <c r="J795" s="205"/>
      <c r="K795" s="79"/>
      <c r="L795" s="17" t="s">
        <v>323</v>
      </c>
      <c r="M795" s="18"/>
      <c r="N795" s="59"/>
      <c r="O795" s="17"/>
      <c r="P795" s="59"/>
      <c r="Q795" s="17"/>
      <c r="R795" s="17"/>
      <c r="S795" s="17"/>
      <c r="T795" s="17"/>
      <c r="U795" s="17"/>
      <c r="V795" s="17" t="str">
        <f>+CONCATENATE(E795,".",F795,"\",G795,".",H795,":",I795)</f>
        <v>2.8\0.1:28</v>
      </c>
      <c r="W795" s="17"/>
      <c r="X795" s="17"/>
      <c r="Y795" s="17"/>
      <c r="Z795" s="20" t="s">
        <v>1159</v>
      </c>
      <c r="AA795" s="17"/>
      <c r="AB795" s="17"/>
      <c r="AC795" s="17"/>
      <c r="AD795" s="17"/>
      <c r="AE795" s="17"/>
      <c r="AF795" s="17"/>
      <c r="AG795" s="64" t="s">
        <v>1079</v>
      </c>
      <c r="AH795" s="64">
        <v>41</v>
      </c>
      <c r="AI795" s="64">
        <v>42</v>
      </c>
      <c r="AJ795" s="64"/>
      <c r="AK795" s="64"/>
      <c r="AL795" s="264"/>
      <c r="AM795" s="84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</row>
    <row r="796" spans="1:51" s="33" customFormat="1" ht="14.5" x14ac:dyDescent="0.35">
      <c r="A796" s="63" t="str">
        <f>A795</f>
        <v>BCV131</v>
      </c>
      <c r="B796" s="17" t="s">
        <v>1978</v>
      </c>
      <c r="C796" s="18" t="str">
        <f>+C795</f>
        <v>DIO1</v>
      </c>
      <c r="D796" s="18">
        <v>132</v>
      </c>
      <c r="E796" s="84">
        <f>+E795</f>
        <v>2</v>
      </c>
      <c r="F796" s="84">
        <f>+F795</f>
        <v>8</v>
      </c>
      <c r="G796" s="84">
        <v>0</v>
      </c>
      <c r="H796" s="200">
        <f>H792</f>
        <v>1</v>
      </c>
      <c r="I796" s="187">
        <f>+I795+1</f>
        <v>29</v>
      </c>
      <c r="J796" s="205"/>
      <c r="K796" s="79"/>
      <c r="L796" s="17" t="s">
        <v>323</v>
      </c>
      <c r="M796" s="18"/>
      <c r="N796" s="59"/>
      <c r="O796" s="17"/>
      <c r="P796" s="59"/>
      <c r="Q796" s="17"/>
      <c r="R796" s="17"/>
      <c r="S796" s="17"/>
      <c r="T796" s="17"/>
      <c r="U796" s="17"/>
      <c r="V796" s="17" t="str">
        <f>+CONCATENATE(E796,".",F796,"\",G796,".",H796,":",I796)</f>
        <v>2.8\0.1:29</v>
      </c>
      <c r="W796" s="17"/>
      <c r="X796" s="17"/>
      <c r="Y796" s="17"/>
      <c r="Z796" s="20" t="s">
        <v>1159</v>
      </c>
      <c r="AA796" s="17"/>
      <c r="AB796" s="17"/>
      <c r="AC796" s="17"/>
      <c r="AD796" s="17"/>
      <c r="AE796" s="17"/>
      <c r="AF796" s="17"/>
      <c r="AG796" s="64" t="s">
        <v>1079</v>
      </c>
      <c r="AH796" s="64">
        <v>43</v>
      </c>
      <c r="AI796" s="64">
        <v>44</v>
      </c>
      <c r="AJ796" s="64"/>
      <c r="AK796" s="64"/>
      <c r="AL796" s="264"/>
      <c r="AM796" s="84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</row>
    <row r="797" spans="1:51" s="33" customFormat="1" ht="14.5" x14ac:dyDescent="0.35">
      <c r="A797" s="63" t="str">
        <f>A796</f>
        <v>BCV131</v>
      </c>
      <c r="B797" s="17" t="s">
        <v>1978</v>
      </c>
      <c r="C797" s="18" t="str">
        <f>+C796</f>
        <v>DIO1</v>
      </c>
      <c r="D797" s="18">
        <v>132</v>
      </c>
      <c r="E797" s="84">
        <f>+E796</f>
        <v>2</v>
      </c>
      <c r="F797" s="84">
        <f>+F796</f>
        <v>8</v>
      </c>
      <c r="G797" s="84">
        <v>0</v>
      </c>
      <c r="H797" s="200">
        <f>H793</f>
        <v>1</v>
      </c>
      <c r="I797" s="187">
        <f>+I796+1</f>
        <v>30</v>
      </c>
      <c r="J797" s="205"/>
      <c r="K797" s="79"/>
      <c r="L797" s="17" t="s">
        <v>323</v>
      </c>
      <c r="M797" s="18"/>
      <c r="N797" s="59"/>
      <c r="O797" s="17"/>
      <c r="P797" s="59"/>
      <c r="Q797" s="17"/>
      <c r="R797" s="17"/>
      <c r="S797" s="17"/>
      <c r="T797" s="17"/>
      <c r="U797" s="17"/>
      <c r="V797" s="17" t="str">
        <f>+CONCATENATE(E797,".",F797,"\",G797,".",H797,":",I797)</f>
        <v>2.8\0.1:30</v>
      </c>
      <c r="W797" s="17"/>
      <c r="X797" s="17"/>
      <c r="Y797" s="17"/>
      <c r="Z797" s="20" t="s">
        <v>1159</v>
      </c>
      <c r="AA797" s="17"/>
      <c r="AB797" s="17"/>
      <c r="AC797" s="17"/>
      <c r="AD797" s="17"/>
      <c r="AE797" s="17"/>
      <c r="AF797" s="17"/>
      <c r="AG797" s="64" t="s">
        <v>1079</v>
      </c>
      <c r="AH797" s="64">
        <v>45</v>
      </c>
      <c r="AI797" s="64">
        <v>46</v>
      </c>
      <c r="AJ797" s="64"/>
      <c r="AK797" s="64"/>
      <c r="AL797" s="264"/>
      <c r="AM797" s="84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</row>
    <row r="798" spans="1:51" s="33" customFormat="1" ht="15" thickBot="1" x14ac:dyDescent="0.4">
      <c r="A798" s="63" t="str">
        <f>A797</f>
        <v>BCV131</v>
      </c>
      <c r="B798" s="17" t="s">
        <v>1978</v>
      </c>
      <c r="C798" s="18" t="str">
        <f>+C797</f>
        <v>DIO1</v>
      </c>
      <c r="D798" s="18">
        <v>132</v>
      </c>
      <c r="E798" s="84">
        <f>+E797</f>
        <v>2</v>
      </c>
      <c r="F798" s="84">
        <f>+F797</f>
        <v>8</v>
      </c>
      <c r="G798" s="84">
        <v>0</v>
      </c>
      <c r="H798" s="200">
        <f>H794</f>
        <v>1</v>
      </c>
      <c r="I798" s="191">
        <f>+I797+1</f>
        <v>31</v>
      </c>
      <c r="J798" s="203"/>
      <c r="K798" s="79"/>
      <c r="L798" s="17" t="s">
        <v>323</v>
      </c>
      <c r="M798" s="18"/>
      <c r="N798" s="59"/>
      <c r="O798" s="17"/>
      <c r="P798" s="59"/>
      <c r="Q798" s="17"/>
      <c r="R798" s="17"/>
      <c r="S798" s="17"/>
      <c r="T798" s="17"/>
      <c r="U798" s="17"/>
      <c r="V798" s="17" t="str">
        <f>+CONCATENATE(E798,".",F798,"\",G798,".",H798,":",I798)</f>
        <v>2.8\0.1:31</v>
      </c>
      <c r="W798" s="17"/>
      <c r="X798" s="17"/>
      <c r="Y798" s="17"/>
      <c r="Z798" s="20" t="s">
        <v>1159</v>
      </c>
      <c r="AA798" s="17"/>
      <c r="AB798" s="17"/>
      <c r="AC798" s="17"/>
      <c r="AD798" s="17"/>
      <c r="AE798" s="17"/>
      <c r="AF798" s="17"/>
      <c r="AG798" s="64" t="s">
        <v>1079</v>
      </c>
      <c r="AH798" s="64">
        <v>47</v>
      </c>
      <c r="AI798" s="64">
        <v>48</v>
      </c>
      <c r="AJ798" s="64"/>
      <c r="AK798" s="64"/>
      <c r="AL798" s="264"/>
      <c r="AM798" s="84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</row>
    <row r="799" spans="1:51" s="33" customFormat="1" ht="14.5" x14ac:dyDescent="0.35">
      <c r="A799" s="268" t="s">
        <v>194</v>
      </c>
      <c r="B799" s="17" t="s">
        <v>1978</v>
      </c>
      <c r="C799" s="18" t="str">
        <f>+C798</f>
        <v>DIO1</v>
      </c>
      <c r="D799" s="18">
        <v>132</v>
      </c>
      <c r="E799" s="84">
        <f>+E798</f>
        <v>2</v>
      </c>
      <c r="F799" s="84">
        <f>+F798</f>
        <v>8</v>
      </c>
      <c r="G799" s="84">
        <v>0</v>
      </c>
      <c r="H799" s="214">
        <v>2</v>
      </c>
      <c r="I799" s="188">
        <v>0</v>
      </c>
      <c r="J799" s="201" t="s">
        <v>722</v>
      </c>
      <c r="K799" s="18" t="s">
        <v>721</v>
      </c>
      <c r="L799" s="79" t="s">
        <v>292</v>
      </c>
      <c r="M799" s="18">
        <v>3</v>
      </c>
      <c r="N799" s="59" t="s">
        <v>1994</v>
      </c>
      <c r="O799" s="17" t="s">
        <v>1993</v>
      </c>
      <c r="P799" s="59" t="s">
        <v>1992</v>
      </c>
      <c r="Q799" s="17" t="s">
        <v>1991</v>
      </c>
      <c r="R799" s="17" t="s">
        <v>308</v>
      </c>
      <c r="S799" s="17"/>
      <c r="T799" s="17" t="s">
        <v>194</v>
      </c>
      <c r="U799" s="17"/>
      <c r="V799" s="17" t="str">
        <f>+CONCATENATE(E799,".",F799,"\",G799,".",H799,":",I799)</f>
        <v>2.8\0.2:0</v>
      </c>
      <c r="W799" s="17" t="s">
        <v>1979</v>
      </c>
      <c r="X799" s="272">
        <v>0</v>
      </c>
      <c r="Y799" s="17"/>
      <c r="Z799" s="20" t="s">
        <v>1159</v>
      </c>
      <c r="AA799" s="17"/>
      <c r="AB799" s="17"/>
      <c r="AC799" s="17"/>
      <c r="AD799" s="17"/>
      <c r="AE799" s="17"/>
      <c r="AF799" s="17"/>
      <c r="AG799" s="64" t="s">
        <v>844</v>
      </c>
      <c r="AH799" s="64">
        <v>1</v>
      </c>
      <c r="AI799" s="64">
        <v>2</v>
      </c>
      <c r="AJ799" s="64"/>
      <c r="AK799" s="64"/>
      <c r="AL799" s="264"/>
      <c r="AM799" s="84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</row>
    <row r="800" spans="1:51" s="33" customFormat="1" ht="14.5" x14ac:dyDescent="0.35">
      <c r="A800" s="63" t="str">
        <f>A799</f>
        <v>BCV131</v>
      </c>
      <c r="B800" s="17" t="s">
        <v>1978</v>
      </c>
      <c r="C800" s="18" t="str">
        <f>+C799</f>
        <v>DIO1</v>
      </c>
      <c r="D800" s="18">
        <v>132</v>
      </c>
      <c r="E800" s="84">
        <f>+E799</f>
        <v>2</v>
      </c>
      <c r="F800" s="84">
        <f>+F799</f>
        <v>8</v>
      </c>
      <c r="G800" s="84">
        <v>0</v>
      </c>
      <c r="H800" s="200">
        <f>H799</f>
        <v>2</v>
      </c>
      <c r="I800" s="187">
        <f>+I799+1</f>
        <v>1</v>
      </c>
      <c r="J800" s="193"/>
      <c r="K800" s="79"/>
      <c r="L800" s="79" t="s">
        <v>292</v>
      </c>
      <c r="M800" s="18">
        <v>3</v>
      </c>
      <c r="N800" s="59" t="s">
        <v>1990</v>
      </c>
      <c r="O800" s="17" t="s">
        <v>1196</v>
      </c>
      <c r="P800" s="59" t="s">
        <v>1989</v>
      </c>
      <c r="Q800" s="17" t="s">
        <v>1988</v>
      </c>
      <c r="R800" s="17" t="s">
        <v>308</v>
      </c>
      <c r="S800" s="17"/>
      <c r="T800" s="17" t="s">
        <v>194</v>
      </c>
      <c r="U800" s="17"/>
      <c r="V800" s="17" t="str">
        <f>+CONCATENATE(E800,".",F800,"\",G800,".",H800,":",I800)</f>
        <v>2.8\0.2:1</v>
      </c>
      <c r="W800" s="17" t="s">
        <v>1979</v>
      </c>
      <c r="X800" s="272">
        <v>0</v>
      </c>
      <c r="Y800" s="17"/>
      <c r="Z800" s="20" t="s">
        <v>1159</v>
      </c>
      <c r="AA800" s="17"/>
      <c r="AB800" s="17"/>
      <c r="AC800" s="17"/>
      <c r="AD800" s="17"/>
      <c r="AE800" s="17"/>
      <c r="AF800" s="17"/>
      <c r="AG800" s="64" t="s">
        <v>844</v>
      </c>
      <c r="AH800" s="64">
        <v>3</v>
      </c>
      <c r="AI800" s="64">
        <v>4</v>
      </c>
      <c r="AJ800" s="64"/>
      <c r="AK800" s="64"/>
      <c r="AL800" s="264"/>
      <c r="AM800" s="84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</row>
    <row r="801" spans="1:51" s="33" customFormat="1" ht="14.5" x14ac:dyDescent="0.35">
      <c r="A801" s="63" t="str">
        <f>A800</f>
        <v>BCV131</v>
      </c>
      <c r="B801" s="17" t="s">
        <v>1978</v>
      </c>
      <c r="C801" s="18" t="str">
        <f>+C800</f>
        <v>DIO1</v>
      </c>
      <c r="D801" s="18">
        <v>132</v>
      </c>
      <c r="E801" s="84">
        <f>+E800</f>
        <v>2</v>
      </c>
      <c r="F801" s="84">
        <f>+F800</f>
        <v>8</v>
      </c>
      <c r="G801" s="84">
        <v>0</v>
      </c>
      <c r="H801" s="186">
        <f>+H800</f>
        <v>2</v>
      </c>
      <c r="I801" s="187">
        <f>+I800+1</f>
        <v>2</v>
      </c>
      <c r="J801" s="193"/>
      <c r="K801" s="65"/>
      <c r="L801" s="79" t="s">
        <v>292</v>
      </c>
      <c r="M801" s="18">
        <v>3</v>
      </c>
      <c r="N801" s="59" t="s">
        <v>1987</v>
      </c>
      <c r="O801" s="17" t="s">
        <v>1986</v>
      </c>
      <c r="P801" s="59" t="s">
        <v>1985</v>
      </c>
      <c r="Q801" s="17" t="s">
        <v>1984</v>
      </c>
      <c r="R801" s="17" t="s">
        <v>308</v>
      </c>
      <c r="S801" s="17"/>
      <c r="T801" s="17" t="s">
        <v>194</v>
      </c>
      <c r="U801" s="17"/>
      <c r="V801" s="17" t="str">
        <f>+CONCATENATE(E801,".",F801,"\",G801,".",H801,":",I801)</f>
        <v>2.8\0.2:2</v>
      </c>
      <c r="W801" s="17" t="s">
        <v>1979</v>
      </c>
      <c r="X801" s="272">
        <v>0</v>
      </c>
      <c r="Y801" s="17"/>
      <c r="Z801" s="20" t="s">
        <v>1159</v>
      </c>
      <c r="AA801" s="17"/>
      <c r="AB801" s="17"/>
      <c r="AC801" s="17"/>
      <c r="AD801" s="17"/>
      <c r="AE801" s="17"/>
      <c r="AF801" s="17"/>
      <c r="AG801" s="64" t="s">
        <v>844</v>
      </c>
      <c r="AH801" s="64">
        <v>5</v>
      </c>
      <c r="AI801" s="64">
        <v>6</v>
      </c>
      <c r="AJ801" s="64"/>
      <c r="AK801" s="64"/>
      <c r="AL801" s="264"/>
      <c r="AM801" s="84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</row>
    <row r="802" spans="1:51" s="33" customFormat="1" ht="14.5" x14ac:dyDescent="0.35">
      <c r="A802" s="63" t="str">
        <f>A801</f>
        <v>BCV131</v>
      </c>
      <c r="B802" s="17" t="s">
        <v>1978</v>
      </c>
      <c r="C802" s="18" t="str">
        <f>+C801</f>
        <v>DIO1</v>
      </c>
      <c r="D802" s="18">
        <v>132</v>
      </c>
      <c r="E802" s="84">
        <f>+E801</f>
        <v>2</v>
      </c>
      <c r="F802" s="84">
        <f>+F801</f>
        <v>8</v>
      </c>
      <c r="G802" s="84">
        <v>0</v>
      </c>
      <c r="H802" s="186">
        <f>+H801</f>
        <v>2</v>
      </c>
      <c r="I802" s="187">
        <f>+I801+1</f>
        <v>3</v>
      </c>
      <c r="J802" s="193"/>
      <c r="K802" s="65"/>
      <c r="L802" s="79" t="s">
        <v>292</v>
      </c>
      <c r="M802" s="18"/>
      <c r="N802" s="59"/>
      <c r="O802" s="17"/>
      <c r="P802" s="59"/>
      <c r="T802" s="17"/>
      <c r="U802" s="17"/>
      <c r="V802" s="17" t="str">
        <f>+CONCATENATE(E802,".",F802,"\",G802,".",H802,":",I802)</f>
        <v>2.8\0.2:3</v>
      </c>
      <c r="W802" s="17"/>
      <c r="X802" s="17"/>
      <c r="Y802" s="17"/>
      <c r="Z802" s="20" t="s">
        <v>1159</v>
      </c>
      <c r="AA802" s="17"/>
      <c r="AB802" s="17"/>
      <c r="AC802" s="17"/>
      <c r="AD802" s="17"/>
      <c r="AE802" s="17"/>
      <c r="AF802" s="17"/>
      <c r="AG802" s="64" t="s">
        <v>844</v>
      </c>
      <c r="AH802" s="64">
        <v>7</v>
      </c>
      <c r="AI802" s="64">
        <v>8</v>
      </c>
      <c r="AJ802" s="64"/>
      <c r="AK802" s="64"/>
      <c r="AL802" s="264"/>
      <c r="AM802" s="84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</row>
    <row r="803" spans="1:51" s="33" customFormat="1" ht="14.5" x14ac:dyDescent="0.35">
      <c r="A803" s="63" t="str">
        <f>A802</f>
        <v>BCV131</v>
      </c>
      <c r="B803" s="17" t="s">
        <v>1978</v>
      </c>
      <c r="C803" s="18" t="str">
        <f>+C802</f>
        <v>DIO1</v>
      </c>
      <c r="D803" s="18">
        <v>132</v>
      </c>
      <c r="E803" s="84">
        <f>+E802</f>
        <v>2</v>
      </c>
      <c r="F803" s="84">
        <f>+F802</f>
        <v>8</v>
      </c>
      <c r="G803" s="84">
        <v>0</v>
      </c>
      <c r="H803" s="186">
        <f>+H802</f>
        <v>2</v>
      </c>
      <c r="I803" s="187">
        <f>+I802+1</f>
        <v>4</v>
      </c>
      <c r="J803" s="193"/>
      <c r="K803" s="65"/>
      <c r="L803" s="79" t="s">
        <v>292</v>
      </c>
      <c r="M803" s="18"/>
      <c r="N803" s="59"/>
      <c r="O803" s="17"/>
      <c r="P803" s="59"/>
      <c r="T803" s="17"/>
      <c r="U803" s="17"/>
      <c r="V803" s="17" t="str">
        <f>+CONCATENATE(E803,".",F803,"\",G803,".",H803,":",I803)</f>
        <v>2.8\0.2:4</v>
      </c>
      <c r="W803" s="17"/>
      <c r="X803" s="17"/>
      <c r="Y803" s="17"/>
      <c r="Z803" s="20" t="s">
        <v>1159</v>
      </c>
      <c r="AA803" s="17"/>
      <c r="AB803" s="17"/>
      <c r="AC803" s="17"/>
      <c r="AD803" s="17"/>
      <c r="AE803" s="17"/>
      <c r="AF803" s="17"/>
      <c r="AG803" s="64" t="s">
        <v>844</v>
      </c>
      <c r="AH803" s="64">
        <v>9</v>
      </c>
      <c r="AI803" s="64">
        <v>10</v>
      </c>
      <c r="AJ803" s="64"/>
      <c r="AK803" s="64"/>
      <c r="AL803" s="264"/>
      <c r="AM803" s="84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</row>
    <row r="804" spans="1:51" s="33" customFormat="1" ht="14.5" x14ac:dyDescent="0.35">
      <c r="A804" s="63" t="str">
        <f>A803</f>
        <v>BCV131</v>
      </c>
      <c r="B804" s="17" t="s">
        <v>1978</v>
      </c>
      <c r="C804" s="18" t="str">
        <f>+C803</f>
        <v>DIO1</v>
      </c>
      <c r="D804" s="18">
        <v>132</v>
      </c>
      <c r="E804" s="84">
        <f>+E803</f>
        <v>2</v>
      </c>
      <c r="F804" s="84">
        <f>+F803</f>
        <v>8</v>
      </c>
      <c r="G804" s="84">
        <v>0</v>
      </c>
      <c r="H804" s="186">
        <f>+H803</f>
        <v>2</v>
      </c>
      <c r="I804" s="187">
        <f>+I803+1</f>
        <v>5</v>
      </c>
      <c r="J804" s="193"/>
      <c r="K804" s="65"/>
      <c r="L804" s="79" t="s">
        <v>292</v>
      </c>
      <c r="M804" s="18"/>
      <c r="N804" s="59"/>
      <c r="O804" s="17"/>
      <c r="P804" s="59"/>
      <c r="Q804" s="17"/>
      <c r="R804" s="17"/>
      <c r="S804" s="18"/>
      <c r="T804" s="17"/>
      <c r="U804" s="17"/>
      <c r="V804" s="17" t="str">
        <f>+CONCATENATE(E804,".",F804,"\",G804,".",H804,":",I804)</f>
        <v>2.8\0.2:5</v>
      </c>
      <c r="W804" s="17"/>
      <c r="X804" s="17"/>
      <c r="Y804" s="17"/>
      <c r="Z804" s="20" t="s">
        <v>1159</v>
      </c>
      <c r="AA804" s="17"/>
      <c r="AB804" s="17"/>
      <c r="AC804" s="17"/>
      <c r="AD804" s="17"/>
      <c r="AE804" s="17"/>
      <c r="AF804" s="17"/>
      <c r="AG804" s="64" t="s">
        <v>844</v>
      </c>
      <c r="AH804" s="64">
        <v>11</v>
      </c>
      <c r="AI804" s="64">
        <v>12</v>
      </c>
      <c r="AJ804" s="64"/>
      <c r="AK804" s="64"/>
      <c r="AL804" s="264"/>
      <c r="AM804" s="84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</row>
    <row r="805" spans="1:51" s="33" customFormat="1" ht="14.5" x14ac:dyDescent="0.35">
      <c r="A805" s="63" t="str">
        <f>A804</f>
        <v>BCV131</v>
      </c>
      <c r="B805" s="17" t="s">
        <v>1978</v>
      </c>
      <c r="C805" s="18" t="str">
        <f>+C804</f>
        <v>DIO1</v>
      </c>
      <c r="D805" s="18">
        <v>132</v>
      </c>
      <c r="E805" s="84">
        <f>+E804</f>
        <v>2</v>
      </c>
      <c r="F805" s="84">
        <f>+F804</f>
        <v>8</v>
      </c>
      <c r="G805" s="84">
        <v>0</v>
      </c>
      <c r="H805" s="186">
        <f>+H804</f>
        <v>2</v>
      </c>
      <c r="I805" s="187">
        <f>+I804+1</f>
        <v>6</v>
      </c>
      <c r="J805" s="193"/>
      <c r="K805" s="65"/>
      <c r="L805" s="79" t="s">
        <v>292</v>
      </c>
      <c r="M805" s="18"/>
      <c r="N805" s="59"/>
      <c r="O805" s="17"/>
      <c r="P805" s="59"/>
      <c r="Q805" s="17"/>
      <c r="R805" s="17"/>
      <c r="S805" s="17"/>
      <c r="T805" s="17"/>
      <c r="U805" s="17"/>
      <c r="V805" s="17" t="str">
        <f>+CONCATENATE(E805,".",F805,"\",G805,".",H805,":",I805)</f>
        <v>2.8\0.2:6</v>
      </c>
      <c r="W805" s="17"/>
      <c r="X805" s="17"/>
      <c r="Y805" s="17"/>
      <c r="Z805" s="20" t="s">
        <v>1159</v>
      </c>
      <c r="AA805" s="17"/>
      <c r="AB805" s="17"/>
      <c r="AC805" s="17"/>
      <c r="AD805" s="17"/>
      <c r="AE805" s="17"/>
      <c r="AF805" s="17"/>
      <c r="AG805" s="64" t="s">
        <v>844</v>
      </c>
      <c r="AH805" s="64">
        <v>13</v>
      </c>
      <c r="AI805" s="64">
        <v>14</v>
      </c>
      <c r="AJ805" s="64"/>
      <c r="AK805" s="64"/>
      <c r="AL805" s="264"/>
      <c r="AM805" s="17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</row>
    <row r="806" spans="1:51" s="33" customFormat="1" ht="14.5" x14ac:dyDescent="0.35">
      <c r="A806" s="63" t="str">
        <f>A805</f>
        <v>BCV131</v>
      </c>
      <c r="B806" s="17" t="s">
        <v>1978</v>
      </c>
      <c r="C806" s="18" t="str">
        <f>+C805</f>
        <v>DIO1</v>
      </c>
      <c r="D806" s="18">
        <v>132</v>
      </c>
      <c r="E806" s="84">
        <f>+E805</f>
        <v>2</v>
      </c>
      <c r="F806" s="84">
        <f>+F805</f>
        <v>8</v>
      </c>
      <c r="G806" s="84">
        <v>0</v>
      </c>
      <c r="H806" s="186">
        <f>+H805</f>
        <v>2</v>
      </c>
      <c r="I806" s="187">
        <f>+I805+1</f>
        <v>7</v>
      </c>
      <c r="J806" s="193"/>
      <c r="K806" s="65"/>
      <c r="L806" s="79" t="s">
        <v>292</v>
      </c>
      <c r="M806" s="18"/>
      <c r="N806" s="59"/>
      <c r="O806" s="17"/>
      <c r="P806" s="59"/>
      <c r="Q806" s="17"/>
      <c r="R806" s="17"/>
      <c r="S806" s="17"/>
      <c r="T806" s="17"/>
      <c r="U806" s="17"/>
      <c r="V806" s="17" t="str">
        <f>+CONCATENATE(E806,".",F806,"\",G806,".",H806,":",I806)</f>
        <v>2.8\0.2:7</v>
      </c>
      <c r="W806" s="17"/>
      <c r="X806" s="17"/>
      <c r="Y806" s="17"/>
      <c r="Z806" s="20" t="s">
        <v>1159</v>
      </c>
      <c r="AA806" s="17"/>
      <c r="AB806" s="17"/>
      <c r="AC806" s="17"/>
      <c r="AD806" s="17"/>
      <c r="AE806" s="17"/>
      <c r="AF806" s="17"/>
      <c r="AG806" s="64" t="s">
        <v>844</v>
      </c>
      <c r="AH806" s="64">
        <v>15</v>
      </c>
      <c r="AI806" s="64">
        <v>16</v>
      </c>
      <c r="AJ806" s="64"/>
      <c r="AK806" s="64"/>
      <c r="AL806" s="264"/>
      <c r="AM806" s="84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</row>
    <row r="807" spans="1:51" s="33" customFormat="1" ht="14.5" x14ac:dyDescent="0.35">
      <c r="A807" s="63" t="str">
        <f>A806</f>
        <v>BCV131</v>
      </c>
      <c r="B807" s="17" t="s">
        <v>1978</v>
      </c>
      <c r="C807" s="18" t="str">
        <f>+C806</f>
        <v>DIO1</v>
      </c>
      <c r="D807" s="18">
        <v>132</v>
      </c>
      <c r="E807" s="84">
        <f>+E806</f>
        <v>2</v>
      </c>
      <c r="F807" s="84">
        <f>+F806</f>
        <v>8</v>
      </c>
      <c r="G807" s="84">
        <v>0</v>
      </c>
      <c r="H807" s="186">
        <f>+H806</f>
        <v>2</v>
      </c>
      <c r="I807" s="187">
        <f>+I806+1</f>
        <v>8</v>
      </c>
      <c r="J807" s="193"/>
      <c r="K807" s="65"/>
      <c r="L807" s="79" t="s">
        <v>292</v>
      </c>
      <c r="M807" s="18"/>
      <c r="N807" s="59"/>
      <c r="O807" s="17"/>
      <c r="P807" s="59"/>
      <c r="Q807" s="17"/>
      <c r="R807" s="17"/>
      <c r="S807" s="17"/>
      <c r="T807" s="17"/>
      <c r="U807" s="17"/>
      <c r="V807" s="17" t="str">
        <f>+CONCATENATE(E807,".",F807,"\",G807,".",H807,":",I807)</f>
        <v>2.8\0.2:8</v>
      </c>
      <c r="W807" s="17"/>
      <c r="X807" s="17"/>
      <c r="Y807" s="17"/>
      <c r="Z807" s="20" t="s">
        <v>1159</v>
      </c>
      <c r="AA807" s="17"/>
      <c r="AB807" s="17"/>
      <c r="AC807" s="17"/>
      <c r="AD807" s="17"/>
      <c r="AE807" s="17"/>
      <c r="AF807" s="17"/>
      <c r="AG807" s="64" t="s">
        <v>844</v>
      </c>
      <c r="AH807" s="64">
        <v>17</v>
      </c>
      <c r="AI807" s="64">
        <v>18</v>
      </c>
      <c r="AJ807" s="64"/>
      <c r="AK807" s="64"/>
      <c r="AL807" s="264"/>
      <c r="AM807" s="84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</row>
    <row r="808" spans="1:51" s="33" customFormat="1" ht="14.5" x14ac:dyDescent="0.35">
      <c r="A808" s="63" t="str">
        <f>A807</f>
        <v>BCV131</v>
      </c>
      <c r="B808" s="17" t="s">
        <v>1978</v>
      </c>
      <c r="C808" s="18" t="str">
        <f>+C807</f>
        <v>DIO1</v>
      </c>
      <c r="D808" s="18">
        <v>132</v>
      </c>
      <c r="E808" s="84">
        <f>+E807</f>
        <v>2</v>
      </c>
      <c r="F808" s="84">
        <f>+F807</f>
        <v>8</v>
      </c>
      <c r="G808" s="84">
        <v>0</v>
      </c>
      <c r="H808" s="186">
        <f>+H807</f>
        <v>2</v>
      </c>
      <c r="I808" s="187">
        <f>+I807+1</f>
        <v>9</v>
      </c>
      <c r="J808" s="193"/>
      <c r="K808" s="65"/>
      <c r="L808" s="79" t="s">
        <v>292</v>
      </c>
      <c r="M808" s="18"/>
      <c r="N808" s="59"/>
      <c r="O808" s="17"/>
      <c r="P808" s="59"/>
      <c r="Q808" s="17"/>
      <c r="R808" s="17"/>
      <c r="S808" s="17"/>
      <c r="T808" s="17"/>
      <c r="U808" s="17"/>
      <c r="V808" s="17" t="str">
        <f>+CONCATENATE(E808,".",F808,"\",G808,".",H808,":",I808)</f>
        <v>2.8\0.2:9</v>
      </c>
      <c r="W808" s="17"/>
      <c r="X808" s="17"/>
      <c r="Y808" s="17"/>
      <c r="Z808" s="20" t="s">
        <v>1159</v>
      </c>
      <c r="AA808" s="17"/>
      <c r="AB808" s="17"/>
      <c r="AC808" s="17"/>
      <c r="AD808" s="17"/>
      <c r="AE808" s="17"/>
      <c r="AF808" s="17"/>
      <c r="AG808" s="64" t="s">
        <v>844</v>
      </c>
      <c r="AH808" s="64">
        <v>19</v>
      </c>
      <c r="AI808" s="64">
        <v>20</v>
      </c>
      <c r="AJ808" s="64"/>
      <c r="AK808" s="64"/>
      <c r="AL808" s="264"/>
      <c r="AM808" s="84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</row>
    <row r="809" spans="1:51" s="33" customFormat="1" ht="14.5" x14ac:dyDescent="0.35">
      <c r="A809" s="63" t="str">
        <f>A808</f>
        <v>BCV131</v>
      </c>
      <c r="B809" s="17" t="s">
        <v>1978</v>
      </c>
      <c r="C809" s="18" t="str">
        <f>+C808</f>
        <v>DIO1</v>
      </c>
      <c r="D809" s="18">
        <v>132</v>
      </c>
      <c r="E809" s="84">
        <f>+E808</f>
        <v>2</v>
      </c>
      <c r="F809" s="84">
        <f>+F808</f>
        <v>8</v>
      </c>
      <c r="G809" s="84">
        <v>0</v>
      </c>
      <c r="H809" s="186">
        <f>+H808</f>
        <v>2</v>
      </c>
      <c r="I809" s="187">
        <f>+I808+1</f>
        <v>10</v>
      </c>
      <c r="J809" s="193"/>
      <c r="K809" s="65"/>
      <c r="L809" s="79" t="s">
        <v>292</v>
      </c>
      <c r="M809" s="18"/>
      <c r="N809" s="59"/>
      <c r="O809" s="17"/>
      <c r="P809" s="17"/>
      <c r="Q809" s="299"/>
      <c r="R809" s="17"/>
      <c r="S809" s="17"/>
      <c r="T809" s="17"/>
      <c r="U809" s="17"/>
      <c r="V809" s="17" t="str">
        <f>+CONCATENATE(E809,".",F809,"\",G809,".",H809,":",I809)</f>
        <v>2.8\0.2:10</v>
      </c>
      <c r="W809" s="17"/>
      <c r="X809" s="17"/>
      <c r="Y809" s="17"/>
      <c r="Z809" s="20" t="s">
        <v>1159</v>
      </c>
      <c r="AA809" s="17"/>
      <c r="AB809" s="17"/>
      <c r="AC809" s="17"/>
      <c r="AD809" s="17"/>
      <c r="AE809" s="17"/>
      <c r="AF809" s="17"/>
      <c r="AG809" s="64" t="s">
        <v>844</v>
      </c>
      <c r="AH809" s="64">
        <v>21</v>
      </c>
      <c r="AI809" s="64">
        <v>22</v>
      </c>
      <c r="AJ809" s="64"/>
      <c r="AK809" s="64"/>
      <c r="AL809" s="264"/>
      <c r="AM809" s="84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</row>
    <row r="810" spans="1:51" s="33" customFormat="1" ht="14.5" x14ac:dyDescent="0.35">
      <c r="A810" s="63" t="str">
        <f>A809</f>
        <v>BCV131</v>
      </c>
      <c r="B810" s="17" t="s">
        <v>1978</v>
      </c>
      <c r="C810" s="18" t="str">
        <f>+C809</f>
        <v>DIO1</v>
      </c>
      <c r="D810" s="18">
        <v>132</v>
      </c>
      <c r="E810" s="84">
        <f>+E809</f>
        <v>2</v>
      </c>
      <c r="F810" s="84">
        <f>+F809</f>
        <v>8</v>
      </c>
      <c r="G810" s="84">
        <v>0</v>
      </c>
      <c r="H810" s="186">
        <f>+H809</f>
        <v>2</v>
      </c>
      <c r="I810" s="187">
        <f>+I809+1</f>
        <v>11</v>
      </c>
      <c r="J810" s="193"/>
      <c r="K810" s="65"/>
      <c r="L810" s="79" t="s">
        <v>292</v>
      </c>
      <c r="M810" s="18"/>
      <c r="N810" s="59"/>
      <c r="O810" s="17"/>
      <c r="P810" s="17"/>
      <c r="Q810" s="17"/>
      <c r="R810" s="17"/>
      <c r="S810" s="17"/>
      <c r="T810" s="17"/>
      <c r="U810" s="17"/>
      <c r="V810" s="17" t="str">
        <f>+CONCATENATE(E810,".",F810,"\",G810,".",H810,":",I810)</f>
        <v>2.8\0.2:11</v>
      </c>
      <c r="W810" s="17"/>
      <c r="X810" s="17"/>
      <c r="Y810" s="17"/>
      <c r="Z810" s="20" t="s">
        <v>1159</v>
      </c>
      <c r="AA810" s="17"/>
      <c r="AB810" s="17"/>
      <c r="AC810" s="17"/>
      <c r="AD810" s="17"/>
      <c r="AE810" s="17"/>
      <c r="AF810" s="17"/>
      <c r="AG810" s="64" t="s">
        <v>844</v>
      </c>
      <c r="AH810" s="64">
        <v>23</v>
      </c>
      <c r="AI810" s="64">
        <v>24</v>
      </c>
      <c r="AJ810" s="64"/>
      <c r="AK810" s="64"/>
      <c r="AL810" s="264"/>
      <c r="AM810" s="84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</row>
    <row r="811" spans="1:51" s="33" customFormat="1" x14ac:dyDescent="0.3">
      <c r="A811" s="63" t="str">
        <f>A810</f>
        <v>BCV131</v>
      </c>
      <c r="B811" s="17" t="s">
        <v>1978</v>
      </c>
      <c r="C811" s="18" t="str">
        <f>+C810</f>
        <v>DIO1</v>
      </c>
      <c r="D811" s="18">
        <v>132</v>
      </c>
      <c r="E811" s="84">
        <f>+E810</f>
        <v>2</v>
      </c>
      <c r="F811" s="84">
        <f>+F810</f>
        <v>8</v>
      </c>
      <c r="G811" s="84">
        <v>0</v>
      </c>
      <c r="H811" s="186">
        <f>+H810</f>
        <v>2</v>
      </c>
      <c r="I811" s="187">
        <f>+I810+1</f>
        <v>12</v>
      </c>
      <c r="J811" s="193"/>
      <c r="K811" s="65"/>
      <c r="L811" s="79" t="s">
        <v>292</v>
      </c>
      <c r="M811" s="18"/>
      <c r="N811" s="18"/>
      <c r="O811" s="17"/>
      <c r="P811" s="17"/>
      <c r="Q811" s="17"/>
      <c r="R811" s="17"/>
      <c r="S811" s="17"/>
      <c r="T811" s="17"/>
      <c r="U811" s="17"/>
      <c r="V811" s="17" t="str">
        <f>+CONCATENATE(E811,".",F811,"\",G811,".",H811,":",I811)</f>
        <v>2.8\0.2:12</v>
      </c>
      <c r="W811" s="17"/>
      <c r="X811" s="17"/>
      <c r="Y811" s="17"/>
      <c r="Z811" s="20" t="s">
        <v>1159</v>
      </c>
      <c r="AA811" s="17"/>
      <c r="AB811" s="17"/>
      <c r="AC811" s="17"/>
      <c r="AD811" s="17"/>
      <c r="AE811" s="17"/>
      <c r="AF811" s="17"/>
      <c r="AG811" s="64" t="s">
        <v>844</v>
      </c>
      <c r="AH811" s="64">
        <v>25</v>
      </c>
      <c r="AI811" s="64">
        <v>26</v>
      </c>
      <c r="AJ811" s="64"/>
      <c r="AK811" s="64"/>
      <c r="AL811" s="264"/>
      <c r="AM811" s="84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</row>
    <row r="812" spans="1:51" s="33" customFormat="1" x14ac:dyDescent="0.3">
      <c r="A812" s="63" t="str">
        <f>A811</f>
        <v>BCV131</v>
      </c>
      <c r="B812" s="17" t="s">
        <v>1978</v>
      </c>
      <c r="C812" s="18" t="str">
        <f>+C811</f>
        <v>DIO1</v>
      </c>
      <c r="D812" s="18">
        <v>132</v>
      </c>
      <c r="E812" s="84">
        <f>+E811</f>
        <v>2</v>
      </c>
      <c r="F812" s="84">
        <f>+F811</f>
        <v>8</v>
      </c>
      <c r="G812" s="84">
        <v>0</v>
      </c>
      <c r="H812" s="186">
        <f>+H811</f>
        <v>2</v>
      </c>
      <c r="I812" s="187">
        <f>+I811+1</f>
        <v>13</v>
      </c>
      <c r="J812" s="193"/>
      <c r="K812" s="65"/>
      <c r="L812" s="79" t="s">
        <v>292</v>
      </c>
      <c r="M812" s="18"/>
      <c r="N812" s="18"/>
      <c r="O812" s="17"/>
      <c r="P812" s="17"/>
      <c r="Q812" s="17"/>
      <c r="R812" s="17"/>
      <c r="S812" s="17"/>
      <c r="T812" s="17"/>
      <c r="U812" s="18"/>
      <c r="V812" s="17" t="str">
        <f>+CONCATENATE(E812,".",F812,"\",G812,".",H812,":",I812)</f>
        <v>2.8\0.2:13</v>
      </c>
      <c r="W812" s="18"/>
      <c r="X812" s="18"/>
      <c r="Y812" s="17"/>
      <c r="Z812" s="20" t="s">
        <v>1159</v>
      </c>
      <c r="AA812" s="17"/>
      <c r="AB812" s="17"/>
      <c r="AC812" s="17"/>
      <c r="AD812" s="17"/>
      <c r="AE812" s="17"/>
      <c r="AF812" s="17"/>
      <c r="AG812" s="64" t="s">
        <v>844</v>
      </c>
      <c r="AH812" s="64">
        <v>27</v>
      </c>
      <c r="AI812" s="64">
        <v>28</v>
      </c>
      <c r="AJ812" s="64"/>
      <c r="AK812" s="64"/>
      <c r="AL812" s="264"/>
      <c r="AM812" s="84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</row>
    <row r="813" spans="1:51" s="33" customFormat="1" x14ac:dyDescent="0.3">
      <c r="A813" s="63" t="str">
        <f>A812</f>
        <v>BCV131</v>
      </c>
      <c r="B813" s="17" t="s">
        <v>1978</v>
      </c>
      <c r="C813" s="18" t="str">
        <f>+C812</f>
        <v>DIO1</v>
      </c>
      <c r="D813" s="18">
        <v>132</v>
      </c>
      <c r="E813" s="84">
        <f>+E812</f>
        <v>2</v>
      </c>
      <c r="F813" s="84">
        <f>+F812</f>
        <v>8</v>
      </c>
      <c r="G813" s="84">
        <v>0</v>
      </c>
      <c r="H813" s="186">
        <f>+H812</f>
        <v>2</v>
      </c>
      <c r="I813" s="187">
        <f>+I812+1</f>
        <v>14</v>
      </c>
      <c r="J813" s="193"/>
      <c r="K813" s="65"/>
      <c r="L813" s="79" t="s">
        <v>292</v>
      </c>
      <c r="M813" s="18"/>
      <c r="N813" s="18"/>
      <c r="O813" s="17"/>
      <c r="P813" s="17"/>
      <c r="Q813" s="17"/>
      <c r="R813" s="17"/>
      <c r="S813" s="17"/>
      <c r="T813" s="17"/>
      <c r="U813" s="18"/>
      <c r="V813" s="17" t="str">
        <f>+CONCATENATE(E813,".",F813,"\",G813,".",H813,":",I813)</f>
        <v>2.8\0.2:14</v>
      </c>
      <c r="W813" s="18"/>
      <c r="X813" s="18"/>
      <c r="Y813" s="17"/>
      <c r="Z813" s="20" t="s">
        <v>1159</v>
      </c>
      <c r="AA813" s="17"/>
      <c r="AB813" s="17"/>
      <c r="AC813" s="17"/>
      <c r="AD813" s="17"/>
      <c r="AE813" s="17"/>
      <c r="AF813" s="17"/>
      <c r="AG813" s="64" t="s">
        <v>844</v>
      </c>
      <c r="AH813" s="64">
        <v>29</v>
      </c>
      <c r="AI813" s="64">
        <v>30</v>
      </c>
      <c r="AJ813" s="64"/>
      <c r="AK813" s="64"/>
      <c r="AL813" s="264"/>
      <c r="AM813" s="84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</row>
    <row r="814" spans="1:51" s="33" customFormat="1" ht="13.5" thickBot="1" x14ac:dyDescent="0.35">
      <c r="A814" s="63" t="str">
        <f>A813</f>
        <v>BCV131</v>
      </c>
      <c r="B814" s="17" t="s">
        <v>1978</v>
      </c>
      <c r="C814" s="18" t="str">
        <f>+C813</f>
        <v>DIO1</v>
      </c>
      <c r="D814" s="18">
        <v>132</v>
      </c>
      <c r="E814" s="84">
        <f>+E813</f>
        <v>2</v>
      </c>
      <c r="F814" s="84">
        <f>+F813</f>
        <v>8</v>
      </c>
      <c r="G814" s="84">
        <v>0</v>
      </c>
      <c r="H814" s="186">
        <f>+H813</f>
        <v>2</v>
      </c>
      <c r="I814" s="191">
        <f>+I813+1</f>
        <v>15</v>
      </c>
      <c r="J814" s="190"/>
      <c r="K814" s="65"/>
      <c r="L814" s="79" t="s">
        <v>292</v>
      </c>
      <c r="M814" s="18"/>
      <c r="N814" s="18"/>
      <c r="O814" s="17"/>
      <c r="P814" s="17"/>
      <c r="Q814" s="17"/>
      <c r="R814" s="17"/>
      <c r="S814" s="17"/>
      <c r="T814" s="17"/>
      <c r="U814" s="17"/>
      <c r="V814" s="17" t="str">
        <f>+CONCATENATE(E814,".",F814,"\",G814,".",H814,":",I814)</f>
        <v>2.8\0.2:15</v>
      </c>
      <c r="W814" s="17"/>
      <c r="X814" s="17"/>
      <c r="Y814" s="17"/>
      <c r="Z814" s="20" t="s">
        <v>1159</v>
      </c>
      <c r="AA814" s="17"/>
      <c r="AB814" s="17"/>
      <c r="AC814" s="17"/>
      <c r="AD814" s="17"/>
      <c r="AE814" s="17"/>
      <c r="AF814" s="17"/>
      <c r="AG814" s="64" t="s">
        <v>844</v>
      </c>
      <c r="AH814" s="64">
        <v>31</v>
      </c>
      <c r="AI814" s="64">
        <v>32</v>
      </c>
      <c r="AJ814" s="64"/>
      <c r="AK814" s="64"/>
      <c r="AL814" s="264"/>
      <c r="AM814" s="84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</row>
    <row r="815" spans="1:51" s="33" customFormat="1" ht="14.5" x14ac:dyDescent="0.35">
      <c r="A815" s="268" t="s">
        <v>194</v>
      </c>
      <c r="B815" s="17" t="s">
        <v>1978</v>
      </c>
      <c r="C815" s="18" t="str">
        <f>+C814</f>
        <v>DIO1</v>
      </c>
      <c r="D815" s="18">
        <v>132</v>
      </c>
      <c r="E815" s="84">
        <f>+E814</f>
        <v>2</v>
      </c>
      <c r="F815" s="84">
        <f>+F814</f>
        <v>8</v>
      </c>
      <c r="G815" s="84">
        <v>0</v>
      </c>
      <c r="H815" s="214">
        <v>3</v>
      </c>
      <c r="I815" s="188">
        <v>0</v>
      </c>
      <c r="J815" s="276" t="s">
        <v>1185</v>
      </c>
      <c r="K815" s="17" t="s">
        <v>1184</v>
      </c>
      <c r="L815" s="79" t="s">
        <v>1170</v>
      </c>
      <c r="M815" s="18">
        <v>3</v>
      </c>
      <c r="N815" s="59" t="s">
        <v>1983</v>
      </c>
      <c r="O815" s="17" t="s">
        <v>1982</v>
      </c>
      <c r="P815" s="59" t="s">
        <v>1981</v>
      </c>
      <c r="Q815" s="18" t="s">
        <v>1980</v>
      </c>
      <c r="R815" s="18"/>
      <c r="S815" s="271" t="s">
        <v>1179</v>
      </c>
      <c r="T815" s="17" t="s">
        <v>194</v>
      </c>
      <c r="U815" s="17" t="s">
        <v>1177</v>
      </c>
      <c r="V815" s="17" t="str">
        <f>+CONCATENATE(E815,".",F815,"\",G815,".",H815,":",I815)</f>
        <v>2.8\0.3:0</v>
      </c>
      <c r="W815" s="17" t="s">
        <v>1979</v>
      </c>
      <c r="X815" s="272">
        <v>0</v>
      </c>
      <c r="Y815" s="17"/>
      <c r="Z815" s="20" t="s">
        <v>1159</v>
      </c>
      <c r="AA815" s="17"/>
      <c r="AB815" s="17">
        <v>0</v>
      </c>
      <c r="AC815" s="17">
        <v>18</v>
      </c>
      <c r="AD815" s="17">
        <v>0</v>
      </c>
      <c r="AE815" s="17">
        <v>18</v>
      </c>
      <c r="AF815" s="17" t="s">
        <v>1176</v>
      </c>
      <c r="AG815" s="64" t="s">
        <v>844</v>
      </c>
      <c r="AH815" s="64">
        <v>33</v>
      </c>
      <c r="AI815" s="64">
        <v>34</v>
      </c>
      <c r="AJ815" s="64"/>
      <c r="AK815" s="64"/>
      <c r="AL815" s="264"/>
      <c r="AM815" s="84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</row>
    <row r="816" spans="1:51" s="33" customFormat="1" x14ac:dyDescent="0.3">
      <c r="A816" s="63" t="str">
        <f>A815</f>
        <v>BCV131</v>
      </c>
      <c r="B816" s="17" t="s">
        <v>1978</v>
      </c>
      <c r="C816" s="18" t="str">
        <f>+C815</f>
        <v>DIO1</v>
      </c>
      <c r="D816" s="18">
        <v>132</v>
      </c>
      <c r="E816" s="84">
        <f>+E815</f>
        <v>2</v>
      </c>
      <c r="F816" s="84">
        <f>+F815</f>
        <v>8</v>
      </c>
      <c r="G816" s="84">
        <v>0</v>
      </c>
      <c r="H816" s="186">
        <f>+H815</f>
        <v>3</v>
      </c>
      <c r="I816" s="187">
        <f>+I815+1</f>
        <v>1</v>
      </c>
      <c r="J816" s="275"/>
      <c r="K816" s="18"/>
      <c r="L816" s="79" t="s">
        <v>1170</v>
      </c>
      <c r="M816" s="18"/>
      <c r="N816" s="18"/>
      <c r="O816" s="17"/>
      <c r="P816" s="17"/>
      <c r="Q816" s="17"/>
      <c r="R816" s="18"/>
      <c r="S816" s="18"/>
      <c r="T816" s="17"/>
      <c r="U816" s="17"/>
      <c r="V816" s="17" t="str">
        <f>+CONCATENATE(E816,".",F816,"\",G816,".",H816,":",I816)</f>
        <v>2.8\0.3:1</v>
      </c>
      <c r="W816" s="17"/>
      <c r="X816" s="17"/>
      <c r="Y816" s="17"/>
      <c r="Z816" s="20" t="s">
        <v>1159</v>
      </c>
      <c r="AA816" s="17"/>
      <c r="AB816" s="17"/>
      <c r="AC816" s="17"/>
      <c r="AD816" s="17"/>
      <c r="AE816" s="17"/>
      <c r="AF816" s="17"/>
      <c r="AG816" s="64" t="s">
        <v>844</v>
      </c>
      <c r="AH816" s="64">
        <v>35</v>
      </c>
      <c r="AI816" s="64">
        <v>36</v>
      </c>
      <c r="AJ816" s="64"/>
      <c r="AK816" s="64"/>
      <c r="AL816" s="264"/>
      <c r="AM816" s="84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</row>
    <row r="817" spans="1:51" s="33" customFormat="1" x14ac:dyDescent="0.3">
      <c r="A817" s="63" t="str">
        <f>A816</f>
        <v>BCV131</v>
      </c>
      <c r="B817" s="17" t="s">
        <v>1978</v>
      </c>
      <c r="C817" s="18" t="str">
        <f>+C816</f>
        <v>DIO1</v>
      </c>
      <c r="D817" s="18">
        <v>132</v>
      </c>
      <c r="E817" s="84">
        <f>+E816</f>
        <v>2</v>
      </c>
      <c r="F817" s="84">
        <f>+F816</f>
        <v>8</v>
      </c>
      <c r="G817" s="84">
        <v>0</v>
      </c>
      <c r="H817" s="186">
        <f>+H816</f>
        <v>3</v>
      </c>
      <c r="I817" s="187">
        <f>+I816+1</f>
        <v>2</v>
      </c>
      <c r="J817" s="275"/>
      <c r="K817" s="18"/>
      <c r="L817" s="79" t="s">
        <v>1170</v>
      </c>
      <c r="M817" s="18"/>
      <c r="N817" s="18"/>
      <c r="O817" s="17"/>
      <c r="P817" s="17"/>
      <c r="T817" s="17"/>
      <c r="U817" s="17"/>
      <c r="V817" s="17" t="str">
        <f>+CONCATENATE(E817,".",F817,"\",G817,".",H817,":",I817)</f>
        <v>2.8\0.3:2</v>
      </c>
      <c r="W817" s="17"/>
      <c r="X817" s="17"/>
      <c r="Y817" s="17"/>
      <c r="Z817" s="20" t="s">
        <v>1159</v>
      </c>
      <c r="AA817" s="17"/>
      <c r="AB817" s="17"/>
      <c r="AC817" s="17"/>
      <c r="AD817" s="17"/>
      <c r="AE817" s="17"/>
      <c r="AF817" s="17"/>
      <c r="AG817" s="64" t="s">
        <v>844</v>
      </c>
      <c r="AH817" s="64">
        <v>37</v>
      </c>
      <c r="AI817" s="64">
        <v>38</v>
      </c>
      <c r="AJ817" s="64"/>
      <c r="AK817" s="64"/>
      <c r="AL817" s="264" t="s">
        <v>1452</v>
      </c>
      <c r="AM817" s="84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</row>
    <row r="818" spans="1:51" s="33" customFormat="1" x14ac:dyDescent="0.3">
      <c r="A818" s="63" t="str">
        <f>A817</f>
        <v>BCV131</v>
      </c>
      <c r="B818" s="17" t="s">
        <v>1978</v>
      </c>
      <c r="C818" s="18" t="str">
        <f>+C817</f>
        <v>DIO1</v>
      </c>
      <c r="D818" s="18">
        <v>132</v>
      </c>
      <c r="E818" s="84">
        <f>+E817</f>
        <v>2</v>
      </c>
      <c r="F818" s="84">
        <f>+F817</f>
        <v>8</v>
      </c>
      <c r="G818" s="84">
        <v>0</v>
      </c>
      <c r="H818" s="186">
        <f>+H817</f>
        <v>3</v>
      </c>
      <c r="I818" s="187">
        <f>+I817+1</f>
        <v>3</v>
      </c>
      <c r="J818" s="275"/>
      <c r="K818" s="18"/>
      <c r="L818" s="79" t="s">
        <v>1170</v>
      </c>
      <c r="M818" s="18"/>
      <c r="N818" s="18"/>
      <c r="O818" s="17"/>
      <c r="P818" s="17"/>
      <c r="Q818" s="17"/>
      <c r="R818" s="18"/>
      <c r="S818" s="18"/>
      <c r="T818" s="17"/>
      <c r="U818" s="17"/>
      <c r="V818" s="17" t="str">
        <f>+CONCATENATE(E818,".",F818,"\",G818,".",H818,":",I818)</f>
        <v>2.8\0.3:3</v>
      </c>
      <c r="W818" s="17"/>
      <c r="X818" s="17"/>
      <c r="Y818" s="17"/>
      <c r="Z818" s="20" t="s">
        <v>1159</v>
      </c>
      <c r="AA818" s="17"/>
      <c r="AB818" s="17"/>
      <c r="AC818" s="17"/>
      <c r="AD818" s="17"/>
      <c r="AE818" s="17"/>
      <c r="AF818" s="17"/>
      <c r="AG818" s="64" t="s">
        <v>844</v>
      </c>
      <c r="AH818" s="64">
        <v>39</v>
      </c>
      <c r="AI818" s="64">
        <v>40</v>
      </c>
      <c r="AJ818" s="64"/>
      <c r="AK818" s="64"/>
      <c r="AL818" s="264" t="s">
        <v>1452</v>
      </c>
      <c r="AM818" s="84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</row>
    <row r="819" spans="1:51" s="33" customFormat="1" x14ac:dyDescent="0.3">
      <c r="A819" s="63" t="str">
        <f>A818</f>
        <v>BCV131</v>
      </c>
      <c r="B819" s="17" t="s">
        <v>1978</v>
      </c>
      <c r="C819" s="18" t="str">
        <f>+C818</f>
        <v>DIO1</v>
      </c>
      <c r="D819" s="18">
        <v>132</v>
      </c>
      <c r="E819" s="84">
        <f>+E818</f>
        <v>2</v>
      </c>
      <c r="F819" s="84">
        <f>+F818</f>
        <v>8</v>
      </c>
      <c r="G819" s="84">
        <v>0</v>
      </c>
      <c r="H819" s="186">
        <f>+H818</f>
        <v>3</v>
      </c>
      <c r="I819" s="187">
        <f>+I818+1</f>
        <v>4</v>
      </c>
      <c r="J819" s="275"/>
      <c r="K819" s="18"/>
      <c r="L819" s="79" t="s">
        <v>1170</v>
      </c>
      <c r="M819" s="18"/>
      <c r="N819" s="18"/>
      <c r="O819" s="17"/>
      <c r="P819" s="17"/>
      <c r="Q819" s="17"/>
      <c r="R819" s="17"/>
      <c r="S819" s="17"/>
      <c r="T819" s="17"/>
      <c r="U819" s="17"/>
      <c r="V819" s="17" t="str">
        <f>+CONCATENATE(E819,".",F819,"\",G819,".",H819,":",I819)</f>
        <v>2.8\0.3:4</v>
      </c>
      <c r="W819" s="17"/>
      <c r="X819" s="17"/>
      <c r="Y819" s="17"/>
      <c r="Z819" s="20" t="s">
        <v>1159</v>
      </c>
      <c r="AA819" s="17"/>
      <c r="AB819" s="17"/>
      <c r="AC819" s="17"/>
      <c r="AD819" s="17"/>
      <c r="AE819" s="17"/>
      <c r="AF819" s="17"/>
      <c r="AG819" s="64" t="s">
        <v>844</v>
      </c>
      <c r="AH819" s="64">
        <v>41</v>
      </c>
      <c r="AI819" s="64">
        <v>42</v>
      </c>
      <c r="AJ819" s="64"/>
      <c r="AK819" s="64"/>
      <c r="AL819" s="264"/>
      <c r="AM819" s="84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</row>
    <row r="820" spans="1:51" s="33" customFormat="1" x14ac:dyDescent="0.3">
      <c r="A820" s="63" t="str">
        <f>A819</f>
        <v>BCV131</v>
      </c>
      <c r="B820" s="17" t="s">
        <v>1978</v>
      </c>
      <c r="C820" s="18" t="str">
        <f>+C819</f>
        <v>DIO1</v>
      </c>
      <c r="D820" s="18">
        <v>132</v>
      </c>
      <c r="E820" s="84">
        <f>+E819</f>
        <v>2</v>
      </c>
      <c r="F820" s="84">
        <f>+F819</f>
        <v>8</v>
      </c>
      <c r="G820" s="84">
        <v>0</v>
      </c>
      <c r="H820" s="186">
        <f>+H819</f>
        <v>3</v>
      </c>
      <c r="I820" s="187">
        <f>+I819+1</f>
        <v>5</v>
      </c>
      <c r="J820" s="275"/>
      <c r="K820" s="18"/>
      <c r="L820" s="79" t="s">
        <v>1170</v>
      </c>
      <c r="M820" s="18"/>
      <c r="N820" s="18"/>
      <c r="O820" s="17"/>
      <c r="P820" s="17"/>
      <c r="Q820" s="17"/>
      <c r="R820" s="18"/>
      <c r="S820" s="18"/>
      <c r="T820" s="17"/>
      <c r="U820" s="17"/>
      <c r="V820" s="17" t="str">
        <f>+CONCATENATE(E820,".",F820,"\",G820,".",H820,":",I820)</f>
        <v>2.8\0.3:5</v>
      </c>
      <c r="W820" s="17"/>
      <c r="X820" s="17"/>
      <c r="Y820" s="17"/>
      <c r="Z820" s="20" t="s">
        <v>1159</v>
      </c>
      <c r="AA820" s="17"/>
      <c r="AB820" s="17"/>
      <c r="AC820" s="17"/>
      <c r="AD820" s="17"/>
      <c r="AE820" s="17"/>
      <c r="AF820" s="17"/>
      <c r="AG820" s="64" t="s">
        <v>844</v>
      </c>
      <c r="AH820" s="64">
        <v>43</v>
      </c>
      <c r="AI820" s="64">
        <v>44</v>
      </c>
      <c r="AJ820" s="64"/>
      <c r="AK820" s="64"/>
      <c r="AL820" s="264"/>
      <c r="AM820" s="84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</row>
    <row r="821" spans="1:51" s="33" customFormat="1" x14ac:dyDescent="0.3">
      <c r="A821" s="63" t="str">
        <f>A820</f>
        <v>BCV131</v>
      </c>
      <c r="B821" s="17" t="s">
        <v>1978</v>
      </c>
      <c r="C821" s="18" t="str">
        <f>+C820</f>
        <v>DIO1</v>
      </c>
      <c r="D821" s="18">
        <v>132</v>
      </c>
      <c r="E821" s="84">
        <f>+E820</f>
        <v>2</v>
      </c>
      <c r="F821" s="84">
        <f>+F820</f>
        <v>8</v>
      </c>
      <c r="G821" s="84">
        <v>0</v>
      </c>
      <c r="H821" s="186">
        <f>+H820</f>
        <v>3</v>
      </c>
      <c r="I821" s="187">
        <f>+I820+1</f>
        <v>6</v>
      </c>
      <c r="J821" s="275"/>
      <c r="K821" s="18"/>
      <c r="L821" s="79" t="s">
        <v>1170</v>
      </c>
      <c r="M821" s="18"/>
      <c r="N821" s="18"/>
      <c r="O821" s="17"/>
      <c r="P821" s="17"/>
      <c r="Q821" s="17"/>
      <c r="R821" s="18"/>
      <c r="S821" s="18"/>
      <c r="T821" s="17"/>
      <c r="U821" s="17"/>
      <c r="V821" s="17" t="str">
        <f>+CONCATENATE(E821,".",F821,"\",G821,".",H821,":",I821)</f>
        <v>2.8\0.3:6</v>
      </c>
      <c r="W821" s="17"/>
      <c r="X821" s="17"/>
      <c r="Y821" s="17"/>
      <c r="Z821" s="20" t="s">
        <v>1159</v>
      </c>
      <c r="AA821" s="17"/>
      <c r="AB821" s="17"/>
      <c r="AC821" s="17"/>
      <c r="AD821" s="17"/>
      <c r="AE821" s="17"/>
      <c r="AF821" s="17"/>
      <c r="AG821" s="64" t="s">
        <v>844</v>
      </c>
      <c r="AH821" s="64">
        <v>45</v>
      </c>
      <c r="AI821" s="64">
        <v>46</v>
      </c>
      <c r="AJ821" s="64"/>
      <c r="AK821" s="64"/>
      <c r="AL821" s="264"/>
      <c r="AM821" s="84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</row>
    <row r="822" spans="1:51" s="33" customFormat="1" ht="13.5" thickBot="1" x14ac:dyDescent="0.35">
      <c r="A822" s="63" t="str">
        <f>A821</f>
        <v>BCV131</v>
      </c>
      <c r="B822" s="17" t="s">
        <v>1978</v>
      </c>
      <c r="C822" s="18" t="str">
        <f>+C821</f>
        <v>DIO1</v>
      </c>
      <c r="D822" s="18">
        <v>132</v>
      </c>
      <c r="E822" s="84">
        <f>+E821</f>
        <v>2</v>
      </c>
      <c r="F822" s="84">
        <f>+F821</f>
        <v>8</v>
      </c>
      <c r="G822" s="84">
        <v>0</v>
      </c>
      <c r="H822" s="186">
        <f>+H821</f>
        <v>3</v>
      </c>
      <c r="I822" s="191">
        <f>+I821+1</f>
        <v>7</v>
      </c>
      <c r="J822" s="274"/>
      <c r="K822" s="18"/>
      <c r="L822" s="79" t="s">
        <v>1170</v>
      </c>
      <c r="M822" s="18"/>
      <c r="N822" s="18"/>
      <c r="O822" s="17"/>
      <c r="P822" s="17"/>
      <c r="Q822" s="17"/>
      <c r="R822" s="18"/>
      <c r="S822" s="18"/>
      <c r="T822" s="17"/>
      <c r="U822" s="17"/>
      <c r="V822" s="17" t="str">
        <f>+CONCATENATE(E822,".",F822,"\",G822,".",H822,":",I822)</f>
        <v>2.8\0.3:7</v>
      </c>
      <c r="W822" s="17"/>
      <c r="X822" s="17"/>
      <c r="Y822" s="17"/>
      <c r="Z822" s="20" t="s">
        <v>1159</v>
      </c>
      <c r="AA822" s="17"/>
      <c r="AB822" s="17"/>
      <c r="AC822" s="17"/>
      <c r="AD822" s="17"/>
      <c r="AE822" s="17"/>
      <c r="AF822" s="17"/>
      <c r="AG822" s="64" t="s">
        <v>844</v>
      </c>
      <c r="AH822" s="64">
        <v>47</v>
      </c>
      <c r="AI822" s="64">
        <v>48</v>
      </c>
      <c r="AJ822" s="64"/>
      <c r="AK822" s="64"/>
      <c r="AL822" s="264"/>
      <c r="AM822" s="84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</row>
    <row r="823" spans="1:51" s="33" customFormat="1" x14ac:dyDescent="0.3">
      <c r="A823" s="268" t="s">
        <v>194</v>
      </c>
      <c r="B823" s="17" t="s">
        <v>1978</v>
      </c>
      <c r="C823" s="18" t="str">
        <f>+C822</f>
        <v>DIO1</v>
      </c>
      <c r="D823" s="18">
        <v>132</v>
      </c>
      <c r="E823" s="84">
        <f>+E822</f>
        <v>2</v>
      </c>
      <c r="F823" s="84">
        <f>+F822</f>
        <v>8</v>
      </c>
      <c r="G823" s="84">
        <v>0</v>
      </c>
      <c r="H823" s="214">
        <v>4</v>
      </c>
      <c r="I823" s="188"/>
      <c r="J823" s="267"/>
      <c r="K823" s="68" t="s">
        <v>698</v>
      </c>
      <c r="L823" s="17"/>
      <c r="M823" s="18">
        <v>0</v>
      </c>
      <c r="N823" s="18"/>
      <c r="O823" s="17"/>
      <c r="P823" s="17"/>
      <c r="Q823" s="17"/>
      <c r="R823" s="17"/>
      <c r="S823" s="17"/>
      <c r="T823" s="17"/>
      <c r="U823" s="17"/>
      <c r="V823" s="17" t="str">
        <f>+CONCATENATE(E823,".",F823,"\",G823,".",H823,":",I823)</f>
        <v>2.8\0.4:</v>
      </c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64"/>
      <c r="AH823" s="64"/>
      <c r="AI823" s="64"/>
      <c r="AJ823" s="64"/>
      <c r="AK823" s="64"/>
      <c r="AL823" s="264"/>
      <c r="AM823" s="84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</row>
    <row r="824" spans="1:51" s="33" customFormat="1" x14ac:dyDescent="0.3">
      <c r="A824" s="63" t="str">
        <f>A823</f>
        <v>BCV131</v>
      </c>
      <c r="B824" s="17" t="s">
        <v>1978</v>
      </c>
      <c r="C824" s="18" t="str">
        <f>+C823</f>
        <v>DIO1</v>
      </c>
      <c r="D824" s="18">
        <v>132</v>
      </c>
      <c r="E824" s="84">
        <f>+E823</f>
        <v>2</v>
      </c>
      <c r="F824" s="84">
        <f>+F823</f>
        <v>8</v>
      </c>
      <c r="G824" s="84">
        <v>0</v>
      </c>
      <c r="H824" s="186">
        <f>+H823</f>
        <v>4</v>
      </c>
      <c r="I824" s="187"/>
      <c r="J824" s="266"/>
      <c r="K824" s="18"/>
      <c r="L824" s="17"/>
      <c r="M824" s="18">
        <v>0</v>
      </c>
      <c r="N824" s="18"/>
      <c r="O824" s="17"/>
      <c r="P824" s="17"/>
      <c r="Q824" s="17"/>
      <c r="R824" s="17"/>
      <c r="S824" s="17"/>
      <c r="T824" s="17"/>
      <c r="U824" s="17"/>
      <c r="V824" s="17" t="str">
        <f>+CONCATENATE(E824,".",F824,"\",G824,".",H824,":",I824)</f>
        <v>2.8\0.4:</v>
      </c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64"/>
      <c r="AH824" s="64"/>
      <c r="AI824" s="64"/>
      <c r="AJ824" s="64"/>
      <c r="AK824" s="64"/>
      <c r="AL824" s="264"/>
      <c r="AM824" s="84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</row>
    <row r="825" spans="1:51" s="33" customFormat="1" x14ac:dyDescent="0.3">
      <c r="A825" s="63" t="str">
        <f>A824</f>
        <v>BCV131</v>
      </c>
      <c r="B825" s="17" t="s">
        <v>1978</v>
      </c>
      <c r="C825" s="18" t="str">
        <f>+C824</f>
        <v>DIO1</v>
      </c>
      <c r="D825" s="18">
        <v>132</v>
      </c>
      <c r="E825" s="84">
        <f>+E824</f>
        <v>2</v>
      </c>
      <c r="F825" s="84">
        <f>+F824</f>
        <v>8</v>
      </c>
      <c r="G825" s="84">
        <v>0</v>
      </c>
      <c r="H825" s="186">
        <f>+H824</f>
        <v>4</v>
      </c>
      <c r="I825" s="187"/>
      <c r="J825" s="266"/>
      <c r="K825" s="18"/>
      <c r="L825" s="17"/>
      <c r="M825" s="18">
        <v>0</v>
      </c>
      <c r="N825" s="18"/>
      <c r="O825" s="17"/>
      <c r="P825" s="17"/>
      <c r="Q825" s="17"/>
      <c r="R825" s="17"/>
      <c r="S825" s="17"/>
      <c r="T825" s="17"/>
      <c r="U825" s="17"/>
      <c r="V825" s="17" t="str">
        <f>+CONCATENATE(E825,".",F825,"\",G825,".",H825,":",I825)</f>
        <v>2.8\0.4:</v>
      </c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64"/>
      <c r="AH825" s="64"/>
      <c r="AI825" s="64"/>
      <c r="AJ825" s="64"/>
      <c r="AK825" s="64"/>
      <c r="AL825" s="264"/>
      <c r="AM825" s="84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</row>
    <row r="826" spans="1:51" s="33" customFormat="1" ht="13.5" thickBot="1" x14ac:dyDescent="0.35">
      <c r="A826" s="63" t="str">
        <f>A825</f>
        <v>BCV131</v>
      </c>
      <c r="B826" s="17" t="s">
        <v>1978</v>
      </c>
      <c r="C826" s="18" t="str">
        <f>+C825</f>
        <v>DIO1</v>
      </c>
      <c r="D826" s="18">
        <v>132</v>
      </c>
      <c r="E826" s="84">
        <f>+E825</f>
        <v>2</v>
      </c>
      <c r="F826" s="84">
        <f>+F825</f>
        <v>8</v>
      </c>
      <c r="G826" s="84">
        <v>0</v>
      </c>
      <c r="H826" s="186">
        <f>+H825</f>
        <v>4</v>
      </c>
      <c r="I826" s="191"/>
      <c r="J826" s="265"/>
      <c r="K826" s="18"/>
      <c r="L826" s="17"/>
      <c r="M826" s="18">
        <v>0</v>
      </c>
      <c r="N826" s="18"/>
      <c r="O826" s="17"/>
      <c r="P826" s="17"/>
      <c r="Q826" s="17"/>
      <c r="R826" s="17"/>
      <c r="S826" s="17"/>
      <c r="T826" s="17"/>
      <c r="U826" s="17"/>
      <c r="V826" s="17" t="str">
        <f>+CONCATENATE(E826,".",F826,"\",G826,".",H826,":",I826)</f>
        <v>2.8\0.4:</v>
      </c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64"/>
      <c r="AH826" s="64"/>
      <c r="AI826" s="64"/>
      <c r="AJ826" s="64"/>
      <c r="AK826" s="64"/>
      <c r="AL826" s="264"/>
      <c r="AM826" s="84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</row>
    <row r="827" spans="1:51" s="33" customFormat="1" x14ac:dyDescent="0.3">
      <c r="A827" s="268" t="s">
        <v>194</v>
      </c>
      <c r="B827" s="17" t="s">
        <v>1978</v>
      </c>
      <c r="C827" s="18" t="str">
        <f>+C826</f>
        <v>DIO1</v>
      </c>
      <c r="D827" s="18">
        <v>132</v>
      </c>
      <c r="E827" s="84">
        <f>+E826</f>
        <v>2</v>
      </c>
      <c r="F827" s="84">
        <f>+F826</f>
        <v>8</v>
      </c>
      <c r="G827" s="84">
        <v>0</v>
      </c>
      <c r="H827" s="214">
        <v>5</v>
      </c>
      <c r="I827" s="188"/>
      <c r="J827" s="267"/>
      <c r="K827" s="68" t="s">
        <v>698</v>
      </c>
      <c r="L827" s="17"/>
      <c r="M827" s="18">
        <v>0</v>
      </c>
      <c r="N827" s="18"/>
      <c r="O827" s="17"/>
      <c r="P827" s="17"/>
      <c r="Q827" s="17"/>
      <c r="R827" s="17"/>
      <c r="S827" s="17"/>
      <c r="T827" s="17"/>
      <c r="U827" s="17"/>
      <c r="V827" s="17" t="str">
        <f>+CONCATENATE(E827,".",F827,"\",G827,".",H827,":",I827)</f>
        <v>2.8\0.5:</v>
      </c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64"/>
      <c r="AH827" s="64"/>
      <c r="AI827" s="64"/>
      <c r="AJ827" s="64"/>
      <c r="AK827" s="64"/>
      <c r="AL827" s="264"/>
      <c r="AM827" s="84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</row>
    <row r="828" spans="1:51" s="33" customFormat="1" x14ac:dyDescent="0.3">
      <c r="A828" s="63" t="str">
        <f>A827</f>
        <v>BCV131</v>
      </c>
      <c r="B828" s="17" t="s">
        <v>1978</v>
      </c>
      <c r="C828" s="18" t="str">
        <f>+C827</f>
        <v>DIO1</v>
      </c>
      <c r="D828" s="18">
        <v>132</v>
      </c>
      <c r="E828" s="84">
        <f>+E827</f>
        <v>2</v>
      </c>
      <c r="F828" s="84">
        <f>+F827</f>
        <v>8</v>
      </c>
      <c r="G828" s="84">
        <v>0</v>
      </c>
      <c r="H828" s="186">
        <f>+H827</f>
        <v>5</v>
      </c>
      <c r="I828" s="187"/>
      <c r="J828" s="266"/>
      <c r="K828" s="18"/>
      <c r="L828" s="17"/>
      <c r="M828" s="18">
        <v>0</v>
      </c>
      <c r="N828" s="18"/>
      <c r="O828" s="17"/>
      <c r="P828" s="17"/>
      <c r="Q828" s="17"/>
      <c r="R828" s="17"/>
      <c r="S828" s="17"/>
      <c r="T828" s="17"/>
      <c r="U828" s="17"/>
      <c r="V828" s="17" t="str">
        <f>+CONCATENATE(E828,".",F828,"\",G828,".",H828,":",I828)</f>
        <v>2.8\0.5:</v>
      </c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64"/>
      <c r="AH828" s="64"/>
      <c r="AI828" s="64"/>
      <c r="AJ828" s="64"/>
      <c r="AK828" s="64"/>
      <c r="AL828" s="264"/>
      <c r="AM828" s="84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</row>
    <row r="829" spans="1:51" s="33" customFormat="1" x14ac:dyDescent="0.3">
      <c r="A829" s="63" t="str">
        <f>A828</f>
        <v>BCV131</v>
      </c>
      <c r="B829" s="17" t="s">
        <v>1978</v>
      </c>
      <c r="C829" s="18" t="str">
        <f>+C828</f>
        <v>DIO1</v>
      </c>
      <c r="D829" s="18">
        <v>132</v>
      </c>
      <c r="E829" s="84">
        <f>+E828</f>
        <v>2</v>
      </c>
      <c r="F829" s="84">
        <f>+F828</f>
        <v>8</v>
      </c>
      <c r="G829" s="84">
        <v>0</v>
      </c>
      <c r="H829" s="186">
        <f>+H828</f>
        <v>5</v>
      </c>
      <c r="I829" s="187"/>
      <c r="J829" s="266"/>
      <c r="K829" s="18"/>
      <c r="L829" s="17"/>
      <c r="M829" s="18">
        <v>0</v>
      </c>
      <c r="N829" s="18"/>
      <c r="O829" s="17"/>
      <c r="P829" s="17"/>
      <c r="Q829" s="17"/>
      <c r="R829" s="17"/>
      <c r="S829" s="17"/>
      <c r="T829" s="17"/>
      <c r="U829" s="17"/>
      <c r="V829" s="17" t="str">
        <f>+CONCATENATE(E829,".",F829,"\",G829,".",H829,":",I829)</f>
        <v>2.8\0.5:</v>
      </c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64"/>
      <c r="AH829" s="64"/>
      <c r="AI829" s="64"/>
      <c r="AJ829" s="64"/>
      <c r="AK829" s="64"/>
      <c r="AL829" s="264"/>
      <c r="AM829" s="84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</row>
    <row r="830" spans="1:51" s="33" customFormat="1" ht="13.5" thickBot="1" x14ac:dyDescent="0.35">
      <c r="A830" s="63" t="str">
        <f>A829</f>
        <v>BCV131</v>
      </c>
      <c r="B830" s="17" t="s">
        <v>1978</v>
      </c>
      <c r="C830" s="18" t="str">
        <f>+C829</f>
        <v>DIO1</v>
      </c>
      <c r="D830" s="18">
        <v>132</v>
      </c>
      <c r="E830" s="84">
        <f>+E829</f>
        <v>2</v>
      </c>
      <c r="F830" s="84">
        <f>+F829</f>
        <v>8</v>
      </c>
      <c r="G830" s="84">
        <v>0</v>
      </c>
      <c r="H830" s="186">
        <f>+H829</f>
        <v>5</v>
      </c>
      <c r="I830" s="191"/>
      <c r="J830" s="265"/>
      <c r="K830" s="18"/>
      <c r="L830" s="17"/>
      <c r="M830" s="18">
        <v>0</v>
      </c>
      <c r="N830" s="18"/>
      <c r="O830" s="17"/>
      <c r="P830" s="17"/>
      <c r="Q830" s="17"/>
      <c r="R830" s="17"/>
      <c r="S830" s="17"/>
      <c r="T830" s="17"/>
      <c r="U830" s="17"/>
      <c r="V830" s="17" t="str">
        <f>+CONCATENATE(E830,".",F830,"\",G830,".",H830,":",I830)</f>
        <v>2.8\0.5:</v>
      </c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64"/>
      <c r="AH830" s="64"/>
      <c r="AI830" s="64"/>
      <c r="AJ830" s="64"/>
      <c r="AK830" s="64"/>
      <c r="AL830" s="264" t="s">
        <v>1452</v>
      </c>
      <c r="AM830" s="84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</row>
    <row r="831" spans="1:51" s="33" customFormat="1" x14ac:dyDescent="0.3">
      <c r="A831" s="268" t="s">
        <v>194</v>
      </c>
      <c r="B831" s="17" t="s">
        <v>1978</v>
      </c>
      <c r="C831" s="18" t="str">
        <f>+C830</f>
        <v>DIO1</v>
      </c>
      <c r="D831" s="18">
        <v>132</v>
      </c>
      <c r="E831" s="84">
        <f>+E830</f>
        <v>2</v>
      </c>
      <c r="F831" s="84">
        <f>+F830</f>
        <v>8</v>
      </c>
      <c r="G831" s="84">
        <v>0</v>
      </c>
      <c r="H831" s="214">
        <v>6</v>
      </c>
      <c r="I831" s="188"/>
      <c r="J831" s="267"/>
      <c r="K831" s="68" t="s">
        <v>698</v>
      </c>
      <c r="L831" s="17"/>
      <c r="M831" s="18">
        <v>0</v>
      </c>
      <c r="N831" s="18"/>
      <c r="O831" s="17"/>
      <c r="P831" s="17"/>
      <c r="Q831" s="17"/>
      <c r="R831" s="17"/>
      <c r="S831" s="17"/>
      <c r="T831" s="17"/>
      <c r="U831" s="17"/>
      <c r="V831" s="17" t="str">
        <f>+CONCATENATE(E831,".",F831,"\",G831,".",H831,":",I831)</f>
        <v>2.8\0.6:</v>
      </c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64"/>
      <c r="AH831" s="64"/>
      <c r="AI831" s="64"/>
      <c r="AJ831" s="64"/>
      <c r="AK831" s="64"/>
      <c r="AL831" s="264"/>
      <c r="AM831" s="84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</row>
    <row r="832" spans="1:51" s="33" customFormat="1" x14ac:dyDescent="0.3">
      <c r="A832" s="63" t="str">
        <f>A831</f>
        <v>BCV131</v>
      </c>
      <c r="B832" s="17" t="s">
        <v>1978</v>
      </c>
      <c r="C832" s="18" t="str">
        <f>+C831</f>
        <v>DIO1</v>
      </c>
      <c r="D832" s="18">
        <v>132</v>
      </c>
      <c r="E832" s="84">
        <f>+E831</f>
        <v>2</v>
      </c>
      <c r="F832" s="84">
        <f>+F831</f>
        <v>8</v>
      </c>
      <c r="G832" s="84">
        <v>0</v>
      </c>
      <c r="H832" s="186">
        <f>+H831</f>
        <v>6</v>
      </c>
      <c r="I832" s="187"/>
      <c r="J832" s="266"/>
      <c r="K832" s="18"/>
      <c r="L832" s="17"/>
      <c r="M832" s="18">
        <v>0</v>
      </c>
      <c r="N832" s="18"/>
      <c r="O832" s="17"/>
      <c r="P832" s="17"/>
      <c r="Q832" s="17"/>
      <c r="R832" s="17"/>
      <c r="S832" s="17"/>
      <c r="T832" s="17"/>
      <c r="U832" s="17"/>
      <c r="V832" s="17" t="str">
        <f>+CONCATENATE(E832,".",F832,"\",G832,".",H832,":",I832)</f>
        <v>2.8\0.6:</v>
      </c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64"/>
      <c r="AH832" s="64"/>
      <c r="AI832" s="64"/>
      <c r="AJ832" s="64"/>
      <c r="AK832" s="64"/>
      <c r="AL832" s="264"/>
      <c r="AM832" s="84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</row>
    <row r="833" spans="1:51" s="33" customFormat="1" x14ac:dyDescent="0.3">
      <c r="A833" s="63" t="str">
        <f>A832</f>
        <v>BCV131</v>
      </c>
      <c r="B833" s="17" t="s">
        <v>1978</v>
      </c>
      <c r="C833" s="18" t="str">
        <f>+C832</f>
        <v>DIO1</v>
      </c>
      <c r="D833" s="18">
        <v>132</v>
      </c>
      <c r="E833" s="84">
        <f>+E832</f>
        <v>2</v>
      </c>
      <c r="F833" s="84">
        <f>+F832</f>
        <v>8</v>
      </c>
      <c r="G833" s="84">
        <v>0</v>
      </c>
      <c r="H833" s="186">
        <f>+H832</f>
        <v>6</v>
      </c>
      <c r="I833" s="187"/>
      <c r="J833" s="266"/>
      <c r="K833" s="18"/>
      <c r="L833" s="17"/>
      <c r="M833" s="18">
        <v>0</v>
      </c>
      <c r="N833" s="18"/>
      <c r="O833" s="17"/>
      <c r="P833" s="17"/>
      <c r="Q833" s="17"/>
      <c r="R833" s="17"/>
      <c r="S833" s="17"/>
      <c r="T833" s="17"/>
      <c r="U833" s="17"/>
      <c r="V833" s="17" t="str">
        <f>+CONCATENATE(E833,".",F833,"\",G833,".",H833,":",I833)</f>
        <v>2.8\0.6:</v>
      </c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64"/>
      <c r="AH833" s="64"/>
      <c r="AI833" s="64"/>
      <c r="AJ833" s="64"/>
      <c r="AK833" s="64"/>
      <c r="AL833" s="264"/>
      <c r="AM833" s="84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</row>
    <row r="834" spans="1:51" s="33" customFormat="1" ht="13.5" thickBot="1" x14ac:dyDescent="0.35">
      <c r="A834" s="63" t="str">
        <f>A833</f>
        <v>BCV131</v>
      </c>
      <c r="B834" s="17" t="s">
        <v>1978</v>
      </c>
      <c r="C834" s="18" t="str">
        <f>+C833</f>
        <v>DIO1</v>
      </c>
      <c r="D834" s="18">
        <v>132</v>
      </c>
      <c r="E834" s="84">
        <f>+E833</f>
        <v>2</v>
      </c>
      <c r="F834" s="84">
        <f>+F833</f>
        <v>8</v>
      </c>
      <c r="G834" s="84">
        <v>0</v>
      </c>
      <c r="H834" s="186">
        <f>+H833</f>
        <v>6</v>
      </c>
      <c r="I834" s="191"/>
      <c r="J834" s="265"/>
      <c r="K834" s="18"/>
      <c r="L834" s="17"/>
      <c r="M834" s="18">
        <v>0</v>
      </c>
      <c r="N834" s="18"/>
      <c r="O834" s="17"/>
      <c r="P834" s="17"/>
      <c r="Q834" s="17"/>
      <c r="R834" s="17"/>
      <c r="S834" s="17"/>
      <c r="T834" s="17"/>
      <c r="U834" s="17"/>
      <c r="V834" s="17" t="str">
        <f>+CONCATENATE(E834,".",F834,"\",G834,".",H834,":",I834)</f>
        <v>2.8\0.6:</v>
      </c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64"/>
      <c r="AH834" s="64"/>
      <c r="AI834" s="64"/>
      <c r="AJ834" s="64"/>
      <c r="AK834" s="64"/>
      <c r="AL834" s="264"/>
      <c r="AM834" s="84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</row>
    <row r="835" spans="1:51" s="33" customFormat="1" x14ac:dyDescent="0.3">
      <c r="A835" s="268" t="s">
        <v>194</v>
      </c>
      <c r="B835" s="17" t="s">
        <v>1978</v>
      </c>
      <c r="C835" s="18" t="str">
        <f>+C834</f>
        <v>DIO1</v>
      </c>
      <c r="D835" s="18">
        <v>132</v>
      </c>
      <c r="E835" s="84">
        <f>+E834</f>
        <v>2</v>
      </c>
      <c r="F835" s="84">
        <f>+F834</f>
        <v>8</v>
      </c>
      <c r="G835" s="84">
        <v>0</v>
      </c>
      <c r="H835" s="214">
        <v>7</v>
      </c>
      <c r="I835" s="188"/>
      <c r="J835" s="267"/>
      <c r="K835" s="68" t="s">
        <v>698</v>
      </c>
      <c r="L835" s="17"/>
      <c r="M835" s="18">
        <v>0</v>
      </c>
      <c r="N835" s="18"/>
      <c r="O835" s="17"/>
      <c r="P835" s="17"/>
      <c r="Q835" s="17"/>
      <c r="R835" s="17"/>
      <c r="S835" s="17"/>
      <c r="T835" s="17"/>
      <c r="U835" s="17"/>
      <c r="V835" s="17" t="str">
        <f>+CONCATENATE(E835,".",F835,"\",G835,".",H835,":",I835)</f>
        <v>2.8\0.7:</v>
      </c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64"/>
      <c r="AH835" s="64"/>
      <c r="AI835" s="64"/>
      <c r="AJ835" s="64"/>
      <c r="AK835" s="64"/>
      <c r="AL835" s="264"/>
      <c r="AM835" s="84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</row>
    <row r="836" spans="1:51" s="33" customFormat="1" x14ac:dyDescent="0.3">
      <c r="A836" s="63" t="str">
        <f>A835</f>
        <v>BCV131</v>
      </c>
      <c r="B836" s="17" t="s">
        <v>1978</v>
      </c>
      <c r="C836" s="18" t="str">
        <f>+C835</f>
        <v>DIO1</v>
      </c>
      <c r="D836" s="18">
        <v>132</v>
      </c>
      <c r="E836" s="84">
        <f>+E835</f>
        <v>2</v>
      </c>
      <c r="F836" s="84">
        <f>+F835</f>
        <v>8</v>
      </c>
      <c r="G836" s="84">
        <v>0</v>
      </c>
      <c r="H836" s="186">
        <f>+H835</f>
        <v>7</v>
      </c>
      <c r="I836" s="187"/>
      <c r="J836" s="266"/>
      <c r="K836" s="18"/>
      <c r="L836" s="17"/>
      <c r="M836" s="18">
        <v>0</v>
      </c>
      <c r="N836" s="18"/>
      <c r="O836" s="17"/>
      <c r="P836" s="17"/>
      <c r="Q836" s="17"/>
      <c r="R836" s="17"/>
      <c r="S836" s="17"/>
      <c r="T836" s="17"/>
      <c r="U836" s="17"/>
      <c r="V836" s="17" t="str">
        <f>+CONCATENATE(E836,".",F836,"\",G836,".",H836,":",I836)</f>
        <v>2.8\0.7:</v>
      </c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64"/>
      <c r="AH836" s="64"/>
      <c r="AI836" s="64"/>
      <c r="AJ836" s="64"/>
      <c r="AK836" s="64"/>
      <c r="AL836" s="264"/>
      <c r="AM836" s="84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</row>
    <row r="837" spans="1:51" s="33" customFormat="1" x14ac:dyDescent="0.3">
      <c r="A837" s="63" t="str">
        <f>A836</f>
        <v>BCV131</v>
      </c>
      <c r="B837" s="17" t="s">
        <v>1978</v>
      </c>
      <c r="C837" s="18" t="str">
        <f>+C836</f>
        <v>DIO1</v>
      </c>
      <c r="D837" s="18">
        <v>132</v>
      </c>
      <c r="E837" s="84">
        <f>+E836</f>
        <v>2</v>
      </c>
      <c r="F837" s="84">
        <f>+F836</f>
        <v>8</v>
      </c>
      <c r="G837" s="84">
        <v>0</v>
      </c>
      <c r="H837" s="186">
        <f>+H836</f>
        <v>7</v>
      </c>
      <c r="I837" s="187"/>
      <c r="J837" s="266"/>
      <c r="K837" s="18"/>
      <c r="L837" s="17"/>
      <c r="M837" s="18">
        <v>0</v>
      </c>
      <c r="N837" s="18"/>
      <c r="O837" s="17"/>
      <c r="P837" s="17"/>
      <c r="Q837" s="17"/>
      <c r="R837" s="17"/>
      <c r="S837" s="17"/>
      <c r="T837" s="17"/>
      <c r="U837" s="17"/>
      <c r="V837" s="17" t="str">
        <f>+CONCATENATE(E837,".",F837,"\",G837,".",H837,":",I837)</f>
        <v>2.8\0.7:</v>
      </c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64"/>
      <c r="AH837" s="64"/>
      <c r="AI837" s="64"/>
      <c r="AJ837" s="64"/>
      <c r="AK837" s="64"/>
      <c r="AL837" s="264"/>
      <c r="AM837" s="84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</row>
    <row r="838" spans="1:51" s="33" customFormat="1" ht="13.5" thickBot="1" x14ac:dyDescent="0.35">
      <c r="A838" s="63" t="str">
        <f>A837</f>
        <v>BCV131</v>
      </c>
      <c r="B838" s="17" t="s">
        <v>1978</v>
      </c>
      <c r="C838" s="18" t="str">
        <f>+C837</f>
        <v>DIO1</v>
      </c>
      <c r="D838" s="18">
        <v>132</v>
      </c>
      <c r="E838" s="84">
        <f>+E837</f>
        <v>2</v>
      </c>
      <c r="F838" s="84">
        <f>+F837</f>
        <v>8</v>
      </c>
      <c r="G838" s="84">
        <v>0</v>
      </c>
      <c r="H838" s="186">
        <f>+H837</f>
        <v>7</v>
      </c>
      <c r="I838" s="191"/>
      <c r="J838" s="265"/>
      <c r="K838" s="18"/>
      <c r="L838" s="17"/>
      <c r="M838" s="18">
        <v>0</v>
      </c>
      <c r="N838" s="18"/>
      <c r="O838" s="17"/>
      <c r="P838" s="17"/>
      <c r="Q838" s="17"/>
      <c r="R838" s="17"/>
      <c r="S838" s="17"/>
      <c r="T838" s="17"/>
      <c r="U838" s="17"/>
      <c r="V838" s="17" t="str">
        <f>+CONCATENATE(E838,".",F838,"\",G838,".",H838,":",I838)</f>
        <v>2.8\0.7:</v>
      </c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64"/>
      <c r="AH838" s="64"/>
      <c r="AI838" s="64"/>
      <c r="AJ838" s="64"/>
      <c r="AK838" s="64"/>
      <c r="AL838" s="264" t="s">
        <v>1452</v>
      </c>
      <c r="AM838" s="84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</row>
    <row r="839" spans="1:51" s="33" customFormat="1" x14ac:dyDescent="0.3">
      <c r="A839" s="268" t="s">
        <v>194</v>
      </c>
      <c r="B839" s="17" t="s">
        <v>1978</v>
      </c>
      <c r="C839" s="18" t="str">
        <f>+C838</f>
        <v>DIO1</v>
      </c>
      <c r="D839" s="18">
        <v>132</v>
      </c>
      <c r="E839" s="84">
        <f>+E838</f>
        <v>2</v>
      </c>
      <c r="F839" s="84">
        <f>+F838</f>
        <v>8</v>
      </c>
      <c r="G839" s="84">
        <v>0</v>
      </c>
      <c r="H839" s="214">
        <v>8</v>
      </c>
      <c r="I839" s="188"/>
      <c r="J839" s="267"/>
      <c r="K839" s="68" t="s">
        <v>698</v>
      </c>
      <c r="L839" s="17"/>
      <c r="M839" s="18">
        <v>0</v>
      </c>
      <c r="N839" s="18"/>
      <c r="O839" s="17"/>
      <c r="P839" s="17"/>
      <c r="Q839" s="17"/>
      <c r="R839" s="17"/>
      <c r="S839" s="17"/>
      <c r="T839" s="17"/>
      <c r="U839" s="17"/>
      <c r="V839" s="17" t="str">
        <f>+CONCATENATE(E839,".",F839,"\",G839,".",H839,":",I839)</f>
        <v>2.8\0.8:</v>
      </c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64"/>
      <c r="AH839" s="64"/>
      <c r="AI839" s="64"/>
      <c r="AJ839" s="64"/>
      <c r="AK839" s="64"/>
      <c r="AL839" s="264"/>
      <c r="AM839" s="84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</row>
    <row r="840" spans="1:51" s="33" customFormat="1" x14ac:dyDescent="0.3">
      <c r="A840" s="63" t="str">
        <f>A839</f>
        <v>BCV131</v>
      </c>
      <c r="B840" s="17" t="s">
        <v>1978</v>
      </c>
      <c r="C840" s="18" t="str">
        <f>+C839</f>
        <v>DIO1</v>
      </c>
      <c r="D840" s="18">
        <v>132</v>
      </c>
      <c r="E840" s="84">
        <f>+E839</f>
        <v>2</v>
      </c>
      <c r="F840" s="84">
        <f>+F839</f>
        <v>8</v>
      </c>
      <c r="G840" s="84">
        <v>0</v>
      </c>
      <c r="H840" s="186">
        <f>+H839</f>
        <v>8</v>
      </c>
      <c r="I840" s="187"/>
      <c r="J840" s="266"/>
      <c r="K840" s="18"/>
      <c r="L840" s="17"/>
      <c r="M840" s="18">
        <v>0</v>
      </c>
      <c r="N840" s="18"/>
      <c r="O840" s="17"/>
      <c r="P840" s="17"/>
      <c r="Q840" s="17"/>
      <c r="R840" s="17"/>
      <c r="S840" s="17"/>
      <c r="T840" s="17"/>
      <c r="U840" s="17"/>
      <c r="V840" s="17" t="str">
        <f>+CONCATENATE(E840,".",F840,"\",G840,".",H840,":",I840)</f>
        <v>2.8\0.8:</v>
      </c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64"/>
      <c r="AH840" s="64"/>
      <c r="AI840" s="64"/>
      <c r="AJ840" s="64"/>
      <c r="AK840" s="64"/>
      <c r="AL840" s="264"/>
      <c r="AM840" s="84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</row>
    <row r="841" spans="1:51" s="33" customFormat="1" x14ac:dyDescent="0.3">
      <c r="A841" s="63" t="str">
        <f>A840</f>
        <v>BCV131</v>
      </c>
      <c r="B841" s="17" t="s">
        <v>1978</v>
      </c>
      <c r="C841" s="18" t="str">
        <f>+C840</f>
        <v>DIO1</v>
      </c>
      <c r="D841" s="18">
        <v>132</v>
      </c>
      <c r="E841" s="84">
        <f>+E840</f>
        <v>2</v>
      </c>
      <c r="F841" s="84">
        <f>+F840</f>
        <v>8</v>
      </c>
      <c r="G841" s="84">
        <v>0</v>
      </c>
      <c r="H841" s="186">
        <f>+H840</f>
        <v>8</v>
      </c>
      <c r="I841" s="187"/>
      <c r="J841" s="266"/>
      <c r="K841" s="18"/>
      <c r="L841" s="17"/>
      <c r="M841" s="18">
        <v>0</v>
      </c>
      <c r="N841" s="18"/>
      <c r="O841" s="17"/>
      <c r="P841" s="17"/>
      <c r="Q841" s="17"/>
      <c r="R841" s="17"/>
      <c r="S841" s="17"/>
      <c r="T841" s="17"/>
      <c r="U841" s="17"/>
      <c r="V841" s="17" t="str">
        <f>+CONCATENATE(E841,".",F841,"\",G841,".",H841,":",I841)</f>
        <v>2.8\0.8:</v>
      </c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64"/>
      <c r="AH841" s="64"/>
      <c r="AI841" s="64"/>
      <c r="AJ841" s="64"/>
      <c r="AK841" s="64"/>
      <c r="AL841" s="264"/>
      <c r="AM841" s="84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</row>
    <row r="842" spans="1:51" s="33" customFormat="1" ht="13.5" thickBot="1" x14ac:dyDescent="0.35">
      <c r="A842" s="63" t="str">
        <f>A841</f>
        <v>BCV131</v>
      </c>
      <c r="B842" s="17" t="s">
        <v>1978</v>
      </c>
      <c r="C842" s="18" t="str">
        <f>+C841</f>
        <v>DIO1</v>
      </c>
      <c r="D842" s="18">
        <v>132</v>
      </c>
      <c r="E842" s="84">
        <f>+E841</f>
        <v>2</v>
      </c>
      <c r="F842" s="84">
        <f>+F841</f>
        <v>8</v>
      </c>
      <c r="G842" s="84">
        <v>0</v>
      </c>
      <c r="H842" s="186">
        <f>+H841</f>
        <v>8</v>
      </c>
      <c r="I842" s="191"/>
      <c r="J842" s="265"/>
      <c r="K842" s="18"/>
      <c r="L842" s="17"/>
      <c r="M842" s="18">
        <v>0</v>
      </c>
      <c r="N842" s="18"/>
      <c r="O842" s="17"/>
      <c r="P842" s="17"/>
      <c r="Q842" s="17"/>
      <c r="R842" s="17"/>
      <c r="S842" s="17"/>
      <c r="T842" s="17"/>
      <c r="U842" s="17"/>
      <c r="V842" s="17" t="str">
        <f>+CONCATENATE(E842,".",F842,"\",G842,".",H842,":",I842)</f>
        <v>2.8\0.8:</v>
      </c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64"/>
      <c r="AH842" s="64"/>
      <c r="AI842" s="64"/>
      <c r="AJ842" s="64"/>
      <c r="AK842" s="64"/>
      <c r="AL842" s="264"/>
      <c r="AM842" s="84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</row>
    <row r="843" spans="1:51" s="33" customFormat="1" x14ac:dyDescent="0.3">
      <c r="A843" s="268" t="s">
        <v>194</v>
      </c>
      <c r="B843" s="17" t="s">
        <v>1978</v>
      </c>
      <c r="C843" s="18" t="str">
        <f>+C842</f>
        <v>DIO1</v>
      </c>
      <c r="D843" s="18">
        <v>132</v>
      </c>
      <c r="E843" s="84">
        <f>+E842</f>
        <v>2</v>
      </c>
      <c r="F843" s="84">
        <f>+F842</f>
        <v>8</v>
      </c>
      <c r="G843" s="84">
        <v>0</v>
      </c>
      <c r="H843" s="214">
        <v>9</v>
      </c>
      <c r="I843" s="188"/>
      <c r="J843" s="267"/>
      <c r="K843" s="68" t="s">
        <v>698</v>
      </c>
      <c r="L843" s="17"/>
      <c r="M843" s="18">
        <v>0</v>
      </c>
      <c r="N843" s="18"/>
      <c r="O843" s="17"/>
      <c r="P843" s="17"/>
      <c r="Q843" s="17"/>
      <c r="R843" s="17"/>
      <c r="S843" s="17"/>
      <c r="T843" s="17"/>
      <c r="U843" s="17"/>
      <c r="V843" s="17" t="str">
        <f>+CONCATENATE(E843,".",F843,"\",G843,".",H843,":",I843)</f>
        <v>2.8\0.9:</v>
      </c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64"/>
      <c r="AH843" s="64"/>
      <c r="AI843" s="64"/>
      <c r="AJ843" s="64"/>
      <c r="AK843" s="64"/>
      <c r="AL843" s="264"/>
      <c r="AM843" s="84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</row>
    <row r="844" spans="1:51" s="33" customFormat="1" x14ac:dyDescent="0.3">
      <c r="A844" s="63" t="str">
        <f>A843</f>
        <v>BCV131</v>
      </c>
      <c r="B844" s="17" t="s">
        <v>1978</v>
      </c>
      <c r="C844" s="18" t="str">
        <f>+C843</f>
        <v>DIO1</v>
      </c>
      <c r="D844" s="18">
        <v>132</v>
      </c>
      <c r="E844" s="84">
        <f>+E843</f>
        <v>2</v>
      </c>
      <c r="F844" s="84">
        <f>+F843</f>
        <v>8</v>
      </c>
      <c r="G844" s="84">
        <v>0</v>
      </c>
      <c r="H844" s="186">
        <f>+H843</f>
        <v>9</v>
      </c>
      <c r="I844" s="187"/>
      <c r="J844" s="266"/>
      <c r="K844" s="18"/>
      <c r="L844" s="17"/>
      <c r="M844" s="18">
        <v>0</v>
      </c>
      <c r="N844" s="18"/>
      <c r="O844" s="17"/>
      <c r="P844" s="17"/>
      <c r="Q844" s="17"/>
      <c r="R844" s="17"/>
      <c r="S844" s="17"/>
      <c r="T844" s="17"/>
      <c r="U844" s="17"/>
      <c r="V844" s="17" t="str">
        <f>+CONCATENATE(E844,".",F844,"\",G844,".",H844,":",I844)</f>
        <v>2.8\0.9:</v>
      </c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64"/>
      <c r="AH844" s="64"/>
      <c r="AI844" s="64"/>
      <c r="AJ844" s="64"/>
      <c r="AK844" s="64"/>
      <c r="AL844" s="264"/>
      <c r="AM844" s="84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</row>
    <row r="845" spans="1:51" s="33" customFormat="1" x14ac:dyDescent="0.3">
      <c r="A845" s="63" t="str">
        <f>A844</f>
        <v>BCV131</v>
      </c>
      <c r="B845" s="17" t="s">
        <v>1978</v>
      </c>
      <c r="C845" s="18" t="str">
        <f>+C844</f>
        <v>DIO1</v>
      </c>
      <c r="D845" s="18">
        <v>132</v>
      </c>
      <c r="E845" s="84">
        <f>+E844</f>
        <v>2</v>
      </c>
      <c r="F845" s="84">
        <f>+F844</f>
        <v>8</v>
      </c>
      <c r="G845" s="84">
        <v>0</v>
      </c>
      <c r="H845" s="186">
        <f>+H844</f>
        <v>9</v>
      </c>
      <c r="I845" s="187"/>
      <c r="J845" s="266"/>
      <c r="K845" s="18"/>
      <c r="L845" s="17"/>
      <c r="M845" s="18">
        <v>0</v>
      </c>
      <c r="N845" s="18"/>
      <c r="O845" s="17"/>
      <c r="P845" s="17"/>
      <c r="Q845" s="17"/>
      <c r="R845" s="17"/>
      <c r="S845" s="17"/>
      <c r="T845" s="17"/>
      <c r="U845" s="17"/>
      <c r="V845" s="17" t="str">
        <f>+CONCATENATE(E845,".",F845,"\",G845,".",H845,":",I845)</f>
        <v>2.8\0.9:</v>
      </c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64"/>
      <c r="AH845" s="64"/>
      <c r="AI845" s="64"/>
      <c r="AJ845" s="64"/>
      <c r="AK845" s="64"/>
      <c r="AL845" s="264"/>
      <c r="AM845" s="84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</row>
    <row r="846" spans="1:51" s="33" customFormat="1" ht="13.5" thickBot="1" x14ac:dyDescent="0.35">
      <c r="A846" s="63" t="str">
        <f>A845</f>
        <v>BCV131</v>
      </c>
      <c r="B846" s="17" t="s">
        <v>1978</v>
      </c>
      <c r="C846" s="18" t="str">
        <f>+C845</f>
        <v>DIO1</v>
      </c>
      <c r="D846" s="18">
        <v>132</v>
      </c>
      <c r="E846" s="84">
        <f>+E845</f>
        <v>2</v>
      </c>
      <c r="F846" s="84">
        <f>+F845</f>
        <v>8</v>
      </c>
      <c r="G846" s="84">
        <v>0</v>
      </c>
      <c r="H846" s="186">
        <f>+H845</f>
        <v>9</v>
      </c>
      <c r="I846" s="191"/>
      <c r="J846" s="265"/>
      <c r="K846" s="18"/>
      <c r="L846" s="17"/>
      <c r="M846" s="18">
        <v>0</v>
      </c>
      <c r="N846" s="18"/>
      <c r="O846" s="17"/>
      <c r="P846" s="17"/>
      <c r="Q846" s="17"/>
      <c r="R846" s="17"/>
      <c r="S846" s="17"/>
      <c r="T846" s="17"/>
      <c r="U846" s="17"/>
      <c r="V846" s="17" t="str">
        <f>+CONCATENATE(E846,".",F846,"\",G846,".",H846,":",I846)</f>
        <v>2.8\0.9:</v>
      </c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64"/>
      <c r="AH846" s="64"/>
      <c r="AI846" s="64"/>
      <c r="AJ846" s="64"/>
      <c r="AK846" s="64"/>
      <c r="AL846" s="264" t="s">
        <v>1452</v>
      </c>
      <c r="AM846" s="84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</row>
    <row r="847" spans="1:51" s="33" customFormat="1" x14ac:dyDescent="0.3">
      <c r="A847" s="268" t="s">
        <v>194</v>
      </c>
      <c r="B847" s="17" t="s">
        <v>1978</v>
      </c>
      <c r="C847" s="18" t="str">
        <f>+C846</f>
        <v>DIO1</v>
      </c>
      <c r="D847" s="18">
        <v>132</v>
      </c>
      <c r="E847" s="84">
        <f>+E846</f>
        <v>2</v>
      </c>
      <c r="F847" s="84">
        <f>+F846</f>
        <v>8</v>
      </c>
      <c r="G847" s="84">
        <v>0</v>
      </c>
      <c r="H847" s="214">
        <v>10</v>
      </c>
      <c r="I847" s="188"/>
      <c r="J847" s="267"/>
      <c r="K847" s="68" t="s">
        <v>698</v>
      </c>
      <c r="L847" s="17"/>
      <c r="M847" s="18">
        <v>0</v>
      </c>
      <c r="N847" s="18"/>
      <c r="O847" s="17"/>
      <c r="P847" s="17"/>
      <c r="Q847" s="17"/>
      <c r="R847" s="17"/>
      <c r="S847" s="17"/>
      <c r="T847" s="17"/>
      <c r="U847" s="17"/>
      <c r="V847" s="17" t="str">
        <f>+CONCATENATE(E847,".",F847,"\",G847,".",H847,":",I847)</f>
        <v>2.8\0.10:</v>
      </c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64"/>
      <c r="AH847" s="64"/>
      <c r="AI847" s="64"/>
      <c r="AJ847" s="64"/>
      <c r="AK847" s="64"/>
      <c r="AL847" s="264"/>
      <c r="AM847" s="84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</row>
    <row r="848" spans="1:51" s="33" customFormat="1" x14ac:dyDescent="0.3">
      <c r="A848" s="63" t="str">
        <f>A847</f>
        <v>BCV131</v>
      </c>
      <c r="B848" s="17" t="s">
        <v>1978</v>
      </c>
      <c r="C848" s="18" t="str">
        <f>+C847</f>
        <v>DIO1</v>
      </c>
      <c r="D848" s="18">
        <v>132</v>
      </c>
      <c r="E848" s="84">
        <f>+E847</f>
        <v>2</v>
      </c>
      <c r="F848" s="84">
        <f>+F847</f>
        <v>8</v>
      </c>
      <c r="G848" s="84">
        <v>0</v>
      </c>
      <c r="H848" s="186">
        <f>+H847</f>
        <v>10</v>
      </c>
      <c r="I848" s="187"/>
      <c r="J848" s="266"/>
      <c r="K848" s="18"/>
      <c r="L848" s="17"/>
      <c r="M848" s="18">
        <v>0</v>
      </c>
      <c r="N848" s="18"/>
      <c r="O848" s="17"/>
      <c r="P848" s="17"/>
      <c r="Q848" s="17"/>
      <c r="R848" s="17"/>
      <c r="S848" s="17"/>
      <c r="T848" s="17"/>
      <c r="U848" s="17"/>
      <c r="V848" s="17" t="str">
        <f>+CONCATENATE(E848,".",F848,"\",G848,".",H848,":",I848)</f>
        <v>2.8\0.10:</v>
      </c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64"/>
      <c r="AH848" s="64"/>
      <c r="AI848" s="64"/>
      <c r="AJ848" s="64"/>
      <c r="AK848" s="64"/>
      <c r="AL848" s="264"/>
      <c r="AM848" s="84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</row>
    <row r="849" spans="1:51" s="33" customFormat="1" x14ac:dyDescent="0.3">
      <c r="A849" s="63" t="str">
        <f>A848</f>
        <v>BCV131</v>
      </c>
      <c r="B849" s="17" t="s">
        <v>1978</v>
      </c>
      <c r="C849" s="18" t="str">
        <f>+C848</f>
        <v>DIO1</v>
      </c>
      <c r="D849" s="18">
        <v>132</v>
      </c>
      <c r="E849" s="84">
        <f>+E848</f>
        <v>2</v>
      </c>
      <c r="F849" s="84">
        <f>+F848</f>
        <v>8</v>
      </c>
      <c r="G849" s="84">
        <v>0</v>
      </c>
      <c r="H849" s="186">
        <f>+H848</f>
        <v>10</v>
      </c>
      <c r="I849" s="187"/>
      <c r="J849" s="266"/>
      <c r="K849" s="18"/>
      <c r="L849" s="17"/>
      <c r="M849" s="18">
        <v>0</v>
      </c>
      <c r="N849" s="18"/>
      <c r="O849" s="17"/>
      <c r="P849" s="17"/>
      <c r="Q849" s="17"/>
      <c r="R849" s="17"/>
      <c r="S849" s="17"/>
      <c r="T849" s="17"/>
      <c r="U849" s="17"/>
      <c r="V849" s="17" t="str">
        <f>+CONCATENATE(E849,".",F849,"\",G849,".",H849,":",I849)</f>
        <v>2.8\0.10:</v>
      </c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64"/>
      <c r="AH849" s="64"/>
      <c r="AI849" s="64"/>
      <c r="AJ849" s="64"/>
      <c r="AK849" s="64"/>
      <c r="AL849" s="264"/>
      <c r="AM849" s="84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</row>
    <row r="850" spans="1:51" s="33" customFormat="1" ht="13.5" thickBot="1" x14ac:dyDescent="0.35">
      <c r="A850" s="63" t="str">
        <f>A849</f>
        <v>BCV131</v>
      </c>
      <c r="B850" s="17" t="s">
        <v>1978</v>
      </c>
      <c r="C850" s="18" t="str">
        <f>+C849</f>
        <v>DIO1</v>
      </c>
      <c r="D850" s="18">
        <v>132</v>
      </c>
      <c r="E850" s="84">
        <f>+E849</f>
        <v>2</v>
      </c>
      <c r="F850" s="84">
        <f>+F849</f>
        <v>8</v>
      </c>
      <c r="G850" s="84">
        <v>0</v>
      </c>
      <c r="H850" s="186">
        <f>+H849</f>
        <v>10</v>
      </c>
      <c r="I850" s="191"/>
      <c r="J850" s="265"/>
      <c r="K850" s="18"/>
      <c r="L850" s="17"/>
      <c r="M850" s="18">
        <v>0</v>
      </c>
      <c r="N850" s="18"/>
      <c r="O850" s="17"/>
      <c r="P850" s="17"/>
      <c r="Q850" s="17"/>
      <c r="R850" s="17"/>
      <c r="S850" s="17"/>
      <c r="T850" s="17"/>
      <c r="U850" s="17"/>
      <c r="V850" s="17" t="str">
        <f>+CONCATENATE(E850,".",F850,"\",G850,".",H850,":",I850)</f>
        <v>2.8\0.10:</v>
      </c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64"/>
      <c r="AH850" s="64"/>
      <c r="AI850" s="64"/>
      <c r="AJ850" s="64"/>
      <c r="AK850" s="64"/>
      <c r="AL850" s="264"/>
      <c r="AM850" s="84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</row>
    <row r="851" spans="1:51" s="33" customFormat="1" x14ac:dyDescent="0.3">
      <c r="A851" s="268" t="s">
        <v>194</v>
      </c>
      <c r="B851" s="17" t="s">
        <v>1978</v>
      </c>
      <c r="C851" s="18" t="str">
        <f>+C850</f>
        <v>DIO1</v>
      </c>
      <c r="D851" s="18">
        <v>132</v>
      </c>
      <c r="E851" s="84">
        <f>+E850</f>
        <v>2</v>
      </c>
      <c r="F851" s="84">
        <f>+F850</f>
        <v>8</v>
      </c>
      <c r="G851" s="84">
        <v>0</v>
      </c>
      <c r="H851" s="214">
        <v>11</v>
      </c>
      <c r="I851" s="188"/>
      <c r="J851" s="267"/>
      <c r="K851" s="68" t="s">
        <v>698</v>
      </c>
      <c r="L851" s="17"/>
      <c r="M851" s="18">
        <v>0</v>
      </c>
      <c r="N851" s="18"/>
      <c r="O851" s="17"/>
      <c r="P851" s="17"/>
      <c r="Q851" s="17"/>
      <c r="R851" s="17"/>
      <c r="S851" s="17"/>
      <c r="T851" s="17"/>
      <c r="U851" s="17"/>
      <c r="V851" s="17" t="str">
        <f>+CONCATENATE(E851,".",F851,"\",G851,".",H851,":",I851)</f>
        <v>2.8\0.11:</v>
      </c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64"/>
      <c r="AH851" s="64"/>
      <c r="AI851" s="64"/>
      <c r="AJ851" s="64"/>
      <c r="AK851" s="64"/>
      <c r="AL851" s="264"/>
      <c r="AM851" s="84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</row>
    <row r="852" spans="1:51" s="33" customFormat="1" x14ac:dyDescent="0.3">
      <c r="A852" s="63" t="str">
        <f>A851</f>
        <v>BCV131</v>
      </c>
      <c r="B852" s="17" t="s">
        <v>1978</v>
      </c>
      <c r="C852" s="18" t="str">
        <f>+C851</f>
        <v>DIO1</v>
      </c>
      <c r="D852" s="18">
        <v>132</v>
      </c>
      <c r="E852" s="84">
        <f>+E851</f>
        <v>2</v>
      </c>
      <c r="F852" s="84">
        <f>+F851</f>
        <v>8</v>
      </c>
      <c r="G852" s="84">
        <v>0</v>
      </c>
      <c r="H852" s="186">
        <f>+H851</f>
        <v>11</v>
      </c>
      <c r="I852" s="187"/>
      <c r="J852" s="266"/>
      <c r="K852" s="18"/>
      <c r="L852" s="17"/>
      <c r="M852" s="18">
        <v>0</v>
      </c>
      <c r="N852" s="18"/>
      <c r="O852" s="17"/>
      <c r="P852" s="17"/>
      <c r="Q852" s="17"/>
      <c r="R852" s="17"/>
      <c r="S852" s="17"/>
      <c r="T852" s="17"/>
      <c r="U852" s="17"/>
      <c r="V852" s="17" t="str">
        <f>+CONCATENATE(E852,".",F852,"\",G852,".",H852,":",I852)</f>
        <v>2.8\0.11:</v>
      </c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64"/>
      <c r="AH852" s="64"/>
      <c r="AI852" s="64"/>
      <c r="AJ852" s="64"/>
      <c r="AK852" s="64"/>
      <c r="AL852" s="264"/>
      <c r="AM852" s="84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</row>
    <row r="853" spans="1:51" s="33" customFormat="1" x14ac:dyDescent="0.3">
      <c r="A853" s="63" t="str">
        <f>A852</f>
        <v>BCV131</v>
      </c>
      <c r="B853" s="17" t="s">
        <v>1978</v>
      </c>
      <c r="C853" s="18" t="str">
        <f>+C852</f>
        <v>DIO1</v>
      </c>
      <c r="D853" s="18">
        <v>132</v>
      </c>
      <c r="E853" s="84">
        <f>+E852</f>
        <v>2</v>
      </c>
      <c r="F853" s="84">
        <f>+F852</f>
        <v>8</v>
      </c>
      <c r="G853" s="84">
        <v>0</v>
      </c>
      <c r="H853" s="186">
        <f>+H852</f>
        <v>11</v>
      </c>
      <c r="I853" s="187"/>
      <c r="J853" s="266"/>
      <c r="K853" s="18"/>
      <c r="L853" s="17"/>
      <c r="M853" s="18">
        <v>0</v>
      </c>
      <c r="N853" s="18"/>
      <c r="O853" s="17"/>
      <c r="P853" s="17"/>
      <c r="Q853" s="17"/>
      <c r="R853" s="17"/>
      <c r="S853" s="17"/>
      <c r="T853" s="17"/>
      <c r="U853" s="17"/>
      <c r="V853" s="17" t="str">
        <f>+CONCATENATE(E853,".",F853,"\",G853,".",H853,":",I853)</f>
        <v>2.8\0.11:</v>
      </c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64"/>
      <c r="AH853" s="64"/>
      <c r="AI853" s="64"/>
      <c r="AJ853" s="64"/>
      <c r="AK853" s="64"/>
      <c r="AL853" s="264"/>
      <c r="AM853" s="84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</row>
    <row r="854" spans="1:51" s="33" customFormat="1" ht="13.5" thickBot="1" x14ac:dyDescent="0.35">
      <c r="A854" s="63" t="str">
        <f>A853</f>
        <v>BCV131</v>
      </c>
      <c r="B854" s="17" t="s">
        <v>1978</v>
      </c>
      <c r="C854" s="18" t="str">
        <f>+C853</f>
        <v>DIO1</v>
      </c>
      <c r="D854" s="18">
        <v>132</v>
      </c>
      <c r="E854" s="84">
        <f>+E853</f>
        <v>2</v>
      </c>
      <c r="F854" s="84">
        <f>+F853</f>
        <v>8</v>
      </c>
      <c r="G854" s="84">
        <v>0</v>
      </c>
      <c r="H854" s="186">
        <f>+H853</f>
        <v>11</v>
      </c>
      <c r="I854" s="191"/>
      <c r="J854" s="265"/>
      <c r="K854" s="18"/>
      <c r="L854" s="17"/>
      <c r="M854" s="18">
        <v>0</v>
      </c>
      <c r="N854" s="18"/>
      <c r="O854" s="17"/>
      <c r="P854" s="17"/>
      <c r="Q854" s="17"/>
      <c r="R854" s="17"/>
      <c r="S854" s="17"/>
      <c r="T854" s="17"/>
      <c r="U854" s="17"/>
      <c r="V854" s="17" t="str">
        <f>+CONCATENATE(E854,".",F854,"\",G854,".",H854,":",I854)</f>
        <v>2.8\0.11:</v>
      </c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64"/>
      <c r="AH854" s="64"/>
      <c r="AI854" s="64"/>
      <c r="AJ854" s="64"/>
      <c r="AK854" s="64"/>
      <c r="AL854" s="264" t="s">
        <v>1452</v>
      </c>
      <c r="AM854" s="84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</row>
    <row r="855" spans="1:51" s="33" customFormat="1" x14ac:dyDescent="0.3">
      <c r="A855" s="63"/>
      <c r="B855" s="63"/>
      <c r="C855" s="63"/>
      <c r="D855" s="63"/>
      <c r="E855" s="288"/>
      <c r="F855" s="288"/>
      <c r="G855" s="288"/>
      <c r="H855" s="63"/>
      <c r="I855" s="63"/>
      <c r="J855" s="63"/>
      <c r="K855" s="17"/>
      <c r="L855" s="17"/>
      <c r="M855" s="17"/>
      <c r="N855" s="17"/>
      <c r="O855" s="68"/>
      <c r="P855" s="68"/>
      <c r="Q855" s="68"/>
      <c r="R855" s="68"/>
      <c r="S855" s="68"/>
      <c r="T855" s="68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64"/>
      <c r="AH855" s="64"/>
      <c r="AI855" s="64"/>
      <c r="AJ855" s="64"/>
      <c r="AK855" s="64"/>
      <c r="AL855" s="264" t="s">
        <v>1452</v>
      </c>
      <c r="AM855" s="84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</row>
    <row r="856" spans="1:51" s="33" customFormat="1" x14ac:dyDescent="0.3">
      <c r="A856" s="63"/>
      <c r="B856" s="63"/>
      <c r="C856" s="63"/>
      <c r="D856" s="63"/>
      <c r="E856" s="288"/>
      <c r="F856" s="288"/>
      <c r="G856" s="288"/>
      <c r="H856" s="63"/>
      <c r="I856" s="63"/>
      <c r="J856" s="63"/>
      <c r="K856" s="17"/>
      <c r="L856" s="17"/>
      <c r="M856" s="17"/>
      <c r="N856" s="17"/>
      <c r="O856" s="68"/>
      <c r="P856" s="68"/>
      <c r="Q856" s="68"/>
      <c r="R856" s="68"/>
      <c r="S856" s="68"/>
      <c r="T856" s="68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64"/>
      <c r="AH856" s="64"/>
      <c r="AI856" s="64"/>
      <c r="AJ856" s="64"/>
      <c r="AK856" s="64"/>
      <c r="AL856" s="264"/>
      <c r="AM856" s="84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</row>
    <row r="857" spans="1:51" s="33" customFormat="1" ht="14.5" x14ac:dyDescent="0.35">
      <c r="A857" s="63"/>
      <c r="B857" s="63"/>
      <c r="C857" s="63"/>
      <c r="D857" s="63"/>
      <c r="E857" s="288"/>
      <c r="F857" s="288"/>
      <c r="G857" s="288"/>
      <c r="H857" s="63"/>
      <c r="I857" s="63"/>
      <c r="J857" s="63"/>
      <c r="K857" s="17"/>
      <c r="L857" s="17"/>
      <c r="M857" s="17"/>
      <c r="N857" s="17"/>
      <c r="O857" s="68"/>
      <c r="P857" s="68"/>
      <c r="Q857" s="68"/>
      <c r="R857" s="68"/>
      <c r="S857" s="68"/>
      <c r="T857" s="68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298" t="s">
        <v>838</v>
      </c>
      <c r="AH857" s="298" t="s">
        <v>190</v>
      </c>
      <c r="AI857" s="298" t="s">
        <v>189</v>
      </c>
      <c r="AJ857" s="298" t="s">
        <v>188</v>
      </c>
      <c r="AK857" s="298">
        <v>4</v>
      </c>
      <c r="AL857" s="264"/>
      <c r="AM857" s="84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</row>
    <row r="858" spans="1:51" s="18" customFormat="1" ht="14.5" x14ac:dyDescent="0.35">
      <c r="AG858" s="298" t="s">
        <v>838</v>
      </c>
      <c r="AH858" s="298" t="s">
        <v>183</v>
      </c>
      <c r="AI858" s="298" t="s">
        <v>182</v>
      </c>
      <c r="AJ858" s="298" t="s">
        <v>181</v>
      </c>
      <c r="AK858" s="298">
        <v>8</v>
      </c>
    </row>
    <row r="859" spans="1:51" s="18" customFormat="1" ht="14.5" x14ac:dyDescent="0.35">
      <c r="AG859" s="298" t="s">
        <v>838</v>
      </c>
      <c r="AH859" s="298" t="s">
        <v>176</v>
      </c>
      <c r="AI859" s="298" t="s">
        <v>175</v>
      </c>
      <c r="AJ859" s="298" t="s">
        <v>174</v>
      </c>
      <c r="AK859" s="298">
        <v>12</v>
      </c>
    </row>
    <row r="860" spans="1:51" s="18" customFormat="1" ht="14.5" x14ac:dyDescent="0.35">
      <c r="AG860" s="298" t="s">
        <v>838</v>
      </c>
      <c r="AH860" s="298" t="s">
        <v>169</v>
      </c>
      <c r="AI860" s="298" t="s">
        <v>168</v>
      </c>
      <c r="AJ860" s="298" t="s">
        <v>167</v>
      </c>
      <c r="AK860" s="298">
        <v>16</v>
      </c>
    </row>
    <row r="861" spans="1:51" s="18" customFormat="1" ht="14.5" x14ac:dyDescent="0.35">
      <c r="AG861" s="298" t="s">
        <v>838</v>
      </c>
      <c r="AH861" s="298" t="s">
        <v>161</v>
      </c>
      <c r="AI861" s="298" t="s">
        <v>160</v>
      </c>
      <c r="AJ861" s="298" t="s">
        <v>159</v>
      </c>
      <c r="AK861" s="298">
        <v>20</v>
      </c>
    </row>
    <row r="862" spans="1:51" s="18" customFormat="1" ht="14.5" x14ac:dyDescent="0.35">
      <c r="AG862" s="298" t="s">
        <v>838</v>
      </c>
      <c r="AH862" s="298" t="s">
        <v>154</v>
      </c>
      <c r="AI862" s="298" t="s">
        <v>153</v>
      </c>
      <c r="AJ862" s="298" t="s">
        <v>152</v>
      </c>
      <c r="AK862" s="298">
        <v>24</v>
      </c>
    </row>
    <row r="863" spans="1:51" s="18" customFormat="1" ht="14.5" x14ac:dyDescent="0.35">
      <c r="AG863" s="298" t="s">
        <v>838</v>
      </c>
      <c r="AH863" s="298" t="s">
        <v>150</v>
      </c>
      <c r="AI863" s="298" t="s">
        <v>149</v>
      </c>
      <c r="AJ863" s="298" t="s">
        <v>148</v>
      </c>
      <c r="AK863" s="298">
        <v>28</v>
      </c>
    </row>
    <row r="864" spans="1:51" s="18" customFormat="1" ht="14.5" x14ac:dyDescent="0.35">
      <c r="AG864" s="298" t="s">
        <v>838</v>
      </c>
      <c r="AH864" s="298" t="s">
        <v>144</v>
      </c>
      <c r="AI864" s="298" t="s">
        <v>143</v>
      </c>
      <c r="AJ864" s="298" t="s">
        <v>142</v>
      </c>
      <c r="AK864" s="298">
        <v>32</v>
      </c>
    </row>
    <row r="865" spans="1:51" s="18" customFormat="1" ht="14.5" x14ac:dyDescent="0.35">
      <c r="AG865" s="298" t="s">
        <v>838</v>
      </c>
      <c r="AH865" s="298" t="s">
        <v>137</v>
      </c>
      <c r="AI865" s="298" t="s">
        <v>136</v>
      </c>
      <c r="AJ865" s="298" t="s">
        <v>135</v>
      </c>
      <c r="AK865" s="298">
        <v>36</v>
      </c>
    </row>
    <row r="866" spans="1:51" s="18" customFormat="1" ht="14.5" x14ac:dyDescent="0.35">
      <c r="AG866" s="298" t="s">
        <v>838</v>
      </c>
      <c r="AH866" s="298" t="s">
        <v>134</v>
      </c>
      <c r="AI866" s="298" t="s">
        <v>133</v>
      </c>
      <c r="AJ866" s="298" t="s">
        <v>132</v>
      </c>
      <c r="AK866" s="298">
        <v>40</v>
      </c>
    </row>
    <row r="867" spans="1:51" s="18" customFormat="1" ht="14.5" x14ac:dyDescent="0.35">
      <c r="AG867" s="298" t="s">
        <v>838</v>
      </c>
      <c r="AH867" s="298" t="s">
        <v>130</v>
      </c>
      <c r="AI867" s="298" t="s">
        <v>129</v>
      </c>
      <c r="AJ867" s="298" t="s">
        <v>128</v>
      </c>
      <c r="AK867" s="298">
        <v>44</v>
      </c>
    </row>
    <row r="868" spans="1:51" s="18" customFormat="1" ht="14.5" x14ac:dyDescent="0.35">
      <c r="AG868" s="298" t="s">
        <v>838</v>
      </c>
      <c r="AH868" s="298" t="s">
        <v>125</v>
      </c>
      <c r="AI868" s="298" t="s">
        <v>124</v>
      </c>
      <c r="AJ868" s="298" t="s">
        <v>123</v>
      </c>
      <c r="AK868" s="298">
        <v>48</v>
      </c>
    </row>
    <row r="869" spans="1:51" s="33" customFormat="1" x14ac:dyDescent="0.3">
      <c r="A869" s="63"/>
      <c r="B869" s="63"/>
      <c r="C869" s="63"/>
      <c r="D869" s="63"/>
      <c r="E869" s="288"/>
      <c r="F869" s="288"/>
      <c r="G869" s="288"/>
      <c r="H869" s="63"/>
      <c r="I869" s="63"/>
      <c r="J869" s="63"/>
      <c r="K869" s="17"/>
      <c r="L869" s="17"/>
      <c r="M869" s="17"/>
      <c r="N869" s="17"/>
      <c r="O869" s="68"/>
      <c r="P869" s="68"/>
      <c r="Q869" s="68"/>
      <c r="R869" s="68"/>
      <c r="S869" s="68"/>
      <c r="T869" s="68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64"/>
      <c r="AH869" s="64"/>
      <c r="AI869" s="64"/>
      <c r="AJ869" s="64"/>
      <c r="AK869" s="64"/>
      <c r="AL869" s="264"/>
      <c r="AM869" s="84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</row>
    <row r="870" spans="1:51" s="33" customFormat="1" x14ac:dyDescent="0.3">
      <c r="A870" s="63"/>
      <c r="B870" s="63"/>
      <c r="C870" s="63"/>
      <c r="D870" s="63"/>
      <c r="E870" s="288"/>
      <c r="F870" s="288"/>
      <c r="G870" s="288"/>
      <c r="H870" s="63"/>
      <c r="I870" s="63"/>
      <c r="J870" s="63"/>
      <c r="K870" s="17"/>
      <c r="L870" s="17"/>
      <c r="M870" s="17"/>
      <c r="N870" s="17"/>
      <c r="O870" s="68"/>
      <c r="P870" s="68"/>
      <c r="Q870" s="68"/>
      <c r="R870" s="68"/>
      <c r="S870" s="68"/>
      <c r="T870" s="68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64"/>
      <c r="AH870" s="64"/>
      <c r="AI870" s="64"/>
      <c r="AJ870" s="64"/>
      <c r="AK870" s="64"/>
      <c r="AL870" s="264"/>
      <c r="AM870" s="84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</row>
    <row r="871" spans="1:51" s="33" customFormat="1" x14ac:dyDescent="0.3">
      <c r="A871" s="63"/>
      <c r="B871" s="63"/>
      <c r="C871" s="63"/>
      <c r="D871" s="63"/>
      <c r="E871" s="288"/>
      <c r="F871" s="288"/>
      <c r="G871" s="288"/>
      <c r="H871" s="63"/>
      <c r="I871" s="63"/>
      <c r="J871" s="63"/>
      <c r="K871" s="17"/>
      <c r="L871" s="17"/>
      <c r="M871" s="17"/>
      <c r="N871" s="17"/>
      <c r="O871" s="68"/>
      <c r="P871" s="68"/>
      <c r="Q871" s="68"/>
      <c r="R871" s="68"/>
      <c r="S871" s="68"/>
      <c r="T871" s="68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64"/>
      <c r="AH871" s="64"/>
      <c r="AI871" s="64"/>
      <c r="AJ871" s="64"/>
      <c r="AK871" s="64"/>
      <c r="AL871" s="264"/>
      <c r="AM871" s="84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</row>
    <row r="872" spans="1:51" s="33" customFormat="1" ht="15.5" x14ac:dyDescent="0.35">
      <c r="A872" s="297"/>
      <c r="B872" s="96" t="s">
        <v>1977</v>
      </c>
      <c r="C872" s="256"/>
      <c r="D872" s="256"/>
      <c r="E872" s="256"/>
      <c r="F872" s="256"/>
      <c r="G872" s="256"/>
      <c r="H872" s="256"/>
      <c r="I872" s="256"/>
      <c r="J872" s="256"/>
      <c r="K872" s="256"/>
      <c r="L872" s="256"/>
      <c r="M872" s="256"/>
      <c r="N872" s="287"/>
      <c r="O872" s="256"/>
      <c r="P872" s="287"/>
      <c r="Q872" s="256"/>
      <c r="R872" s="256"/>
      <c r="S872" s="256"/>
      <c r="T872" s="256"/>
      <c r="U872" s="256"/>
      <c r="V872" s="256"/>
      <c r="W872" s="287"/>
      <c r="X872" s="256"/>
      <c r="Y872" s="256"/>
      <c r="Z872" s="17"/>
      <c r="AA872" s="17"/>
      <c r="AB872" s="17"/>
      <c r="AC872" s="17"/>
      <c r="AD872" s="17"/>
      <c r="AE872" s="17"/>
      <c r="AF872" s="17"/>
      <c r="AG872" s="64"/>
      <c r="AH872" s="64"/>
      <c r="AI872" s="64"/>
      <c r="AJ872" s="64"/>
      <c r="AK872" s="64"/>
      <c r="AL872" s="264"/>
      <c r="AM872" s="84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</row>
    <row r="873" spans="1:51" s="33" customFormat="1" ht="13.5" thickBot="1" x14ac:dyDescent="0.35">
      <c r="A873" s="63"/>
      <c r="B873" s="63"/>
      <c r="C873" s="63"/>
      <c r="D873" s="63"/>
      <c r="E873" s="288"/>
      <c r="F873" s="288"/>
      <c r="G873" s="288"/>
      <c r="H873" s="63"/>
      <c r="I873" s="63"/>
      <c r="J873" s="63"/>
      <c r="K873" s="17"/>
      <c r="L873" s="17"/>
      <c r="M873" s="17"/>
      <c r="N873" s="17"/>
      <c r="O873" s="68"/>
      <c r="P873" s="68"/>
      <c r="Q873" s="68"/>
      <c r="R873" s="68"/>
      <c r="S873" s="68"/>
      <c r="T873" s="68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64"/>
      <c r="AH873" s="64"/>
      <c r="AI873" s="64"/>
      <c r="AJ873" s="64"/>
      <c r="AK873" s="64"/>
      <c r="AL873" s="264"/>
      <c r="AM873" s="84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</row>
    <row r="874" spans="1:51" s="33" customFormat="1" ht="13.5" thickBot="1" x14ac:dyDescent="0.35">
      <c r="A874" s="63" t="s">
        <v>194</v>
      </c>
      <c r="B874" s="17" t="s">
        <v>1976</v>
      </c>
      <c r="C874" s="295" t="s">
        <v>271</v>
      </c>
      <c r="D874" s="290" t="s">
        <v>285</v>
      </c>
      <c r="E874" s="290">
        <v>1</v>
      </c>
      <c r="F874" s="290">
        <v>2</v>
      </c>
      <c r="G874" s="290">
        <v>0</v>
      </c>
      <c r="H874" s="89">
        <v>0</v>
      </c>
      <c r="I874" s="88" t="s">
        <v>1106</v>
      </c>
      <c r="J874" s="87"/>
      <c r="K874" s="84">
        <v>1059305</v>
      </c>
      <c r="L874" s="91" t="s">
        <v>1377</v>
      </c>
      <c r="M874" s="17">
        <v>3</v>
      </c>
      <c r="N874" s="17"/>
      <c r="O874" s="83"/>
      <c r="P874" s="83"/>
      <c r="Q874" s="68"/>
      <c r="R874" s="68"/>
      <c r="S874" s="68"/>
      <c r="T874" s="68"/>
      <c r="U874" s="17"/>
      <c r="V874" s="17"/>
      <c r="W874" s="17" t="s">
        <v>1960</v>
      </c>
      <c r="X874" s="17">
        <v>0</v>
      </c>
      <c r="Y874" s="17"/>
      <c r="Z874" s="17"/>
      <c r="AA874" s="17"/>
      <c r="AB874" s="17"/>
      <c r="AC874" s="17"/>
      <c r="AD874" s="17"/>
      <c r="AE874" s="17"/>
      <c r="AF874" s="17"/>
      <c r="AG874" s="64"/>
      <c r="AH874" s="64"/>
      <c r="AI874" s="64"/>
      <c r="AJ874" s="64"/>
      <c r="AK874" s="64"/>
      <c r="AL874" s="264"/>
      <c r="AM874" s="84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</row>
    <row r="875" spans="1:51" s="33" customFormat="1" x14ac:dyDescent="0.3">
      <c r="A875" s="63" t="str">
        <f>+A874</f>
        <v>BCV131</v>
      </c>
      <c r="B875" s="18" t="str">
        <f>+B874</f>
        <v>AX03</v>
      </c>
      <c r="C875" s="85" t="str">
        <f>+C874</f>
        <v>SIO1</v>
      </c>
      <c r="D875" s="85" t="str">
        <f>+D874</f>
        <v>SLC01</v>
      </c>
      <c r="E875" s="290">
        <f>+E874</f>
        <v>1</v>
      </c>
      <c r="F875" s="290">
        <f>+F874</f>
        <v>2</v>
      </c>
      <c r="G875" s="290">
        <f>+G874</f>
        <v>0</v>
      </c>
      <c r="H875" s="72">
        <v>1</v>
      </c>
      <c r="I875" s="77">
        <v>1</v>
      </c>
      <c r="J875" s="76" t="s">
        <v>269</v>
      </c>
      <c r="K875" s="65">
        <v>1044125</v>
      </c>
      <c r="L875" s="79" t="s">
        <v>244</v>
      </c>
      <c r="M875" s="17">
        <v>3</v>
      </c>
      <c r="N875" s="18" t="s">
        <v>1973</v>
      </c>
      <c r="O875" s="296" t="s">
        <v>1975</v>
      </c>
      <c r="P875" s="296"/>
      <c r="Q875" s="296" t="s">
        <v>1974</v>
      </c>
      <c r="R875" s="17" t="s">
        <v>211</v>
      </c>
      <c r="S875" s="17"/>
      <c r="T875" s="17" t="s">
        <v>194</v>
      </c>
      <c r="U875" s="17"/>
      <c r="V875" s="289" t="str">
        <f>+CONCATENATE(E875,".",F875,"\",G875,".",H875,":",I875)</f>
        <v>1.2\0.1:1</v>
      </c>
      <c r="W875" s="17" t="s">
        <v>1960</v>
      </c>
      <c r="X875" s="17">
        <v>0</v>
      </c>
      <c r="Y875" s="17"/>
      <c r="Z875" s="17"/>
      <c r="AA875" s="17"/>
      <c r="AB875" s="17"/>
      <c r="AC875" s="17"/>
      <c r="AD875" s="17"/>
      <c r="AE875" s="17"/>
      <c r="AF875" s="17"/>
      <c r="AG875" s="64"/>
      <c r="AH875" s="64"/>
      <c r="AI875" s="64"/>
      <c r="AJ875" s="64"/>
      <c r="AK875" s="64"/>
      <c r="AL875" s="264"/>
      <c r="AM875" s="84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</row>
    <row r="876" spans="1:51" s="33" customFormat="1" x14ac:dyDescent="0.3">
      <c r="A876" s="63" t="str">
        <f>+A875</f>
        <v>BCV131</v>
      </c>
      <c r="B876" s="18" t="str">
        <f>+B875</f>
        <v>AX03</v>
      </c>
      <c r="C876" s="85" t="str">
        <f>+C875</f>
        <v>SIO1</v>
      </c>
      <c r="D876" s="85" t="str">
        <f>+D875</f>
        <v>SLC01</v>
      </c>
      <c r="E876" s="290">
        <f>+E875</f>
        <v>1</v>
      </c>
      <c r="F876" s="290">
        <f>+F875</f>
        <v>2</v>
      </c>
      <c r="G876" s="290">
        <f>+G875</f>
        <v>0</v>
      </c>
      <c r="H876" s="72">
        <f>+H875</f>
        <v>1</v>
      </c>
      <c r="I876" s="75">
        <v>2</v>
      </c>
      <c r="J876" s="74" t="s">
        <v>265</v>
      </c>
      <c r="K876" s="84">
        <v>1047162</v>
      </c>
      <c r="L876" s="79" t="s">
        <v>244</v>
      </c>
      <c r="M876" s="17">
        <v>3</v>
      </c>
      <c r="N876" s="18" t="s">
        <v>1973</v>
      </c>
      <c r="O876" s="296" t="s">
        <v>1972</v>
      </c>
      <c r="P876" s="296"/>
      <c r="Q876" s="296" t="s">
        <v>1971</v>
      </c>
      <c r="R876" s="17" t="s">
        <v>211</v>
      </c>
      <c r="S876" s="17"/>
      <c r="T876" s="17" t="str">
        <f>+T875</f>
        <v>BCV131</v>
      </c>
      <c r="U876" s="17"/>
      <c r="V876" s="289" t="str">
        <f>+CONCATENATE(E876,".",F876,"\",G876,".",H876,":",I876)</f>
        <v>1.2\0.1:2</v>
      </c>
      <c r="W876" s="17" t="s">
        <v>1960</v>
      </c>
      <c r="X876" s="17">
        <v>0</v>
      </c>
      <c r="Y876" s="17"/>
      <c r="Z876" s="17"/>
      <c r="AA876" s="17"/>
      <c r="AB876" s="17"/>
      <c r="AC876" s="17"/>
      <c r="AD876" s="17"/>
      <c r="AE876" s="17"/>
      <c r="AF876" s="17"/>
      <c r="AG876" s="64"/>
      <c r="AH876" s="64"/>
      <c r="AI876" s="64"/>
      <c r="AJ876" s="64"/>
      <c r="AK876" s="64"/>
      <c r="AL876" s="264"/>
      <c r="AM876" s="84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</row>
    <row r="877" spans="1:51" s="33" customFormat="1" x14ac:dyDescent="0.3">
      <c r="A877" s="63" t="str">
        <f>+A876</f>
        <v>BCV131</v>
      </c>
      <c r="B877" s="18" t="str">
        <f>+B876</f>
        <v>AX03</v>
      </c>
      <c r="C877" s="85" t="str">
        <f>+C876</f>
        <v>SIO1</v>
      </c>
      <c r="D877" s="85" t="str">
        <f>+D876</f>
        <v>SLC01</v>
      </c>
      <c r="E877" s="290">
        <f>+E876</f>
        <v>1</v>
      </c>
      <c r="F877" s="290">
        <f>+F876</f>
        <v>2</v>
      </c>
      <c r="G877" s="290">
        <f>+G876</f>
        <v>0</v>
      </c>
      <c r="H877" s="72">
        <f>+H876</f>
        <v>1</v>
      </c>
      <c r="I877" s="75">
        <v>3</v>
      </c>
      <c r="J877" s="74" t="s">
        <v>261</v>
      </c>
      <c r="K877" s="85"/>
      <c r="L877" s="79" t="s">
        <v>244</v>
      </c>
      <c r="M877" s="17">
        <v>3</v>
      </c>
      <c r="N877" s="18" t="s">
        <v>1968</v>
      </c>
      <c r="O877" s="296" t="s">
        <v>1970</v>
      </c>
      <c r="P877" s="296"/>
      <c r="Q877" s="296" t="s">
        <v>1969</v>
      </c>
      <c r="R877" s="17" t="s">
        <v>211</v>
      </c>
      <c r="S877" s="17"/>
      <c r="T877" s="17" t="str">
        <f>+T876</f>
        <v>BCV131</v>
      </c>
      <c r="U877" s="17"/>
      <c r="V877" s="289" t="str">
        <f>+CONCATENATE(E877,".",F877,"\",G877,".",H877,":",I877)</f>
        <v>1.2\0.1:3</v>
      </c>
      <c r="W877" s="17" t="s">
        <v>1960</v>
      </c>
      <c r="X877" s="17">
        <v>0</v>
      </c>
      <c r="Y877" s="17"/>
      <c r="Z877" s="17"/>
      <c r="AA877" s="17"/>
      <c r="AB877" s="17"/>
      <c r="AC877" s="17"/>
      <c r="AD877" s="17"/>
      <c r="AE877" s="17"/>
      <c r="AF877" s="17"/>
      <c r="AG877" s="64"/>
      <c r="AH877" s="64"/>
      <c r="AI877" s="64"/>
      <c r="AJ877" s="64"/>
      <c r="AK877" s="64"/>
      <c r="AL877" s="264"/>
      <c r="AM877" s="84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</row>
    <row r="878" spans="1:51" s="33" customFormat="1" x14ac:dyDescent="0.3">
      <c r="A878" s="63" t="str">
        <f>+A877</f>
        <v>BCV131</v>
      </c>
      <c r="B878" s="18" t="str">
        <f>+B877</f>
        <v>AX03</v>
      </c>
      <c r="C878" s="85" t="str">
        <f>+C877</f>
        <v>SIO1</v>
      </c>
      <c r="D878" s="85" t="str">
        <f>+D877</f>
        <v>SLC01</v>
      </c>
      <c r="E878" s="290">
        <f>+E877</f>
        <v>1</v>
      </c>
      <c r="F878" s="290">
        <f>+F877</f>
        <v>2</v>
      </c>
      <c r="G878" s="290">
        <f>+G877</f>
        <v>0</v>
      </c>
      <c r="H878" s="72">
        <f>+H877</f>
        <v>1</v>
      </c>
      <c r="I878" s="75">
        <v>4</v>
      </c>
      <c r="J878" s="74" t="s">
        <v>257</v>
      </c>
      <c r="K878" s="85"/>
      <c r="L878" s="79" t="s">
        <v>244</v>
      </c>
      <c r="M878" s="17">
        <v>3</v>
      </c>
      <c r="N878" s="18" t="s">
        <v>1968</v>
      </c>
      <c r="O878" s="296" t="s">
        <v>1967</v>
      </c>
      <c r="P878" s="296"/>
      <c r="Q878" s="296" t="s">
        <v>1966</v>
      </c>
      <c r="R878" s="17" t="s">
        <v>211</v>
      </c>
      <c r="S878" s="17"/>
      <c r="T878" s="17" t="str">
        <f>+T877</f>
        <v>BCV131</v>
      </c>
      <c r="U878" s="17"/>
      <c r="V878" s="289" t="str">
        <f>+CONCATENATE(E878,".",F878,"\",G878,".",H878,":",I878)</f>
        <v>1.2\0.1:4</v>
      </c>
      <c r="W878" s="17" t="s">
        <v>1960</v>
      </c>
      <c r="X878" s="17">
        <v>0</v>
      </c>
      <c r="Y878" s="17"/>
      <c r="Z878" s="17"/>
      <c r="AA878" s="17"/>
      <c r="AB878" s="17"/>
      <c r="AC878" s="17"/>
      <c r="AD878" s="17"/>
      <c r="AE878" s="17"/>
      <c r="AF878" s="17"/>
      <c r="AG878" s="64"/>
      <c r="AH878" s="64"/>
      <c r="AI878" s="64"/>
      <c r="AJ878" s="64"/>
      <c r="AK878" s="64"/>
      <c r="AL878" s="264"/>
      <c r="AM878" s="84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</row>
    <row r="879" spans="1:51" s="33" customFormat="1" x14ac:dyDescent="0.3">
      <c r="A879" s="63" t="str">
        <f>+A878</f>
        <v>BCV131</v>
      </c>
      <c r="B879" s="18" t="str">
        <f>+B878</f>
        <v>AX03</v>
      </c>
      <c r="C879" s="85" t="str">
        <f>+C878</f>
        <v>SIO1</v>
      </c>
      <c r="D879" s="85" t="str">
        <f>+D878</f>
        <v>SLC01</v>
      </c>
      <c r="E879" s="290">
        <f>+E878</f>
        <v>1</v>
      </c>
      <c r="F879" s="290">
        <f>+F878</f>
        <v>2</v>
      </c>
      <c r="G879" s="290">
        <f>+G878</f>
        <v>0</v>
      </c>
      <c r="H879" s="72">
        <f>+H878</f>
        <v>1</v>
      </c>
      <c r="I879" s="75">
        <v>5</v>
      </c>
      <c r="J879" s="74" t="s">
        <v>1325</v>
      </c>
      <c r="K879" s="85"/>
      <c r="L879" s="79" t="s">
        <v>244</v>
      </c>
      <c r="M879" s="17">
        <v>3</v>
      </c>
      <c r="N879" s="17"/>
      <c r="O879" s="296"/>
      <c r="P879" s="296"/>
      <c r="Q879" s="296" t="s">
        <v>127</v>
      </c>
      <c r="R879" s="17"/>
      <c r="S879" s="17"/>
      <c r="T879" s="17"/>
      <c r="U879" s="17"/>
      <c r="V879" s="289" t="str">
        <f>+CONCATENATE(E879,".",F879,"\",G879,".",H879,":",I879)</f>
        <v>1.2\0.1:5</v>
      </c>
      <c r="W879" s="17" t="s">
        <v>1960</v>
      </c>
      <c r="X879" s="17">
        <v>0</v>
      </c>
      <c r="Y879" s="17"/>
      <c r="Z879" s="17"/>
      <c r="AA879" s="17"/>
      <c r="AB879" s="17"/>
      <c r="AC879" s="17"/>
      <c r="AD879" s="17"/>
      <c r="AE879" s="17"/>
      <c r="AF879" s="17"/>
      <c r="AG879" s="64"/>
      <c r="AH879" s="64"/>
      <c r="AI879" s="64"/>
      <c r="AJ879" s="64"/>
      <c r="AK879" s="64"/>
      <c r="AL879" s="264"/>
      <c r="AM879" s="84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</row>
    <row r="880" spans="1:51" s="33" customFormat="1" x14ac:dyDescent="0.3">
      <c r="A880" s="63" t="str">
        <f>+A879</f>
        <v>BCV131</v>
      </c>
      <c r="B880" s="18" t="str">
        <f>+B879</f>
        <v>AX03</v>
      </c>
      <c r="C880" s="85" t="str">
        <f>+C879</f>
        <v>SIO1</v>
      </c>
      <c r="D880" s="85" t="str">
        <f>+D879</f>
        <v>SLC01</v>
      </c>
      <c r="E880" s="290">
        <f>+E879</f>
        <v>1</v>
      </c>
      <c r="F880" s="290">
        <f>+F879</f>
        <v>2</v>
      </c>
      <c r="G880" s="290">
        <f>+G879</f>
        <v>0</v>
      </c>
      <c r="H880" s="72">
        <f>+H879</f>
        <v>1</v>
      </c>
      <c r="I880" s="75">
        <v>6</v>
      </c>
      <c r="J880" s="74" t="s">
        <v>1323</v>
      </c>
      <c r="K880" s="85"/>
      <c r="L880" s="79" t="s">
        <v>244</v>
      </c>
      <c r="M880" s="17">
        <v>3</v>
      </c>
      <c r="N880" s="17"/>
      <c r="O880" s="296"/>
      <c r="P880" s="296"/>
      <c r="Q880" s="296" t="s">
        <v>127</v>
      </c>
      <c r="R880" s="17"/>
      <c r="S880" s="17"/>
      <c r="T880" s="17"/>
      <c r="U880" s="17"/>
      <c r="V880" s="289" t="str">
        <f>+CONCATENATE(E880,".",F880,"\",G880,".",H880,":",I880)</f>
        <v>1.2\0.1:6</v>
      </c>
      <c r="W880" s="17" t="s">
        <v>1960</v>
      </c>
      <c r="X880" s="17">
        <v>0</v>
      </c>
      <c r="Y880" s="17"/>
      <c r="Z880" s="17"/>
      <c r="AA880" s="17"/>
      <c r="AB880" s="17"/>
      <c r="AC880" s="17"/>
      <c r="AD880" s="17"/>
      <c r="AE880" s="17"/>
      <c r="AF880" s="17"/>
      <c r="AG880" s="64"/>
      <c r="AH880" s="64"/>
      <c r="AI880" s="64"/>
      <c r="AJ880" s="64"/>
      <c r="AK880" s="64"/>
      <c r="AL880" s="264"/>
      <c r="AM880" s="84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</row>
    <row r="881" spans="1:51" s="33" customFormat="1" x14ac:dyDescent="0.3">
      <c r="A881" s="63" t="str">
        <f>+A880</f>
        <v>BCV131</v>
      </c>
      <c r="B881" s="18" t="str">
        <f>+B880</f>
        <v>AX03</v>
      </c>
      <c r="C881" s="85" t="str">
        <f>+C880</f>
        <v>SIO1</v>
      </c>
      <c r="D881" s="85" t="str">
        <f>+D880</f>
        <v>SLC01</v>
      </c>
      <c r="E881" s="290">
        <f>+E880</f>
        <v>1</v>
      </c>
      <c r="F881" s="290">
        <f>+F880</f>
        <v>2</v>
      </c>
      <c r="G881" s="290">
        <f>+G880</f>
        <v>0</v>
      </c>
      <c r="H881" s="72">
        <f>+H880</f>
        <v>1</v>
      </c>
      <c r="I881" s="75">
        <v>7</v>
      </c>
      <c r="J881" s="74" t="s">
        <v>246</v>
      </c>
      <c r="K881" s="85"/>
      <c r="L881" s="79" t="s">
        <v>244</v>
      </c>
      <c r="M881" s="17">
        <v>3</v>
      </c>
      <c r="N881" s="17"/>
      <c r="O881" s="296"/>
      <c r="P881" s="296"/>
      <c r="Q881" s="296" t="s">
        <v>127</v>
      </c>
      <c r="R881" s="17"/>
      <c r="S881" s="17"/>
      <c r="T881" s="17"/>
      <c r="U881" s="17"/>
      <c r="V881" s="289" t="str">
        <f>+CONCATENATE(E881,".",F881,"\",G881,".",H881,":",I881)</f>
        <v>1.2\0.1:7</v>
      </c>
      <c r="W881" s="17" t="s">
        <v>1960</v>
      </c>
      <c r="X881" s="17">
        <v>0</v>
      </c>
      <c r="Y881" s="17"/>
      <c r="Z881" s="17"/>
      <c r="AA881" s="17"/>
      <c r="AB881" s="17"/>
      <c r="AC881" s="17"/>
      <c r="AD881" s="17"/>
      <c r="AE881" s="17"/>
      <c r="AF881" s="17"/>
      <c r="AG881" s="64"/>
      <c r="AH881" s="64"/>
      <c r="AI881" s="64"/>
      <c r="AJ881" s="64"/>
      <c r="AK881" s="64"/>
      <c r="AL881" s="264"/>
      <c r="AM881" s="84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</row>
    <row r="882" spans="1:51" s="33" customFormat="1" x14ac:dyDescent="0.3">
      <c r="A882" s="63" t="str">
        <f>+A881</f>
        <v>BCV131</v>
      </c>
      <c r="B882" s="18" t="str">
        <f>+B881</f>
        <v>AX03</v>
      </c>
      <c r="C882" s="85" t="str">
        <f>+C881</f>
        <v>SIO1</v>
      </c>
      <c r="D882" s="85" t="str">
        <f>+D881</f>
        <v>SLC01</v>
      </c>
      <c r="E882" s="290">
        <f>+E881</f>
        <v>1</v>
      </c>
      <c r="F882" s="290">
        <f>+F881</f>
        <v>2</v>
      </c>
      <c r="G882" s="290">
        <f>+G881</f>
        <v>0</v>
      </c>
      <c r="H882" s="72">
        <f>+H881</f>
        <v>1</v>
      </c>
      <c r="I882" s="75">
        <v>8</v>
      </c>
      <c r="J882" s="74" t="s">
        <v>245</v>
      </c>
      <c r="K882" s="85"/>
      <c r="L882" s="79" t="s">
        <v>244</v>
      </c>
      <c r="M882" s="17">
        <v>3</v>
      </c>
      <c r="N882" s="17"/>
      <c r="O882" s="296"/>
      <c r="P882" s="296"/>
      <c r="Q882" s="296" t="s">
        <v>127</v>
      </c>
      <c r="R882" s="17"/>
      <c r="S882" s="17"/>
      <c r="T882" s="17"/>
      <c r="U882" s="17"/>
      <c r="V882" s="289" t="str">
        <f>+CONCATENATE(E882,".",F882,"\",G882,".",H882,":",I882)</f>
        <v>1.2\0.1:8</v>
      </c>
      <c r="W882" s="17" t="s">
        <v>1960</v>
      </c>
      <c r="X882" s="17">
        <v>0</v>
      </c>
      <c r="Y882" s="17"/>
      <c r="Z882" s="17"/>
      <c r="AA882" s="17"/>
      <c r="AB882" s="17"/>
      <c r="AC882" s="17"/>
      <c r="AD882" s="17"/>
      <c r="AE882" s="17"/>
      <c r="AF882" s="17"/>
      <c r="AG882" s="64"/>
      <c r="AH882" s="64"/>
      <c r="AI882" s="64"/>
      <c r="AJ882" s="64"/>
      <c r="AK882" s="64"/>
      <c r="AL882" s="264"/>
      <c r="AM882" s="84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</row>
    <row r="883" spans="1:51" s="33" customFormat="1" x14ac:dyDescent="0.3">
      <c r="A883" s="63" t="str">
        <f>+A882</f>
        <v>BCV131</v>
      </c>
      <c r="B883" s="18" t="str">
        <f>+B882</f>
        <v>AX03</v>
      </c>
      <c r="C883" s="85" t="str">
        <f>+C882</f>
        <v>SIO1</v>
      </c>
      <c r="D883" s="85" t="str">
        <f>+D882</f>
        <v>SLC01</v>
      </c>
      <c r="E883" s="290">
        <f>+E882</f>
        <v>1</v>
      </c>
      <c r="F883" s="290">
        <f>+F882</f>
        <v>2</v>
      </c>
      <c r="G883" s="290">
        <f>+G882</f>
        <v>0</v>
      </c>
      <c r="H883" s="72">
        <f>+H882</f>
        <v>1</v>
      </c>
      <c r="I883" s="75">
        <v>1</v>
      </c>
      <c r="J883" s="81" t="s">
        <v>1321</v>
      </c>
      <c r="K883" s="85" t="s">
        <v>1366</v>
      </c>
      <c r="L883" s="79" t="s">
        <v>235</v>
      </c>
      <c r="M883" s="17">
        <v>3</v>
      </c>
      <c r="N883" s="18" t="s">
        <v>1964</v>
      </c>
      <c r="O883" s="17" t="s">
        <v>1965</v>
      </c>
      <c r="P883" s="17"/>
      <c r="Q883" s="17" t="s">
        <v>1335</v>
      </c>
      <c r="R883" s="17" t="s">
        <v>922</v>
      </c>
      <c r="S883" s="17"/>
      <c r="T883" s="17" t="str">
        <f>+T875</f>
        <v>BCV131</v>
      </c>
      <c r="U883" s="17"/>
      <c r="V883" s="289" t="str">
        <f>+CONCATENATE(E883,".",F883,"\",G883,".",H883,":",I883)</f>
        <v>1.2\0.1:1</v>
      </c>
      <c r="W883" s="17" t="s">
        <v>1960</v>
      </c>
      <c r="X883" s="17">
        <v>0</v>
      </c>
      <c r="Y883" s="17"/>
      <c r="Z883" s="17"/>
      <c r="AA883" s="17"/>
      <c r="AB883" s="17"/>
      <c r="AC883" s="17"/>
      <c r="AD883" s="17"/>
      <c r="AE883" s="17"/>
      <c r="AF883" s="17"/>
      <c r="AG883" s="64"/>
      <c r="AH883" s="64"/>
      <c r="AI883" s="64"/>
      <c r="AJ883" s="64"/>
      <c r="AK883" s="64"/>
      <c r="AL883" s="264"/>
      <c r="AM883" s="84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</row>
    <row r="884" spans="1:51" s="33" customFormat="1" x14ac:dyDescent="0.3">
      <c r="A884" s="63" t="str">
        <f>+A883</f>
        <v>BCV131</v>
      </c>
      <c r="B884" s="18" t="str">
        <f>+B883</f>
        <v>AX03</v>
      </c>
      <c r="C884" s="85" t="str">
        <f>+C883</f>
        <v>SIO1</v>
      </c>
      <c r="D884" s="85" t="str">
        <f>+D883</f>
        <v>SLC01</v>
      </c>
      <c r="E884" s="290">
        <f>+E883</f>
        <v>1</v>
      </c>
      <c r="F884" s="290">
        <f>+F883</f>
        <v>2</v>
      </c>
      <c r="G884" s="290">
        <f>+G883</f>
        <v>0</v>
      </c>
      <c r="H884" s="72">
        <f>+H883</f>
        <v>1</v>
      </c>
      <c r="I884" s="75">
        <v>2</v>
      </c>
      <c r="J884" s="74" t="s">
        <v>1320</v>
      </c>
      <c r="K884" s="85"/>
      <c r="L884" s="79" t="s">
        <v>235</v>
      </c>
      <c r="M884" s="17">
        <v>3</v>
      </c>
      <c r="N884" s="18" t="s">
        <v>1964</v>
      </c>
      <c r="O884" s="17" t="s">
        <v>1963</v>
      </c>
      <c r="P884" s="17"/>
      <c r="Q884" s="17" t="s">
        <v>1330</v>
      </c>
      <c r="R884" s="17" t="s">
        <v>922</v>
      </c>
      <c r="S884" s="17"/>
      <c r="T884" s="17" t="str">
        <f>+T883</f>
        <v>BCV131</v>
      </c>
      <c r="U884" s="17"/>
      <c r="V884" s="289" t="str">
        <f>+CONCATENATE(E884,".",F884,"\",G884,".",H884,":",I884)</f>
        <v>1.2\0.1:2</v>
      </c>
      <c r="W884" s="17" t="s">
        <v>1960</v>
      </c>
      <c r="X884" s="17">
        <v>0</v>
      </c>
      <c r="Y884" s="17"/>
      <c r="Z884" s="17"/>
      <c r="AA884" s="17"/>
      <c r="AB884" s="17"/>
      <c r="AC884" s="17"/>
      <c r="AD884" s="17"/>
      <c r="AE884" s="17"/>
      <c r="AF884" s="17"/>
      <c r="AG884" s="64"/>
      <c r="AH884" s="64"/>
      <c r="AI884" s="64"/>
      <c r="AJ884" s="64"/>
      <c r="AK884" s="64"/>
      <c r="AL884" s="264"/>
      <c r="AM884" s="84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</row>
    <row r="885" spans="1:51" s="33" customFormat="1" x14ac:dyDescent="0.3">
      <c r="A885" s="63" t="str">
        <f>+A884</f>
        <v>BCV131</v>
      </c>
      <c r="B885" s="18" t="str">
        <f>+B884</f>
        <v>AX03</v>
      </c>
      <c r="C885" s="85" t="str">
        <f>+C884</f>
        <v>SIO1</v>
      </c>
      <c r="D885" s="85" t="str">
        <f>+D884</f>
        <v>SLC01</v>
      </c>
      <c r="E885" s="290">
        <f>+E884</f>
        <v>1</v>
      </c>
      <c r="F885" s="290">
        <f>+F884</f>
        <v>2</v>
      </c>
      <c r="G885" s="290">
        <f>+G884</f>
        <v>0</v>
      </c>
      <c r="H885" s="72">
        <f>+H884</f>
        <v>1</v>
      </c>
      <c r="I885" s="75">
        <v>3</v>
      </c>
      <c r="J885" s="74" t="s">
        <v>1319</v>
      </c>
      <c r="K885" s="85"/>
      <c r="L885" s="79" t="s">
        <v>235</v>
      </c>
      <c r="M885" s="17">
        <v>3</v>
      </c>
      <c r="N885" s="18" t="s">
        <v>1962</v>
      </c>
      <c r="O885" s="17" t="s">
        <v>1961</v>
      </c>
      <c r="P885" s="17"/>
      <c r="Q885" s="17" t="s">
        <v>1330</v>
      </c>
      <c r="R885" s="17" t="s">
        <v>922</v>
      </c>
      <c r="S885" s="17"/>
      <c r="T885" s="17" t="str">
        <f>+T884</f>
        <v>BCV131</v>
      </c>
      <c r="U885" s="17"/>
      <c r="V885" s="289" t="str">
        <f>+CONCATENATE(E885,".",F885,"\",G885,".",H885,":",I885)</f>
        <v>1.2\0.1:3</v>
      </c>
      <c r="W885" s="17" t="s">
        <v>1960</v>
      </c>
      <c r="X885" s="17">
        <v>0</v>
      </c>
      <c r="Y885" s="17"/>
      <c r="Z885" s="17"/>
      <c r="AA885" s="17"/>
      <c r="AB885" s="17"/>
      <c r="AC885" s="17"/>
      <c r="AD885" s="17"/>
      <c r="AE885" s="17"/>
      <c r="AF885" s="17"/>
      <c r="AG885" s="64"/>
      <c r="AH885" s="64"/>
      <c r="AI885" s="64"/>
      <c r="AJ885" s="64"/>
      <c r="AK885" s="64"/>
      <c r="AL885" s="264"/>
      <c r="AM885" s="84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</row>
    <row r="886" spans="1:51" s="33" customFormat="1" ht="13.5" thickBot="1" x14ac:dyDescent="0.35">
      <c r="A886" s="63" t="str">
        <f>+A885</f>
        <v>BCV131</v>
      </c>
      <c r="B886" s="18" t="str">
        <f>+B885</f>
        <v>AX03</v>
      </c>
      <c r="C886" s="85" t="str">
        <f>+C885</f>
        <v>SIO1</v>
      </c>
      <c r="D886" s="85" t="str">
        <f>+D885</f>
        <v>SLC01</v>
      </c>
      <c r="E886" s="290">
        <f>+E885</f>
        <v>1</v>
      </c>
      <c r="F886" s="290">
        <f>+F885</f>
        <v>2</v>
      </c>
      <c r="G886" s="290">
        <f>+G885</f>
        <v>0</v>
      </c>
      <c r="H886" s="72">
        <f>+H885</f>
        <v>1</v>
      </c>
      <c r="I886" s="71">
        <v>4</v>
      </c>
      <c r="J886" s="70" t="s">
        <v>1318</v>
      </c>
      <c r="K886" s="85"/>
      <c r="L886" s="79" t="s">
        <v>235</v>
      </c>
      <c r="M886" s="17">
        <v>3</v>
      </c>
      <c r="N886" s="17"/>
      <c r="O886" s="17"/>
      <c r="P886" s="17"/>
      <c r="Q886" s="68"/>
      <c r="R886" s="68"/>
      <c r="S886" s="68"/>
      <c r="T886" s="68"/>
      <c r="U886" s="17"/>
      <c r="V886" s="289" t="str">
        <f>+CONCATENATE(E886,".",F886,"\",G886,".",H886,":",I886)</f>
        <v>1.2\0.1:4</v>
      </c>
      <c r="W886" s="17" t="s">
        <v>1960</v>
      </c>
      <c r="X886" s="17">
        <v>0</v>
      </c>
      <c r="Y886" s="17"/>
      <c r="Z886" s="17"/>
      <c r="AA886" s="17"/>
      <c r="AB886" s="17"/>
      <c r="AC886" s="17"/>
      <c r="AD886" s="17"/>
      <c r="AE886" s="17"/>
      <c r="AF886" s="17"/>
      <c r="AG886" s="64"/>
      <c r="AH886" s="64"/>
      <c r="AI886" s="64"/>
      <c r="AJ886" s="64"/>
      <c r="AK886" s="64"/>
      <c r="AL886" s="264"/>
      <c r="AM886" s="84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</row>
    <row r="887" spans="1:51" s="33" customFormat="1" x14ac:dyDescent="0.3">
      <c r="A887" s="63"/>
      <c r="B887" s="63"/>
      <c r="C887" s="63"/>
      <c r="D887" s="63"/>
      <c r="E887" s="288"/>
      <c r="F887" s="288"/>
      <c r="G887" s="288"/>
      <c r="H887" s="63"/>
      <c r="I887" s="63"/>
      <c r="J887" s="63"/>
      <c r="K887" s="17"/>
      <c r="L887" s="17"/>
      <c r="M887" s="17"/>
      <c r="N887" s="17"/>
      <c r="O887" s="68"/>
      <c r="P887" s="68"/>
      <c r="Q887" s="68"/>
      <c r="R887" s="68"/>
      <c r="S887" s="68"/>
      <c r="T887" s="68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64"/>
      <c r="AH887" s="64"/>
      <c r="AI887" s="64"/>
      <c r="AJ887" s="64"/>
      <c r="AK887" s="64"/>
      <c r="AL887" s="264"/>
      <c r="AM887" s="84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</row>
    <row r="888" spans="1:51" s="33" customFormat="1" x14ac:dyDescent="0.3">
      <c r="A888" s="63"/>
      <c r="B888" s="63"/>
      <c r="C888" s="63"/>
      <c r="D888" s="63"/>
      <c r="E888" s="288"/>
      <c r="F888" s="288"/>
      <c r="G888" s="288"/>
      <c r="H888" s="63"/>
      <c r="I888" s="63"/>
      <c r="J888" s="63"/>
      <c r="K888" s="17"/>
      <c r="L888" s="17"/>
      <c r="M888" s="17"/>
      <c r="N888" s="17"/>
      <c r="O888" s="68"/>
      <c r="P888" s="68"/>
      <c r="Q888" s="68"/>
      <c r="R888" s="68"/>
      <c r="S888" s="68"/>
      <c r="T888" s="68"/>
      <c r="U888" s="17"/>
      <c r="V888" s="17"/>
      <c r="W888" s="17"/>
      <c r="X888" s="17"/>
      <c r="Y888" s="17"/>
      <c r="Z888" s="17"/>
      <c r="AA888" s="17"/>
      <c r="AB888" s="20"/>
      <c r="AC888" s="17"/>
      <c r="AD888" s="17"/>
      <c r="AE888" s="17"/>
      <c r="AF888" s="17"/>
      <c r="AG888" s="64"/>
      <c r="AH888" s="64"/>
      <c r="AI888" s="64"/>
      <c r="AJ888" s="64"/>
      <c r="AK888" s="64"/>
      <c r="AL888" s="264"/>
      <c r="AM888" s="84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</row>
    <row r="889" spans="1:51" s="33" customFormat="1" x14ac:dyDescent="0.3">
      <c r="A889" s="63"/>
      <c r="B889" s="63"/>
      <c r="C889" s="63"/>
      <c r="D889" s="63"/>
      <c r="E889" s="288"/>
      <c r="F889" s="288"/>
      <c r="G889" s="288"/>
      <c r="H889" s="63"/>
      <c r="I889" s="63"/>
      <c r="J889" s="63"/>
      <c r="K889" s="17"/>
      <c r="L889" s="17"/>
      <c r="M889" s="17"/>
      <c r="N889" s="17"/>
      <c r="O889" s="68"/>
      <c r="P889" s="68"/>
      <c r="Q889" s="68"/>
      <c r="R889" s="68"/>
      <c r="S889" s="68"/>
      <c r="T889" s="68"/>
      <c r="U889" s="17"/>
      <c r="V889" s="17"/>
      <c r="W889" s="17"/>
      <c r="X889" s="17"/>
      <c r="Y889" s="17"/>
      <c r="Z889" s="17"/>
      <c r="AA889" s="17"/>
      <c r="AB889" s="20"/>
      <c r="AC889" s="17"/>
      <c r="AD889" s="17"/>
      <c r="AE889" s="17"/>
      <c r="AF889" s="17"/>
      <c r="AG889" s="64"/>
      <c r="AH889" s="64"/>
      <c r="AI889" s="64"/>
      <c r="AJ889" s="64"/>
      <c r="AK889" s="64"/>
      <c r="AL889" s="264"/>
      <c r="AM889" s="84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</row>
    <row r="890" spans="1:51" s="33" customFormat="1" ht="15.5" x14ac:dyDescent="0.35">
      <c r="A890" s="297"/>
      <c r="B890" s="96" t="s">
        <v>1959</v>
      </c>
      <c r="C890" s="256"/>
      <c r="D890" s="256"/>
      <c r="E890" s="256"/>
      <c r="F890" s="256"/>
      <c r="G890" s="256"/>
      <c r="H890" s="256"/>
      <c r="I890" s="256"/>
      <c r="J890" s="256"/>
      <c r="K890" s="256"/>
      <c r="L890" s="256"/>
      <c r="M890" s="256"/>
      <c r="N890" s="287"/>
      <c r="O890" s="256"/>
      <c r="P890" s="287"/>
      <c r="Q890" s="256"/>
      <c r="R890" s="256"/>
      <c r="S890" s="256"/>
      <c r="T890" s="256"/>
      <c r="U890" s="256"/>
      <c r="V890" s="256"/>
      <c r="W890" s="287"/>
      <c r="X890" s="256"/>
      <c r="Y890" s="256"/>
      <c r="Z890" s="17"/>
      <c r="AA890" s="17"/>
      <c r="AB890" s="17"/>
      <c r="AC890" s="17"/>
      <c r="AD890" s="17"/>
      <c r="AE890" s="17"/>
      <c r="AF890" s="17"/>
      <c r="AG890" s="64"/>
      <c r="AH890" s="64"/>
      <c r="AI890" s="64"/>
      <c r="AJ890" s="64"/>
      <c r="AK890" s="64"/>
      <c r="AL890" s="264"/>
      <c r="AM890" s="84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</row>
    <row r="891" spans="1:51" s="33" customFormat="1" ht="13.5" thickBot="1" x14ac:dyDescent="0.35">
      <c r="A891" s="63"/>
      <c r="B891" s="63"/>
      <c r="C891" s="63"/>
      <c r="D891" s="63"/>
      <c r="E891" s="288"/>
      <c r="F891" s="288"/>
      <c r="G891" s="288"/>
      <c r="H891" s="63"/>
      <c r="I891" s="63"/>
      <c r="J891" s="63"/>
      <c r="K891" s="17"/>
      <c r="L891" s="17"/>
      <c r="M891" s="17"/>
      <c r="N891" s="17"/>
      <c r="O891" s="68"/>
      <c r="P891" s="68"/>
      <c r="Q891" s="68"/>
      <c r="R891" s="68"/>
      <c r="S891" s="68"/>
      <c r="T891" s="68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64"/>
      <c r="AH891" s="64"/>
      <c r="AI891" s="64"/>
      <c r="AJ891" s="64"/>
      <c r="AK891" s="64"/>
      <c r="AL891" s="264"/>
      <c r="AM891" s="84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</row>
    <row r="892" spans="1:51" s="33" customFormat="1" ht="13.5" thickBot="1" x14ac:dyDescent="0.35">
      <c r="A892" s="63" t="s">
        <v>194</v>
      </c>
      <c r="B892" s="17" t="s">
        <v>1958</v>
      </c>
      <c r="C892" s="295" t="s">
        <v>271</v>
      </c>
      <c r="D892" s="290" t="s">
        <v>270</v>
      </c>
      <c r="E892" s="290">
        <v>2</v>
      </c>
      <c r="F892" s="290">
        <v>2</v>
      </c>
      <c r="G892" s="290">
        <v>0</v>
      </c>
      <c r="H892" s="89">
        <v>0</v>
      </c>
      <c r="I892" s="88" t="s">
        <v>1106</v>
      </c>
      <c r="J892" s="87"/>
      <c r="K892" s="84">
        <v>1059305</v>
      </c>
      <c r="L892" s="91" t="s">
        <v>1377</v>
      </c>
      <c r="M892" s="17">
        <v>3</v>
      </c>
      <c r="N892" s="17"/>
      <c r="O892" s="83"/>
      <c r="P892" s="83"/>
      <c r="Q892" s="68"/>
      <c r="R892" s="68"/>
      <c r="S892" s="68"/>
      <c r="T892" s="68"/>
      <c r="U892" s="17"/>
      <c r="V892" s="17"/>
      <c r="W892" s="17" t="s">
        <v>1942</v>
      </c>
      <c r="X892" s="17">
        <v>0</v>
      </c>
      <c r="Y892" s="17"/>
      <c r="Z892" s="17"/>
      <c r="AA892" s="17"/>
      <c r="AB892" s="17"/>
      <c r="AC892" s="17"/>
      <c r="AD892" s="17"/>
      <c r="AE892" s="17"/>
      <c r="AF892" s="17"/>
      <c r="AG892" s="64"/>
      <c r="AH892" s="64"/>
      <c r="AI892" s="64"/>
      <c r="AJ892" s="64"/>
      <c r="AK892" s="64"/>
      <c r="AL892" s="264"/>
      <c r="AM892" s="84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</row>
    <row r="893" spans="1:51" s="33" customFormat="1" x14ac:dyDescent="0.3">
      <c r="A893" s="63" t="str">
        <f>+A892</f>
        <v>BCV131</v>
      </c>
      <c r="B893" s="18" t="str">
        <f>+B892</f>
        <v>AX04</v>
      </c>
      <c r="C893" s="85" t="str">
        <f>+C892</f>
        <v>SIO1</v>
      </c>
      <c r="D893" s="85" t="str">
        <f>+D892</f>
        <v>SLC02</v>
      </c>
      <c r="E893" s="290">
        <f>+E892</f>
        <v>2</v>
      </c>
      <c r="F893" s="290">
        <f>+F892</f>
        <v>2</v>
      </c>
      <c r="G893" s="290">
        <f>+G892</f>
        <v>0</v>
      </c>
      <c r="H893" s="72">
        <v>1</v>
      </c>
      <c r="I893" s="77">
        <v>1</v>
      </c>
      <c r="J893" s="76" t="s">
        <v>269</v>
      </c>
      <c r="K893" s="65">
        <v>1044125</v>
      </c>
      <c r="L893" s="79" t="s">
        <v>244</v>
      </c>
      <c r="M893" s="17">
        <v>3</v>
      </c>
      <c r="N893" s="18" t="s">
        <v>1955</v>
      </c>
      <c r="O893" s="296" t="s">
        <v>1957</v>
      </c>
      <c r="P893" s="296"/>
      <c r="Q893" s="296" t="s">
        <v>1956</v>
      </c>
      <c r="R893" s="17" t="s">
        <v>211</v>
      </c>
      <c r="S893" s="17"/>
      <c r="T893" s="17" t="s">
        <v>194</v>
      </c>
      <c r="U893" s="17"/>
      <c r="V893" s="289" t="str">
        <f>+CONCATENATE(E893,".",F893,"\",G893,".",H893,":",I893)</f>
        <v>2.2\0.1:1</v>
      </c>
      <c r="W893" s="17" t="s">
        <v>1942</v>
      </c>
      <c r="X893" s="17">
        <v>0</v>
      </c>
      <c r="Y893" s="17"/>
      <c r="Z893" s="17"/>
      <c r="AA893" s="17"/>
      <c r="AB893" s="17"/>
      <c r="AC893" s="17"/>
      <c r="AD893" s="17"/>
      <c r="AE893" s="17"/>
      <c r="AF893" s="17"/>
      <c r="AG893" s="64"/>
      <c r="AH893" s="64"/>
      <c r="AI893" s="64"/>
      <c r="AJ893" s="64"/>
      <c r="AK893" s="64"/>
      <c r="AL893" s="264"/>
      <c r="AM893" s="84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</row>
    <row r="894" spans="1:51" s="33" customFormat="1" x14ac:dyDescent="0.3">
      <c r="A894" s="63" t="str">
        <f>+A893</f>
        <v>BCV131</v>
      </c>
      <c r="B894" s="18" t="str">
        <f>+B893</f>
        <v>AX04</v>
      </c>
      <c r="C894" s="85" t="str">
        <f>+C893</f>
        <v>SIO1</v>
      </c>
      <c r="D894" s="85" t="str">
        <f>+D893</f>
        <v>SLC02</v>
      </c>
      <c r="E894" s="290">
        <f>+E893</f>
        <v>2</v>
      </c>
      <c r="F894" s="290">
        <f>+F893</f>
        <v>2</v>
      </c>
      <c r="G894" s="290">
        <f>+G893</f>
        <v>0</v>
      </c>
      <c r="H894" s="72">
        <f>+H893</f>
        <v>1</v>
      </c>
      <c r="I894" s="75">
        <v>2</v>
      </c>
      <c r="J894" s="74" t="s">
        <v>265</v>
      </c>
      <c r="K894" s="84">
        <v>1047162</v>
      </c>
      <c r="L894" s="79" t="s">
        <v>244</v>
      </c>
      <c r="M894" s="17">
        <v>3</v>
      </c>
      <c r="N894" s="18" t="s">
        <v>1955</v>
      </c>
      <c r="O894" s="296" t="s">
        <v>1954</v>
      </c>
      <c r="P894" s="296"/>
      <c r="Q894" s="296" t="s">
        <v>1953</v>
      </c>
      <c r="R894" s="17" t="s">
        <v>211</v>
      </c>
      <c r="S894" s="17"/>
      <c r="T894" s="17" t="str">
        <f>+T893</f>
        <v>BCV131</v>
      </c>
      <c r="U894" s="17"/>
      <c r="V894" s="289" t="str">
        <f>+CONCATENATE(E894,".",F894,"\",G894,".",H894,":",I894)</f>
        <v>2.2\0.1:2</v>
      </c>
      <c r="W894" s="17" t="s">
        <v>1942</v>
      </c>
      <c r="X894" s="17">
        <v>0</v>
      </c>
      <c r="Y894" s="17"/>
      <c r="Z894" s="17"/>
      <c r="AA894" s="17"/>
      <c r="AB894" s="17"/>
      <c r="AC894" s="17"/>
      <c r="AD894" s="17"/>
      <c r="AE894" s="17"/>
      <c r="AF894" s="17"/>
      <c r="AG894" s="64"/>
      <c r="AH894" s="64"/>
      <c r="AI894" s="64"/>
      <c r="AJ894" s="64"/>
      <c r="AK894" s="64"/>
      <c r="AL894" s="264"/>
      <c r="AM894" s="84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</row>
    <row r="895" spans="1:51" s="33" customFormat="1" x14ac:dyDescent="0.3">
      <c r="A895" s="63" t="str">
        <f>+A894</f>
        <v>BCV131</v>
      </c>
      <c r="B895" s="18" t="str">
        <f>+B894</f>
        <v>AX04</v>
      </c>
      <c r="C895" s="85" t="str">
        <f>+C894</f>
        <v>SIO1</v>
      </c>
      <c r="D895" s="85" t="str">
        <f>+D894</f>
        <v>SLC02</v>
      </c>
      <c r="E895" s="290">
        <f>+E894</f>
        <v>2</v>
      </c>
      <c r="F895" s="290">
        <f>+F894</f>
        <v>2</v>
      </c>
      <c r="G895" s="290">
        <f>+G894</f>
        <v>0</v>
      </c>
      <c r="H895" s="72">
        <f>+H894</f>
        <v>1</v>
      </c>
      <c r="I895" s="75">
        <v>3</v>
      </c>
      <c r="J895" s="74" t="s">
        <v>261</v>
      </c>
      <c r="K895" s="85"/>
      <c r="L895" s="79" t="s">
        <v>244</v>
      </c>
      <c r="M895" s="17">
        <v>3</v>
      </c>
      <c r="N895" s="18" t="s">
        <v>1950</v>
      </c>
      <c r="O895" s="296" t="s">
        <v>1952</v>
      </c>
      <c r="P895" s="296"/>
      <c r="Q895" s="296" t="s">
        <v>1951</v>
      </c>
      <c r="R895" s="17" t="s">
        <v>211</v>
      </c>
      <c r="S895" s="17"/>
      <c r="T895" s="17" t="str">
        <f>+T894</f>
        <v>BCV131</v>
      </c>
      <c r="U895" s="17"/>
      <c r="V895" s="289" t="str">
        <f>+CONCATENATE(E895,".",F895,"\",G895,".",H895,":",I895)</f>
        <v>2.2\0.1:3</v>
      </c>
      <c r="W895" s="17" t="s">
        <v>1942</v>
      </c>
      <c r="X895" s="17">
        <v>0</v>
      </c>
      <c r="Y895" s="17"/>
      <c r="Z895" s="17"/>
      <c r="AA895" s="17"/>
      <c r="AB895" s="17"/>
      <c r="AC895" s="17"/>
      <c r="AD895" s="17"/>
      <c r="AE895" s="17"/>
      <c r="AF895" s="17"/>
      <c r="AG895" s="64"/>
      <c r="AH895" s="64"/>
      <c r="AI895" s="64"/>
      <c r="AJ895" s="64"/>
      <c r="AK895" s="64"/>
      <c r="AL895" s="264"/>
      <c r="AM895" s="84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</row>
    <row r="896" spans="1:51" s="33" customFormat="1" x14ac:dyDescent="0.3">
      <c r="A896" s="63" t="str">
        <f>+A895</f>
        <v>BCV131</v>
      </c>
      <c r="B896" s="18" t="str">
        <f>+B895</f>
        <v>AX04</v>
      </c>
      <c r="C896" s="85" t="str">
        <f>+C895</f>
        <v>SIO1</v>
      </c>
      <c r="D896" s="85" t="str">
        <f>+D895</f>
        <v>SLC02</v>
      </c>
      <c r="E896" s="290">
        <f>+E895</f>
        <v>2</v>
      </c>
      <c r="F896" s="290">
        <f>+F895</f>
        <v>2</v>
      </c>
      <c r="G896" s="290">
        <f>+G895</f>
        <v>0</v>
      </c>
      <c r="H896" s="72">
        <f>+H895</f>
        <v>1</v>
      </c>
      <c r="I896" s="75">
        <v>4</v>
      </c>
      <c r="J896" s="74" t="s">
        <v>257</v>
      </c>
      <c r="K896" s="85"/>
      <c r="L896" s="79" t="s">
        <v>244</v>
      </c>
      <c r="M896" s="17">
        <v>3</v>
      </c>
      <c r="N896" s="18" t="s">
        <v>1950</v>
      </c>
      <c r="O896" s="296" t="s">
        <v>1949</v>
      </c>
      <c r="P896" s="296"/>
      <c r="Q896" s="296" t="s">
        <v>1948</v>
      </c>
      <c r="R896" s="17" t="s">
        <v>211</v>
      </c>
      <c r="S896" s="17"/>
      <c r="T896" s="17" t="str">
        <f>+T895</f>
        <v>BCV131</v>
      </c>
      <c r="U896" s="17"/>
      <c r="V896" s="289" t="str">
        <f>+CONCATENATE(E896,".",F896,"\",G896,".",H896,":",I896)</f>
        <v>2.2\0.1:4</v>
      </c>
      <c r="W896" s="17" t="s">
        <v>1942</v>
      </c>
      <c r="X896" s="17">
        <v>0</v>
      </c>
      <c r="Y896" s="17"/>
      <c r="Z896" s="17"/>
      <c r="AA896" s="17"/>
      <c r="AB896" s="17"/>
      <c r="AC896" s="17"/>
      <c r="AD896" s="17"/>
      <c r="AE896" s="17"/>
      <c r="AF896" s="17"/>
      <c r="AG896" s="64"/>
      <c r="AH896" s="64"/>
      <c r="AI896" s="64"/>
      <c r="AJ896" s="64"/>
      <c r="AK896" s="64"/>
      <c r="AL896" s="264"/>
      <c r="AM896" s="84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</row>
    <row r="897" spans="1:51" s="33" customFormat="1" x14ac:dyDescent="0.3">
      <c r="A897" s="63" t="str">
        <f>+A896</f>
        <v>BCV131</v>
      </c>
      <c r="B897" s="18" t="str">
        <f>+B896</f>
        <v>AX04</v>
      </c>
      <c r="C897" s="85" t="str">
        <f>+C896</f>
        <v>SIO1</v>
      </c>
      <c r="D897" s="85" t="str">
        <f>+D896</f>
        <v>SLC02</v>
      </c>
      <c r="E897" s="290">
        <f>+E896</f>
        <v>2</v>
      </c>
      <c r="F897" s="290">
        <f>+F896</f>
        <v>2</v>
      </c>
      <c r="G897" s="290">
        <f>+G896</f>
        <v>0</v>
      </c>
      <c r="H897" s="72">
        <f>+H896</f>
        <v>1</v>
      </c>
      <c r="I897" s="75">
        <v>5</v>
      </c>
      <c r="J897" s="74" t="s">
        <v>1325</v>
      </c>
      <c r="K897" s="85"/>
      <c r="L897" s="79" t="s">
        <v>244</v>
      </c>
      <c r="M897" s="17">
        <v>3</v>
      </c>
      <c r="N897" s="17"/>
      <c r="O897" s="296"/>
      <c r="P897" s="296"/>
      <c r="Q897" s="296" t="s">
        <v>127</v>
      </c>
      <c r="R897" s="17"/>
      <c r="S897" s="17"/>
      <c r="T897" s="17"/>
      <c r="U897" s="17"/>
      <c r="V897" s="289" t="str">
        <f>+CONCATENATE(E897,".",F897,"\",G897,".",H897,":",I897)</f>
        <v>2.2\0.1:5</v>
      </c>
      <c r="W897" s="17" t="s">
        <v>1942</v>
      </c>
      <c r="X897" s="17">
        <v>0</v>
      </c>
      <c r="Y897" s="17"/>
      <c r="Z897" s="17"/>
      <c r="AA897" s="17"/>
      <c r="AB897" s="17"/>
      <c r="AC897" s="17"/>
      <c r="AD897" s="17"/>
      <c r="AE897" s="17"/>
      <c r="AF897" s="17"/>
      <c r="AG897" s="64"/>
      <c r="AH897" s="64"/>
      <c r="AI897" s="64"/>
      <c r="AJ897" s="64"/>
      <c r="AK897" s="64"/>
      <c r="AL897" s="264"/>
      <c r="AM897" s="84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</row>
    <row r="898" spans="1:51" s="33" customFormat="1" x14ac:dyDescent="0.3">
      <c r="A898" s="63" t="str">
        <f>+A897</f>
        <v>BCV131</v>
      </c>
      <c r="B898" s="18" t="str">
        <f>+B897</f>
        <v>AX04</v>
      </c>
      <c r="C898" s="85" t="str">
        <f>+C897</f>
        <v>SIO1</v>
      </c>
      <c r="D898" s="85" t="str">
        <f>+D897</f>
        <v>SLC02</v>
      </c>
      <c r="E898" s="290">
        <f>+E897</f>
        <v>2</v>
      </c>
      <c r="F898" s="290">
        <f>+F897</f>
        <v>2</v>
      </c>
      <c r="G898" s="290">
        <f>+G897</f>
        <v>0</v>
      </c>
      <c r="H898" s="72">
        <f>+H897</f>
        <v>1</v>
      </c>
      <c r="I898" s="75">
        <v>6</v>
      </c>
      <c r="J898" s="74" t="s">
        <v>1323</v>
      </c>
      <c r="K898" s="85"/>
      <c r="L898" s="79" t="s">
        <v>244</v>
      </c>
      <c r="M898" s="17">
        <v>3</v>
      </c>
      <c r="N898" s="17"/>
      <c r="O898" s="296"/>
      <c r="P898" s="296"/>
      <c r="Q898" s="296" t="s">
        <v>127</v>
      </c>
      <c r="R898" s="17"/>
      <c r="S898" s="17"/>
      <c r="T898" s="17"/>
      <c r="U898" s="17"/>
      <c r="V898" s="289" t="str">
        <f>+CONCATENATE(E898,".",F898,"\",G898,".",H898,":",I898)</f>
        <v>2.2\0.1:6</v>
      </c>
      <c r="W898" s="17" t="s">
        <v>1942</v>
      </c>
      <c r="X898" s="17">
        <v>0</v>
      </c>
      <c r="Y898" s="17"/>
      <c r="Z898" s="17"/>
      <c r="AA898" s="17"/>
      <c r="AB898" s="17"/>
      <c r="AC898" s="17"/>
      <c r="AD898" s="17"/>
      <c r="AE898" s="17"/>
      <c r="AF898" s="17"/>
      <c r="AG898" s="64"/>
      <c r="AH898" s="64"/>
      <c r="AI898" s="64"/>
      <c r="AJ898" s="64"/>
      <c r="AK898" s="64"/>
      <c r="AL898" s="264"/>
      <c r="AM898" s="84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</row>
    <row r="899" spans="1:51" s="33" customFormat="1" x14ac:dyDescent="0.3">
      <c r="A899" s="63" t="str">
        <f>+A898</f>
        <v>BCV131</v>
      </c>
      <c r="B899" s="18" t="str">
        <f>+B898</f>
        <v>AX04</v>
      </c>
      <c r="C899" s="85" t="str">
        <f>+C898</f>
        <v>SIO1</v>
      </c>
      <c r="D899" s="85" t="str">
        <f>+D898</f>
        <v>SLC02</v>
      </c>
      <c r="E899" s="290">
        <f>+E898</f>
        <v>2</v>
      </c>
      <c r="F899" s="290">
        <f>+F898</f>
        <v>2</v>
      </c>
      <c r="G899" s="290">
        <f>+G898</f>
        <v>0</v>
      </c>
      <c r="H899" s="72">
        <f>+H898</f>
        <v>1</v>
      </c>
      <c r="I899" s="75">
        <v>7</v>
      </c>
      <c r="J899" s="74" t="s">
        <v>246</v>
      </c>
      <c r="K899" s="85"/>
      <c r="L899" s="79" t="s">
        <v>244</v>
      </c>
      <c r="M899" s="17">
        <v>3</v>
      </c>
      <c r="N899" s="17"/>
      <c r="O899" s="296"/>
      <c r="P899" s="296"/>
      <c r="Q899" s="296" t="s">
        <v>127</v>
      </c>
      <c r="R899" s="17"/>
      <c r="S899" s="17"/>
      <c r="T899" s="17"/>
      <c r="U899" s="17"/>
      <c r="V899" s="289" t="str">
        <f>+CONCATENATE(E899,".",F899,"\",G899,".",H899,":",I899)</f>
        <v>2.2\0.1:7</v>
      </c>
      <c r="W899" s="17" t="s">
        <v>1942</v>
      </c>
      <c r="X899" s="17">
        <v>0</v>
      </c>
      <c r="Y899" s="17"/>
      <c r="Z899" s="17"/>
      <c r="AA899" s="17"/>
      <c r="AB899" s="17"/>
      <c r="AC899" s="17"/>
      <c r="AD899" s="17"/>
      <c r="AE899" s="17"/>
      <c r="AF899" s="17"/>
      <c r="AG899" s="64"/>
      <c r="AH899" s="64"/>
      <c r="AI899" s="64"/>
      <c r="AJ899" s="64"/>
      <c r="AK899" s="64"/>
      <c r="AL899" s="264"/>
      <c r="AM899" s="84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</row>
    <row r="900" spans="1:51" s="33" customFormat="1" x14ac:dyDescent="0.3">
      <c r="A900" s="63" t="str">
        <f>+A899</f>
        <v>BCV131</v>
      </c>
      <c r="B900" s="18" t="str">
        <f>+B899</f>
        <v>AX04</v>
      </c>
      <c r="C900" s="85" t="str">
        <f>+C899</f>
        <v>SIO1</v>
      </c>
      <c r="D900" s="85" t="str">
        <f>+D899</f>
        <v>SLC02</v>
      </c>
      <c r="E900" s="290">
        <f>+E899</f>
        <v>2</v>
      </c>
      <c r="F900" s="290">
        <f>+F899</f>
        <v>2</v>
      </c>
      <c r="G900" s="290">
        <f>+G899</f>
        <v>0</v>
      </c>
      <c r="H900" s="72">
        <f>+H899</f>
        <v>1</v>
      </c>
      <c r="I900" s="75">
        <v>8</v>
      </c>
      <c r="J900" s="74" t="s">
        <v>245</v>
      </c>
      <c r="K900" s="85"/>
      <c r="L900" s="79" t="s">
        <v>244</v>
      </c>
      <c r="M900" s="17">
        <v>3</v>
      </c>
      <c r="N900" s="17"/>
      <c r="O900" s="296"/>
      <c r="P900" s="296"/>
      <c r="Q900" s="296" t="s">
        <v>127</v>
      </c>
      <c r="R900" s="17"/>
      <c r="S900" s="17"/>
      <c r="T900" s="17"/>
      <c r="U900" s="17"/>
      <c r="V900" s="289" t="str">
        <f>+CONCATENATE(E900,".",F900,"\",G900,".",H900,":",I900)</f>
        <v>2.2\0.1:8</v>
      </c>
      <c r="W900" s="17" t="s">
        <v>1942</v>
      </c>
      <c r="X900" s="17">
        <v>0</v>
      </c>
      <c r="Y900" s="17"/>
      <c r="Z900" s="17"/>
      <c r="AA900" s="17"/>
      <c r="AB900" s="17"/>
      <c r="AC900" s="17"/>
      <c r="AD900" s="17"/>
      <c r="AE900" s="17"/>
      <c r="AF900" s="17"/>
      <c r="AG900" s="64"/>
      <c r="AH900" s="64"/>
      <c r="AI900" s="64"/>
      <c r="AJ900" s="64"/>
      <c r="AK900" s="64"/>
      <c r="AL900" s="264"/>
      <c r="AM900" s="84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</row>
    <row r="901" spans="1:51" s="33" customFormat="1" x14ac:dyDescent="0.3">
      <c r="A901" s="63" t="str">
        <f>+A900</f>
        <v>BCV131</v>
      </c>
      <c r="B901" s="18" t="str">
        <f>+B900</f>
        <v>AX04</v>
      </c>
      <c r="C901" s="85" t="str">
        <f>+C900</f>
        <v>SIO1</v>
      </c>
      <c r="D901" s="85" t="str">
        <f>+D900</f>
        <v>SLC02</v>
      </c>
      <c r="E901" s="290">
        <f>+E900</f>
        <v>2</v>
      </c>
      <c r="F901" s="290">
        <f>+F900</f>
        <v>2</v>
      </c>
      <c r="G901" s="290">
        <f>+G900</f>
        <v>0</v>
      </c>
      <c r="H901" s="72">
        <f>+H900</f>
        <v>1</v>
      </c>
      <c r="I901" s="75">
        <v>1</v>
      </c>
      <c r="J901" s="81" t="s">
        <v>1321</v>
      </c>
      <c r="K901" s="85" t="s">
        <v>1366</v>
      </c>
      <c r="L901" s="79" t="s">
        <v>235</v>
      </c>
      <c r="M901" s="17">
        <v>3</v>
      </c>
      <c r="N901" s="18" t="s">
        <v>1946</v>
      </c>
      <c r="O901" s="17" t="s">
        <v>1947</v>
      </c>
      <c r="P901" s="17"/>
      <c r="Q901" s="17" t="s">
        <v>1335</v>
      </c>
      <c r="R901" s="17" t="s">
        <v>922</v>
      </c>
      <c r="S901" s="17"/>
      <c r="T901" s="17" t="str">
        <f>+T893</f>
        <v>BCV131</v>
      </c>
      <c r="U901" s="17"/>
      <c r="V901" s="289" t="str">
        <f>+CONCATENATE(E901,".",F901,"\",G901,".",H901,":",I901)</f>
        <v>2.2\0.1:1</v>
      </c>
      <c r="W901" s="17" t="s">
        <v>1942</v>
      </c>
      <c r="X901" s="17">
        <v>0</v>
      </c>
      <c r="Y901" s="17"/>
      <c r="Z901" s="17"/>
      <c r="AA901" s="17"/>
      <c r="AB901" s="17"/>
      <c r="AC901" s="17"/>
      <c r="AD901" s="17"/>
      <c r="AE901" s="17"/>
      <c r="AF901" s="17"/>
      <c r="AG901" s="64"/>
      <c r="AH901" s="64"/>
      <c r="AI901" s="64"/>
      <c r="AJ901" s="64"/>
      <c r="AK901" s="64"/>
      <c r="AL901" s="264"/>
      <c r="AM901" s="84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</row>
    <row r="902" spans="1:51" s="33" customFormat="1" x14ac:dyDescent="0.3">
      <c r="A902" s="63" t="str">
        <f>+A901</f>
        <v>BCV131</v>
      </c>
      <c r="B902" s="18" t="str">
        <f>+B901</f>
        <v>AX04</v>
      </c>
      <c r="C902" s="85" t="str">
        <f>+C901</f>
        <v>SIO1</v>
      </c>
      <c r="D902" s="85" t="str">
        <f>+D901</f>
        <v>SLC02</v>
      </c>
      <c r="E902" s="290">
        <f>+E901</f>
        <v>2</v>
      </c>
      <c r="F902" s="290">
        <f>+F901</f>
        <v>2</v>
      </c>
      <c r="G902" s="290">
        <f>+G901</f>
        <v>0</v>
      </c>
      <c r="H902" s="72">
        <f>+H901</f>
        <v>1</v>
      </c>
      <c r="I902" s="75">
        <v>2</v>
      </c>
      <c r="J902" s="74" t="s">
        <v>1320</v>
      </c>
      <c r="K902" s="85"/>
      <c r="L902" s="79" t="s">
        <v>235</v>
      </c>
      <c r="M902" s="17">
        <v>3</v>
      </c>
      <c r="N902" s="18" t="s">
        <v>1946</v>
      </c>
      <c r="O902" s="17" t="s">
        <v>1945</v>
      </c>
      <c r="P902" s="17"/>
      <c r="Q902" s="17" t="s">
        <v>1330</v>
      </c>
      <c r="R902" s="17" t="s">
        <v>922</v>
      </c>
      <c r="S902" s="17"/>
      <c r="T902" s="17" t="str">
        <f>+T901</f>
        <v>BCV131</v>
      </c>
      <c r="U902" s="17"/>
      <c r="V902" s="289" t="str">
        <f>+CONCATENATE(E902,".",F902,"\",G902,".",H902,":",I902)</f>
        <v>2.2\0.1:2</v>
      </c>
      <c r="W902" s="17" t="s">
        <v>1942</v>
      </c>
      <c r="X902" s="17">
        <v>0</v>
      </c>
      <c r="Y902" s="17"/>
      <c r="Z902" s="17"/>
      <c r="AA902" s="17"/>
      <c r="AB902" s="17"/>
      <c r="AC902" s="17"/>
      <c r="AD902" s="17"/>
      <c r="AE902" s="17"/>
      <c r="AF902" s="17"/>
      <c r="AG902" s="64"/>
      <c r="AH902" s="64"/>
      <c r="AI902" s="64"/>
      <c r="AJ902" s="64"/>
      <c r="AK902" s="64"/>
      <c r="AL902" s="264"/>
      <c r="AM902" s="84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</row>
    <row r="903" spans="1:51" s="33" customFormat="1" x14ac:dyDescent="0.3">
      <c r="A903" s="63" t="str">
        <f>+A902</f>
        <v>BCV131</v>
      </c>
      <c r="B903" s="18" t="str">
        <f>+B902</f>
        <v>AX04</v>
      </c>
      <c r="C903" s="85" t="str">
        <f>+C902</f>
        <v>SIO1</v>
      </c>
      <c r="D903" s="85" t="str">
        <f>+D902</f>
        <v>SLC02</v>
      </c>
      <c r="E903" s="290">
        <f>+E902</f>
        <v>2</v>
      </c>
      <c r="F903" s="290">
        <f>+F902</f>
        <v>2</v>
      </c>
      <c r="G903" s="290">
        <f>+G902</f>
        <v>0</v>
      </c>
      <c r="H903" s="72">
        <f>+H902</f>
        <v>1</v>
      </c>
      <c r="I903" s="75">
        <v>3</v>
      </c>
      <c r="J903" s="74" t="s">
        <v>1319</v>
      </c>
      <c r="K903" s="85"/>
      <c r="L903" s="79" t="s">
        <v>235</v>
      </c>
      <c r="M903" s="17">
        <v>3</v>
      </c>
      <c r="N903" s="18" t="s">
        <v>1944</v>
      </c>
      <c r="O903" s="17" t="s">
        <v>1943</v>
      </c>
      <c r="P903" s="17"/>
      <c r="Q903" s="17" t="s">
        <v>1330</v>
      </c>
      <c r="R903" s="17" t="s">
        <v>922</v>
      </c>
      <c r="S903" s="17"/>
      <c r="T903" s="17" t="str">
        <f>+T902</f>
        <v>BCV131</v>
      </c>
      <c r="U903" s="17"/>
      <c r="V903" s="289" t="str">
        <f>+CONCATENATE(E903,".",F903,"\",G903,".",H903,":",I903)</f>
        <v>2.2\0.1:3</v>
      </c>
      <c r="W903" s="17" t="s">
        <v>1942</v>
      </c>
      <c r="X903" s="17">
        <v>0</v>
      </c>
      <c r="Y903" s="17"/>
      <c r="Z903" s="17"/>
      <c r="AA903" s="17"/>
      <c r="AB903" s="17"/>
      <c r="AC903" s="17"/>
      <c r="AD903" s="17"/>
      <c r="AE903" s="17"/>
      <c r="AF903" s="17"/>
      <c r="AG903" s="64"/>
      <c r="AH903" s="64"/>
      <c r="AI903" s="64"/>
      <c r="AJ903" s="64"/>
      <c r="AK903" s="64"/>
      <c r="AL903" s="264"/>
      <c r="AM903" s="84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</row>
    <row r="904" spans="1:51" s="33" customFormat="1" ht="13.5" thickBot="1" x14ac:dyDescent="0.35">
      <c r="A904" s="63" t="str">
        <f>+A903</f>
        <v>BCV131</v>
      </c>
      <c r="B904" s="18" t="str">
        <f>+B903</f>
        <v>AX04</v>
      </c>
      <c r="C904" s="85" t="str">
        <f>+C903</f>
        <v>SIO1</v>
      </c>
      <c r="D904" s="85" t="str">
        <f>+D903</f>
        <v>SLC02</v>
      </c>
      <c r="E904" s="290">
        <f>+E903</f>
        <v>2</v>
      </c>
      <c r="F904" s="290">
        <f>+F903</f>
        <v>2</v>
      </c>
      <c r="G904" s="290">
        <f>+G903</f>
        <v>0</v>
      </c>
      <c r="H904" s="72">
        <f>+H903</f>
        <v>1</v>
      </c>
      <c r="I904" s="71">
        <v>4</v>
      </c>
      <c r="J904" s="70" t="s">
        <v>1318</v>
      </c>
      <c r="K904" s="85"/>
      <c r="L904" s="79" t="s">
        <v>235</v>
      </c>
      <c r="M904" s="17">
        <v>3</v>
      </c>
      <c r="N904" s="17"/>
      <c r="O904" s="17"/>
      <c r="P904" s="17"/>
      <c r="Q904" s="68"/>
      <c r="R904" s="68"/>
      <c r="S904" s="68"/>
      <c r="T904" s="68"/>
      <c r="U904" s="17"/>
      <c r="V904" s="289" t="str">
        <f>+CONCATENATE(E904,".",F904,"\",G904,".",H904,":",I904)</f>
        <v>2.2\0.1:4</v>
      </c>
      <c r="W904" s="17" t="s">
        <v>1942</v>
      </c>
      <c r="X904" s="17">
        <v>0</v>
      </c>
      <c r="Y904" s="17"/>
      <c r="Z904" s="17"/>
      <c r="AA904" s="17"/>
      <c r="AB904" s="17"/>
      <c r="AC904" s="17"/>
      <c r="AD904" s="17"/>
      <c r="AE904" s="17"/>
      <c r="AF904" s="17"/>
      <c r="AG904" s="64"/>
      <c r="AH904" s="64"/>
      <c r="AI904" s="64"/>
      <c r="AJ904" s="64"/>
      <c r="AK904" s="64"/>
      <c r="AL904" s="264"/>
      <c r="AM904" s="84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</row>
    <row r="905" spans="1:51" s="33" customFormat="1" x14ac:dyDescent="0.3">
      <c r="A905" s="63"/>
      <c r="B905" s="63"/>
      <c r="C905" s="63"/>
      <c r="D905" s="63"/>
      <c r="E905" s="288"/>
      <c r="F905" s="288"/>
      <c r="G905" s="288"/>
      <c r="H905" s="63"/>
      <c r="I905" s="63"/>
      <c r="J905" s="63"/>
      <c r="K905" s="17"/>
      <c r="L905" s="17"/>
      <c r="M905" s="17"/>
      <c r="N905" s="17"/>
      <c r="O905" s="68"/>
      <c r="P905" s="68"/>
      <c r="Q905" s="68"/>
      <c r="R905" s="68"/>
      <c r="S905" s="68"/>
      <c r="T905" s="68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64"/>
      <c r="AH905" s="64"/>
      <c r="AI905" s="64"/>
      <c r="AJ905" s="64"/>
      <c r="AK905" s="64"/>
      <c r="AL905" s="264"/>
      <c r="AM905" s="84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</row>
    <row r="906" spans="1:51" s="33" customFormat="1" x14ac:dyDescent="0.3">
      <c r="A906" s="63"/>
      <c r="B906" s="63"/>
      <c r="C906" s="63"/>
      <c r="D906" s="63"/>
      <c r="E906" s="288"/>
      <c r="F906" s="288"/>
      <c r="G906" s="288"/>
      <c r="H906" s="63"/>
      <c r="I906" s="63"/>
      <c r="J906" s="63"/>
      <c r="K906" s="17"/>
      <c r="L906" s="17"/>
      <c r="M906" s="17"/>
      <c r="N906" s="17"/>
      <c r="O906" s="68"/>
      <c r="P906" s="68"/>
      <c r="Q906" s="68"/>
      <c r="R906" s="68"/>
      <c r="S906" s="68"/>
      <c r="T906" s="68"/>
      <c r="U906" s="17"/>
      <c r="V906" s="17"/>
      <c r="W906" s="17"/>
      <c r="X906" s="17"/>
      <c r="Y906" s="17"/>
      <c r="Z906" s="17"/>
      <c r="AA906" s="17"/>
      <c r="AB906" s="20"/>
      <c r="AC906" s="17"/>
      <c r="AD906" s="17"/>
      <c r="AE906" s="17"/>
      <c r="AF906" s="17"/>
      <c r="AG906" s="64"/>
      <c r="AH906" s="64"/>
      <c r="AI906" s="64"/>
      <c r="AJ906" s="64"/>
      <c r="AK906" s="64"/>
      <c r="AL906" s="264"/>
      <c r="AM906" s="84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</row>
    <row r="907" spans="1:51" s="33" customFormat="1" x14ac:dyDescent="0.3">
      <c r="A907" s="63"/>
      <c r="B907" s="63"/>
      <c r="C907" s="63"/>
      <c r="D907" s="63"/>
      <c r="E907" s="288"/>
      <c r="F907" s="288"/>
      <c r="G907" s="288"/>
      <c r="H907" s="63"/>
      <c r="I907" s="63"/>
      <c r="J907" s="63"/>
      <c r="K907" s="17"/>
      <c r="L907" s="17"/>
      <c r="M907" s="17"/>
      <c r="N907" s="17"/>
      <c r="O907" s="68"/>
      <c r="P907" s="68"/>
      <c r="Q907" s="68"/>
      <c r="R907" s="68"/>
      <c r="S907" s="68"/>
      <c r="T907" s="68"/>
      <c r="U907" s="17"/>
      <c r="V907" s="17"/>
      <c r="W907" s="17"/>
      <c r="X907" s="17"/>
      <c r="Y907" s="17"/>
      <c r="Z907" s="17"/>
      <c r="AA907" s="17"/>
      <c r="AB907" s="20"/>
      <c r="AC907" s="17"/>
      <c r="AD907" s="17"/>
      <c r="AE907" s="17"/>
      <c r="AF907" s="17"/>
      <c r="AG907" s="64"/>
      <c r="AH907" s="64"/>
      <c r="AI907" s="64"/>
      <c r="AJ907" s="64"/>
      <c r="AK907" s="64"/>
      <c r="AL907" s="264"/>
      <c r="AM907" s="84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</row>
    <row r="908" spans="1:51" s="33" customFormat="1" ht="15.5" x14ac:dyDescent="0.35">
      <c r="A908" s="297"/>
      <c r="B908" s="96" t="s">
        <v>1941</v>
      </c>
      <c r="C908" s="256"/>
      <c r="D908" s="256"/>
      <c r="E908" s="256"/>
      <c r="F908" s="256"/>
      <c r="G908" s="256"/>
      <c r="H908" s="256"/>
      <c r="I908" s="256"/>
      <c r="J908" s="256"/>
      <c r="K908" s="256"/>
      <c r="L908" s="256"/>
      <c r="M908" s="256"/>
      <c r="N908" s="287"/>
      <c r="O908" s="256"/>
      <c r="P908" s="287"/>
      <c r="Q908" s="256"/>
      <c r="R908" s="256"/>
      <c r="S908" s="256"/>
      <c r="T908" s="256"/>
      <c r="U908" s="256"/>
      <c r="V908" s="256"/>
      <c r="W908" s="287"/>
      <c r="X908" s="256"/>
      <c r="Y908" s="256"/>
      <c r="Z908" s="17"/>
      <c r="AA908" s="17"/>
      <c r="AB908" s="17"/>
      <c r="AC908" s="17"/>
      <c r="AD908" s="17"/>
      <c r="AE908" s="17"/>
      <c r="AF908" s="17"/>
      <c r="AG908" s="64"/>
      <c r="AH908" s="64"/>
      <c r="AI908" s="64"/>
      <c r="AJ908" s="64"/>
      <c r="AK908" s="64"/>
      <c r="AL908" s="264"/>
      <c r="AM908" s="84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</row>
    <row r="909" spans="1:51" s="33" customFormat="1" ht="13.5" thickBot="1" x14ac:dyDescent="0.35">
      <c r="A909" s="63"/>
      <c r="B909" s="63"/>
      <c r="C909" s="63"/>
      <c r="D909" s="63"/>
      <c r="E909" s="288"/>
      <c r="F909" s="288"/>
      <c r="G909" s="288"/>
      <c r="H909" s="63"/>
      <c r="I909" s="63"/>
      <c r="J909" s="63"/>
      <c r="K909" s="17"/>
      <c r="L909" s="17"/>
      <c r="M909" s="17"/>
      <c r="N909" s="17"/>
      <c r="O909" s="68"/>
      <c r="P909" s="68"/>
      <c r="Q909" s="68"/>
      <c r="R909" s="68"/>
      <c r="S909" s="68"/>
      <c r="T909" s="68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64"/>
      <c r="AH909" s="64"/>
      <c r="AI909" s="64"/>
      <c r="AJ909" s="64"/>
      <c r="AK909" s="64"/>
      <c r="AL909" s="264"/>
      <c r="AM909" s="84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</row>
    <row r="910" spans="1:51" s="33" customFormat="1" ht="13.5" thickBot="1" x14ac:dyDescent="0.35">
      <c r="A910" s="63" t="s">
        <v>194</v>
      </c>
      <c r="B910" s="17" t="s">
        <v>1940</v>
      </c>
      <c r="C910" s="295" t="s">
        <v>271</v>
      </c>
      <c r="D910" s="290" t="s">
        <v>285</v>
      </c>
      <c r="E910" s="290">
        <v>1</v>
      </c>
      <c r="F910" s="290">
        <v>3</v>
      </c>
      <c r="G910" s="290">
        <v>0</v>
      </c>
      <c r="H910" s="89">
        <v>0</v>
      </c>
      <c r="I910" s="88" t="s">
        <v>1106</v>
      </c>
      <c r="J910" s="87"/>
      <c r="K910" s="84">
        <v>1059305</v>
      </c>
      <c r="L910" s="91" t="s">
        <v>1377</v>
      </c>
      <c r="M910" s="17">
        <v>3</v>
      </c>
      <c r="N910" s="17"/>
      <c r="O910" s="83"/>
      <c r="P910" s="83"/>
      <c r="Q910" s="68"/>
      <c r="R910" s="68"/>
      <c r="S910" s="68"/>
      <c r="T910" s="68"/>
      <c r="U910" s="17"/>
      <c r="V910" s="17"/>
      <c r="W910" s="17" t="s">
        <v>1924</v>
      </c>
      <c r="X910" s="17">
        <v>0</v>
      </c>
      <c r="Y910" s="17"/>
      <c r="Z910" s="17"/>
      <c r="AA910" s="17"/>
      <c r="AB910" s="17"/>
      <c r="AC910" s="17"/>
      <c r="AD910" s="17"/>
      <c r="AE910" s="17"/>
      <c r="AF910" s="17"/>
      <c r="AG910" s="64"/>
      <c r="AH910" s="64"/>
      <c r="AI910" s="64"/>
      <c r="AJ910" s="64"/>
      <c r="AK910" s="64"/>
      <c r="AL910" s="264"/>
      <c r="AM910" s="84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</row>
    <row r="911" spans="1:51" s="33" customFormat="1" x14ac:dyDescent="0.3">
      <c r="A911" s="63" t="str">
        <f>+A910</f>
        <v>BCV131</v>
      </c>
      <c r="B911" s="18" t="str">
        <f>+B910</f>
        <v>AX05</v>
      </c>
      <c r="C911" s="85" t="str">
        <f>+C910</f>
        <v>SIO1</v>
      </c>
      <c r="D911" s="85" t="str">
        <f>+D910</f>
        <v>SLC01</v>
      </c>
      <c r="E911" s="290">
        <f>+E910</f>
        <v>1</v>
      </c>
      <c r="F911" s="290">
        <f>+F910</f>
        <v>3</v>
      </c>
      <c r="G911" s="290">
        <f>+G910</f>
        <v>0</v>
      </c>
      <c r="H911" s="72">
        <v>1</v>
      </c>
      <c r="I911" s="77">
        <v>1</v>
      </c>
      <c r="J911" s="76" t="s">
        <v>269</v>
      </c>
      <c r="K911" s="65">
        <v>1044125</v>
      </c>
      <c r="L911" s="79" t="s">
        <v>244</v>
      </c>
      <c r="M911" s="17">
        <v>3</v>
      </c>
      <c r="N911" s="18" t="s">
        <v>1937</v>
      </c>
      <c r="O911" s="296" t="s">
        <v>1939</v>
      </c>
      <c r="P911" s="296"/>
      <c r="Q911" s="296" t="s">
        <v>1938</v>
      </c>
      <c r="R911" s="17" t="s">
        <v>211</v>
      </c>
      <c r="S911" s="17"/>
      <c r="T911" s="17" t="s">
        <v>194</v>
      </c>
      <c r="U911" s="17"/>
      <c r="V911" s="289" t="str">
        <f>+CONCATENATE(E911,".",F911,"\",G911,".",H911,":",I911)</f>
        <v>1.3\0.1:1</v>
      </c>
      <c r="W911" s="17" t="s">
        <v>1924</v>
      </c>
      <c r="X911" s="17">
        <v>0</v>
      </c>
      <c r="Y911" s="17"/>
      <c r="Z911" s="17"/>
      <c r="AA911" s="17"/>
      <c r="AB911" s="17"/>
      <c r="AC911" s="17"/>
      <c r="AD911" s="17"/>
      <c r="AE911" s="17"/>
      <c r="AF911" s="17"/>
      <c r="AG911" s="64"/>
      <c r="AH911" s="64"/>
      <c r="AI911" s="64"/>
      <c r="AJ911" s="64"/>
      <c r="AK911" s="64"/>
      <c r="AL911" s="264"/>
      <c r="AM911" s="84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</row>
    <row r="912" spans="1:51" s="33" customFormat="1" x14ac:dyDescent="0.3">
      <c r="A912" s="63" t="str">
        <f>+A911</f>
        <v>BCV131</v>
      </c>
      <c r="B912" s="18" t="str">
        <f>+B911</f>
        <v>AX05</v>
      </c>
      <c r="C912" s="85" t="str">
        <f>+C911</f>
        <v>SIO1</v>
      </c>
      <c r="D912" s="85" t="str">
        <f>+D911</f>
        <v>SLC01</v>
      </c>
      <c r="E912" s="290">
        <f>+E911</f>
        <v>1</v>
      </c>
      <c r="F912" s="290">
        <f>+F911</f>
        <v>3</v>
      </c>
      <c r="G912" s="290">
        <f>+G911</f>
        <v>0</v>
      </c>
      <c r="H912" s="72">
        <f>+H911</f>
        <v>1</v>
      </c>
      <c r="I912" s="75">
        <v>2</v>
      </c>
      <c r="J912" s="74" t="s">
        <v>265</v>
      </c>
      <c r="K912" s="84">
        <v>1047162</v>
      </c>
      <c r="L912" s="79" t="s">
        <v>244</v>
      </c>
      <c r="M912" s="17">
        <v>3</v>
      </c>
      <c r="N912" s="18" t="s">
        <v>1937</v>
      </c>
      <c r="O912" s="296" t="s">
        <v>1936</v>
      </c>
      <c r="P912" s="296"/>
      <c r="Q912" s="296" t="s">
        <v>1935</v>
      </c>
      <c r="R912" s="17" t="s">
        <v>211</v>
      </c>
      <c r="S912" s="17"/>
      <c r="T912" s="17" t="str">
        <f>+T911</f>
        <v>BCV131</v>
      </c>
      <c r="U912" s="17"/>
      <c r="V912" s="289" t="str">
        <f>+CONCATENATE(E912,".",F912,"\",G912,".",H912,":",I912)</f>
        <v>1.3\0.1:2</v>
      </c>
      <c r="W912" s="17" t="s">
        <v>1924</v>
      </c>
      <c r="X912" s="17">
        <v>0</v>
      </c>
      <c r="Y912" s="17"/>
      <c r="Z912" s="17"/>
      <c r="AA912" s="17"/>
      <c r="AB912" s="17"/>
      <c r="AC912" s="17"/>
      <c r="AD912" s="17"/>
      <c r="AE912" s="17"/>
      <c r="AF912" s="17"/>
      <c r="AG912" s="64"/>
      <c r="AH912" s="64"/>
      <c r="AI912" s="64"/>
      <c r="AJ912" s="64"/>
      <c r="AK912" s="64"/>
      <c r="AL912" s="264"/>
      <c r="AM912" s="84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</row>
    <row r="913" spans="1:51" s="33" customFormat="1" x14ac:dyDescent="0.3">
      <c r="A913" s="63" t="str">
        <f>+A912</f>
        <v>BCV131</v>
      </c>
      <c r="B913" s="18" t="str">
        <f>+B912</f>
        <v>AX05</v>
      </c>
      <c r="C913" s="85" t="str">
        <f>+C912</f>
        <v>SIO1</v>
      </c>
      <c r="D913" s="85" t="str">
        <f>+D912</f>
        <v>SLC01</v>
      </c>
      <c r="E913" s="290">
        <f>+E912</f>
        <v>1</v>
      </c>
      <c r="F913" s="290">
        <f>+F912</f>
        <v>3</v>
      </c>
      <c r="G913" s="290">
        <f>+G912</f>
        <v>0</v>
      </c>
      <c r="H913" s="72">
        <f>+H912</f>
        <v>1</v>
      </c>
      <c r="I913" s="75">
        <v>3</v>
      </c>
      <c r="J913" s="74" t="s">
        <v>261</v>
      </c>
      <c r="K913" s="85"/>
      <c r="L913" s="79" t="s">
        <v>244</v>
      </c>
      <c r="M913" s="17">
        <v>3</v>
      </c>
      <c r="N913" s="18" t="s">
        <v>1932</v>
      </c>
      <c r="O913" s="296" t="s">
        <v>1934</v>
      </c>
      <c r="P913" s="296"/>
      <c r="Q913" s="296" t="s">
        <v>1933</v>
      </c>
      <c r="R913" s="17" t="s">
        <v>211</v>
      </c>
      <c r="S913" s="17"/>
      <c r="T913" s="17" t="str">
        <f>+T912</f>
        <v>BCV131</v>
      </c>
      <c r="U913" s="17"/>
      <c r="V913" s="289" t="str">
        <f>+CONCATENATE(E913,".",F913,"\",G913,".",H913,":",I913)</f>
        <v>1.3\0.1:3</v>
      </c>
      <c r="W913" s="17" t="s">
        <v>1924</v>
      </c>
      <c r="X913" s="17">
        <v>0</v>
      </c>
      <c r="Y913" s="17"/>
      <c r="Z913" s="17"/>
      <c r="AA913" s="17"/>
      <c r="AB913" s="17"/>
      <c r="AC913" s="17"/>
      <c r="AD913" s="17"/>
      <c r="AE913" s="17"/>
      <c r="AF913" s="17"/>
      <c r="AG913" s="64"/>
      <c r="AH913" s="64"/>
      <c r="AI913" s="64"/>
      <c r="AJ913" s="64"/>
      <c r="AK913" s="64"/>
      <c r="AL913" s="264"/>
      <c r="AM913" s="84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</row>
    <row r="914" spans="1:51" s="33" customFormat="1" x14ac:dyDescent="0.3">
      <c r="A914" s="63" t="str">
        <f>+A913</f>
        <v>BCV131</v>
      </c>
      <c r="B914" s="18" t="str">
        <f>+B913</f>
        <v>AX05</v>
      </c>
      <c r="C914" s="85" t="str">
        <f>+C913</f>
        <v>SIO1</v>
      </c>
      <c r="D914" s="85" t="str">
        <f>+D913</f>
        <v>SLC01</v>
      </c>
      <c r="E914" s="290">
        <f>+E913</f>
        <v>1</v>
      </c>
      <c r="F914" s="290">
        <f>+F913</f>
        <v>3</v>
      </c>
      <c r="G914" s="290">
        <f>+G913</f>
        <v>0</v>
      </c>
      <c r="H914" s="72">
        <f>+H913</f>
        <v>1</v>
      </c>
      <c r="I914" s="75">
        <v>4</v>
      </c>
      <c r="J914" s="74" t="s">
        <v>257</v>
      </c>
      <c r="K914" s="85"/>
      <c r="L914" s="79" t="s">
        <v>244</v>
      </c>
      <c r="M914" s="17">
        <v>3</v>
      </c>
      <c r="N914" s="18" t="s">
        <v>1932</v>
      </c>
      <c r="O914" s="296" t="s">
        <v>1931</v>
      </c>
      <c r="P914" s="296"/>
      <c r="Q914" s="296" t="s">
        <v>1930</v>
      </c>
      <c r="R914" s="17" t="s">
        <v>211</v>
      </c>
      <c r="S914" s="17"/>
      <c r="T914" s="17" t="str">
        <f>+T913</f>
        <v>BCV131</v>
      </c>
      <c r="U914" s="17"/>
      <c r="V914" s="289" t="str">
        <f>+CONCATENATE(E914,".",F914,"\",G914,".",H914,":",I914)</f>
        <v>1.3\0.1:4</v>
      </c>
      <c r="W914" s="17" t="s">
        <v>1924</v>
      </c>
      <c r="X914" s="17">
        <v>0</v>
      </c>
      <c r="Y914" s="17"/>
      <c r="Z914" s="17"/>
      <c r="AA914" s="17"/>
      <c r="AB914" s="17"/>
      <c r="AC914" s="17"/>
      <c r="AD914" s="17"/>
      <c r="AE914" s="17"/>
      <c r="AF914" s="17"/>
      <c r="AG914" s="64"/>
      <c r="AH914" s="64"/>
      <c r="AI914" s="64"/>
      <c r="AJ914" s="64"/>
      <c r="AK914" s="64"/>
      <c r="AL914" s="264"/>
      <c r="AM914" s="84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</row>
    <row r="915" spans="1:51" s="33" customFormat="1" x14ac:dyDescent="0.3">
      <c r="A915" s="63" t="str">
        <f>+A914</f>
        <v>BCV131</v>
      </c>
      <c r="B915" s="18" t="str">
        <f>+B914</f>
        <v>AX05</v>
      </c>
      <c r="C915" s="85" t="str">
        <f>+C914</f>
        <v>SIO1</v>
      </c>
      <c r="D915" s="85" t="str">
        <f>+D914</f>
        <v>SLC01</v>
      </c>
      <c r="E915" s="290">
        <f>+E914</f>
        <v>1</v>
      </c>
      <c r="F915" s="290">
        <f>+F914</f>
        <v>3</v>
      </c>
      <c r="G915" s="290">
        <f>+G914</f>
        <v>0</v>
      </c>
      <c r="H915" s="72">
        <f>+H914</f>
        <v>1</v>
      </c>
      <c r="I915" s="75">
        <v>5</v>
      </c>
      <c r="J915" s="74" t="s">
        <v>1325</v>
      </c>
      <c r="K915" s="85"/>
      <c r="L915" s="79" t="s">
        <v>244</v>
      </c>
      <c r="M915" s="17">
        <v>3</v>
      </c>
      <c r="N915" s="17"/>
      <c r="O915" s="296"/>
      <c r="P915" s="296"/>
      <c r="Q915" s="296" t="s">
        <v>127</v>
      </c>
      <c r="R915" s="17"/>
      <c r="S915" s="17"/>
      <c r="T915" s="17"/>
      <c r="U915" s="17"/>
      <c r="V915" s="289" t="str">
        <f>+CONCATENATE(E915,".",F915,"\",G915,".",H915,":",I915)</f>
        <v>1.3\0.1:5</v>
      </c>
      <c r="W915" s="17" t="s">
        <v>1924</v>
      </c>
      <c r="X915" s="17">
        <v>0</v>
      </c>
      <c r="Y915" s="17"/>
      <c r="Z915" s="17"/>
      <c r="AA915" s="17"/>
      <c r="AB915" s="17"/>
      <c r="AC915" s="17"/>
      <c r="AD915" s="17"/>
      <c r="AE915" s="17"/>
      <c r="AF915" s="17"/>
      <c r="AG915" s="64"/>
      <c r="AH915" s="64"/>
      <c r="AI915" s="64"/>
      <c r="AJ915" s="64"/>
      <c r="AK915" s="64"/>
      <c r="AL915" s="264"/>
      <c r="AM915" s="84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</row>
    <row r="916" spans="1:51" s="33" customFormat="1" x14ac:dyDescent="0.3">
      <c r="A916" s="63" t="str">
        <f>+A915</f>
        <v>BCV131</v>
      </c>
      <c r="B916" s="18" t="str">
        <f>+B915</f>
        <v>AX05</v>
      </c>
      <c r="C916" s="85" t="str">
        <f>+C915</f>
        <v>SIO1</v>
      </c>
      <c r="D916" s="85" t="str">
        <f>+D915</f>
        <v>SLC01</v>
      </c>
      <c r="E916" s="290">
        <f>+E915</f>
        <v>1</v>
      </c>
      <c r="F916" s="290">
        <f>+F915</f>
        <v>3</v>
      </c>
      <c r="G916" s="290">
        <f>+G915</f>
        <v>0</v>
      </c>
      <c r="H916" s="72">
        <f>+H915</f>
        <v>1</v>
      </c>
      <c r="I916" s="75">
        <v>6</v>
      </c>
      <c r="J916" s="74" t="s">
        <v>1323</v>
      </c>
      <c r="K916" s="85"/>
      <c r="L916" s="79" t="s">
        <v>244</v>
      </c>
      <c r="M916" s="17">
        <v>3</v>
      </c>
      <c r="N916" s="17"/>
      <c r="O916" s="296"/>
      <c r="P916" s="296"/>
      <c r="Q916" s="296" t="s">
        <v>127</v>
      </c>
      <c r="R916" s="17"/>
      <c r="S916" s="17"/>
      <c r="T916" s="17"/>
      <c r="U916" s="17"/>
      <c r="V916" s="289" t="str">
        <f>+CONCATENATE(E916,".",F916,"\",G916,".",H916,":",I916)</f>
        <v>1.3\0.1:6</v>
      </c>
      <c r="W916" s="17" t="s">
        <v>1924</v>
      </c>
      <c r="X916" s="17">
        <v>0</v>
      </c>
      <c r="Y916" s="17"/>
      <c r="Z916" s="17"/>
      <c r="AA916" s="17"/>
      <c r="AB916" s="17"/>
      <c r="AC916" s="17"/>
      <c r="AD916" s="17"/>
      <c r="AE916" s="17"/>
      <c r="AF916" s="17"/>
      <c r="AG916" s="64"/>
      <c r="AH916" s="64"/>
      <c r="AI916" s="64"/>
      <c r="AJ916" s="64"/>
      <c r="AK916" s="64"/>
      <c r="AL916" s="264"/>
      <c r="AM916" s="84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</row>
    <row r="917" spans="1:51" s="33" customFormat="1" x14ac:dyDescent="0.3">
      <c r="A917" s="63" t="str">
        <f>+A916</f>
        <v>BCV131</v>
      </c>
      <c r="B917" s="18" t="str">
        <f>+B916</f>
        <v>AX05</v>
      </c>
      <c r="C917" s="85" t="str">
        <f>+C916</f>
        <v>SIO1</v>
      </c>
      <c r="D917" s="85" t="str">
        <f>+D916</f>
        <v>SLC01</v>
      </c>
      <c r="E917" s="290">
        <f>+E916</f>
        <v>1</v>
      </c>
      <c r="F917" s="290">
        <f>+F916</f>
        <v>3</v>
      </c>
      <c r="G917" s="290">
        <f>+G916</f>
        <v>0</v>
      </c>
      <c r="H917" s="72">
        <f>+H916</f>
        <v>1</v>
      </c>
      <c r="I917" s="75">
        <v>7</v>
      </c>
      <c r="J917" s="74" t="s">
        <v>246</v>
      </c>
      <c r="K917" s="85"/>
      <c r="L917" s="79" t="s">
        <v>244</v>
      </c>
      <c r="M917" s="17">
        <v>3</v>
      </c>
      <c r="N917" s="17"/>
      <c r="O917" s="296"/>
      <c r="P917" s="296"/>
      <c r="Q917" s="296" t="s">
        <v>127</v>
      </c>
      <c r="R917" s="17"/>
      <c r="S917" s="17"/>
      <c r="T917" s="17"/>
      <c r="U917" s="17"/>
      <c r="V917" s="289" t="str">
        <f>+CONCATENATE(E917,".",F917,"\",G917,".",H917,":",I917)</f>
        <v>1.3\0.1:7</v>
      </c>
      <c r="W917" s="17" t="s">
        <v>1924</v>
      </c>
      <c r="X917" s="17">
        <v>0</v>
      </c>
      <c r="Y917" s="17"/>
      <c r="Z917" s="17"/>
      <c r="AA917" s="17"/>
      <c r="AB917" s="17"/>
      <c r="AC917" s="17"/>
      <c r="AD917" s="17"/>
      <c r="AE917" s="17"/>
      <c r="AF917" s="17"/>
      <c r="AG917" s="64"/>
      <c r="AH917" s="64"/>
      <c r="AI917" s="64"/>
      <c r="AJ917" s="64"/>
      <c r="AK917" s="64"/>
      <c r="AL917" s="264"/>
      <c r="AM917" s="84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</row>
    <row r="918" spans="1:51" s="33" customFormat="1" x14ac:dyDescent="0.3">
      <c r="A918" s="63" t="str">
        <f>+A917</f>
        <v>BCV131</v>
      </c>
      <c r="B918" s="18" t="str">
        <f>+B917</f>
        <v>AX05</v>
      </c>
      <c r="C918" s="85" t="str">
        <f>+C917</f>
        <v>SIO1</v>
      </c>
      <c r="D918" s="85" t="str">
        <f>+D917</f>
        <v>SLC01</v>
      </c>
      <c r="E918" s="290">
        <f>+E917</f>
        <v>1</v>
      </c>
      <c r="F918" s="290">
        <f>+F917</f>
        <v>3</v>
      </c>
      <c r="G918" s="290">
        <f>+G917</f>
        <v>0</v>
      </c>
      <c r="H918" s="72">
        <f>+H917</f>
        <v>1</v>
      </c>
      <c r="I918" s="75">
        <v>8</v>
      </c>
      <c r="J918" s="74" t="s">
        <v>245</v>
      </c>
      <c r="K918" s="85"/>
      <c r="L918" s="79" t="s">
        <v>244</v>
      </c>
      <c r="M918" s="17">
        <v>3</v>
      </c>
      <c r="N918" s="17"/>
      <c r="O918" s="296"/>
      <c r="P918" s="296"/>
      <c r="Q918" s="296" t="s">
        <v>127</v>
      </c>
      <c r="R918" s="17"/>
      <c r="S918" s="17"/>
      <c r="T918" s="17"/>
      <c r="U918" s="17"/>
      <c r="V918" s="289" t="str">
        <f>+CONCATENATE(E918,".",F918,"\",G918,".",H918,":",I918)</f>
        <v>1.3\0.1:8</v>
      </c>
      <c r="W918" s="17" t="s">
        <v>1924</v>
      </c>
      <c r="X918" s="17">
        <v>0</v>
      </c>
      <c r="Y918" s="17"/>
      <c r="Z918" s="17"/>
      <c r="AA918" s="17"/>
      <c r="AB918" s="17"/>
      <c r="AC918" s="17"/>
      <c r="AD918" s="17"/>
      <c r="AE918" s="17"/>
      <c r="AF918" s="17"/>
      <c r="AG918" s="64"/>
      <c r="AH918" s="64"/>
      <c r="AI918" s="64"/>
      <c r="AJ918" s="64"/>
      <c r="AK918" s="64"/>
      <c r="AL918" s="264"/>
      <c r="AM918" s="84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</row>
    <row r="919" spans="1:51" s="33" customFormat="1" x14ac:dyDescent="0.3">
      <c r="A919" s="63" t="str">
        <f>+A918</f>
        <v>BCV131</v>
      </c>
      <c r="B919" s="18" t="str">
        <f>+B918</f>
        <v>AX05</v>
      </c>
      <c r="C919" s="85" t="str">
        <f>+C918</f>
        <v>SIO1</v>
      </c>
      <c r="D919" s="85" t="str">
        <f>+D918</f>
        <v>SLC01</v>
      </c>
      <c r="E919" s="290">
        <f>+E918</f>
        <v>1</v>
      </c>
      <c r="F919" s="290">
        <f>+F918</f>
        <v>3</v>
      </c>
      <c r="G919" s="290">
        <f>+G918</f>
        <v>0</v>
      </c>
      <c r="H919" s="72">
        <f>+H918</f>
        <v>1</v>
      </c>
      <c r="I919" s="75">
        <v>1</v>
      </c>
      <c r="J919" s="81" t="s">
        <v>1321</v>
      </c>
      <c r="K919" s="85" t="s">
        <v>1366</v>
      </c>
      <c r="L919" s="79" t="s">
        <v>235</v>
      </c>
      <c r="M919" s="17">
        <v>3</v>
      </c>
      <c r="N919" s="18" t="s">
        <v>1928</v>
      </c>
      <c r="O919" s="17" t="s">
        <v>1929</v>
      </c>
      <c r="P919" s="17"/>
      <c r="Q919" s="17" t="s">
        <v>1335</v>
      </c>
      <c r="R919" s="17" t="s">
        <v>922</v>
      </c>
      <c r="S919" s="17"/>
      <c r="T919" s="17" t="str">
        <f>+T911</f>
        <v>BCV131</v>
      </c>
      <c r="U919" s="17"/>
      <c r="V919" s="289" t="str">
        <f>+CONCATENATE(E919,".",F919,"\",G919,".",H919,":",I919)</f>
        <v>1.3\0.1:1</v>
      </c>
      <c r="W919" s="17" t="s">
        <v>1924</v>
      </c>
      <c r="X919" s="17">
        <v>0</v>
      </c>
      <c r="Y919" s="17"/>
      <c r="Z919" s="17"/>
      <c r="AA919" s="17"/>
      <c r="AB919" s="17"/>
      <c r="AC919" s="17"/>
      <c r="AD919" s="17"/>
      <c r="AE919" s="17"/>
      <c r="AF919" s="17"/>
      <c r="AG919" s="64"/>
      <c r="AH919" s="64"/>
      <c r="AI919" s="64"/>
      <c r="AJ919" s="64"/>
      <c r="AK919" s="64"/>
      <c r="AL919" s="264"/>
      <c r="AM919" s="84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</row>
    <row r="920" spans="1:51" s="33" customFormat="1" x14ac:dyDescent="0.3">
      <c r="A920" s="63" t="str">
        <f>+A919</f>
        <v>BCV131</v>
      </c>
      <c r="B920" s="18" t="str">
        <f>+B919</f>
        <v>AX05</v>
      </c>
      <c r="C920" s="85" t="str">
        <f>+C919</f>
        <v>SIO1</v>
      </c>
      <c r="D920" s="85" t="str">
        <f>+D919</f>
        <v>SLC01</v>
      </c>
      <c r="E920" s="290">
        <f>+E919</f>
        <v>1</v>
      </c>
      <c r="F920" s="290">
        <f>+F919</f>
        <v>3</v>
      </c>
      <c r="G920" s="290">
        <f>+G919</f>
        <v>0</v>
      </c>
      <c r="H920" s="72">
        <f>+H919</f>
        <v>1</v>
      </c>
      <c r="I920" s="75">
        <v>2</v>
      </c>
      <c r="J920" s="74" t="s">
        <v>1320</v>
      </c>
      <c r="K920" s="85"/>
      <c r="L920" s="79" t="s">
        <v>235</v>
      </c>
      <c r="M920" s="17">
        <v>3</v>
      </c>
      <c r="N920" s="18" t="s">
        <v>1928</v>
      </c>
      <c r="O920" s="17" t="s">
        <v>1927</v>
      </c>
      <c r="P920" s="17"/>
      <c r="Q920" s="17" t="s">
        <v>1330</v>
      </c>
      <c r="R920" s="17" t="s">
        <v>922</v>
      </c>
      <c r="S920" s="17"/>
      <c r="T920" s="17" t="str">
        <f>+T919</f>
        <v>BCV131</v>
      </c>
      <c r="U920" s="17"/>
      <c r="V920" s="289" t="str">
        <f>+CONCATENATE(E920,".",F920,"\",G920,".",H920,":",I920)</f>
        <v>1.3\0.1:2</v>
      </c>
      <c r="W920" s="17" t="s">
        <v>1924</v>
      </c>
      <c r="X920" s="17">
        <v>0</v>
      </c>
      <c r="Y920" s="17"/>
      <c r="Z920" s="17"/>
      <c r="AA920" s="17"/>
      <c r="AB920" s="17"/>
      <c r="AC920" s="17"/>
      <c r="AD920" s="17"/>
      <c r="AE920" s="17"/>
      <c r="AF920" s="17"/>
      <c r="AG920" s="64"/>
      <c r="AH920" s="64"/>
      <c r="AI920" s="64"/>
      <c r="AJ920" s="64"/>
      <c r="AK920" s="64"/>
      <c r="AL920" s="264"/>
      <c r="AM920" s="84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</row>
    <row r="921" spans="1:51" s="33" customFormat="1" x14ac:dyDescent="0.3">
      <c r="A921" s="63" t="str">
        <f>+A920</f>
        <v>BCV131</v>
      </c>
      <c r="B921" s="18" t="str">
        <f>+B920</f>
        <v>AX05</v>
      </c>
      <c r="C921" s="85" t="str">
        <f>+C920</f>
        <v>SIO1</v>
      </c>
      <c r="D921" s="85" t="str">
        <f>+D920</f>
        <v>SLC01</v>
      </c>
      <c r="E921" s="290">
        <f>+E920</f>
        <v>1</v>
      </c>
      <c r="F921" s="290">
        <f>+F920</f>
        <v>3</v>
      </c>
      <c r="G921" s="290">
        <f>+G920</f>
        <v>0</v>
      </c>
      <c r="H921" s="72">
        <f>+H920</f>
        <v>1</v>
      </c>
      <c r="I921" s="75">
        <v>3</v>
      </c>
      <c r="J921" s="74" t="s">
        <v>1319</v>
      </c>
      <c r="K921" s="85"/>
      <c r="L921" s="79" t="s">
        <v>235</v>
      </c>
      <c r="M921" s="17">
        <v>3</v>
      </c>
      <c r="N921" s="18" t="s">
        <v>1926</v>
      </c>
      <c r="O921" s="17" t="s">
        <v>1925</v>
      </c>
      <c r="P921" s="17"/>
      <c r="Q921" s="17" t="s">
        <v>1330</v>
      </c>
      <c r="R921" s="17" t="s">
        <v>922</v>
      </c>
      <c r="S921" s="17"/>
      <c r="T921" s="17" t="str">
        <f>+T920</f>
        <v>BCV131</v>
      </c>
      <c r="U921" s="17"/>
      <c r="V921" s="289" t="str">
        <f>+CONCATENATE(E921,".",F921,"\",G921,".",H921,":",I921)</f>
        <v>1.3\0.1:3</v>
      </c>
      <c r="W921" s="17" t="s">
        <v>1924</v>
      </c>
      <c r="X921" s="17">
        <v>0</v>
      </c>
      <c r="Y921" s="17"/>
      <c r="Z921" s="17"/>
      <c r="AA921" s="17"/>
      <c r="AB921" s="17"/>
      <c r="AC921" s="17"/>
      <c r="AD921" s="17"/>
      <c r="AE921" s="17"/>
      <c r="AF921" s="17"/>
      <c r="AG921" s="64"/>
      <c r="AH921" s="64"/>
      <c r="AI921" s="64"/>
      <c r="AJ921" s="64"/>
      <c r="AK921" s="64"/>
      <c r="AL921" s="264"/>
      <c r="AM921" s="84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</row>
    <row r="922" spans="1:51" s="33" customFormat="1" ht="13.5" thickBot="1" x14ac:dyDescent="0.35">
      <c r="A922" s="63" t="str">
        <f>+A921</f>
        <v>BCV131</v>
      </c>
      <c r="B922" s="18" t="str">
        <f>+B921</f>
        <v>AX05</v>
      </c>
      <c r="C922" s="85" t="str">
        <f>+C921</f>
        <v>SIO1</v>
      </c>
      <c r="D922" s="85" t="str">
        <f>+D921</f>
        <v>SLC01</v>
      </c>
      <c r="E922" s="290">
        <f>+E921</f>
        <v>1</v>
      </c>
      <c r="F922" s="290">
        <f>+F921</f>
        <v>3</v>
      </c>
      <c r="G922" s="290">
        <f>+G921</f>
        <v>0</v>
      </c>
      <c r="H922" s="72">
        <f>+H921</f>
        <v>1</v>
      </c>
      <c r="I922" s="71">
        <v>4</v>
      </c>
      <c r="J922" s="70" t="s">
        <v>1318</v>
      </c>
      <c r="K922" s="85"/>
      <c r="L922" s="79" t="s">
        <v>235</v>
      </c>
      <c r="M922" s="17">
        <v>3</v>
      </c>
      <c r="N922" s="17"/>
      <c r="O922" s="17"/>
      <c r="P922" s="17"/>
      <c r="Q922" s="68"/>
      <c r="R922" s="68"/>
      <c r="S922" s="68"/>
      <c r="T922" s="68"/>
      <c r="U922" s="17"/>
      <c r="V922" s="289" t="str">
        <f>+CONCATENATE(E922,".",F922,"\",G922,".",H922,":",I922)</f>
        <v>1.3\0.1:4</v>
      </c>
      <c r="W922" s="17" t="s">
        <v>1924</v>
      </c>
      <c r="X922" s="17">
        <v>0</v>
      </c>
      <c r="Y922" s="17"/>
      <c r="Z922" s="17"/>
      <c r="AA922" s="17"/>
      <c r="AB922" s="17"/>
      <c r="AC922" s="17"/>
      <c r="AD922" s="17"/>
      <c r="AE922" s="17"/>
      <c r="AF922" s="17"/>
      <c r="AG922" s="64"/>
      <c r="AH922" s="64"/>
      <c r="AI922" s="64"/>
      <c r="AJ922" s="64"/>
      <c r="AK922" s="64"/>
      <c r="AL922" s="264"/>
      <c r="AM922" s="84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</row>
    <row r="923" spans="1:51" s="33" customFormat="1" x14ac:dyDescent="0.3">
      <c r="A923" s="63"/>
      <c r="B923" s="63"/>
      <c r="C923" s="63"/>
      <c r="D923" s="63"/>
      <c r="E923" s="288"/>
      <c r="F923" s="288"/>
      <c r="G923" s="288"/>
      <c r="H923" s="63"/>
      <c r="I923" s="63"/>
      <c r="J923" s="63"/>
      <c r="K923" s="17"/>
      <c r="L923" s="17"/>
      <c r="M923" s="17"/>
      <c r="N923" s="17"/>
      <c r="O923" s="68"/>
      <c r="P923" s="68"/>
      <c r="Q923" s="68"/>
      <c r="R923" s="68"/>
      <c r="S923" s="68"/>
      <c r="T923" s="68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64"/>
      <c r="AH923" s="64"/>
      <c r="AI923" s="64"/>
      <c r="AJ923" s="64"/>
      <c r="AK923" s="64"/>
      <c r="AL923" s="264"/>
      <c r="AM923" s="84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</row>
    <row r="924" spans="1:51" s="33" customFormat="1" x14ac:dyDescent="0.3">
      <c r="A924" s="63"/>
      <c r="B924" s="63"/>
      <c r="C924" s="63"/>
      <c r="D924" s="63"/>
      <c r="E924" s="288"/>
      <c r="F924" s="288"/>
      <c r="G924" s="288"/>
      <c r="H924" s="63"/>
      <c r="I924" s="63"/>
      <c r="J924" s="63"/>
      <c r="K924" s="17"/>
      <c r="L924" s="17"/>
      <c r="M924" s="17"/>
      <c r="N924" s="17"/>
      <c r="O924" s="68"/>
      <c r="P924" s="68"/>
      <c r="Q924" s="68"/>
      <c r="R924" s="68"/>
      <c r="S924" s="68"/>
      <c r="T924" s="68"/>
      <c r="U924" s="17"/>
      <c r="V924" s="17"/>
      <c r="W924" s="17"/>
      <c r="X924" s="17"/>
      <c r="Y924" s="17"/>
      <c r="Z924" s="17"/>
      <c r="AA924" s="17"/>
      <c r="AB924" s="20"/>
      <c r="AC924" s="17"/>
      <c r="AD924" s="17"/>
      <c r="AE924" s="17"/>
      <c r="AF924" s="17"/>
      <c r="AG924" s="64"/>
      <c r="AH924" s="64"/>
      <c r="AI924" s="64"/>
      <c r="AJ924" s="64"/>
      <c r="AK924" s="64"/>
      <c r="AL924" s="264"/>
      <c r="AM924" s="84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</row>
    <row r="925" spans="1:51" s="33" customFormat="1" x14ac:dyDescent="0.3">
      <c r="A925" s="63"/>
      <c r="B925" s="63"/>
      <c r="C925" s="63"/>
      <c r="D925" s="63"/>
      <c r="E925" s="288"/>
      <c r="F925" s="288"/>
      <c r="G925" s="288"/>
      <c r="H925" s="63"/>
      <c r="I925" s="63"/>
      <c r="J925" s="63"/>
      <c r="K925" s="17"/>
      <c r="L925" s="17"/>
      <c r="M925" s="17"/>
      <c r="N925" s="17"/>
      <c r="O925" s="68"/>
      <c r="P925" s="68"/>
      <c r="Q925" s="68"/>
      <c r="R925" s="68"/>
      <c r="S925" s="68"/>
      <c r="T925" s="68"/>
      <c r="U925" s="17"/>
      <c r="V925" s="17"/>
      <c r="W925" s="17"/>
      <c r="X925" s="17"/>
      <c r="Y925" s="17"/>
      <c r="Z925" s="17"/>
      <c r="AA925" s="17"/>
      <c r="AB925" s="20"/>
      <c r="AC925" s="17"/>
      <c r="AD925" s="17"/>
      <c r="AE925" s="17"/>
      <c r="AF925" s="17"/>
      <c r="AG925" s="64"/>
      <c r="AH925" s="64"/>
      <c r="AI925" s="64"/>
      <c r="AJ925" s="64"/>
      <c r="AK925" s="64"/>
      <c r="AL925" s="264"/>
      <c r="AM925" s="84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</row>
    <row r="926" spans="1:51" s="33" customFormat="1" ht="15.5" x14ac:dyDescent="0.35">
      <c r="A926" s="297"/>
      <c r="B926" s="96" t="s">
        <v>1923</v>
      </c>
      <c r="C926" s="256"/>
      <c r="D926" s="256"/>
      <c r="E926" s="256"/>
      <c r="F926" s="256"/>
      <c r="G926" s="256"/>
      <c r="H926" s="256"/>
      <c r="I926" s="256"/>
      <c r="J926" s="256"/>
      <c r="K926" s="256"/>
      <c r="L926" s="256"/>
      <c r="M926" s="256"/>
      <c r="N926" s="287"/>
      <c r="O926" s="256"/>
      <c r="P926" s="287"/>
      <c r="Q926" s="256"/>
      <c r="R926" s="256"/>
      <c r="S926" s="256"/>
      <c r="T926" s="256"/>
      <c r="U926" s="256"/>
      <c r="V926" s="256"/>
      <c r="W926" s="287"/>
      <c r="X926" s="256"/>
      <c r="Y926" s="256"/>
      <c r="Z926" s="17"/>
      <c r="AA926" s="17"/>
      <c r="AB926" s="17"/>
      <c r="AC926" s="17"/>
      <c r="AD926" s="17"/>
      <c r="AE926" s="17"/>
      <c r="AF926" s="17"/>
      <c r="AG926" s="64"/>
      <c r="AH926" s="64"/>
      <c r="AI926" s="64"/>
      <c r="AJ926" s="64"/>
      <c r="AK926" s="64"/>
      <c r="AL926" s="264"/>
      <c r="AM926" s="84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</row>
    <row r="927" spans="1:51" s="33" customFormat="1" ht="13.5" thickBot="1" x14ac:dyDescent="0.35">
      <c r="A927" s="63"/>
      <c r="B927" s="63"/>
      <c r="C927" s="63"/>
      <c r="D927" s="63"/>
      <c r="E927" s="288"/>
      <c r="F927" s="288"/>
      <c r="G927" s="288"/>
      <c r="H927" s="63"/>
      <c r="I927" s="63"/>
      <c r="J927" s="63"/>
      <c r="K927" s="17"/>
      <c r="L927" s="17"/>
      <c r="M927" s="17"/>
      <c r="N927" s="17"/>
      <c r="O927" s="68"/>
      <c r="P927" s="68"/>
      <c r="Q927" s="68"/>
      <c r="R927" s="68"/>
      <c r="S927" s="68"/>
      <c r="T927" s="68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64"/>
      <c r="AH927" s="64"/>
      <c r="AI927" s="64"/>
      <c r="AJ927" s="64"/>
      <c r="AK927" s="64"/>
      <c r="AL927" s="264"/>
      <c r="AM927" s="84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</row>
    <row r="928" spans="1:51" s="33" customFormat="1" ht="13.5" thickBot="1" x14ac:dyDescent="0.35">
      <c r="A928" s="63" t="s">
        <v>194</v>
      </c>
      <c r="B928" s="17" t="s">
        <v>1922</v>
      </c>
      <c r="C928" s="295" t="s">
        <v>271</v>
      </c>
      <c r="D928" s="290" t="s">
        <v>270</v>
      </c>
      <c r="E928" s="290">
        <v>2</v>
      </c>
      <c r="F928" s="290">
        <v>3</v>
      </c>
      <c r="G928" s="290">
        <v>0</v>
      </c>
      <c r="H928" s="89">
        <v>0</v>
      </c>
      <c r="I928" s="88" t="s">
        <v>1106</v>
      </c>
      <c r="J928" s="87"/>
      <c r="K928" s="84">
        <v>1059305</v>
      </c>
      <c r="L928" s="91" t="s">
        <v>1377</v>
      </c>
      <c r="M928" s="17">
        <v>3</v>
      </c>
      <c r="N928" s="17"/>
      <c r="O928" s="83"/>
      <c r="P928" s="83"/>
      <c r="Q928" s="68"/>
      <c r="R928" s="68"/>
      <c r="S928" s="68"/>
      <c r="T928" s="68"/>
      <c r="U928" s="17"/>
      <c r="V928" s="17"/>
      <c r="W928" s="17" t="s">
        <v>1906</v>
      </c>
      <c r="X928" s="17">
        <v>0</v>
      </c>
      <c r="Y928" s="17"/>
      <c r="Z928" s="17"/>
      <c r="AA928" s="17"/>
      <c r="AB928" s="17"/>
      <c r="AC928" s="17"/>
      <c r="AD928" s="17"/>
      <c r="AE928" s="17"/>
      <c r="AF928" s="17"/>
      <c r="AG928" s="64"/>
      <c r="AH928" s="64"/>
      <c r="AI928" s="64"/>
      <c r="AJ928" s="64"/>
      <c r="AK928" s="64"/>
      <c r="AL928" s="264"/>
      <c r="AM928" s="84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</row>
    <row r="929" spans="1:51" s="33" customFormat="1" x14ac:dyDescent="0.3">
      <c r="A929" s="63" t="str">
        <f>+A928</f>
        <v>BCV131</v>
      </c>
      <c r="B929" s="18" t="str">
        <f>+B928</f>
        <v>AX06</v>
      </c>
      <c r="C929" s="85" t="str">
        <f>+C928</f>
        <v>SIO1</v>
      </c>
      <c r="D929" s="85" t="str">
        <f>+D928</f>
        <v>SLC02</v>
      </c>
      <c r="E929" s="290">
        <f>+E928</f>
        <v>2</v>
      </c>
      <c r="F929" s="290">
        <f>+F928</f>
        <v>3</v>
      </c>
      <c r="G929" s="290">
        <f>+G928</f>
        <v>0</v>
      </c>
      <c r="H929" s="72">
        <v>1</v>
      </c>
      <c r="I929" s="77">
        <v>1</v>
      </c>
      <c r="J929" s="76" t="s">
        <v>269</v>
      </c>
      <c r="K929" s="65">
        <v>1044125</v>
      </c>
      <c r="L929" s="79" t="s">
        <v>244</v>
      </c>
      <c r="M929" s="17">
        <v>3</v>
      </c>
      <c r="N929" s="18" t="s">
        <v>1919</v>
      </c>
      <c r="O929" s="296" t="s">
        <v>1921</v>
      </c>
      <c r="P929" s="296"/>
      <c r="Q929" s="296" t="s">
        <v>1920</v>
      </c>
      <c r="R929" s="17" t="s">
        <v>211</v>
      </c>
      <c r="S929" s="17"/>
      <c r="T929" s="17" t="s">
        <v>194</v>
      </c>
      <c r="U929" s="17"/>
      <c r="V929" s="289" t="str">
        <f>+CONCATENATE(E929,".",F929,"\",G929,".",H929,":",I929)</f>
        <v>2.3\0.1:1</v>
      </c>
      <c r="W929" s="17" t="s">
        <v>1906</v>
      </c>
      <c r="X929" s="17">
        <v>0</v>
      </c>
      <c r="Y929" s="17"/>
      <c r="Z929" s="17"/>
      <c r="AA929" s="17"/>
      <c r="AB929" s="17"/>
      <c r="AC929" s="17"/>
      <c r="AD929" s="17"/>
      <c r="AE929" s="17"/>
      <c r="AF929" s="17"/>
      <c r="AG929" s="64"/>
      <c r="AH929" s="64"/>
      <c r="AI929" s="64"/>
      <c r="AJ929" s="64"/>
      <c r="AK929" s="64"/>
      <c r="AL929" s="264"/>
      <c r="AM929" s="84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</row>
    <row r="930" spans="1:51" s="33" customFormat="1" x14ac:dyDescent="0.3">
      <c r="A930" s="63" t="str">
        <f>+A929</f>
        <v>BCV131</v>
      </c>
      <c r="B930" s="18" t="str">
        <f>+B929</f>
        <v>AX06</v>
      </c>
      <c r="C930" s="85" t="str">
        <f>+C929</f>
        <v>SIO1</v>
      </c>
      <c r="D930" s="85" t="str">
        <f>+D929</f>
        <v>SLC02</v>
      </c>
      <c r="E930" s="290">
        <f>+E929</f>
        <v>2</v>
      </c>
      <c r="F930" s="290">
        <f>+F929</f>
        <v>3</v>
      </c>
      <c r="G930" s="290">
        <f>+G929</f>
        <v>0</v>
      </c>
      <c r="H930" s="72">
        <f>+H929</f>
        <v>1</v>
      </c>
      <c r="I930" s="75">
        <v>2</v>
      </c>
      <c r="J930" s="74" t="s">
        <v>265</v>
      </c>
      <c r="K930" s="84">
        <v>1047162</v>
      </c>
      <c r="L930" s="79" t="s">
        <v>244</v>
      </c>
      <c r="M930" s="17">
        <v>3</v>
      </c>
      <c r="N930" s="18" t="s">
        <v>1919</v>
      </c>
      <c r="O930" s="296" t="s">
        <v>1918</v>
      </c>
      <c r="P930" s="296"/>
      <c r="Q930" s="296" t="s">
        <v>1917</v>
      </c>
      <c r="R930" s="17" t="s">
        <v>211</v>
      </c>
      <c r="S930" s="17"/>
      <c r="T930" s="17" t="str">
        <f>+T929</f>
        <v>BCV131</v>
      </c>
      <c r="U930" s="17"/>
      <c r="V930" s="289" t="str">
        <f>+CONCATENATE(E930,".",F930,"\",G930,".",H930,":",I930)</f>
        <v>2.3\0.1:2</v>
      </c>
      <c r="W930" s="17" t="s">
        <v>1906</v>
      </c>
      <c r="X930" s="17">
        <v>0</v>
      </c>
      <c r="Y930" s="17"/>
      <c r="Z930" s="17"/>
      <c r="AA930" s="17"/>
      <c r="AB930" s="17"/>
      <c r="AC930" s="17"/>
      <c r="AD930" s="17"/>
      <c r="AE930" s="17"/>
      <c r="AF930" s="17"/>
      <c r="AG930" s="64"/>
      <c r="AH930" s="64"/>
      <c r="AI930" s="64"/>
      <c r="AJ930" s="64"/>
      <c r="AK930" s="64"/>
      <c r="AL930" s="264"/>
      <c r="AM930" s="84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</row>
    <row r="931" spans="1:51" s="33" customFormat="1" x14ac:dyDescent="0.3">
      <c r="A931" s="63" t="str">
        <f>+A930</f>
        <v>BCV131</v>
      </c>
      <c r="B931" s="18" t="str">
        <f>+B930</f>
        <v>AX06</v>
      </c>
      <c r="C931" s="85" t="str">
        <f>+C930</f>
        <v>SIO1</v>
      </c>
      <c r="D931" s="85" t="str">
        <f>+D930</f>
        <v>SLC02</v>
      </c>
      <c r="E931" s="290">
        <f>+E930</f>
        <v>2</v>
      </c>
      <c r="F931" s="290">
        <f>+F930</f>
        <v>3</v>
      </c>
      <c r="G931" s="290">
        <f>+G930</f>
        <v>0</v>
      </c>
      <c r="H931" s="72">
        <f>+H930</f>
        <v>1</v>
      </c>
      <c r="I931" s="75">
        <v>3</v>
      </c>
      <c r="J931" s="74" t="s">
        <v>261</v>
      </c>
      <c r="K931" s="85"/>
      <c r="L931" s="79" t="s">
        <v>244</v>
      </c>
      <c r="M931" s="17">
        <v>3</v>
      </c>
      <c r="N931" s="18" t="s">
        <v>1914</v>
      </c>
      <c r="O931" s="296" t="s">
        <v>1916</v>
      </c>
      <c r="P931" s="296"/>
      <c r="Q931" s="296" t="s">
        <v>1915</v>
      </c>
      <c r="R931" s="17" t="s">
        <v>211</v>
      </c>
      <c r="S931" s="17"/>
      <c r="T931" s="17" t="str">
        <f>+T930</f>
        <v>BCV131</v>
      </c>
      <c r="U931" s="17"/>
      <c r="V931" s="289" t="str">
        <f>+CONCATENATE(E931,".",F931,"\",G931,".",H931,":",I931)</f>
        <v>2.3\0.1:3</v>
      </c>
      <c r="W931" s="17" t="s">
        <v>1906</v>
      </c>
      <c r="X931" s="17">
        <v>0</v>
      </c>
      <c r="Y931" s="17"/>
      <c r="Z931" s="17"/>
      <c r="AA931" s="17"/>
      <c r="AB931" s="17"/>
      <c r="AC931" s="17"/>
      <c r="AD931" s="17"/>
      <c r="AE931" s="17"/>
      <c r="AF931" s="17"/>
      <c r="AG931" s="64"/>
      <c r="AH931" s="64"/>
      <c r="AI931" s="64"/>
      <c r="AJ931" s="64"/>
      <c r="AK931" s="64"/>
      <c r="AL931" s="264"/>
      <c r="AM931" s="84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</row>
    <row r="932" spans="1:51" s="33" customFormat="1" x14ac:dyDescent="0.3">
      <c r="A932" s="63" t="str">
        <f>+A931</f>
        <v>BCV131</v>
      </c>
      <c r="B932" s="18" t="str">
        <f>+B931</f>
        <v>AX06</v>
      </c>
      <c r="C932" s="85" t="str">
        <f>+C931</f>
        <v>SIO1</v>
      </c>
      <c r="D932" s="85" t="str">
        <f>+D931</f>
        <v>SLC02</v>
      </c>
      <c r="E932" s="290">
        <f>+E931</f>
        <v>2</v>
      </c>
      <c r="F932" s="290">
        <f>+F931</f>
        <v>3</v>
      </c>
      <c r="G932" s="290">
        <f>+G931</f>
        <v>0</v>
      </c>
      <c r="H932" s="72">
        <f>+H931</f>
        <v>1</v>
      </c>
      <c r="I932" s="75">
        <v>4</v>
      </c>
      <c r="J932" s="74" t="s">
        <v>257</v>
      </c>
      <c r="K932" s="85"/>
      <c r="L932" s="79" t="s">
        <v>244</v>
      </c>
      <c r="M932" s="17">
        <v>3</v>
      </c>
      <c r="N932" s="18" t="s">
        <v>1914</v>
      </c>
      <c r="O932" s="296" t="s">
        <v>1913</v>
      </c>
      <c r="P932" s="296"/>
      <c r="Q932" s="296" t="s">
        <v>1912</v>
      </c>
      <c r="R932" s="17" t="s">
        <v>211</v>
      </c>
      <c r="S932" s="17"/>
      <c r="T932" s="17" t="str">
        <f>+T931</f>
        <v>BCV131</v>
      </c>
      <c r="U932" s="17"/>
      <c r="V932" s="289" t="str">
        <f>+CONCATENATE(E932,".",F932,"\",G932,".",H932,":",I932)</f>
        <v>2.3\0.1:4</v>
      </c>
      <c r="W932" s="17" t="s">
        <v>1906</v>
      </c>
      <c r="X932" s="17">
        <v>0</v>
      </c>
      <c r="Y932" s="17"/>
      <c r="Z932" s="17"/>
      <c r="AA932" s="17"/>
      <c r="AB932" s="17"/>
      <c r="AC932" s="17"/>
      <c r="AD932" s="17"/>
      <c r="AE932" s="17"/>
      <c r="AF932" s="17"/>
      <c r="AG932" s="64"/>
      <c r="AH932" s="64"/>
      <c r="AI932" s="64"/>
      <c r="AJ932" s="64"/>
      <c r="AK932" s="64"/>
      <c r="AL932" s="264"/>
      <c r="AM932" s="84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</row>
    <row r="933" spans="1:51" s="33" customFormat="1" x14ac:dyDescent="0.3">
      <c r="A933" s="63" t="str">
        <f>+A932</f>
        <v>BCV131</v>
      </c>
      <c r="B933" s="18" t="str">
        <f>+B932</f>
        <v>AX06</v>
      </c>
      <c r="C933" s="85" t="str">
        <f>+C932</f>
        <v>SIO1</v>
      </c>
      <c r="D933" s="85" t="str">
        <f>+D932</f>
        <v>SLC02</v>
      </c>
      <c r="E933" s="290">
        <f>+E932</f>
        <v>2</v>
      </c>
      <c r="F933" s="290">
        <f>+F932</f>
        <v>3</v>
      </c>
      <c r="G933" s="290">
        <f>+G932</f>
        <v>0</v>
      </c>
      <c r="H933" s="72">
        <f>+H932</f>
        <v>1</v>
      </c>
      <c r="I933" s="75">
        <v>5</v>
      </c>
      <c r="J933" s="74" t="s">
        <v>1325</v>
      </c>
      <c r="K933" s="85"/>
      <c r="L933" s="79" t="s">
        <v>244</v>
      </c>
      <c r="M933" s="17">
        <v>3</v>
      </c>
      <c r="N933" s="17"/>
      <c r="O933" s="296"/>
      <c r="P933" s="296"/>
      <c r="Q933" s="296" t="s">
        <v>127</v>
      </c>
      <c r="R933" s="17"/>
      <c r="S933" s="17"/>
      <c r="T933" s="17"/>
      <c r="U933" s="17"/>
      <c r="V933" s="289" t="str">
        <f>+CONCATENATE(E933,".",F933,"\",G933,".",H933,":",I933)</f>
        <v>2.3\0.1:5</v>
      </c>
      <c r="W933" s="17" t="s">
        <v>1906</v>
      </c>
      <c r="X933" s="17">
        <v>0</v>
      </c>
      <c r="Y933" s="17"/>
      <c r="Z933" s="17"/>
      <c r="AA933" s="17"/>
      <c r="AB933" s="17"/>
      <c r="AC933" s="17"/>
      <c r="AD933" s="17"/>
      <c r="AE933" s="17"/>
      <c r="AF933" s="17"/>
      <c r="AG933" s="64"/>
      <c r="AH933" s="64"/>
      <c r="AI933" s="64"/>
      <c r="AJ933" s="64"/>
      <c r="AK933" s="64"/>
      <c r="AL933" s="264"/>
      <c r="AM933" s="84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</row>
    <row r="934" spans="1:51" s="33" customFormat="1" x14ac:dyDescent="0.3">
      <c r="A934" s="63" t="str">
        <f>+A933</f>
        <v>BCV131</v>
      </c>
      <c r="B934" s="18" t="str">
        <f>+B933</f>
        <v>AX06</v>
      </c>
      <c r="C934" s="85" t="str">
        <f>+C933</f>
        <v>SIO1</v>
      </c>
      <c r="D934" s="85" t="str">
        <f>+D933</f>
        <v>SLC02</v>
      </c>
      <c r="E934" s="290">
        <f>+E933</f>
        <v>2</v>
      </c>
      <c r="F934" s="290">
        <f>+F933</f>
        <v>3</v>
      </c>
      <c r="G934" s="290">
        <f>+G933</f>
        <v>0</v>
      </c>
      <c r="H934" s="72">
        <f>+H933</f>
        <v>1</v>
      </c>
      <c r="I934" s="75">
        <v>6</v>
      </c>
      <c r="J934" s="74" t="s">
        <v>1323</v>
      </c>
      <c r="K934" s="85"/>
      <c r="L934" s="79" t="s">
        <v>244</v>
      </c>
      <c r="M934" s="17">
        <v>3</v>
      </c>
      <c r="N934" s="17"/>
      <c r="O934" s="296"/>
      <c r="P934" s="296"/>
      <c r="Q934" s="296" t="s">
        <v>127</v>
      </c>
      <c r="R934" s="17"/>
      <c r="S934" s="17"/>
      <c r="T934" s="17"/>
      <c r="U934" s="17"/>
      <c r="V934" s="289" t="str">
        <f>+CONCATENATE(E934,".",F934,"\",G934,".",H934,":",I934)</f>
        <v>2.3\0.1:6</v>
      </c>
      <c r="W934" s="17" t="s">
        <v>1906</v>
      </c>
      <c r="X934" s="17">
        <v>0</v>
      </c>
      <c r="Y934" s="17"/>
      <c r="Z934" s="17"/>
      <c r="AA934" s="17"/>
      <c r="AB934" s="17"/>
      <c r="AC934" s="17"/>
      <c r="AD934" s="17"/>
      <c r="AE934" s="17"/>
      <c r="AF934" s="17"/>
      <c r="AG934" s="64"/>
      <c r="AH934" s="64"/>
      <c r="AI934" s="64"/>
      <c r="AJ934" s="64"/>
      <c r="AK934" s="64"/>
      <c r="AL934" s="264"/>
      <c r="AM934" s="84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</row>
    <row r="935" spans="1:51" s="33" customFormat="1" x14ac:dyDescent="0.3">
      <c r="A935" s="63" t="str">
        <f>+A934</f>
        <v>BCV131</v>
      </c>
      <c r="B935" s="18" t="str">
        <f>+B934</f>
        <v>AX06</v>
      </c>
      <c r="C935" s="85" t="str">
        <f>+C934</f>
        <v>SIO1</v>
      </c>
      <c r="D935" s="85" t="str">
        <f>+D934</f>
        <v>SLC02</v>
      </c>
      <c r="E935" s="290">
        <f>+E934</f>
        <v>2</v>
      </c>
      <c r="F935" s="290">
        <f>+F934</f>
        <v>3</v>
      </c>
      <c r="G935" s="290">
        <f>+G934</f>
        <v>0</v>
      </c>
      <c r="H935" s="72">
        <f>+H934</f>
        <v>1</v>
      </c>
      <c r="I935" s="75">
        <v>7</v>
      </c>
      <c r="J935" s="74" t="s">
        <v>246</v>
      </c>
      <c r="K935" s="85"/>
      <c r="L935" s="79" t="s">
        <v>244</v>
      </c>
      <c r="M935" s="17">
        <v>3</v>
      </c>
      <c r="N935" s="17"/>
      <c r="O935" s="296"/>
      <c r="P935" s="296"/>
      <c r="Q935" s="296" t="s">
        <v>127</v>
      </c>
      <c r="R935" s="17"/>
      <c r="S935" s="17"/>
      <c r="T935" s="17"/>
      <c r="U935" s="17"/>
      <c r="V935" s="289" t="str">
        <f>+CONCATENATE(E935,".",F935,"\",G935,".",H935,":",I935)</f>
        <v>2.3\0.1:7</v>
      </c>
      <c r="W935" s="17" t="s">
        <v>1906</v>
      </c>
      <c r="X935" s="17">
        <v>0</v>
      </c>
      <c r="Y935" s="17"/>
      <c r="Z935" s="17"/>
      <c r="AA935" s="17"/>
      <c r="AB935" s="17"/>
      <c r="AC935" s="17"/>
      <c r="AD935" s="17"/>
      <c r="AE935" s="17"/>
      <c r="AF935" s="17"/>
      <c r="AG935" s="64"/>
      <c r="AH935" s="64"/>
      <c r="AI935" s="64"/>
      <c r="AJ935" s="64"/>
      <c r="AK935" s="64"/>
      <c r="AL935" s="264"/>
      <c r="AM935" s="84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</row>
    <row r="936" spans="1:51" s="33" customFormat="1" x14ac:dyDescent="0.3">
      <c r="A936" s="63" t="str">
        <f>+A935</f>
        <v>BCV131</v>
      </c>
      <c r="B936" s="18" t="str">
        <f>+B935</f>
        <v>AX06</v>
      </c>
      <c r="C936" s="85" t="str">
        <f>+C935</f>
        <v>SIO1</v>
      </c>
      <c r="D936" s="85" t="str">
        <f>+D935</f>
        <v>SLC02</v>
      </c>
      <c r="E936" s="290">
        <f>+E935</f>
        <v>2</v>
      </c>
      <c r="F936" s="290">
        <f>+F935</f>
        <v>3</v>
      </c>
      <c r="G936" s="290">
        <f>+G935</f>
        <v>0</v>
      </c>
      <c r="H936" s="72">
        <f>+H935</f>
        <v>1</v>
      </c>
      <c r="I936" s="75">
        <v>8</v>
      </c>
      <c r="J936" s="74" t="s">
        <v>245</v>
      </c>
      <c r="K936" s="85"/>
      <c r="L936" s="79" t="s">
        <v>244</v>
      </c>
      <c r="M936" s="17">
        <v>3</v>
      </c>
      <c r="N936" s="17"/>
      <c r="O936" s="296"/>
      <c r="P936" s="296"/>
      <c r="Q936" s="296" t="s">
        <v>127</v>
      </c>
      <c r="R936" s="17"/>
      <c r="S936" s="17"/>
      <c r="T936" s="17"/>
      <c r="U936" s="17"/>
      <c r="V936" s="289" t="str">
        <f>+CONCATENATE(E936,".",F936,"\",G936,".",H936,":",I936)</f>
        <v>2.3\0.1:8</v>
      </c>
      <c r="W936" s="17" t="s">
        <v>1906</v>
      </c>
      <c r="X936" s="17">
        <v>0</v>
      </c>
      <c r="Y936" s="17"/>
      <c r="Z936" s="17"/>
      <c r="AA936" s="17"/>
      <c r="AB936" s="17"/>
      <c r="AC936" s="17"/>
      <c r="AD936" s="17"/>
      <c r="AE936" s="17"/>
      <c r="AF936" s="17"/>
      <c r="AG936" s="64"/>
      <c r="AH936" s="64"/>
      <c r="AI936" s="64"/>
      <c r="AJ936" s="64"/>
      <c r="AK936" s="64"/>
      <c r="AL936" s="264"/>
      <c r="AM936" s="84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</row>
    <row r="937" spans="1:51" s="33" customFormat="1" x14ac:dyDescent="0.3">
      <c r="A937" s="63" t="str">
        <f>+A936</f>
        <v>BCV131</v>
      </c>
      <c r="B937" s="18" t="str">
        <f>+B936</f>
        <v>AX06</v>
      </c>
      <c r="C937" s="85" t="str">
        <f>+C936</f>
        <v>SIO1</v>
      </c>
      <c r="D937" s="85" t="str">
        <f>+D936</f>
        <v>SLC02</v>
      </c>
      <c r="E937" s="290">
        <f>+E936</f>
        <v>2</v>
      </c>
      <c r="F937" s="290">
        <f>+F936</f>
        <v>3</v>
      </c>
      <c r="G937" s="290">
        <f>+G936</f>
        <v>0</v>
      </c>
      <c r="H937" s="72">
        <f>+H936</f>
        <v>1</v>
      </c>
      <c r="I937" s="75">
        <v>1</v>
      </c>
      <c r="J937" s="81" t="s">
        <v>1321</v>
      </c>
      <c r="K937" s="85" t="s">
        <v>1366</v>
      </c>
      <c r="L937" s="79" t="s">
        <v>235</v>
      </c>
      <c r="M937" s="17">
        <v>3</v>
      </c>
      <c r="N937" s="18" t="s">
        <v>1910</v>
      </c>
      <c r="O937" s="17" t="s">
        <v>1911</v>
      </c>
      <c r="P937" s="17"/>
      <c r="Q937" s="17" t="s">
        <v>1335</v>
      </c>
      <c r="R937" s="17" t="s">
        <v>922</v>
      </c>
      <c r="S937" s="17"/>
      <c r="T937" s="17" t="str">
        <f>+T929</f>
        <v>BCV131</v>
      </c>
      <c r="U937" s="17"/>
      <c r="V937" s="289" t="str">
        <f>+CONCATENATE(E937,".",F937,"\",G937,".",H937,":",I937)</f>
        <v>2.3\0.1:1</v>
      </c>
      <c r="W937" s="17" t="s">
        <v>1906</v>
      </c>
      <c r="X937" s="17">
        <v>0</v>
      </c>
      <c r="Y937" s="17"/>
      <c r="Z937" s="17"/>
      <c r="AA937" s="17"/>
      <c r="AB937" s="17"/>
      <c r="AC937" s="17"/>
      <c r="AD937" s="17"/>
      <c r="AE937" s="17"/>
      <c r="AF937" s="17"/>
      <c r="AG937" s="64"/>
      <c r="AH937" s="64"/>
      <c r="AI937" s="64"/>
      <c r="AJ937" s="64"/>
      <c r="AK937" s="64"/>
      <c r="AL937" s="264"/>
      <c r="AM937" s="84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</row>
    <row r="938" spans="1:51" s="33" customFormat="1" x14ac:dyDescent="0.3">
      <c r="A938" s="63" t="str">
        <f>+A937</f>
        <v>BCV131</v>
      </c>
      <c r="B938" s="18" t="str">
        <f>+B937</f>
        <v>AX06</v>
      </c>
      <c r="C938" s="85" t="str">
        <f>+C937</f>
        <v>SIO1</v>
      </c>
      <c r="D938" s="85" t="str">
        <f>+D937</f>
        <v>SLC02</v>
      </c>
      <c r="E938" s="290">
        <f>+E937</f>
        <v>2</v>
      </c>
      <c r="F938" s="290">
        <f>+F937</f>
        <v>3</v>
      </c>
      <c r="G938" s="290">
        <f>+G937</f>
        <v>0</v>
      </c>
      <c r="H938" s="72">
        <f>+H937</f>
        <v>1</v>
      </c>
      <c r="I938" s="75">
        <v>2</v>
      </c>
      <c r="J938" s="74" t="s">
        <v>1320</v>
      </c>
      <c r="K938" s="85"/>
      <c r="L938" s="79" t="s">
        <v>235</v>
      </c>
      <c r="M938" s="17">
        <v>3</v>
      </c>
      <c r="N938" s="18" t="s">
        <v>1910</v>
      </c>
      <c r="O938" s="17" t="s">
        <v>1909</v>
      </c>
      <c r="P938" s="17"/>
      <c r="Q938" s="17" t="s">
        <v>1330</v>
      </c>
      <c r="R938" s="17" t="s">
        <v>922</v>
      </c>
      <c r="S938" s="17"/>
      <c r="T938" s="17" t="str">
        <f>+T937</f>
        <v>BCV131</v>
      </c>
      <c r="U938" s="17"/>
      <c r="V938" s="289" t="str">
        <f>+CONCATENATE(E938,".",F938,"\",G938,".",H938,":",I938)</f>
        <v>2.3\0.1:2</v>
      </c>
      <c r="W938" s="17" t="s">
        <v>1906</v>
      </c>
      <c r="X938" s="17">
        <v>0</v>
      </c>
      <c r="Y938" s="17"/>
      <c r="Z938" s="17"/>
      <c r="AA938" s="17"/>
      <c r="AB938" s="17"/>
      <c r="AC938" s="17"/>
      <c r="AD938" s="17"/>
      <c r="AE938" s="17"/>
      <c r="AF938" s="17"/>
      <c r="AG938" s="64"/>
      <c r="AH938" s="64"/>
      <c r="AI938" s="64"/>
      <c r="AJ938" s="64"/>
      <c r="AK938" s="64"/>
      <c r="AL938" s="264"/>
      <c r="AM938" s="84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</row>
    <row r="939" spans="1:51" s="33" customFormat="1" x14ac:dyDescent="0.3">
      <c r="A939" s="63" t="str">
        <f>+A938</f>
        <v>BCV131</v>
      </c>
      <c r="B939" s="18" t="str">
        <f>+B938</f>
        <v>AX06</v>
      </c>
      <c r="C939" s="85" t="str">
        <f>+C938</f>
        <v>SIO1</v>
      </c>
      <c r="D939" s="85" t="str">
        <f>+D938</f>
        <v>SLC02</v>
      </c>
      <c r="E939" s="290">
        <f>+E938</f>
        <v>2</v>
      </c>
      <c r="F939" s="290">
        <f>+F938</f>
        <v>3</v>
      </c>
      <c r="G939" s="290">
        <f>+G938</f>
        <v>0</v>
      </c>
      <c r="H939" s="72">
        <f>+H938</f>
        <v>1</v>
      </c>
      <c r="I939" s="75">
        <v>3</v>
      </c>
      <c r="J939" s="74" t="s">
        <v>1319</v>
      </c>
      <c r="K939" s="85"/>
      <c r="L939" s="79" t="s">
        <v>235</v>
      </c>
      <c r="M939" s="17">
        <v>3</v>
      </c>
      <c r="N939" s="18" t="s">
        <v>1908</v>
      </c>
      <c r="O939" s="17" t="s">
        <v>1907</v>
      </c>
      <c r="P939" s="17"/>
      <c r="Q939" s="17" t="s">
        <v>1330</v>
      </c>
      <c r="R939" s="17" t="s">
        <v>922</v>
      </c>
      <c r="S939" s="17"/>
      <c r="T939" s="17" t="str">
        <f>+T938</f>
        <v>BCV131</v>
      </c>
      <c r="U939" s="17"/>
      <c r="V939" s="289" t="str">
        <f>+CONCATENATE(E939,".",F939,"\",G939,".",H939,":",I939)</f>
        <v>2.3\0.1:3</v>
      </c>
      <c r="W939" s="17" t="s">
        <v>1906</v>
      </c>
      <c r="X939" s="17">
        <v>0</v>
      </c>
      <c r="Y939" s="17"/>
      <c r="Z939" s="17"/>
      <c r="AA939" s="17"/>
      <c r="AB939" s="17"/>
      <c r="AC939" s="17"/>
      <c r="AD939" s="17"/>
      <c r="AE939" s="17"/>
      <c r="AF939" s="17"/>
      <c r="AG939" s="64"/>
      <c r="AH939" s="64"/>
      <c r="AI939" s="64"/>
      <c r="AJ939" s="64"/>
      <c r="AK939" s="64"/>
      <c r="AL939" s="264"/>
      <c r="AM939" s="84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</row>
    <row r="940" spans="1:51" s="33" customFormat="1" ht="13.5" thickBot="1" x14ac:dyDescent="0.35">
      <c r="A940" s="63" t="str">
        <f>+A939</f>
        <v>BCV131</v>
      </c>
      <c r="B940" s="18" t="str">
        <f>+B939</f>
        <v>AX06</v>
      </c>
      <c r="C940" s="85" t="str">
        <f>+C939</f>
        <v>SIO1</v>
      </c>
      <c r="D940" s="85" t="str">
        <f>+D939</f>
        <v>SLC02</v>
      </c>
      <c r="E940" s="290">
        <f>+E939</f>
        <v>2</v>
      </c>
      <c r="F940" s="290">
        <f>+F939</f>
        <v>3</v>
      </c>
      <c r="G940" s="290">
        <f>+G939</f>
        <v>0</v>
      </c>
      <c r="H940" s="72">
        <f>+H939</f>
        <v>1</v>
      </c>
      <c r="I940" s="71">
        <v>4</v>
      </c>
      <c r="J940" s="70" t="s">
        <v>1318</v>
      </c>
      <c r="K940" s="85"/>
      <c r="L940" s="79" t="s">
        <v>235</v>
      </c>
      <c r="M940" s="17">
        <v>3</v>
      </c>
      <c r="N940" s="17"/>
      <c r="O940" s="17"/>
      <c r="P940" s="17"/>
      <c r="Q940" s="68"/>
      <c r="R940" s="68"/>
      <c r="S940" s="68"/>
      <c r="T940" s="68"/>
      <c r="U940" s="17"/>
      <c r="V940" s="289" t="str">
        <f>+CONCATENATE(E940,".",F940,"\",G940,".",H940,":",I940)</f>
        <v>2.3\0.1:4</v>
      </c>
      <c r="W940" s="17" t="s">
        <v>1906</v>
      </c>
      <c r="X940" s="17">
        <v>0</v>
      </c>
      <c r="Y940" s="17"/>
      <c r="Z940" s="17"/>
      <c r="AA940" s="17"/>
      <c r="AB940" s="17"/>
      <c r="AC940" s="17"/>
      <c r="AD940" s="17"/>
      <c r="AE940" s="17"/>
      <c r="AF940" s="17"/>
      <c r="AG940" s="64"/>
      <c r="AH940" s="64"/>
      <c r="AI940" s="64"/>
      <c r="AJ940" s="64"/>
      <c r="AK940" s="64"/>
      <c r="AL940" s="264"/>
      <c r="AM940" s="84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</row>
    <row r="941" spans="1:51" s="33" customFormat="1" x14ac:dyDescent="0.3">
      <c r="A941" s="63"/>
      <c r="B941" s="63"/>
      <c r="C941" s="63"/>
      <c r="D941" s="63"/>
      <c r="E941" s="288"/>
      <c r="F941" s="288"/>
      <c r="G941" s="288"/>
      <c r="H941" s="63"/>
      <c r="I941" s="63"/>
      <c r="J941" s="63"/>
      <c r="K941" s="17"/>
      <c r="L941" s="17"/>
      <c r="M941" s="17"/>
      <c r="N941" s="17"/>
      <c r="O941" s="68"/>
      <c r="P941" s="68"/>
      <c r="Q941" s="68"/>
      <c r="R941" s="68"/>
      <c r="S941" s="68"/>
      <c r="T941" s="68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64"/>
      <c r="AH941" s="64"/>
      <c r="AI941" s="64"/>
      <c r="AJ941" s="64"/>
      <c r="AK941" s="64"/>
      <c r="AL941" s="264"/>
      <c r="AM941" s="84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</row>
    <row r="942" spans="1:51" s="33" customFormat="1" x14ac:dyDescent="0.3">
      <c r="A942" s="63"/>
      <c r="B942" s="63"/>
      <c r="C942" s="63"/>
      <c r="D942" s="63"/>
      <c r="E942" s="288"/>
      <c r="F942" s="288"/>
      <c r="G942" s="288"/>
      <c r="H942" s="63"/>
      <c r="I942" s="63"/>
      <c r="J942" s="63"/>
      <c r="K942" s="17"/>
      <c r="L942" s="17"/>
      <c r="M942" s="17"/>
      <c r="N942" s="17"/>
      <c r="O942" s="68"/>
      <c r="P942" s="68"/>
      <c r="Q942" s="68"/>
      <c r="R942" s="68"/>
      <c r="S942" s="68"/>
      <c r="T942" s="68"/>
      <c r="U942" s="17"/>
      <c r="V942" s="17"/>
      <c r="W942" s="17"/>
      <c r="X942" s="17"/>
      <c r="Y942" s="17"/>
      <c r="Z942" s="17"/>
      <c r="AA942" s="17"/>
      <c r="AB942" s="20"/>
      <c r="AC942" s="17"/>
      <c r="AD942" s="17"/>
      <c r="AE942" s="17"/>
      <c r="AF942" s="17"/>
      <c r="AG942" s="64"/>
      <c r="AH942" s="64"/>
      <c r="AI942" s="64"/>
      <c r="AJ942" s="64"/>
      <c r="AK942" s="64"/>
      <c r="AL942" s="264"/>
      <c r="AM942" s="84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</row>
    <row r="943" spans="1:51" s="33" customFormat="1" x14ac:dyDescent="0.3">
      <c r="A943" s="63"/>
      <c r="B943" s="63"/>
      <c r="C943" s="63"/>
      <c r="D943" s="63"/>
      <c r="E943" s="288"/>
      <c r="F943" s="288"/>
      <c r="G943" s="288"/>
      <c r="H943" s="63"/>
      <c r="I943" s="63"/>
      <c r="J943" s="63"/>
      <c r="K943" s="17"/>
      <c r="L943" s="17"/>
      <c r="M943" s="17"/>
      <c r="N943" s="17"/>
      <c r="O943" s="68"/>
      <c r="P943" s="68"/>
      <c r="Q943" s="68"/>
      <c r="R943" s="68"/>
      <c r="S943" s="68"/>
      <c r="T943" s="68"/>
      <c r="U943" s="17"/>
      <c r="V943" s="17"/>
      <c r="W943" s="17"/>
      <c r="X943" s="17"/>
      <c r="Y943" s="17"/>
      <c r="Z943" s="17"/>
      <c r="AA943" s="17"/>
      <c r="AB943" s="20"/>
      <c r="AC943" s="17"/>
      <c r="AD943" s="17"/>
      <c r="AE943" s="17"/>
      <c r="AF943" s="17"/>
      <c r="AG943" s="64"/>
      <c r="AH943" s="64"/>
      <c r="AI943" s="64"/>
      <c r="AJ943" s="64"/>
      <c r="AK943" s="64"/>
      <c r="AL943" s="264"/>
      <c r="AM943" s="84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</row>
    <row r="944" spans="1:51" s="33" customFormat="1" ht="15.5" x14ac:dyDescent="0.35">
      <c r="A944" s="297"/>
      <c r="B944" s="96" t="s">
        <v>1905</v>
      </c>
      <c r="C944" s="256"/>
      <c r="D944" s="256"/>
      <c r="E944" s="256"/>
      <c r="F944" s="256"/>
      <c r="G944" s="256"/>
      <c r="H944" s="256"/>
      <c r="I944" s="256"/>
      <c r="J944" s="256"/>
      <c r="K944" s="256"/>
      <c r="L944" s="256"/>
      <c r="M944" s="256"/>
      <c r="N944" s="287"/>
      <c r="O944" s="256"/>
      <c r="P944" s="287"/>
      <c r="Q944" s="256"/>
      <c r="R944" s="256"/>
      <c r="S944" s="256"/>
      <c r="T944" s="256"/>
      <c r="U944" s="256"/>
      <c r="V944" s="256"/>
      <c r="W944" s="287"/>
      <c r="X944" s="256"/>
      <c r="Y944" s="256"/>
      <c r="Z944" s="17"/>
      <c r="AA944" s="17"/>
      <c r="AB944" s="17"/>
      <c r="AC944" s="17"/>
      <c r="AD944" s="17"/>
      <c r="AE944" s="17"/>
      <c r="AF944" s="17"/>
      <c r="AG944" s="64"/>
      <c r="AH944" s="64"/>
      <c r="AI944" s="64"/>
      <c r="AJ944" s="64"/>
      <c r="AK944" s="64"/>
      <c r="AL944" s="264"/>
      <c r="AM944" s="84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</row>
    <row r="945" spans="1:51" s="33" customFormat="1" ht="13.5" thickBot="1" x14ac:dyDescent="0.35">
      <c r="A945" s="63"/>
      <c r="B945" s="63"/>
      <c r="C945" s="63"/>
      <c r="D945" s="63"/>
      <c r="E945" s="288"/>
      <c r="F945" s="288"/>
      <c r="G945" s="288"/>
      <c r="H945" s="63"/>
      <c r="I945" s="63"/>
      <c r="J945" s="63"/>
      <c r="K945" s="17"/>
      <c r="L945" s="17"/>
      <c r="M945" s="17"/>
      <c r="N945" s="17"/>
      <c r="O945" s="68"/>
      <c r="P945" s="68"/>
      <c r="Q945" s="68"/>
      <c r="R945" s="68"/>
      <c r="S945" s="68"/>
      <c r="T945" s="68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64"/>
      <c r="AH945" s="64"/>
      <c r="AI945" s="64"/>
      <c r="AJ945" s="64"/>
      <c r="AK945" s="64"/>
      <c r="AL945" s="264"/>
      <c r="AM945" s="84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</row>
    <row r="946" spans="1:51" s="33" customFormat="1" ht="13.5" thickBot="1" x14ac:dyDescent="0.35">
      <c r="A946" s="63" t="s">
        <v>194</v>
      </c>
      <c r="B946" s="17" t="s">
        <v>1904</v>
      </c>
      <c r="C946" s="295" t="s">
        <v>271</v>
      </c>
      <c r="D946" s="290" t="s">
        <v>285</v>
      </c>
      <c r="E946" s="290">
        <v>1</v>
      </c>
      <c r="F946" s="290">
        <v>4</v>
      </c>
      <c r="G946" s="290">
        <v>0</v>
      </c>
      <c r="H946" s="89">
        <v>0</v>
      </c>
      <c r="I946" s="88" t="s">
        <v>1106</v>
      </c>
      <c r="J946" s="87"/>
      <c r="K946" s="84">
        <v>1059305</v>
      </c>
      <c r="L946" s="91" t="s">
        <v>1377</v>
      </c>
      <c r="M946" s="17">
        <v>3</v>
      </c>
      <c r="N946" s="17"/>
      <c r="O946" s="83"/>
      <c r="P946" s="83"/>
      <c r="Q946" s="68"/>
      <c r="R946" s="68"/>
      <c r="S946" s="68"/>
      <c r="T946" s="68"/>
      <c r="U946" s="17"/>
      <c r="V946" s="17"/>
      <c r="W946" s="18" t="s">
        <v>1888</v>
      </c>
      <c r="X946" s="17">
        <v>0</v>
      </c>
      <c r="Y946" s="17"/>
      <c r="Z946" s="17"/>
      <c r="AA946" s="17"/>
      <c r="AB946" s="17"/>
      <c r="AC946" s="17"/>
      <c r="AD946" s="17"/>
      <c r="AE946" s="17"/>
      <c r="AF946" s="17"/>
      <c r="AG946" s="64"/>
      <c r="AH946" s="64"/>
      <c r="AI946" s="64"/>
      <c r="AJ946" s="64"/>
      <c r="AK946" s="64"/>
      <c r="AL946" s="264"/>
      <c r="AM946" s="84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</row>
    <row r="947" spans="1:51" s="33" customFormat="1" x14ac:dyDescent="0.3">
      <c r="A947" s="63" t="str">
        <f>+A946</f>
        <v>BCV131</v>
      </c>
      <c r="B947" s="18" t="str">
        <f>+B946</f>
        <v>AX07</v>
      </c>
      <c r="C947" s="85" t="str">
        <f>+C946</f>
        <v>SIO1</v>
      </c>
      <c r="D947" s="85" t="str">
        <f>+D946</f>
        <v>SLC01</v>
      </c>
      <c r="E947" s="290">
        <f>+E946</f>
        <v>1</v>
      </c>
      <c r="F947" s="290">
        <f>+F946</f>
        <v>4</v>
      </c>
      <c r="G947" s="290">
        <f>+G946</f>
        <v>0</v>
      </c>
      <c r="H947" s="72">
        <v>1</v>
      </c>
      <c r="I947" s="77">
        <v>1</v>
      </c>
      <c r="J947" s="76" t="s">
        <v>269</v>
      </c>
      <c r="K947" s="65">
        <v>1044125</v>
      </c>
      <c r="L947" s="79" t="s">
        <v>244</v>
      </c>
      <c r="M947" s="17">
        <v>3</v>
      </c>
      <c r="N947" s="18" t="s">
        <v>1901</v>
      </c>
      <c r="O947" s="296" t="s">
        <v>1903</v>
      </c>
      <c r="P947" s="296"/>
      <c r="Q947" s="296" t="s">
        <v>1902</v>
      </c>
      <c r="R947" s="17" t="s">
        <v>211</v>
      </c>
      <c r="S947" s="17"/>
      <c r="T947" s="17" t="s">
        <v>194</v>
      </c>
      <c r="U947" s="17"/>
      <c r="V947" s="289" t="str">
        <f>+CONCATENATE(E947,".",F947,"\",G947,".",H947,":",I947)</f>
        <v>1.4\0.1:1</v>
      </c>
      <c r="W947" s="18" t="s">
        <v>1888</v>
      </c>
      <c r="X947" s="17">
        <v>0</v>
      </c>
      <c r="Y947" s="17"/>
      <c r="Z947" s="17"/>
      <c r="AA947" s="17"/>
      <c r="AB947" s="17"/>
      <c r="AC947" s="17"/>
      <c r="AD947" s="17"/>
      <c r="AE947" s="17"/>
      <c r="AF947" s="17"/>
      <c r="AG947" s="64"/>
      <c r="AH947" s="64"/>
      <c r="AI947" s="64"/>
      <c r="AJ947" s="64"/>
      <c r="AK947" s="64"/>
      <c r="AL947" s="264"/>
      <c r="AM947" s="84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</row>
    <row r="948" spans="1:51" s="33" customFormat="1" x14ac:dyDescent="0.3">
      <c r="A948" s="63" t="str">
        <f>+A947</f>
        <v>BCV131</v>
      </c>
      <c r="B948" s="18" t="str">
        <f>+B947</f>
        <v>AX07</v>
      </c>
      <c r="C948" s="85" t="str">
        <f>+C947</f>
        <v>SIO1</v>
      </c>
      <c r="D948" s="85" t="str">
        <f>+D947</f>
        <v>SLC01</v>
      </c>
      <c r="E948" s="290">
        <f>+E947</f>
        <v>1</v>
      </c>
      <c r="F948" s="290">
        <f>+F947</f>
        <v>4</v>
      </c>
      <c r="G948" s="290">
        <f>+G947</f>
        <v>0</v>
      </c>
      <c r="H948" s="72">
        <f>+H947</f>
        <v>1</v>
      </c>
      <c r="I948" s="75">
        <v>2</v>
      </c>
      <c r="J948" s="74" t="s">
        <v>265</v>
      </c>
      <c r="K948" s="84">
        <v>1047162</v>
      </c>
      <c r="L948" s="79" t="s">
        <v>244</v>
      </c>
      <c r="M948" s="17">
        <v>3</v>
      </c>
      <c r="N948" s="18" t="s">
        <v>1901</v>
      </c>
      <c r="O948" s="296" t="s">
        <v>1900</v>
      </c>
      <c r="P948" s="296"/>
      <c r="Q948" s="296" t="s">
        <v>1899</v>
      </c>
      <c r="R948" s="17" t="s">
        <v>211</v>
      </c>
      <c r="S948" s="17"/>
      <c r="T948" s="17" t="str">
        <f>+T947</f>
        <v>BCV131</v>
      </c>
      <c r="U948" s="17"/>
      <c r="V948" s="289" t="str">
        <f>+CONCATENATE(E948,".",F948,"\",G948,".",H948,":",I948)</f>
        <v>1.4\0.1:2</v>
      </c>
      <c r="W948" s="18" t="s">
        <v>1888</v>
      </c>
      <c r="X948" s="17">
        <v>0</v>
      </c>
      <c r="Y948" s="17"/>
      <c r="Z948" s="17"/>
      <c r="AA948" s="17"/>
      <c r="AB948" s="17"/>
      <c r="AC948" s="17"/>
      <c r="AD948" s="17"/>
      <c r="AE948" s="17"/>
      <c r="AF948" s="17"/>
      <c r="AG948" s="64"/>
      <c r="AH948" s="64"/>
      <c r="AI948" s="64"/>
      <c r="AJ948" s="64"/>
      <c r="AK948" s="64"/>
      <c r="AL948" s="264"/>
      <c r="AM948" s="84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</row>
    <row r="949" spans="1:51" s="33" customFormat="1" x14ac:dyDescent="0.3">
      <c r="A949" s="63" t="str">
        <f>+A948</f>
        <v>BCV131</v>
      </c>
      <c r="B949" s="18" t="str">
        <f>+B948</f>
        <v>AX07</v>
      </c>
      <c r="C949" s="85" t="str">
        <f>+C948</f>
        <v>SIO1</v>
      </c>
      <c r="D949" s="85" t="str">
        <f>+D948</f>
        <v>SLC01</v>
      </c>
      <c r="E949" s="290">
        <f>+E948</f>
        <v>1</v>
      </c>
      <c r="F949" s="290">
        <f>+F948</f>
        <v>4</v>
      </c>
      <c r="G949" s="290">
        <f>+G948</f>
        <v>0</v>
      </c>
      <c r="H949" s="72">
        <f>+H948</f>
        <v>1</v>
      </c>
      <c r="I949" s="75">
        <v>3</v>
      </c>
      <c r="J949" s="74" t="s">
        <v>261</v>
      </c>
      <c r="K949" s="85"/>
      <c r="L949" s="79" t="s">
        <v>244</v>
      </c>
      <c r="M949" s="17">
        <v>3</v>
      </c>
      <c r="N949" s="18" t="s">
        <v>1896</v>
      </c>
      <c r="O949" s="296" t="s">
        <v>1898</v>
      </c>
      <c r="P949" s="296"/>
      <c r="Q949" s="296" t="s">
        <v>1897</v>
      </c>
      <c r="R949" s="17" t="s">
        <v>211</v>
      </c>
      <c r="S949" s="17"/>
      <c r="T949" s="17" t="str">
        <f>+T948</f>
        <v>BCV131</v>
      </c>
      <c r="U949" s="17"/>
      <c r="V949" s="289" t="str">
        <f>+CONCATENATE(E949,".",F949,"\",G949,".",H949,":",I949)</f>
        <v>1.4\0.1:3</v>
      </c>
      <c r="W949" s="18" t="s">
        <v>1888</v>
      </c>
      <c r="X949" s="17">
        <v>0</v>
      </c>
      <c r="Y949" s="17"/>
      <c r="Z949" s="17"/>
      <c r="AA949" s="17"/>
      <c r="AB949" s="17"/>
      <c r="AC949" s="17"/>
      <c r="AD949" s="17"/>
      <c r="AE949" s="17"/>
      <c r="AF949" s="17"/>
      <c r="AG949" s="64"/>
      <c r="AH949" s="64"/>
      <c r="AI949" s="64"/>
      <c r="AJ949" s="64"/>
      <c r="AK949" s="64"/>
      <c r="AL949" s="264"/>
      <c r="AM949" s="84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</row>
    <row r="950" spans="1:51" s="33" customFormat="1" x14ac:dyDescent="0.3">
      <c r="A950" s="63" t="str">
        <f>+A949</f>
        <v>BCV131</v>
      </c>
      <c r="B950" s="18" t="str">
        <f>+B949</f>
        <v>AX07</v>
      </c>
      <c r="C950" s="85" t="str">
        <f>+C949</f>
        <v>SIO1</v>
      </c>
      <c r="D950" s="85" t="str">
        <f>+D949</f>
        <v>SLC01</v>
      </c>
      <c r="E950" s="290">
        <f>+E949</f>
        <v>1</v>
      </c>
      <c r="F950" s="290">
        <f>+F949</f>
        <v>4</v>
      </c>
      <c r="G950" s="290">
        <f>+G949</f>
        <v>0</v>
      </c>
      <c r="H950" s="72">
        <f>+H949</f>
        <v>1</v>
      </c>
      <c r="I950" s="75">
        <v>4</v>
      </c>
      <c r="J950" s="74" t="s">
        <v>257</v>
      </c>
      <c r="K950" s="85"/>
      <c r="L950" s="79" t="s">
        <v>244</v>
      </c>
      <c r="M950" s="17">
        <v>3</v>
      </c>
      <c r="N950" s="18" t="s">
        <v>1896</v>
      </c>
      <c r="O950" s="296" t="s">
        <v>1895</v>
      </c>
      <c r="P950" s="296"/>
      <c r="Q950" s="296" t="s">
        <v>1894</v>
      </c>
      <c r="R950" s="17" t="s">
        <v>211</v>
      </c>
      <c r="S950" s="17"/>
      <c r="T950" s="17" t="str">
        <f>+T949</f>
        <v>BCV131</v>
      </c>
      <c r="U950" s="17"/>
      <c r="V950" s="289" t="str">
        <f>+CONCATENATE(E950,".",F950,"\",G950,".",H950,":",I950)</f>
        <v>1.4\0.1:4</v>
      </c>
      <c r="W950" s="18" t="s">
        <v>1888</v>
      </c>
      <c r="X950" s="17">
        <v>0</v>
      </c>
      <c r="Y950" s="17"/>
      <c r="Z950" s="17"/>
      <c r="AA950" s="17"/>
      <c r="AB950" s="17"/>
      <c r="AC950" s="17"/>
      <c r="AD950" s="17"/>
      <c r="AE950" s="17"/>
      <c r="AF950" s="17"/>
      <c r="AG950" s="64"/>
      <c r="AH950" s="64"/>
      <c r="AI950" s="64"/>
      <c r="AJ950" s="64"/>
      <c r="AK950" s="64"/>
      <c r="AL950" s="264"/>
      <c r="AM950" s="84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</row>
    <row r="951" spans="1:51" s="33" customFormat="1" x14ac:dyDescent="0.3">
      <c r="A951" s="63" t="str">
        <f>+A950</f>
        <v>BCV131</v>
      </c>
      <c r="B951" s="18" t="str">
        <f>+B950</f>
        <v>AX07</v>
      </c>
      <c r="C951" s="85" t="str">
        <f>+C950</f>
        <v>SIO1</v>
      </c>
      <c r="D951" s="85" t="str">
        <f>+D950</f>
        <v>SLC01</v>
      </c>
      <c r="E951" s="290">
        <f>+E950</f>
        <v>1</v>
      </c>
      <c r="F951" s="290">
        <f>+F950</f>
        <v>4</v>
      </c>
      <c r="G951" s="290">
        <f>+G950</f>
        <v>0</v>
      </c>
      <c r="H951" s="72">
        <f>+H950</f>
        <v>1</v>
      </c>
      <c r="I951" s="75">
        <v>5</v>
      </c>
      <c r="J951" s="74" t="s">
        <v>1325</v>
      </c>
      <c r="K951" s="85"/>
      <c r="L951" s="79" t="s">
        <v>244</v>
      </c>
      <c r="M951" s="17">
        <v>3</v>
      </c>
      <c r="N951" s="17"/>
      <c r="O951" s="296"/>
      <c r="P951" s="296"/>
      <c r="Q951" s="296" t="s">
        <v>127</v>
      </c>
      <c r="R951" s="17"/>
      <c r="S951" s="17"/>
      <c r="T951" s="17"/>
      <c r="U951" s="17"/>
      <c r="V951" s="289" t="str">
        <f>+CONCATENATE(E951,".",F951,"\",G951,".",H951,":",I951)</f>
        <v>1.4\0.1:5</v>
      </c>
      <c r="W951" s="18" t="s">
        <v>1888</v>
      </c>
      <c r="X951" s="17">
        <v>0</v>
      </c>
      <c r="Y951" s="17"/>
      <c r="Z951" s="17"/>
      <c r="AA951" s="17"/>
      <c r="AB951" s="17"/>
      <c r="AC951" s="17"/>
      <c r="AD951" s="17"/>
      <c r="AE951" s="17"/>
      <c r="AF951" s="17"/>
      <c r="AG951" s="64"/>
      <c r="AH951" s="64"/>
      <c r="AI951" s="64"/>
      <c r="AJ951" s="64"/>
      <c r="AK951" s="64"/>
      <c r="AL951" s="264"/>
      <c r="AM951" s="84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</row>
    <row r="952" spans="1:51" s="33" customFormat="1" x14ac:dyDescent="0.3">
      <c r="A952" s="63" t="str">
        <f>+A951</f>
        <v>BCV131</v>
      </c>
      <c r="B952" s="18" t="str">
        <f>+B951</f>
        <v>AX07</v>
      </c>
      <c r="C952" s="85" t="str">
        <f>+C951</f>
        <v>SIO1</v>
      </c>
      <c r="D952" s="85" t="str">
        <f>+D951</f>
        <v>SLC01</v>
      </c>
      <c r="E952" s="290">
        <f>+E951</f>
        <v>1</v>
      </c>
      <c r="F952" s="290">
        <f>+F951</f>
        <v>4</v>
      </c>
      <c r="G952" s="290">
        <f>+G951</f>
        <v>0</v>
      </c>
      <c r="H952" s="72">
        <f>+H951</f>
        <v>1</v>
      </c>
      <c r="I952" s="75">
        <v>6</v>
      </c>
      <c r="J952" s="74" t="s">
        <v>1323</v>
      </c>
      <c r="K952" s="85"/>
      <c r="L952" s="79" t="s">
        <v>244</v>
      </c>
      <c r="M952" s="17">
        <v>3</v>
      </c>
      <c r="N952" s="17"/>
      <c r="O952" s="296"/>
      <c r="P952" s="296"/>
      <c r="Q952" s="296" t="s">
        <v>127</v>
      </c>
      <c r="R952" s="17"/>
      <c r="S952" s="17"/>
      <c r="T952" s="17"/>
      <c r="U952" s="17"/>
      <c r="V952" s="289" t="str">
        <f>+CONCATENATE(E952,".",F952,"\",G952,".",H952,":",I952)</f>
        <v>1.4\0.1:6</v>
      </c>
      <c r="W952" s="18" t="s">
        <v>1888</v>
      </c>
      <c r="X952" s="17">
        <v>0</v>
      </c>
      <c r="Y952" s="17"/>
      <c r="Z952" s="17"/>
      <c r="AA952" s="17"/>
      <c r="AB952" s="17"/>
      <c r="AC952" s="17"/>
      <c r="AD952" s="17"/>
      <c r="AE952" s="17"/>
      <c r="AF952" s="17"/>
      <c r="AG952" s="64"/>
      <c r="AH952" s="64"/>
      <c r="AI952" s="64"/>
      <c r="AJ952" s="64"/>
      <c r="AK952" s="64"/>
      <c r="AL952" s="264"/>
      <c r="AM952" s="84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</row>
    <row r="953" spans="1:51" s="33" customFormat="1" x14ac:dyDescent="0.3">
      <c r="A953" s="63" t="str">
        <f>+A952</f>
        <v>BCV131</v>
      </c>
      <c r="B953" s="18" t="str">
        <f>+B952</f>
        <v>AX07</v>
      </c>
      <c r="C953" s="85" t="str">
        <f>+C952</f>
        <v>SIO1</v>
      </c>
      <c r="D953" s="85" t="str">
        <f>+D952</f>
        <v>SLC01</v>
      </c>
      <c r="E953" s="290">
        <f>+E952</f>
        <v>1</v>
      </c>
      <c r="F953" s="290">
        <f>+F952</f>
        <v>4</v>
      </c>
      <c r="G953" s="290">
        <f>+G952</f>
        <v>0</v>
      </c>
      <c r="H953" s="72">
        <f>+H952</f>
        <v>1</v>
      </c>
      <c r="I953" s="75">
        <v>7</v>
      </c>
      <c r="J953" s="74" t="s">
        <v>246</v>
      </c>
      <c r="K953" s="85"/>
      <c r="L953" s="79" t="s">
        <v>244</v>
      </c>
      <c r="M953" s="17">
        <v>3</v>
      </c>
      <c r="N953" s="17"/>
      <c r="O953" s="296"/>
      <c r="P953" s="296"/>
      <c r="Q953" s="296" t="s">
        <v>127</v>
      </c>
      <c r="R953" s="17"/>
      <c r="S953" s="17"/>
      <c r="T953" s="17"/>
      <c r="U953" s="17"/>
      <c r="V953" s="289" t="str">
        <f>+CONCATENATE(E953,".",F953,"\",G953,".",H953,":",I953)</f>
        <v>1.4\0.1:7</v>
      </c>
      <c r="W953" s="18" t="s">
        <v>1888</v>
      </c>
      <c r="X953" s="17">
        <v>0</v>
      </c>
      <c r="Y953" s="17"/>
      <c r="Z953" s="17"/>
      <c r="AA953" s="17"/>
      <c r="AB953" s="17"/>
      <c r="AC953" s="17"/>
      <c r="AD953" s="17"/>
      <c r="AE953" s="17"/>
      <c r="AF953" s="17"/>
      <c r="AG953" s="64"/>
      <c r="AH953" s="64"/>
      <c r="AI953" s="64"/>
      <c r="AJ953" s="64"/>
      <c r="AK953" s="64"/>
      <c r="AL953" s="264"/>
      <c r="AM953" s="84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</row>
    <row r="954" spans="1:51" s="33" customFormat="1" x14ac:dyDescent="0.3">
      <c r="A954" s="63" t="str">
        <f>+A953</f>
        <v>BCV131</v>
      </c>
      <c r="B954" s="18" t="str">
        <f>+B953</f>
        <v>AX07</v>
      </c>
      <c r="C954" s="85" t="str">
        <f>+C953</f>
        <v>SIO1</v>
      </c>
      <c r="D954" s="85" t="str">
        <f>+D953</f>
        <v>SLC01</v>
      </c>
      <c r="E954" s="290">
        <f>+E953</f>
        <v>1</v>
      </c>
      <c r="F954" s="290">
        <f>+F953</f>
        <v>4</v>
      </c>
      <c r="G954" s="290">
        <f>+G953</f>
        <v>0</v>
      </c>
      <c r="H954" s="72">
        <f>+H953</f>
        <v>1</v>
      </c>
      <c r="I954" s="75">
        <v>8</v>
      </c>
      <c r="J954" s="74" t="s">
        <v>245</v>
      </c>
      <c r="K954" s="85"/>
      <c r="L954" s="79" t="s">
        <v>244</v>
      </c>
      <c r="M954" s="17">
        <v>3</v>
      </c>
      <c r="N954" s="17"/>
      <c r="O954" s="296"/>
      <c r="P954" s="296"/>
      <c r="Q954" s="296" t="s">
        <v>127</v>
      </c>
      <c r="R954" s="17"/>
      <c r="S954" s="17"/>
      <c r="T954" s="17"/>
      <c r="U954" s="17"/>
      <c r="V954" s="289" t="str">
        <f>+CONCATENATE(E954,".",F954,"\",G954,".",H954,":",I954)</f>
        <v>1.4\0.1:8</v>
      </c>
      <c r="W954" s="18" t="s">
        <v>1888</v>
      </c>
      <c r="X954" s="17">
        <v>0</v>
      </c>
      <c r="Y954" s="17"/>
      <c r="Z954" s="17"/>
      <c r="AA954" s="17"/>
      <c r="AB954" s="17"/>
      <c r="AC954" s="17"/>
      <c r="AD954" s="17"/>
      <c r="AE954" s="17"/>
      <c r="AF954" s="17"/>
      <c r="AG954" s="64"/>
      <c r="AH954" s="64"/>
      <c r="AI954" s="64"/>
      <c r="AJ954" s="64"/>
      <c r="AK954" s="64"/>
      <c r="AL954" s="264"/>
      <c r="AM954" s="84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</row>
    <row r="955" spans="1:51" s="33" customFormat="1" x14ac:dyDescent="0.3">
      <c r="A955" s="63" t="str">
        <f>+A954</f>
        <v>BCV131</v>
      </c>
      <c r="B955" s="18" t="str">
        <f>+B954</f>
        <v>AX07</v>
      </c>
      <c r="C955" s="85" t="str">
        <f>+C954</f>
        <v>SIO1</v>
      </c>
      <c r="D955" s="85" t="str">
        <f>+D954</f>
        <v>SLC01</v>
      </c>
      <c r="E955" s="290">
        <f>+E954</f>
        <v>1</v>
      </c>
      <c r="F955" s="290">
        <f>+F954</f>
        <v>4</v>
      </c>
      <c r="G955" s="290">
        <f>+G954</f>
        <v>0</v>
      </c>
      <c r="H955" s="72">
        <f>+H954</f>
        <v>1</v>
      </c>
      <c r="I955" s="75">
        <v>1</v>
      </c>
      <c r="J955" s="81" t="s">
        <v>1321</v>
      </c>
      <c r="K955" s="85" t="s">
        <v>1366</v>
      </c>
      <c r="L955" s="79" t="s">
        <v>235</v>
      </c>
      <c r="M955" s="17">
        <v>3</v>
      </c>
      <c r="N955" s="18" t="s">
        <v>1892</v>
      </c>
      <c r="O955" s="17" t="s">
        <v>1893</v>
      </c>
      <c r="P955" s="17"/>
      <c r="Q955" s="17" t="s">
        <v>1335</v>
      </c>
      <c r="R955" s="17" t="s">
        <v>922</v>
      </c>
      <c r="S955" s="17"/>
      <c r="T955" s="17" t="str">
        <f>+T947</f>
        <v>BCV131</v>
      </c>
      <c r="U955" s="17"/>
      <c r="V955" s="289" t="str">
        <f>+CONCATENATE(E955,".",F955,"\",G955,".",H955,":",I955)</f>
        <v>1.4\0.1:1</v>
      </c>
      <c r="W955" s="18" t="s">
        <v>1888</v>
      </c>
      <c r="X955" s="17">
        <v>0</v>
      </c>
      <c r="Y955" s="17"/>
      <c r="Z955" s="17"/>
      <c r="AA955" s="17"/>
      <c r="AB955" s="17"/>
      <c r="AC955" s="17"/>
      <c r="AD955" s="17"/>
      <c r="AE955" s="17"/>
      <c r="AF955" s="17"/>
      <c r="AG955" s="64"/>
      <c r="AH955" s="64"/>
      <c r="AI955" s="64"/>
      <c r="AJ955" s="64"/>
      <c r="AK955" s="64"/>
      <c r="AL955" s="264"/>
      <c r="AM955" s="84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</row>
    <row r="956" spans="1:51" s="33" customFormat="1" x14ac:dyDescent="0.3">
      <c r="A956" s="63" t="str">
        <f>+A955</f>
        <v>BCV131</v>
      </c>
      <c r="B956" s="18" t="str">
        <f>+B955</f>
        <v>AX07</v>
      </c>
      <c r="C956" s="85" t="str">
        <f>+C955</f>
        <v>SIO1</v>
      </c>
      <c r="D956" s="85" t="str">
        <f>+D955</f>
        <v>SLC01</v>
      </c>
      <c r="E956" s="290">
        <f>+E955</f>
        <v>1</v>
      </c>
      <c r="F956" s="290">
        <f>+F955</f>
        <v>4</v>
      </c>
      <c r="G956" s="290">
        <f>+G955</f>
        <v>0</v>
      </c>
      <c r="H956" s="72">
        <f>+H955</f>
        <v>1</v>
      </c>
      <c r="I956" s="75">
        <v>2</v>
      </c>
      <c r="J956" s="74" t="s">
        <v>1320</v>
      </c>
      <c r="K956" s="85"/>
      <c r="L956" s="79" t="s">
        <v>235</v>
      </c>
      <c r="M956" s="17">
        <v>3</v>
      </c>
      <c r="N956" s="18" t="s">
        <v>1892</v>
      </c>
      <c r="O956" s="17" t="s">
        <v>1891</v>
      </c>
      <c r="P956" s="17"/>
      <c r="Q956" s="17" t="s">
        <v>1330</v>
      </c>
      <c r="R956" s="17" t="s">
        <v>922</v>
      </c>
      <c r="S956" s="17"/>
      <c r="T956" s="17" t="str">
        <f>+T955</f>
        <v>BCV131</v>
      </c>
      <c r="U956" s="17"/>
      <c r="V956" s="289" t="str">
        <f>+CONCATENATE(E956,".",F956,"\",G956,".",H956,":",I956)</f>
        <v>1.4\0.1:2</v>
      </c>
      <c r="W956" s="18" t="s">
        <v>1888</v>
      </c>
      <c r="X956" s="17">
        <v>0</v>
      </c>
      <c r="Y956" s="17"/>
      <c r="Z956" s="17"/>
      <c r="AA956" s="17"/>
      <c r="AB956" s="17"/>
      <c r="AC956" s="17"/>
      <c r="AD956" s="17"/>
      <c r="AE956" s="17"/>
      <c r="AF956" s="17"/>
      <c r="AG956" s="64"/>
      <c r="AH956" s="64"/>
      <c r="AI956" s="64"/>
      <c r="AJ956" s="64"/>
      <c r="AK956" s="64"/>
      <c r="AL956" s="264"/>
      <c r="AM956" s="84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</row>
    <row r="957" spans="1:51" s="33" customFormat="1" x14ac:dyDescent="0.3">
      <c r="A957" s="63" t="str">
        <f>+A956</f>
        <v>BCV131</v>
      </c>
      <c r="B957" s="18" t="str">
        <f>+B956</f>
        <v>AX07</v>
      </c>
      <c r="C957" s="85" t="str">
        <f>+C956</f>
        <v>SIO1</v>
      </c>
      <c r="D957" s="85" t="str">
        <f>+D956</f>
        <v>SLC01</v>
      </c>
      <c r="E957" s="290">
        <f>+E956</f>
        <v>1</v>
      </c>
      <c r="F957" s="290">
        <f>+F956</f>
        <v>4</v>
      </c>
      <c r="G957" s="290">
        <f>+G956</f>
        <v>0</v>
      </c>
      <c r="H957" s="72">
        <f>+H956</f>
        <v>1</v>
      </c>
      <c r="I957" s="75">
        <v>3</v>
      </c>
      <c r="J957" s="74" t="s">
        <v>1319</v>
      </c>
      <c r="K957" s="85"/>
      <c r="L957" s="79" t="s">
        <v>235</v>
      </c>
      <c r="M957" s="17">
        <v>3</v>
      </c>
      <c r="N957" s="18" t="s">
        <v>1890</v>
      </c>
      <c r="O957" s="17" t="s">
        <v>1889</v>
      </c>
      <c r="P957" s="17"/>
      <c r="Q957" s="17" t="s">
        <v>1330</v>
      </c>
      <c r="R957" s="17" t="s">
        <v>922</v>
      </c>
      <c r="S957" s="17"/>
      <c r="T957" s="17" t="str">
        <f>+T956</f>
        <v>BCV131</v>
      </c>
      <c r="U957" s="17"/>
      <c r="V957" s="289" t="str">
        <f>+CONCATENATE(E957,".",F957,"\",G957,".",H957,":",I957)</f>
        <v>1.4\0.1:3</v>
      </c>
      <c r="W957" s="18" t="s">
        <v>1888</v>
      </c>
      <c r="X957" s="17">
        <v>0</v>
      </c>
      <c r="Y957" s="17"/>
      <c r="Z957" s="17"/>
      <c r="AA957" s="17"/>
      <c r="AB957" s="17"/>
      <c r="AC957" s="17"/>
      <c r="AD957" s="17"/>
      <c r="AE957" s="17"/>
      <c r="AF957" s="17"/>
      <c r="AG957" s="64"/>
      <c r="AH957" s="64"/>
      <c r="AI957" s="64"/>
      <c r="AJ957" s="64"/>
      <c r="AK957" s="64"/>
      <c r="AL957" s="264"/>
      <c r="AM957" s="84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</row>
    <row r="958" spans="1:51" s="33" customFormat="1" ht="13.5" thickBot="1" x14ac:dyDescent="0.35">
      <c r="A958" s="63" t="str">
        <f>+A957</f>
        <v>BCV131</v>
      </c>
      <c r="B958" s="18" t="str">
        <f>+B957</f>
        <v>AX07</v>
      </c>
      <c r="C958" s="85" t="str">
        <f>+C957</f>
        <v>SIO1</v>
      </c>
      <c r="D958" s="85" t="str">
        <f>+D957</f>
        <v>SLC01</v>
      </c>
      <c r="E958" s="290">
        <f>+E957</f>
        <v>1</v>
      </c>
      <c r="F958" s="290">
        <f>+F957</f>
        <v>4</v>
      </c>
      <c r="G958" s="290">
        <f>+G957</f>
        <v>0</v>
      </c>
      <c r="H958" s="72">
        <f>+H957</f>
        <v>1</v>
      </c>
      <c r="I958" s="71">
        <v>4</v>
      </c>
      <c r="J958" s="70" t="s">
        <v>1318</v>
      </c>
      <c r="K958" s="85"/>
      <c r="L958" s="79" t="s">
        <v>235</v>
      </c>
      <c r="M958" s="17">
        <v>3</v>
      </c>
      <c r="N958" s="17"/>
      <c r="O958" s="17"/>
      <c r="P958" s="17"/>
      <c r="Q958" s="68"/>
      <c r="R958" s="68"/>
      <c r="S958" s="68"/>
      <c r="T958" s="68"/>
      <c r="U958" s="17"/>
      <c r="V958" s="289" t="str">
        <f>+CONCATENATE(E958,".",F958,"\",G958,".",H958,":",I958)</f>
        <v>1.4\0.1:4</v>
      </c>
      <c r="W958" s="18" t="s">
        <v>1888</v>
      </c>
      <c r="X958" s="17">
        <v>0</v>
      </c>
      <c r="Y958" s="17"/>
      <c r="Z958" s="17"/>
      <c r="AA958" s="17"/>
      <c r="AB958" s="17"/>
      <c r="AC958" s="17"/>
      <c r="AD958" s="17"/>
      <c r="AE958" s="17"/>
      <c r="AF958" s="17"/>
      <c r="AG958" s="64"/>
      <c r="AH958" s="64"/>
      <c r="AI958" s="64"/>
      <c r="AJ958" s="64"/>
      <c r="AK958" s="64"/>
      <c r="AL958" s="264"/>
      <c r="AM958" s="84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</row>
    <row r="959" spans="1:51" s="33" customFormat="1" x14ac:dyDescent="0.3">
      <c r="A959" s="63"/>
      <c r="B959" s="63"/>
      <c r="C959" s="63"/>
      <c r="D959" s="63"/>
      <c r="E959" s="288"/>
      <c r="F959" s="288"/>
      <c r="G959" s="288"/>
      <c r="H959" s="63"/>
      <c r="I959" s="63"/>
      <c r="J959" s="63"/>
      <c r="K959" s="17"/>
      <c r="L959" s="17"/>
      <c r="M959" s="17"/>
      <c r="N959" s="17"/>
      <c r="O959" s="68"/>
      <c r="P959" s="68"/>
      <c r="Q959" s="68"/>
      <c r="R959" s="68"/>
      <c r="S959" s="68"/>
      <c r="T959" s="68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64"/>
      <c r="AH959" s="64"/>
      <c r="AI959" s="64"/>
      <c r="AJ959" s="64"/>
      <c r="AK959" s="64"/>
      <c r="AL959" s="264"/>
      <c r="AM959" s="84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</row>
    <row r="960" spans="1:51" s="33" customFormat="1" x14ac:dyDescent="0.3">
      <c r="A960" s="63"/>
      <c r="B960" s="63"/>
      <c r="C960" s="63"/>
      <c r="D960" s="63"/>
      <c r="E960" s="288"/>
      <c r="F960" s="288"/>
      <c r="G960" s="288"/>
      <c r="H960" s="63"/>
      <c r="I960" s="63"/>
      <c r="J960" s="63"/>
      <c r="K960" s="17"/>
      <c r="L960" s="17"/>
      <c r="M960" s="17"/>
      <c r="N960" s="17"/>
      <c r="O960" s="68"/>
      <c r="P960" s="68"/>
      <c r="Q960" s="68"/>
      <c r="R960" s="68"/>
      <c r="S960" s="68"/>
      <c r="T960" s="68"/>
      <c r="U960" s="17"/>
      <c r="V960" s="17"/>
      <c r="W960" s="17"/>
      <c r="X960" s="17"/>
      <c r="Y960" s="17"/>
      <c r="Z960" s="17"/>
      <c r="AA960" s="17"/>
      <c r="AB960" s="20"/>
      <c r="AC960" s="17"/>
      <c r="AD960" s="17"/>
      <c r="AE960" s="17"/>
      <c r="AF960" s="17"/>
      <c r="AG960" s="64"/>
      <c r="AH960" s="64"/>
      <c r="AI960" s="64"/>
      <c r="AJ960" s="64"/>
      <c r="AK960" s="64"/>
      <c r="AL960" s="264"/>
      <c r="AM960" s="84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</row>
    <row r="961" spans="1:51" s="33" customFormat="1" x14ac:dyDescent="0.3">
      <c r="A961" s="63"/>
      <c r="B961" s="63"/>
      <c r="C961" s="63"/>
      <c r="D961" s="63"/>
      <c r="E961" s="288"/>
      <c r="F961" s="288"/>
      <c r="G961" s="288"/>
      <c r="H961" s="63"/>
      <c r="I961" s="63"/>
      <c r="J961" s="63"/>
      <c r="K961" s="17"/>
      <c r="L961" s="17"/>
      <c r="M961" s="17"/>
      <c r="N961" s="17"/>
      <c r="O961" s="68"/>
      <c r="P961" s="68"/>
      <c r="Q961" s="68"/>
      <c r="R961" s="68"/>
      <c r="S961" s="68"/>
      <c r="T961" s="68"/>
      <c r="U961" s="17"/>
      <c r="V961" s="17"/>
      <c r="W961" s="17"/>
      <c r="X961" s="17"/>
      <c r="Y961" s="17"/>
      <c r="Z961" s="17"/>
      <c r="AA961" s="17"/>
      <c r="AB961" s="20"/>
      <c r="AC961" s="17"/>
      <c r="AD961" s="17"/>
      <c r="AE961" s="17"/>
      <c r="AF961" s="17"/>
      <c r="AG961" s="64"/>
      <c r="AH961" s="64"/>
      <c r="AI961" s="64"/>
      <c r="AJ961" s="64"/>
      <c r="AK961" s="64"/>
      <c r="AL961" s="264"/>
      <c r="AM961" s="84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</row>
    <row r="962" spans="1:51" s="33" customFormat="1" ht="15.5" x14ac:dyDescent="0.35">
      <c r="A962" s="297"/>
      <c r="B962" s="96" t="s">
        <v>1887</v>
      </c>
      <c r="C962" s="256"/>
      <c r="D962" s="256"/>
      <c r="E962" s="256"/>
      <c r="F962" s="256"/>
      <c r="G962" s="256"/>
      <c r="H962" s="256"/>
      <c r="I962" s="256"/>
      <c r="J962" s="256"/>
      <c r="K962" s="256"/>
      <c r="L962" s="256"/>
      <c r="M962" s="256"/>
      <c r="N962" s="287"/>
      <c r="O962" s="256"/>
      <c r="P962" s="287"/>
      <c r="Q962" s="256"/>
      <c r="R962" s="256"/>
      <c r="S962" s="256"/>
      <c r="T962" s="256"/>
      <c r="U962" s="256"/>
      <c r="V962" s="256"/>
      <c r="W962" s="287"/>
      <c r="X962" s="256"/>
      <c r="Y962" s="256"/>
      <c r="Z962" s="17"/>
      <c r="AA962" s="17"/>
      <c r="AB962" s="17"/>
      <c r="AC962" s="17"/>
      <c r="AD962" s="17"/>
      <c r="AE962" s="17"/>
      <c r="AF962" s="17"/>
      <c r="AG962" s="64"/>
      <c r="AH962" s="64"/>
      <c r="AI962" s="64"/>
      <c r="AJ962" s="64"/>
      <c r="AK962" s="64"/>
      <c r="AL962" s="264"/>
      <c r="AM962" s="84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</row>
    <row r="963" spans="1:51" s="33" customFormat="1" ht="13.5" thickBot="1" x14ac:dyDescent="0.35">
      <c r="A963" s="63"/>
      <c r="B963" s="63"/>
      <c r="C963" s="63"/>
      <c r="D963" s="63"/>
      <c r="E963" s="288"/>
      <c r="F963" s="288"/>
      <c r="G963" s="288"/>
      <c r="H963" s="63"/>
      <c r="I963" s="63"/>
      <c r="J963" s="63"/>
      <c r="K963" s="17"/>
      <c r="L963" s="17"/>
      <c r="M963" s="17"/>
      <c r="N963" s="17"/>
      <c r="O963" s="68"/>
      <c r="P963" s="68"/>
      <c r="Q963" s="68"/>
      <c r="R963" s="68"/>
      <c r="S963" s="68"/>
      <c r="T963" s="68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64"/>
      <c r="AH963" s="64"/>
      <c r="AI963" s="64"/>
      <c r="AJ963" s="64"/>
      <c r="AK963" s="64"/>
      <c r="AL963" s="264"/>
      <c r="AM963" s="84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</row>
    <row r="964" spans="1:51" s="33" customFormat="1" ht="13.5" thickBot="1" x14ac:dyDescent="0.35">
      <c r="A964" s="63" t="s">
        <v>194</v>
      </c>
      <c r="B964" s="17" t="s">
        <v>1886</v>
      </c>
      <c r="C964" s="295" t="s">
        <v>271</v>
      </c>
      <c r="D964" s="290" t="s">
        <v>270</v>
      </c>
      <c r="E964" s="290">
        <v>2</v>
      </c>
      <c r="F964" s="290">
        <v>4</v>
      </c>
      <c r="G964" s="290">
        <v>0</v>
      </c>
      <c r="H964" s="89">
        <v>0</v>
      </c>
      <c r="I964" s="88" t="s">
        <v>1106</v>
      </c>
      <c r="J964" s="87"/>
      <c r="K964" s="84">
        <v>1059305</v>
      </c>
      <c r="L964" s="91" t="s">
        <v>1377</v>
      </c>
      <c r="M964" s="17">
        <v>3</v>
      </c>
      <c r="N964" s="17"/>
      <c r="O964" s="83"/>
      <c r="P964" s="83"/>
      <c r="Q964" s="68"/>
      <c r="R964" s="68"/>
      <c r="S964" s="68"/>
      <c r="T964" s="68"/>
      <c r="U964" s="17"/>
      <c r="V964" s="17"/>
      <c r="W964" s="18" t="s">
        <v>1870</v>
      </c>
      <c r="X964" s="17">
        <v>0</v>
      </c>
      <c r="Y964" s="17"/>
      <c r="Z964" s="17"/>
      <c r="AA964" s="17"/>
      <c r="AB964" s="17"/>
      <c r="AC964" s="17"/>
      <c r="AD964" s="17"/>
      <c r="AE964" s="17"/>
      <c r="AF964" s="17"/>
      <c r="AG964" s="64"/>
      <c r="AH964" s="64"/>
      <c r="AI964" s="64"/>
      <c r="AJ964" s="64"/>
      <c r="AK964" s="64"/>
      <c r="AL964" s="264"/>
      <c r="AM964" s="84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</row>
    <row r="965" spans="1:51" s="33" customFormat="1" x14ac:dyDescent="0.3">
      <c r="A965" s="63" t="str">
        <f>+A964</f>
        <v>BCV131</v>
      </c>
      <c r="B965" s="18" t="str">
        <f>+B964</f>
        <v>AX08</v>
      </c>
      <c r="C965" s="85" t="str">
        <f>+C964</f>
        <v>SIO1</v>
      </c>
      <c r="D965" s="85" t="str">
        <f>+D964</f>
        <v>SLC02</v>
      </c>
      <c r="E965" s="290">
        <f>+E964</f>
        <v>2</v>
      </c>
      <c r="F965" s="290">
        <f>+F964</f>
        <v>4</v>
      </c>
      <c r="G965" s="290">
        <f>+G964</f>
        <v>0</v>
      </c>
      <c r="H965" s="72">
        <v>1</v>
      </c>
      <c r="I965" s="77">
        <v>1</v>
      </c>
      <c r="J965" s="76" t="s">
        <v>269</v>
      </c>
      <c r="K965" s="65">
        <v>1044125</v>
      </c>
      <c r="L965" s="79" t="s">
        <v>244</v>
      </c>
      <c r="M965" s="17">
        <v>3</v>
      </c>
      <c r="N965" s="18" t="s">
        <v>1883</v>
      </c>
      <c r="O965" s="296" t="s">
        <v>1885</v>
      </c>
      <c r="P965" s="296"/>
      <c r="Q965" s="296" t="s">
        <v>1884</v>
      </c>
      <c r="R965" s="17" t="s">
        <v>211</v>
      </c>
      <c r="S965" s="17"/>
      <c r="T965" s="17" t="s">
        <v>194</v>
      </c>
      <c r="U965" s="17"/>
      <c r="V965" s="289" t="str">
        <f>+CONCATENATE(E965,".",F965,"\",G965,".",H965,":",I965)</f>
        <v>2.4\0.1:1</v>
      </c>
      <c r="W965" s="18" t="s">
        <v>1870</v>
      </c>
      <c r="X965" s="17">
        <v>0</v>
      </c>
      <c r="Y965" s="17"/>
      <c r="Z965" s="17"/>
      <c r="AA965" s="17"/>
      <c r="AB965" s="17"/>
      <c r="AC965" s="17"/>
      <c r="AD965" s="17"/>
      <c r="AE965" s="17"/>
      <c r="AF965" s="17"/>
      <c r="AG965" s="64"/>
      <c r="AH965" s="64"/>
      <c r="AI965" s="64"/>
      <c r="AJ965" s="64"/>
      <c r="AK965" s="64"/>
      <c r="AL965" s="264"/>
      <c r="AM965" s="84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</row>
    <row r="966" spans="1:51" s="33" customFormat="1" x14ac:dyDescent="0.3">
      <c r="A966" s="63" t="str">
        <f>+A965</f>
        <v>BCV131</v>
      </c>
      <c r="B966" s="18" t="str">
        <f>+B965</f>
        <v>AX08</v>
      </c>
      <c r="C966" s="85" t="str">
        <f>+C965</f>
        <v>SIO1</v>
      </c>
      <c r="D966" s="85" t="str">
        <f>+D965</f>
        <v>SLC02</v>
      </c>
      <c r="E966" s="290">
        <f>+E965</f>
        <v>2</v>
      </c>
      <c r="F966" s="290">
        <f>+F965</f>
        <v>4</v>
      </c>
      <c r="G966" s="290">
        <f>+G965</f>
        <v>0</v>
      </c>
      <c r="H966" s="72">
        <f>+H965</f>
        <v>1</v>
      </c>
      <c r="I966" s="75">
        <v>2</v>
      </c>
      <c r="J966" s="74" t="s">
        <v>265</v>
      </c>
      <c r="K966" s="84">
        <v>1047162</v>
      </c>
      <c r="L966" s="79" t="s">
        <v>244</v>
      </c>
      <c r="M966" s="17">
        <v>3</v>
      </c>
      <c r="N966" s="18" t="s">
        <v>1883</v>
      </c>
      <c r="O966" s="296" t="s">
        <v>1882</v>
      </c>
      <c r="P966" s="296"/>
      <c r="Q966" s="296" t="s">
        <v>1881</v>
      </c>
      <c r="R966" s="17" t="s">
        <v>211</v>
      </c>
      <c r="S966" s="17"/>
      <c r="T966" s="17" t="str">
        <f>+T965</f>
        <v>BCV131</v>
      </c>
      <c r="U966" s="17"/>
      <c r="V966" s="289" t="str">
        <f>+CONCATENATE(E966,".",F966,"\",G966,".",H966,":",I966)</f>
        <v>2.4\0.1:2</v>
      </c>
      <c r="W966" s="18" t="s">
        <v>1870</v>
      </c>
      <c r="X966" s="17">
        <v>0</v>
      </c>
      <c r="Y966" s="17"/>
      <c r="Z966" s="17"/>
      <c r="AA966" s="17"/>
      <c r="AB966" s="17"/>
      <c r="AC966" s="17"/>
      <c r="AD966" s="17"/>
      <c r="AE966" s="17"/>
      <c r="AF966" s="17"/>
      <c r="AG966" s="64"/>
      <c r="AH966" s="64"/>
      <c r="AI966" s="64"/>
      <c r="AJ966" s="64"/>
      <c r="AK966" s="64"/>
      <c r="AL966" s="264"/>
      <c r="AM966" s="84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</row>
    <row r="967" spans="1:51" s="33" customFormat="1" x14ac:dyDescent="0.3">
      <c r="A967" s="63" t="str">
        <f>+A966</f>
        <v>BCV131</v>
      </c>
      <c r="B967" s="18" t="str">
        <f>+B966</f>
        <v>AX08</v>
      </c>
      <c r="C967" s="85" t="str">
        <f>+C966</f>
        <v>SIO1</v>
      </c>
      <c r="D967" s="85" t="str">
        <f>+D966</f>
        <v>SLC02</v>
      </c>
      <c r="E967" s="290">
        <f>+E966</f>
        <v>2</v>
      </c>
      <c r="F967" s="290">
        <f>+F966</f>
        <v>4</v>
      </c>
      <c r="G967" s="290">
        <f>+G966</f>
        <v>0</v>
      </c>
      <c r="H967" s="72">
        <f>+H966</f>
        <v>1</v>
      </c>
      <c r="I967" s="75">
        <v>3</v>
      </c>
      <c r="J967" s="74" t="s">
        <v>261</v>
      </c>
      <c r="K967" s="85"/>
      <c r="L967" s="79" t="s">
        <v>244</v>
      </c>
      <c r="M967" s="17">
        <v>3</v>
      </c>
      <c r="N967" s="18" t="s">
        <v>1878</v>
      </c>
      <c r="O967" s="296" t="s">
        <v>1880</v>
      </c>
      <c r="P967" s="296"/>
      <c r="Q967" s="296" t="s">
        <v>1879</v>
      </c>
      <c r="R967" s="17" t="s">
        <v>211</v>
      </c>
      <c r="S967" s="17"/>
      <c r="T967" s="17" t="str">
        <f>+T966</f>
        <v>BCV131</v>
      </c>
      <c r="U967" s="17"/>
      <c r="V967" s="289" t="str">
        <f>+CONCATENATE(E967,".",F967,"\",G967,".",H967,":",I967)</f>
        <v>2.4\0.1:3</v>
      </c>
      <c r="W967" s="18" t="s">
        <v>1870</v>
      </c>
      <c r="X967" s="17">
        <v>0</v>
      </c>
      <c r="Y967" s="17"/>
      <c r="Z967" s="17"/>
      <c r="AA967" s="17"/>
      <c r="AB967" s="17"/>
      <c r="AC967" s="17"/>
      <c r="AD967" s="17"/>
      <c r="AE967" s="17"/>
      <c r="AF967" s="17"/>
      <c r="AG967" s="64"/>
      <c r="AH967" s="64"/>
      <c r="AI967" s="64"/>
      <c r="AJ967" s="64"/>
      <c r="AK967" s="64"/>
      <c r="AL967" s="264"/>
      <c r="AM967" s="84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</row>
    <row r="968" spans="1:51" s="33" customFormat="1" x14ac:dyDescent="0.3">
      <c r="A968" s="63" t="str">
        <f>+A967</f>
        <v>BCV131</v>
      </c>
      <c r="B968" s="18" t="str">
        <f>+B967</f>
        <v>AX08</v>
      </c>
      <c r="C968" s="85" t="str">
        <f>+C967</f>
        <v>SIO1</v>
      </c>
      <c r="D968" s="85" t="str">
        <f>+D967</f>
        <v>SLC02</v>
      </c>
      <c r="E968" s="290">
        <f>+E967</f>
        <v>2</v>
      </c>
      <c r="F968" s="290">
        <f>+F967</f>
        <v>4</v>
      </c>
      <c r="G968" s="290">
        <f>+G967</f>
        <v>0</v>
      </c>
      <c r="H968" s="72">
        <f>+H967</f>
        <v>1</v>
      </c>
      <c r="I968" s="75">
        <v>4</v>
      </c>
      <c r="J968" s="74" t="s">
        <v>257</v>
      </c>
      <c r="K968" s="85"/>
      <c r="L968" s="79" t="s">
        <v>244</v>
      </c>
      <c r="M968" s="17">
        <v>3</v>
      </c>
      <c r="N968" s="18" t="s">
        <v>1878</v>
      </c>
      <c r="O968" s="296" t="s">
        <v>1877</v>
      </c>
      <c r="P968" s="296"/>
      <c r="Q968" s="296" t="s">
        <v>1876</v>
      </c>
      <c r="R968" s="17" t="s">
        <v>211</v>
      </c>
      <c r="S968" s="17"/>
      <c r="T968" s="17" t="str">
        <f>+T967</f>
        <v>BCV131</v>
      </c>
      <c r="U968" s="17"/>
      <c r="V968" s="289" t="str">
        <f>+CONCATENATE(E968,".",F968,"\",G968,".",H968,":",I968)</f>
        <v>2.4\0.1:4</v>
      </c>
      <c r="W968" s="18" t="s">
        <v>1870</v>
      </c>
      <c r="X968" s="17">
        <v>0</v>
      </c>
      <c r="Y968" s="17"/>
      <c r="Z968" s="17"/>
      <c r="AA968" s="17"/>
      <c r="AB968" s="17"/>
      <c r="AC968" s="17"/>
      <c r="AD968" s="17"/>
      <c r="AE968" s="17"/>
      <c r="AF968" s="17"/>
      <c r="AG968" s="64"/>
      <c r="AH968" s="64"/>
      <c r="AI968" s="64"/>
      <c r="AJ968" s="64"/>
      <c r="AK968" s="64"/>
      <c r="AL968" s="264"/>
      <c r="AM968" s="84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</row>
    <row r="969" spans="1:51" s="33" customFormat="1" x14ac:dyDescent="0.3">
      <c r="A969" s="63" t="str">
        <f>+A968</f>
        <v>BCV131</v>
      </c>
      <c r="B969" s="18" t="str">
        <f>+B968</f>
        <v>AX08</v>
      </c>
      <c r="C969" s="85" t="str">
        <f>+C968</f>
        <v>SIO1</v>
      </c>
      <c r="D969" s="85" t="str">
        <f>+D968</f>
        <v>SLC02</v>
      </c>
      <c r="E969" s="290">
        <f>+E968</f>
        <v>2</v>
      </c>
      <c r="F969" s="290">
        <f>+F968</f>
        <v>4</v>
      </c>
      <c r="G969" s="290">
        <f>+G968</f>
        <v>0</v>
      </c>
      <c r="H969" s="72">
        <f>+H968</f>
        <v>1</v>
      </c>
      <c r="I969" s="75">
        <v>5</v>
      </c>
      <c r="J969" s="74" t="s">
        <v>1325</v>
      </c>
      <c r="K969" s="85"/>
      <c r="L969" s="79" t="s">
        <v>244</v>
      </c>
      <c r="M969" s="17">
        <v>3</v>
      </c>
      <c r="N969" s="17"/>
      <c r="O969" s="296"/>
      <c r="P969" s="296"/>
      <c r="Q969" s="296" t="s">
        <v>127</v>
      </c>
      <c r="R969" s="17"/>
      <c r="S969" s="17"/>
      <c r="T969" s="17"/>
      <c r="U969" s="17"/>
      <c r="V969" s="289" t="str">
        <f>+CONCATENATE(E969,".",F969,"\",G969,".",H969,":",I969)</f>
        <v>2.4\0.1:5</v>
      </c>
      <c r="W969" s="18" t="s">
        <v>1870</v>
      </c>
      <c r="X969" s="17">
        <v>0</v>
      </c>
      <c r="Y969" s="17"/>
      <c r="Z969" s="17"/>
      <c r="AA969" s="17"/>
      <c r="AB969" s="17"/>
      <c r="AC969" s="17"/>
      <c r="AD969" s="17"/>
      <c r="AE969" s="17"/>
      <c r="AF969" s="17"/>
      <c r="AG969" s="64"/>
      <c r="AH969" s="64"/>
      <c r="AI969" s="64"/>
      <c r="AJ969" s="64"/>
      <c r="AK969" s="64"/>
      <c r="AL969" s="264"/>
      <c r="AM969" s="84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</row>
    <row r="970" spans="1:51" s="33" customFormat="1" x14ac:dyDescent="0.3">
      <c r="A970" s="63" t="str">
        <f>+A969</f>
        <v>BCV131</v>
      </c>
      <c r="B970" s="18" t="str">
        <f>+B969</f>
        <v>AX08</v>
      </c>
      <c r="C970" s="85" t="str">
        <f>+C969</f>
        <v>SIO1</v>
      </c>
      <c r="D970" s="85" t="str">
        <f>+D969</f>
        <v>SLC02</v>
      </c>
      <c r="E970" s="290">
        <f>+E969</f>
        <v>2</v>
      </c>
      <c r="F970" s="290">
        <f>+F969</f>
        <v>4</v>
      </c>
      <c r="G970" s="290">
        <f>+G969</f>
        <v>0</v>
      </c>
      <c r="H970" s="72">
        <f>+H969</f>
        <v>1</v>
      </c>
      <c r="I970" s="75">
        <v>6</v>
      </c>
      <c r="J970" s="74" t="s">
        <v>1323</v>
      </c>
      <c r="K970" s="85"/>
      <c r="L970" s="79" t="s">
        <v>244</v>
      </c>
      <c r="M970" s="17">
        <v>3</v>
      </c>
      <c r="N970" s="17"/>
      <c r="O970" s="296"/>
      <c r="P970" s="296"/>
      <c r="Q970" s="296" t="s">
        <v>127</v>
      </c>
      <c r="R970" s="17"/>
      <c r="S970" s="17"/>
      <c r="T970" s="17"/>
      <c r="U970" s="17"/>
      <c r="V970" s="289" t="str">
        <f>+CONCATENATE(E970,".",F970,"\",G970,".",H970,":",I970)</f>
        <v>2.4\0.1:6</v>
      </c>
      <c r="W970" s="18" t="s">
        <v>1870</v>
      </c>
      <c r="X970" s="17">
        <v>0</v>
      </c>
      <c r="Y970" s="17"/>
      <c r="Z970" s="17"/>
      <c r="AA970" s="17"/>
      <c r="AB970" s="17"/>
      <c r="AC970" s="17"/>
      <c r="AD970" s="17"/>
      <c r="AE970" s="17"/>
      <c r="AF970" s="17"/>
      <c r="AG970" s="64"/>
      <c r="AH970" s="64"/>
      <c r="AI970" s="64"/>
      <c r="AJ970" s="64"/>
      <c r="AK970" s="64"/>
      <c r="AL970" s="264"/>
      <c r="AM970" s="84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</row>
    <row r="971" spans="1:51" s="33" customFormat="1" x14ac:dyDescent="0.3">
      <c r="A971" s="63" t="str">
        <f>+A970</f>
        <v>BCV131</v>
      </c>
      <c r="B971" s="18" t="str">
        <f>+B970</f>
        <v>AX08</v>
      </c>
      <c r="C971" s="85" t="str">
        <f>+C970</f>
        <v>SIO1</v>
      </c>
      <c r="D971" s="85" t="str">
        <f>+D970</f>
        <v>SLC02</v>
      </c>
      <c r="E971" s="290">
        <f>+E970</f>
        <v>2</v>
      </c>
      <c r="F971" s="290">
        <f>+F970</f>
        <v>4</v>
      </c>
      <c r="G971" s="290">
        <f>+G970</f>
        <v>0</v>
      </c>
      <c r="H971" s="72">
        <f>+H970</f>
        <v>1</v>
      </c>
      <c r="I971" s="75">
        <v>7</v>
      </c>
      <c r="J971" s="74" t="s">
        <v>246</v>
      </c>
      <c r="K971" s="85"/>
      <c r="L971" s="79" t="s">
        <v>244</v>
      </c>
      <c r="M971" s="17">
        <v>3</v>
      </c>
      <c r="N971" s="17"/>
      <c r="O971" s="296"/>
      <c r="P971" s="296"/>
      <c r="Q971" s="296" t="s">
        <v>127</v>
      </c>
      <c r="R971" s="17"/>
      <c r="S971" s="17"/>
      <c r="T971" s="17"/>
      <c r="U971" s="17"/>
      <c r="V971" s="289" t="str">
        <f>+CONCATENATE(E971,".",F971,"\",G971,".",H971,":",I971)</f>
        <v>2.4\0.1:7</v>
      </c>
      <c r="W971" s="18" t="s">
        <v>1870</v>
      </c>
      <c r="X971" s="17">
        <v>0</v>
      </c>
      <c r="Y971" s="17"/>
      <c r="Z971" s="17"/>
      <c r="AA971" s="17"/>
      <c r="AB971" s="17"/>
      <c r="AC971" s="17"/>
      <c r="AD971" s="17"/>
      <c r="AE971" s="17"/>
      <c r="AF971" s="17"/>
      <c r="AG971" s="64"/>
      <c r="AH971" s="64"/>
      <c r="AI971" s="64"/>
      <c r="AJ971" s="64"/>
      <c r="AK971" s="64"/>
      <c r="AL971" s="264"/>
      <c r="AM971" s="84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</row>
    <row r="972" spans="1:51" s="33" customFormat="1" x14ac:dyDescent="0.3">
      <c r="A972" s="63" t="str">
        <f>+A971</f>
        <v>BCV131</v>
      </c>
      <c r="B972" s="18" t="str">
        <f>+B971</f>
        <v>AX08</v>
      </c>
      <c r="C972" s="85" t="str">
        <f>+C971</f>
        <v>SIO1</v>
      </c>
      <c r="D972" s="85" t="str">
        <f>+D971</f>
        <v>SLC02</v>
      </c>
      <c r="E972" s="290">
        <f>+E971</f>
        <v>2</v>
      </c>
      <c r="F972" s="290">
        <f>+F971</f>
        <v>4</v>
      </c>
      <c r="G972" s="290">
        <f>+G971</f>
        <v>0</v>
      </c>
      <c r="H972" s="72">
        <f>+H971</f>
        <v>1</v>
      </c>
      <c r="I972" s="75">
        <v>8</v>
      </c>
      <c r="J972" s="74" t="s">
        <v>245</v>
      </c>
      <c r="K972" s="85"/>
      <c r="L972" s="79" t="s">
        <v>244</v>
      </c>
      <c r="M972" s="17">
        <v>3</v>
      </c>
      <c r="N972" s="17"/>
      <c r="O972" s="296"/>
      <c r="P972" s="296"/>
      <c r="Q972" s="296" t="s">
        <v>127</v>
      </c>
      <c r="R972" s="17"/>
      <c r="S972" s="17"/>
      <c r="T972" s="17"/>
      <c r="U972" s="17"/>
      <c r="V972" s="289" t="str">
        <f>+CONCATENATE(E972,".",F972,"\",G972,".",H972,":",I972)</f>
        <v>2.4\0.1:8</v>
      </c>
      <c r="W972" s="18" t="s">
        <v>1870</v>
      </c>
      <c r="X972" s="17">
        <v>0</v>
      </c>
      <c r="Y972" s="17"/>
      <c r="Z972" s="17"/>
      <c r="AA972" s="17"/>
      <c r="AB972" s="17"/>
      <c r="AC972" s="17"/>
      <c r="AD972" s="17"/>
      <c r="AE972" s="17"/>
      <c r="AF972" s="17"/>
      <c r="AG972" s="64"/>
      <c r="AH972" s="64"/>
      <c r="AI972" s="64"/>
      <c r="AJ972" s="64"/>
      <c r="AK972" s="64"/>
      <c r="AL972" s="264"/>
      <c r="AM972" s="84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</row>
    <row r="973" spans="1:51" s="33" customFormat="1" x14ac:dyDescent="0.3">
      <c r="A973" s="63" t="str">
        <f>+A972</f>
        <v>BCV131</v>
      </c>
      <c r="B973" s="18" t="str">
        <f>+B972</f>
        <v>AX08</v>
      </c>
      <c r="C973" s="85" t="str">
        <f>+C972</f>
        <v>SIO1</v>
      </c>
      <c r="D973" s="85" t="str">
        <f>+D972</f>
        <v>SLC02</v>
      </c>
      <c r="E973" s="290">
        <f>+E972</f>
        <v>2</v>
      </c>
      <c r="F973" s="290">
        <f>+F972</f>
        <v>4</v>
      </c>
      <c r="G973" s="290">
        <f>+G972</f>
        <v>0</v>
      </c>
      <c r="H973" s="72">
        <f>+H972</f>
        <v>1</v>
      </c>
      <c r="I973" s="75">
        <v>1</v>
      </c>
      <c r="J973" s="81" t="s">
        <v>1321</v>
      </c>
      <c r="K973" s="85" t="s">
        <v>1366</v>
      </c>
      <c r="L973" s="79" t="s">
        <v>235</v>
      </c>
      <c r="M973" s="17">
        <v>3</v>
      </c>
      <c r="N973" s="18" t="s">
        <v>1874</v>
      </c>
      <c r="O973" s="17" t="s">
        <v>1875</v>
      </c>
      <c r="P973" s="17"/>
      <c r="Q973" s="17" t="s">
        <v>1335</v>
      </c>
      <c r="R973" s="17" t="s">
        <v>922</v>
      </c>
      <c r="S973" s="17"/>
      <c r="T973" s="17" t="str">
        <f>+T965</f>
        <v>BCV131</v>
      </c>
      <c r="U973" s="17"/>
      <c r="V973" s="289" t="str">
        <f>+CONCATENATE(E973,".",F973,"\",G973,".",H973,":",I973)</f>
        <v>2.4\0.1:1</v>
      </c>
      <c r="W973" s="18" t="s">
        <v>1870</v>
      </c>
      <c r="X973" s="17">
        <v>0</v>
      </c>
      <c r="Y973" s="17"/>
      <c r="Z973" s="17"/>
      <c r="AA973" s="17"/>
      <c r="AB973" s="17"/>
      <c r="AC973" s="17"/>
      <c r="AD973" s="17"/>
      <c r="AE973" s="17"/>
      <c r="AF973" s="17"/>
      <c r="AG973" s="64"/>
      <c r="AH973" s="64"/>
      <c r="AI973" s="64"/>
      <c r="AJ973" s="64"/>
      <c r="AK973" s="64"/>
      <c r="AL973" s="264"/>
      <c r="AM973" s="84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</row>
    <row r="974" spans="1:51" s="33" customFormat="1" x14ac:dyDescent="0.3">
      <c r="A974" s="63" t="str">
        <f>+A973</f>
        <v>BCV131</v>
      </c>
      <c r="B974" s="18" t="str">
        <f>+B973</f>
        <v>AX08</v>
      </c>
      <c r="C974" s="85" t="str">
        <f>+C973</f>
        <v>SIO1</v>
      </c>
      <c r="D974" s="85" t="str">
        <f>+D973</f>
        <v>SLC02</v>
      </c>
      <c r="E974" s="290">
        <f>+E973</f>
        <v>2</v>
      </c>
      <c r="F974" s="290">
        <f>+F973</f>
        <v>4</v>
      </c>
      <c r="G974" s="290">
        <f>+G973</f>
        <v>0</v>
      </c>
      <c r="H974" s="72">
        <f>+H973</f>
        <v>1</v>
      </c>
      <c r="I974" s="75">
        <v>2</v>
      </c>
      <c r="J974" s="74" t="s">
        <v>1320</v>
      </c>
      <c r="K974" s="85"/>
      <c r="L974" s="79" t="s">
        <v>235</v>
      </c>
      <c r="M974" s="17">
        <v>3</v>
      </c>
      <c r="N974" s="18" t="s">
        <v>1874</v>
      </c>
      <c r="O974" s="17" t="s">
        <v>1873</v>
      </c>
      <c r="P974" s="17"/>
      <c r="Q974" s="17" t="s">
        <v>1330</v>
      </c>
      <c r="R974" s="17" t="s">
        <v>922</v>
      </c>
      <c r="S974" s="17"/>
      <c r="T974" s="17" t="str">
        <f>+T973</f>
        <v>BCV131</v>
      </c>
      <c r="U974" s="17"/>
      <c r="V974" s="289" t="str">
        <f>+CONCATENATE(E974,".",F974,"\",G974,".",H974,":",I974)</f>
        <v>2.4\0.1:2</v>
      </c>
      <c r="W974" s="18" t="s">
        <v>1870</v>
      </c>
      <c r="X974" s="17">
        <v>0</v>
      </c>
      <c r="Y974" s="17"/>
      <c r="Z974" s="17"/>
      <c r="AA974" s="17"/>
      <c r="AB974" s="17"/>
      <c r="AC974" s="17"/>
      <c r="AD974" s="17"/>
      <c r="AE974" s="17"/>
      <c r="AF974" s="17"/>
      <c r="AG974" s="64"/>
      <c r="AH974" s="64"/>
      <c r="AI974" s="64"/>
      <c r="AJ974" s="64"/>
      <c r="AK974" s="64"/>
      <c r="AL974" s="264"/>
      <c r="AM974" s="84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</row>
    <row r="975" spans="1:51" s="33" customFormat="1" x14ac:dyDescent="0.3">
      <c r="A975" s="63" t="str">
        <f>+A974</f>
        <v>BCV131</v>
      </c>
      <c r="B975" s="18" t="str">
        <f>+B974</f>
        <v>AX08</v>
      </c>
      <c r="C975" s="85" t="str">
        <f>+C974</f>
        <v>SIO1</v>
      </c>
      <c r="D975" s="85" t="str">
        <f>+D974</f>
        <v>SLC02</v>
      </c>
      <c r="E975" s="290">
        <f>+E974</f>
        <v>2</v>
      </c>
      <c r="F975" s="290">
        <f>+F974</f>
        <v>4</v>
      </c>
      <c r="G975" s="290">
        <f>+G974</f>
        <v>0</v>
      </c>
      <c r="H975" s="72">
        <f>+H974</f>
        <v>1</v>
      </c>
      <c r="I975" s="75">
        <v>3</v>
      </c>
      <c r="J975" s="74" t="s">
        <v>1319</v>
      </c>
      <c r="K975" s="85"/>
      <c r="L975" s="79" t="s">
        <v>235</v>
      </c>
      <c r="M975" s="17">
        <v>3</v>
      </c>
      <c r="N975" s="18" t="s">
        <v>1872</v>
      </c>
      <c r="O975" s="17" t="s">
        <v>1871</v>
      </c>
      <c r="P975" s="17"/>
      <c r="Q975" s="17" t="s">
        <v>1330</v>
      </c>
      <c r="R975" s="17" t="s">
        <v>922</v>
      </c>
      <c r="S975" s="17"/>
      <c r="T975" s="17" t="str">
        <f>+T974</f>
        <v>BCV131</v>
      </c>
      <c r="U975" s="17"/>
      <c r="V975" s="289" t="str">
        <f>+CONCATENATE(E975,".",F975,"\",G975,".",H975,":",I975)</f>
        <v>2.4\0.1:3</v>
      </c>
      <c r="W975" s="18" t="s">
        <v>1870</v>
      </c>
      <c r="X975" s="17">
        <v>0</v>
      </c>
      <c r="Y975" s="17"/>
      <c r="Z975" s="17"/>
      <c r="AA975" s="17"/>
      <c r="AB975" s="17"/>
      <c r="AC975" s="17"/>
      <c r="AD975" s="17"/>
      <c r="AE975" s="17"/>
      <c r="AF975" s="17"/>
      <c r="AG975" s="64"/>
      <c r="AH975" s="64"/>
      <c r="AI975" s="64"/>
      <c r="AJ975" s="64"/>
      <c r="AK975" s="64"/>
      <c r="AL975" s="264"/>
      <c r="AM975" s="84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</row>
    <row r="976" spans="1:51" s="33" customFormat="1" ht="13.5" thickBot="1" x14ac:dyDescent="0.35">
      <c r="A976" s="63" t="str">
        <f>+A975</f>
        <v>BCV131</v>
      </c>
      <c r="B976" s="18" t="str">
        <f>+B975</f>
        <v>AX08</v>
      </c>
      <c r="C976" s="85" t="str">
        <f>+C975</f>
        <v>SIO1</v>
      </c>
      <c r="D976" s="85" t="str">
        <f>+D975</f>
        <v>SLC02</v>
      </c>
      <c r="E976" s="290">
        <f>+E975</f>
        <v>2</v>
      </c>
      <c r="F976" s="290">
        <f>+F975</f>
        <v>4</v>
      </c>
      <c r="G976" s="290">
        <f>+G975</f>
        <v>0</v>
      </c>
      <c r="H976" s="72">
        <f>+H975</f>
        <v>1</v>
      </c>
      <c r="I976" s="71">
        <v>4</v>
      </c>
      <c r="J976" s="70" t="s">
        <v>1318</v>
      </c>
      <c r="K976" s="85"/>
      <c r="L976" s="79" t="s">
        <v>235</v>
      </c>
      <c r="M976" s="17">
        <v>3</v>
      </c>
      <c r="N976" s="17"/>
      <c r="O976" s="17"/>
      <c r="P976" s="17"/>
      <c r="Q976" s="68"/>
      <c r="R976" s="68"/>
      <c r="S976" s="68"/>
      <c r="T976" s="68"/>
      <c r="U976" s="17"/>
      <c r="V976" s="289" t="str">
        <f>+CONCATENATE(E976,".",F976,"\",G976,".",H976,":",I976)</f>
        <v>2.4\0.1:4</v>
      </c>
      <c r="W976" s="18" t="s">
        <v>1870</v>
      </c>
      <c r="X976" s="17">
        <v>0</v>
      </c>
      <c r="Y976" s="17"/>
      <c r="Z976" s="17"/>
      <c r="AA976" s="17"/>
      <c r="AB976" s="17"/>
      <c r="AC976" s="17"/>
      <c r="AD976" s="17"/>
      <c r="AE976" s="17"/>
      <c r="AF976" s="17"/>
      <c r="AG976" s="64"/>
      <c r="AH976" s="64"/>
      <c r="AI976" s="64"/>
      <c r="AJ976" s="64"/>
      <c r="AK976" s="64"/>
      <c r="AL976" s="264"/>
      <c r="AM976" s="84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</row>
    <row r="977" spans="1:51" s="33" customFormat="1" x14ac:dyDescent="0.3">
      <c r="A977" s="63"/>
      <c r="B977" s="63"/>
      <c r="C977" s="63"/>
      <c r="D977" s="63"/>
      <c r="E977" s="288"/>
      <c r="F977" s="288"/>
      <c r="G977" s="288"/>
      <c r="H977" s="63"/>
      <c r="I977" s="63"/>
      <c r="J977" s="63"/>
      <c r="K977" s="17"/>
      <c r="L977" s="17"/>
      <c r="M977" s="17"/>
      <c r="N977" s="17"/>
      <c r="O977" s="68"/>
      <c r="P977" s="68"/>
      <c r="Q977" s="68"/>
      <c r="R977" s="68"/>
      <c r="S977" s="68"/>
      <c r="T977" s="68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64"/>
      <c r="AH977" s="64"/>
      <c r="AI977" s="64"/>
      <c r="AJ977" s="64"/>
      <c r="AK977" s="64"/>
      <c r="AL977" s="264"/>
      <c r="AM977" s="84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</row>
    <row r="978" spans="1:51" s="33" customFormat="1" x14ac:dyDescent="0.3">
      <c r="A978" s="63"/>
      <c r="B978" s="63"/>
      <c r="C978" s="63"/>
      <c r="D978" s="63"/>
      <c r="E978" s="288"/>
      <c r="F978" s="288"/>
      <c r="G978" s="288"/>
      <c r="H978" s="63"/>
      <c r="I978" s="63"/>
      <c r="J978" s="63"/>
      <c r="K978" s="17"/>
      <c r="L978" s="17"/>
      <c r="M978" s="17"/>
      <c r="N978" s="17"/>
      <c r="O978" s="68"/>
      <c r="P978" s="68"/>
      <c r="Q978" s="68"/>
      <c r="R978" s="68"/>
      <c r="S978" s="68"/>
      <c r="T978" s="68"/>
      <c r="U978" s="17"/>
      <c r="V978" s="17"/>
      <c r="W978" s="17"/>
      <c r="X978" s="17"/>
      <c r="Y978" s="17"/>
      <c r="Z978" s="17"/>
      <c r="AA978" s="17"/>
      <c r="AB978" s="20"/>
      <c r="AC978" s="17"/>
      <c r="AD978" s="17"/>
      <c r="AE978" s="17"/>
      <c r="AF978" s="17"/>
      <c r="AG978" s="64"/>
      <c r="AH978" s="64"/>
      <c r="AI978" s="64"/>
      <c r="AJ978" s="64"/>
      <c r="AK978" s="64"/>
      <c r="AL978" s="264"/>
      <c r="AM978" s="84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</row>
    <row r="979" spans="1:51" s="33" customFormat="1" x14ac:dyDescent="0.3">
      <c r="A979" s="63"/>
      <c r="B979" s="63"/>
      <c r="C979" s="63"/>
      <c r="D979" s="63"/>
      <c r="E979" s="288"/>
      <c r="F979" s="288"/>
      <c r="G979" s="288"/>
      <c r="H979" s="63"/>
      <c r="I979" s="63"/>
      <c r="J979" s="63"/>
      <c r="K979" s="17"/>
      <c r="L979" s="17"/>
      <c r="M979" s="17"/>
      <c r="N979" s="17"/>
      <c r="O979" s="68"/>
      <c r="P979" s="68"/>
      <c r="Q979" s="68"/>
      <c r="R979" s="68"/>
      <c r="S979" s="68"/>
      <c r="T979" s="68"/>
      <c r="U979" s="17"/>
      <c r="V979" s="17"/>
      <c r="W979" s="17"/>
      <c r="X979" s="17"/>
      <c r="Y979" s="17"/>
      <c r="Z979" s="17"/>
      <c r="AA979" s="17"/>
      <c r="AB979" s="20"/>
      <c r="AC979" s="17"/>
      <c r="AD979" s="17"/>
      <c r="AE979" s="17"/>
      <c r="AF979" s="17"/>
      <c r="AG979" s="64"/>
      <c r="AH979" s="64"/>
      <c r="AI979" s="64"/>
      <c r="AJ979" s="64"/>
      <c r="AK979" s="64"/>
      <c r="AL979" s="264"/>
      <c r="AM979" s="84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</row>
    <row r="980" spans="1:51" s="33" customFormat="1" ht="15.5" x14ac:dyDescent="0.35">
      <c r="A980" s="297"/>
      <c r="B980" s="96" t="s">
        <v>1869</v>
      </c>
      <c r="C980" s="256"/>
      <c r="D980" s="256"/>
      <c r="E980" s="256"/>
      <c r="F980" s="256"/>
      <c r="G980" s="256"/>
      <c r="H980" s="256"/>
      <c r="I980" s="256"/>
      <c r="J980" s="256"/>
      <c r="K980" s="256"/>
      <c r="L980" s="256"/>
      <c r="M980" s="256"/>
      <c r="N980" s="287"/>
      <c r="O980" s="256"/>
      <c r="P980" s="287"/>
      <c r="Q980" s="256"/>
      <c r="R980" s="256"/>
      <c r="S980" s="256"/>
      <c r="T980" s="256"/>
      <c r="U980" s="256"/>
      <c r="V980" s="256"/>
      <c r="W980" s="287"/>
      <c r="X980" s="256"/>
      <c r="Y980" s="256"/>
      <c r="Z980" s="17"/>
      <c r="AA980" s="17"/>
      <c r="AB980" s="17"/>
      <c r="AC980" s="17"/>
      <c r="AD980" s="17"/>
      <c r="AE980" s="17"/>
      <c r="AF980" s="17"/>
      <c r="AG980" s="64"/>
      <c r="AH980" s="64"/>
      <c r="AI980" s="64"/>
      <c r="AJ980" s="64"/>
      <c r="AK980" s="64"/>
      <c r="AL980" s="264"/>
      <c r="AM980" s="84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</row>
    <row r="981" spans="1:51" s="33" customFormat="1" ht="13.5" thickBot="1" x14ac:dyDescent="0.35">
      <c r="A981" s="63"/>
      <c r="B981" s="63"/>
      <c r="C981" s="63"/>
      <c r="D981" s="63"/>
      <c r="E981" s="288"/>
      <c r="F981" s="288"/>
      <c r="G981" s="288"/>
      <c r="H981" s="63"/>
      <c r="I981" s="63"/>
      <c r="J981" s="63"/>
      <c r="K981" s="17"/>
      <c r="L981" s="17"/>
      <c r="M981" s="17"/>
      <c r="N981" s="17"/>
      <c r="O981" s="68"/>
      <c r="P981" s="68"/>
      <c r="Q981" s="68"/>
      <c r="R981" s="68"/>
      <c r="S981" s="68"/>
      <c r="T981" s="68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64"/>
      <c r="AH981" s="64"/>
      <c r="AI981" s="64"/>
      <c r="AJ981" s="64"/>
      <c r="AK981" s="64"/>
      <c r="AL981" s="264"/>
      <c r="AM981" s="84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</row>
    <row r="982" spans="1:51" s="33" customFormat="1" ht="13.5" thickBot="1" x14ac:dyDescent="0.35">
      <c r="A982" s="63" t="s">
        <v>194</v>
      </c>
      <c r="B982" s="17" t="s">
        <v>1868</v>
      </c>
      <c r="C982" s="295" t="s">
        <v>271</v>
      </c>
      <c r="D982" s="290" t="s">
        <v>285</v>
      </c>
      <c r="E982" s="290">
        <v>1</v>
      </c>
      <c r="F982" s="290">
        <v>5</v>
      </c>
      <c r="G982" s="290">
        <v>0</v>
      </c>
      <c r="H982" s="89">
        <v>0</v>
      </c>
      <c r="I982" s="88" t="s">
        <v>1106</v>
      </c>
      <c r="J982" s="87"/>
      <c r="K982" s="84">
        <v>1059305</v>
      </c>
      <c r="L982" s="91" t="s">
        <v>1377</v>
      </c>
      <c r="M982" s="17">
        <v>3</v>
      </c>
      <c r="N982" s="17"/>
      <c r="O982" s="83"/>
      <c r="P982" s="83"/>
      <c r="Q982" s="68"/>
      <c r="R982" s="68"/>
      <c r="S982" s="68"/>
      <c r="T982" s="68"/>
      <c r="U982" s="17"/>
      <c r="V982" s="17"/>
      <c r="W982" s="18" t="s">
        <v>1852</v>
      </c>
      <c r="X982" s="17">
        <v>0</v>
      </c>
      <c r="Y982" s="17"/>
      <c r="Z982" s="17"/>
      <c r="AA982" s="17"/>
      <c r="AB982" s="17"/>
      <c r="AC982" s="17"/>
      <c r="AD982" s="17"/>
      <c r="AE982" s="17"/>
      <c r="AF982" s="17"/>
      <c r="AG982" s="64"/>
      <c r="AH982" s="64"/>
      <c r="AI982" s="64"/>
      <c r="AJ982" s="64"/>
      <c r="AK982" s="64"/>
      <c r="AL982" s="264"/>
      <c r="AM982" s="84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</row>
    <row r="983" spans="1:51" s="33" customFormat="1" x14ac:dyDescent="0.3">
      <c r="A983" s="63" t="str">
        <f>+A982</f>
        <v>BCV131</v>
      </c>
      <c r="B983" s="18" t="str">
        <f>+B982</f>
        <v>AX09</v>
      </c>
      <c r="C983" s="85" t="str">
        <f>+C982</f>
        <v>SIO1</v>
      </c>
      <c r="D983" s="85" t="str">
        <f>+D982</f>
        <v>SLC01</v>
      </c>
      <c r="E983" s="290">
        <f>+E982</f>
        <v>1</v>
      </c>
      <c r="F983" s="290">
        <f>+F982</f>
        <v>5</v>
      </c>
      <c r="G983" s="290">
        <f>+G982</f>
        <v>0</v>
      </c>
      <c r="H983" s="72">
        <v>1</v>
      </c>
      <c r="I983" s="77">
        <v>1</v>
      </c>
      <c r="J983" s="76" t="s">
        <v>269</v>
      </c>
      <c r="K983" s="65">
        <v>1044125</v>
      </c>
      <c r="L983" s="79" t="s">
        <v>244</v>
      </c>
      <c r="M983" s="17">
        <v>3</v>
      </c>
      <c r="N983" s="18" t="s">
        <v>1865</v>
      </c>
      <c r="O983" s="296" t="s">
        <v>1867</v>
      </c>
      <c r="P983" s="296"/>
      <c r="Q983" s="296" t="s">
        <v>1866</v>
      </c>
      <c r="R983" s="17" t="s">
        <v>211</v>
      </c>
      <c r="S983" s="17"/>
      <c r="T983" s="17" t="s">
        <v>194</v>
      </c>
      <c r="U983" s="17"/>
      <c r="V983" s="289" t="str">
        <f>+CONCATENATE(E983,".",F983,"\",G983,".",H983,":",I983)</f>
        <v>1.5\0.1:1</v>
      </c>
      <c r="W983" s="18" t="s">
        <v>1852</v>
      </c>
      <c r="X983" s="17">
        <v>0</v>
      </c>
      <c r="Y983" s="17"/>
      <c r="Z983" s="17"/>
      <c r="AA983" s="17"/>
      <c r="AB983" s="17"/>
      <c r="AC983" s="17"/>
      <c r="AD983" s="17"/>
      <c r="AE983" s="17"/>
      <c r="AF983" s="17"/>
      <c r="AG983" s="64"/>
      <c r="AH983" s="64"/>
      <c r="AI983" s="64"/>
      <c r="AJ983" s="64"/>
      <c r="AK983" s="64"/>
      <c r="AL983" s="264"/>
      <c r="AM983" s="84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</row>
    <row r="984" spans="1:51" s="33" customFormat="1" x14ac:dyDescent="0.3">
      <c r="A984" s="63" t="str">
        <f>+A983</f>
        <v>BCV131</v>
      </c>
      <c r="B984" s="18" t="str">
        <f>+B983</f>
        <v>AX09</v>
      </c>
      <c r="C984" s="85" t="str">
        <f>+C983</f>
        <v>SIO1</v>
      </c>
      <c r="D984" s="85" t="str">
        <f>+D983</f>
        <v>SLC01</v>
      </c>
      <c r="E984" s="290">
        <f>+E983</f>
        <v>1</v>
      </c>
      <c r="F984" s="290">
        <f>+F983</f>
        <v>5</v>
      </c>
      <c r="G984" s="290">
        <f>+G983</f>
        <v>0</v>
      </c>
      <c r="H984" s="72">
        <f>+H983</f>
        <v>1</v>
      </c>
      <c r="I984" s="75">
        <v>2</v>
      </c>
      <c r="J984" s="74" t="s">
        <v>265</v>
      </c>
      <c r="K984" s="84">
        <v>1047162</v>
      </c>
      <c r="L984" s="79" t="s">
        <v>244</v>
      </c>
      <c r="M984" s="17">
        <v>3</v>
      </c>
      <c r="N984" s="18" t="s">
        <v>1865</v>
      </c>
      <c r="O984" s="296" t="s">
        <v>1864</v>
      </c>
      <c r="P984" s="296"/>
      <c r="Q984" s="296" t="s">
        <v>1863</v>
      </c>
      <c r="R984" s="17" t="s">
        <v>211</v>
      </c>
      <c r="S984" s="17"/>
      <c r="T984" s="17" t="str">
        <f>+T983</f>
        <v>BCV131</v>
      </c>
      <c r="U984" s="17"/>
      <c r="V984" s="289" t="str">
        <f>+CONCATENATE(E984,".",F984,"\",G984,".",H984,":",I984)</f>
        <v>1.5\0.1:2</v>
      </c>
      <c r="W984" s="18" t="s">
        <v>1852</v>
      </c>
      <c r="X984" s="17">
        <v>0</v>
      </c>
      <c r="Y984" s="17"/>
      <c r="Z984" s="17"/>
      <c r="AA984" s="17"/>
      <c r="AB984" s="17"/>
      <c r="AC984" s="17"/>
      <c r="AD984" s="17"/>
      <c r="AE984" s="17"/>
      <c r="AF984" s="17"/>
      <c r="AG984" s="64"/>
      <c r="AH984" s="64"/>
      <c r="AI984" s="64"/>
      <c r="AJ984" s="64"/>
      <c r="AK984" s="64"/>
      <c r="AL984" s="264"/>
      <c r="AM984" s="84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</row>
    <row r="985" spans="1:51" s="33" customFormat="1" x14ac:dyDescent="0.3">
      <c r="A985" s="63" t="str">
        <f>+A984</f>
        <v>BCV131</v>
      </c>
      <c r="B985" s="18" t="str">
        <f>+B984</f>
        <v>AX09</v>
      </c>
      <c r="C985" s="85" t="str">
        <f>+C984</f>
        <v>SIO1</v>
      </c>
      <c r="D985" s="85" t="str">
        <f>+D984</f>
        <v>SLC01</v>
      </c>
      <c r="E985" s="290">
        <f>+E984</f>
        <v>1</v>
      </c>
      <c r="F985" s="290">
        <f>+F984</f>
        <v>5</v>
      </c>
      <c r="G985" s="290">
        <f>+G984</f>
        <v>0</v>
      </c>
      <c r="H985" s="72">
        <f>+H984</f>
        <v>1</v>
      </c>
      <c r="I985" s="75">
        <v>3</v>
      </c>
      <c r="J985" s="74" t="s">
        <v>261</v>
      </c>
      <c r="K985" s="85"/>
      <c r="L985" s="79" t="s">
        <v>244</v>
      </c>
      <c r="M985" s="17">
        <v>3</v>
      </c>
      <c r="N985" s="18" t="s">
        <v>1860</v>
      </c>
      <c r="O985" s="296" t="s">
        <v>1862</v>
      </c>
      <c r="P985" s="296"/>
      <c r="Q985" s="296" t="s">
        <v>1861</v>
      </c>
      <c r="R985" s="17" t="s">
        <v>211</v>
      </c>
      <c r="S985" s="17"/>
      <c r="T985" s="17" t="str">
        <f>+T984</f>
        <v>BCV131</v>
      </c>
      <c r="U985" s="17"/>
      <c r="V985" s="289" t="str">
        <f>+CONCATENATE(E985,".",F985,"\",G985,".",H985,":",I985)</f>
        <v>1.5\0.1:3</v>
      </c>
      <c r="W985" s="18" t="s">
        <v>1852</v>
      </c>
      <c r="X985" s="17">
        <v>0</v>
      </c>
      <c r="Y985" s="17"/>
      <c r="Z985" s="17"/>
      <c r="AA985" s="17"/>
      <c r="AB985" s="17"/>
      <c r="AC985" s="17"/>
      <c r="AD985" s="17"/>
      <c r="AE985" s="17"/>
      <c r="AF985" s="17"/>
      <c r="AG985" s="64"/>
      <c r="AH985" s="64"/>
      <c r="AI985" s="64"/>
      <c r="AJ985" s="64"/>
      <c r="AK985" s="64"/>
      <c r="AL985" s="264"/>
      <c r="AM985" s="84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</row>
    <row r="986" spans="1:51" s="33" customFormat="1" x14ac:dyDescent="0.3">
      <c r="A986" s="63" t="str">
        <f>+A985</f>
        <v>BCV131</v>
      </c>
      <c r="B986" s="18" t="str">
        <f>+B985</f>
        <v>AX09</v>
      </c>
      <c r="C986" s="85" t="str">
        <f>+C985</f>
        <v>SIO1</v>
      </c>
      <c r="D986" s="85" t="str">
        <f>+D985</f>
        <v>SLC01</v>
      </c>
      <c r="E986" s="290">
        <f>+E985</f>
        <v>1</v>
      </c>
      <c r="F986" s="290">
        <f>+F985</f>
        <v>5</v>
      </c>
      <c r="G986" s="290">
        <f>+G985</f>
        <v>0</v>
      </c>
      <c r="H986" s="72">
        <f>+H985</f>
        <v>1</v>
      </c>
      <c r="I986" s="75">
        <v>4</v>
      </c>
      <c r="J986" s="74" t="s">
        <v>257</v>
      </c>
      <c r="K986" s="85"/>
      <c r="L986" s="79" t="s">
        <v>244</v>
      </c>
      <c r="M986" s="17">
        <v>3</v>
      </c>
      <c r="N986" s="18" t="s">
        <v>1860</v>
      </c>
      <c r="O986" s="296" t="s">
        <v>1859</v>
      </c>
      <c r="P986" s="296"/>
      <c r="Q986" s="296" t="s">
        <v>1858</v>
      </c>
      <c r="R986" s="17" t="s">
        <v>211</v>
      </c>
      <c r="S986" s="17"/>
      <c r="T986" s="17" t="str">
        <f>+T985</f>
        <v>BCV131</v>
      </c>
      <c r="U986" s="17"/>
      <c r="V986" s="289" t="str">
        <f>+CONCATENATE(E986,".",F986,"\",G986,".",H986,":",I986)</f>
        <v>1.5\0.1:4</v>
      </c>
      <c r="W986" s="18" t="s">
        <v>1852</v>
      </c>
      <c r="X986" s="17">
        <v>0</v>
      </c>
      <c r="Y986" s="17"/>
      <c r="Z986" s="17"/>
      <c r="AA986" s="17"/>
      <c r="AB986" s="17"/>
      <c r="AC986" s="17"/>
      <c r="AD986" s="17"/>
      <c r="AE986" s="17"/>
      <c r="AF986" s="17"/>
      <c r="AG986" s="64"/>
      <c r="AH986" s="64"/>
      <c r="AI986" s="64"/>
      <c r="AJ986" s="64"/>
      <c r="AK986" s="64"/>
      <c r="AL986" s="264"/>
      <c r="AM986" s="84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</row>
    <row r="987" spans="1:51" s="33" customFormat="1" x14ac:dyDescent="0.3">
      <c r="A987" s="63" t="str">
        <f>+A986</f>
        <v>BCV131</v>
      </c>
      <c r="B987" s="18" t="str">
        <f>+B986</f>
        <v>AX09</v>
      </c>
      <c r="C987" s="85" t="str">
        <f>+C986</f>
        <v>SIO1</v>
      </c>
      <c r="D987" s="85" t="str">
        <f>+D986</f>
        <v>SLC01</v>
      </c>
      <c r="E987" s="290">
        <f>+E986</f>
        <v>1</v>
      </c>
      <c r="F987" s="290">
        <f>+F986</f>
        <v>5</v>
      </c>
      <c r="G987" s="290">
        <f>+G986</f>
        <v>0</v>
      </c>
      <c r="H987" s="72">
        <f>+H986</f>
        <v>1</v>
      </c>
      <c r="I987" s="75">
        <v>5</v>
      </c>
      <c r="J987" s="74" t="s">
        <v>1325</v>
      </c>
      <c r="K987" s="85"/>
      <c r="L987" s="79" t="s">
        <v>244</v>
      </c>
      <c r="M987" s="17">
        <v>3</v>
      </c>
      <c r="N987" s="17"/>
      <c r="O987" s="296"/>
      <c r="P987" s="296"/>
      <c r="Q987" s="296" t="s">
        <v>127</v>
      </c>
      <c r="R987" s="17"/>
      <c r="S987" s="17"/>
      <c r="T987" s="17"/>
      <c r="U987" s="17"/>
      <c r="V987" s="289" t="str">
        <f>+CONCATENATE(E987,".",F987,"\",G987,".",H987,":",I987)</f>
        <v>1.5\0.1:5</v>
      </c>
      <c r="W987" s="18" t="s">
        <v>1852</v>
      </c>
      <c r="X987" s="17">
        <v>0</v>
      </c>
      <c r="Y987" s="17"/>
      <c r="Z987" s="17"/>
      <c r="AA987" s="17"/>
      <c r="AB987" s="17"/>
      <c r="AC987" s="17"/>
      <c r="AD987" s="17"/>
      <c r="AE987" s="17"/>
      <c r="AF987" s="17"/>
      <c r="AG987" s="64"/>
      <c r="AH987" s="64"/>
      <c r="AI987" s="64"/>
      <c r="AJ987" s="64"/>
      <c r="AK987" s="64"/>
      <c r="AL987" s="264"/>
      <c r="AM987" s="84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</row>
    <row r="988" spans="1:51" s="33" customFormat="1" x14ac:dyDescent="0.3">
      <c r="A988" s="63" t="str">
        <f>+A987</f>
        <v>BCV131</v>
      </c>
      <c r="B988" s="18" t="str">
        <f>+B987</f>
        <v>AX09</v>
      </c>
      <c r="C988" s="85" t="str">
        <f>+C987</f>
        <v>SIO1</v>
      </c>
      <c r="D988" s="85" t="str">
        <f>+D987</f>
        <v>SLC01</v>
      </c>
      <c r="E988" s="290">
        <f>+E987</f>
        <v>1</v>
      </c>
      <c r="F988" s="290">
        <f>+F987</f>
        <v>5</v>
      </c>
      <c r="G988" s="290">
        <f>+G987</f>
        <v>0</v>
      </c>
      <c r="H988" s="72">
        <f>+H987</f>
        <v>1</v>
      </c>
      <c r="I988" s="75">
        <v>6</v>
      </c>
      <c r="J988" s="74" t="s">
        <v>1323</v>
      </c>
      <c r="K988" s="85"/>
      <c r="L988" s="79" t="s">
        <v>244</v>
      </c>
      <c r="M988" s="17">
        <v>3</v>
      </c>
      <c r="N988" s="17"/>
      <c r="O988" s="296"/>
      <c r="P988" s="296"/>
      <c r="Q988" s="296" t="s">
        <v>127</v>
      </c>
      <c r="R988" s="17"/>
      <c r="S988" s="17"/>
      <c r="T988" s="17"/>
      <c r="U988" s="17"/>
      <c r="V988" s="289" t="str">
        <f>+CONCATENATE(E988,".",F988,"\",G988,".",H988,":",I988)</f>
        <v>1.5\0.1:6</v>
      </c>
      <c r="W988" s="18" t="s">
        <v>1852</v>
      </c>
      <c r="X988" s="17">
        <v>0</v>
      </c>
      <c r="Y988" s="17"/>
      <c r="Z988" s="17"/>
      <c r="AA988" s="17"/>
      <c r="AB988" s="17"/>
      <c r="AC988" s="17"/>
      <c r="AD988" s="17"/>
      <c r="AE988" s="17"/>
      <c r="AF988" s="17"/>
      <c r="AG988" s="64"/>
      <c r="AH988" s="64"/>
      <c r="AI988" s="64"/>
      <c r="AJ988" s="64"/>
      <c r="AK988" s="64"/>
      <c r="AL988" s="264"/>
      <c r="AM988" s="84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</row>
    <row r="989" spans="1:51" s="33" customFormat="1" x14ac:dyDescent="0.3">
      <c r="A989" s="63" t="str">
        <f>+A988</f>
        <v>BCV131</v>
      </c>
      <c r="B989" s="18" t="str">
        <f>+B988</f>
        <v>AX09</v>
      </c>
      <c r="C989" s="85" t="str">
        <f>+C988</f>
        <v>SIO1</v>
      </c>
      <c r="D989" s="85" t="str">
        <f>+D988</f>
        <v>SLC01</v>
      </c>
      <c r="E989" s="290">
        <f>+E988</f>
        <v>1</v>
      </c>
      <c r="F989" s="290">
        <f>+F988</f>
        <v>5</v>
      </c>
      <c r="G989" s="290">
        <f>+G988</f>
        <v>0</v>
      </c>
      <c r="H989" s="72">
        <f>+H988</f>
        <v>1</v>
      </c>
      <c r="I989" s="75">
        <v>7</v>
      </c>
      <c r="J989" s="74" t="s">
        <v>246</v>
      </c>
      <c r="K989" s="85"/>
      <c r="L989" s="79" t="s">
        <v>244</v>
      </c>
      <c r="M989" s="17">
        <v>3</v>
      </c>
      <c r="N989" s="17"/>
      <c r="O989" s="296"/>
      <c r="P989" s="296"/>
      <c r="Q989" s="296" t="s">
        <v>127</v>
      </c>
      <c r="R989" s="17"/>
      <c r="S989" s="17"/>
      <c r="T989" s="17"/>
      <c r="U989" s="17"/>
      <c r="V989" s="289" t="str">
        <f>+CONCATENATE(E989,".",F989,"\",G989,".",H989,":",I989)</f>
        <v>1.5\0.1:7</v>
      </c>
      <c r="W989" s="18" t="s">
        <v>1852</v>
      </c>
      <c r="X989" s="17">
        <v>0</v>
      </c>
      <c r="Y989" s="17"/>
      <c r="Z989" s="17"/>
      <c r="AA989" s="17"/>
      <c r="AB989" s="17"/>
      <c r="AC989" s="17"/>
      <c r="AD989" s="17"/>
      <c r="AE989" s="17"/>
      <c r="AF989" s="17"/>
      <c r="AG989" s="64"/>
      <c r="AH989" s="64"/>
      <c r="AI989" s="64"/>
      <c r="AJ989" s="64"/>
      <c r="AK989" s="64"/>
      <c r="AL989" s="264"/>
      <c r="AM989" s="84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</row>
    <row r="990" spans="1:51" s="33" customFormat="1" x14ac:dyDescent="0.3">
      <c r="A990" s="63" t="str">
        <f>+A989</f>
        <v>BCV131</v>
      </c>
      <c r="B990" s="18" t="str">
        <f>+B989</f>
        <v>AX09</v>
      </c>
      <c r="C990" s="85" t="str">
        <f>+C989</f>
        <v>SIO1</v>
      </c>
      <c r="D990" s="85" t="str">
        <f>+D989</f>
        <v>SLC01</v>
      </c>
      <c r="E990" s="290">
        <f>+E989</f>
        <v>1</v>
      </c>
      <c r="F990" s="290">
        <f>+F989</f>
        <v>5</v>
      </c>
      <c r="G990" s="290">
        <f>+G989</f>
        <v>0</v>
      </c>
      <c r="H990" s="72">
        <f>+H989</f>
        <v>1</v>
      </c>
      <c r="I990" s="75">
        <v>8</v>
      </c>
      <c r="J990" s="74" t="s">
        <v>245</v>
      </c>
      <c r="K990" s="85"/>
      <c r="L990" s="79" t="s">
        <v>244</v>
      </c>
      <c r="M990" s="17">
        <v>3</v>
      </c>
      <c r="N990" s="17"/>
      <c r="O990" s="296"/>
      <c r="P990" s="296"/>
      <c r="Q990" s="296" t="s">
        <v>127</v>
      </c>
      <c r="R990" s="17"/>
      <c r="S990" s="17"/>
      <c r="T990" s="17"/>
      <c r="U990" s="17"/>
      <c r="V990" s="289" t="str">
        <f>+CONCATENATE(E990,".",F990,"\",G990,".",H990,":",I990)</f>
        <v>1.5\0.1:8</v>
      </c>
      <c r="W990" s="18" t="s">
        <v>1852</v>
      </c>
      <c r="X990" s="17">
        <v>0</v>
      </c>
      <c r="Y990" s="17"/>
      <c r="Z990" s="17"/>
      <c r="AA990" s="17"/>
      <c r="AB990" s="17"/>
      <c r="AC990" s="17"/>
      <c r="AD990" s="17"/>
      <c r="AE990" s="17"/>
      <c r="AF990" s="17"/>
      <c r="AG990" s="64"/>
      <c r="AH990" s="64"/>
      <c r="AI990" s="64"/>
      <c r="AJ990" s="64"/>
      <c r="AK990" s="64"/>
      <c r="AL990" s="264"/>
      <c r="AM990" s="84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</row>
    <row r="991" spans="1:51" s="33" customFormat="1" x14ac:dyDescent="0.3">
      <c r="A991" s="63" t="str">
        <f>+A990</f>
        <v>BCV131</v>
      </c>
      <c r="B991" s="18" t="str">
        <f>+B990</f>
        <v>AX09</v>
      </c>
      <c r="C991" s="85" t="str">
        <f>+C990</f>
        <v>SIO1</v>
      </c>
      <c r="D991" s="85" t="str">
        <f>+D990</f>
        <v>SLC01</v>
      </c>
      <c r="E991" s="290">
        <f>+E990</f>
        <v>1</v>
      </c>
      <c r="F991" s="290">
        <f>+F990</f>
        <v>5</v>
      </c>
      <c r="G991" s="290">
        <f>+G990</f>
        <v>0</v>
      </c>
      <c r="H991" s="72">
        <f>+H990</f>
        <v>1</v>
      </c>
      <c r="I991" s="75">
        <v>1</v>
      </c>
      <c r="J991" s="81" t="s">
        <v>1321</v>
      </c>
      <c r="K991" s="85" t="s">
        <v>1366</v>
      </c>
      <c r="L991" s="79" t="s">
        <v>235</v>
      </c>
      <c r="M991" s="17">
        <v>3</v>
      </c>
      <c r="N991" s="18" t="s">
        <v>1856</v>
      </c>
      <c r="O991" s="17" t="s">
        <v>1857</v>
      </c>
      <c r="P991" s="17"/>
      <c r="Q991" s="17" t="s">
        <v>1335</v>
      </c>
      <c r="R991" s="17" t="s">
        <v>922</v>
      </c>
      <c r="S991" s="17"/>
      <c r="T991" s="17" t="str">
        <f>+T983</f>
        <v>BCV131</v>
      </c>
      <c r="U991" s="17"/>
      <c r="V991" s="289" t="str">
        <f>+CONCATENATE(E991,".",F991,"\",G991,".",H991,":",I991)</f>
        <v>1.5\0.1:1</v>
      </c>
      <c r="W991" s="18" t="s">
        <v>1852</v>
      </c>
      <c r="X991" s="17">
        <v>0</v>
      </c>
      <c r="Y991" s="17"/>
      <c r="Z991" s="17"/>
      <c r="AA991" s="17"/>
      <c r="AB991" s="17"/>
      <c r="AC991" s="17"/>
      <c r="AD991" s="17"/>
      <c r="AE991" s="17"/>
      <c r="AF991" s="17"/>
      <c r="AG991" s="64"/>
      <c r="AH991" s="64"/>
      <c r="AI991" s="64"/>
      <c r="AJ991" s="64"/>
      <c r="AK991" s="64"/>
      <c r="AL991" s="264"/>
      <c r="AM991" s="84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</row>
    <row r="992" spans="1:51" s="33" customFormat="1" x14ac:dyDescent="0.3">
      <c r="A992" s="63" t="str">
        <f>+A991</f>
        <v>BCV131</v>
      </c>
      <c r="B992" s="18" t="str">
        <f>+B991</f>
        <v>AX09</v>
      </c>
      <c r="C992" s="85" t="str">
        <f>+C991</f>
        <v>SIO1</v>
      </c>
      <c r="D992" s="85" t="str">
        <f>+D991</f>
        <v>SLC01</v>
      </c>
      <c r="E992" s="290">
        <f>+E991</f>
        <v>1</v>
      </c>
      <c r="F992" s="290">
        <f>+F991</f>
        <v>5</v>
      </c>
      <c r="G992" s="290">
        <f>+G991</f>
        <v>0</v>
      </c>
      <c r="H992" s="72">
        <f>+H991</f>
        <v>1</v>
      </c>
      <c r="I992" s="75">
        <v>2</v>
      </c>
      <c r="J992" s="74" t="s">
        <v>1320</v>
      </c>
      <c r="K992" s="85"/>
      <c r="L992" s="79" t="s">
        <v>235</v>
      </c>
      <c r="M992" s="17">
        <v>3</v>
      </c>
      <c r="N992" s="18" t="s">
        <v>1856</v>
      </c>
      <c r="O992" s="17" t="s">
        <v>1855</v>
      </c>
      <c r="P992" s="17"/>
      <c r="Q992" s="17" t="s">
        <v>1330</v>
      </c>
      <c r="R992" s="17" t="s">
        <v>922</v>
      </c>
      <c r="S992" s="17"/>
      <c r="T992" s="17" t="str">
        <f>+T991</f>
        <v>BCV131</v>
      </c>
      <c r="U992" s="17"/>
      <c r="V992" s="289" t="str">
        <f>+CONCATENATE(E992,".",F992,"\",G992,".",H992,":",I992)</f>
        <v>1.5\0.1:2</v>
      </c>
      <c r="W992" s="18" t="s">
        <v>1852</v>
      </c>
      <c r="X992" s="17">
        <v>0</v>
      </c>
      <c r="Y992" s="17"/>
      <c r="Z992" s="17"/>
      <c r="AA992" s="17"/>
      <c r="AB992" s="17"/>
      <c r="AC992" s="17"/>
      <c r="AD992" s="17"/>
      <c r="AE992" s="17"/>
      <c r="AF992" s="17"/>
      <c r="AG992" s="64"/>
      <c r="AH992" s="64"/>
      <c r="AI992" s="64"/>
      <c r="AJ992" s="64"/>
      <c r="AK992" s="64"/>
      <c r="AL992" s="264"/>
      <c r="AM992" s="84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</row>
    <row r="993" spans="1:51" s="33" customFormat="1" x14ac:dyDescent="0.3">
      <c r="A993" s="63" t="str">
        <f>+A992</f>
        <v>BCV131</v>
      </c>
      <c r="B993" s="18" t="str">
        <f>+B992</f>
        <v>AX09</v>
      </c>
      <c r="C993" s="85" t="str">
        <f>+C992</f>
        <v>SIO1</v>
      </c>
      <c r="D993" s="85" t="str">
        <f>+D992</f>
        <v>SLC01</v>
      </c>
      <c r="E993" s="290">
        <f>+E992</f>
        <v>1</v>
      </c>
      <c r="F993" s="290">
        <f>+F992</f>
        <v>5</v>
      </c>
      <c r="G993" s="290">
        <f>+G992</f>
        <v>0</v>
      </c>
      <c r="H993" s="72">
        <f>+H992</f>
        <v>1</v>
      </c>
      <c r="I993" s="75">
        <v>3</v>
      </c>
      <c r="J993" s="74" t="s">
        <v>1319</v>
      </c>
      <c r="K993" s="85"/>
      <c r="L993" s="79" t="s">
        <v>235</v>
      </c>
      <c r="M993" s="17">
        <v>3</v>
      </c>
      <c r="N993" s="18" t="s">
        <v>1854</v>
      </c>
      <c r="O993" s="17" t="s">
        <v>1853</v>
      </c>
      <c r="P993" s="17"/>
      <c r="Q993" s="17" t="s">
        <v>1330</v>
      </c>
      <c r="R993" s="17" t="s">
        <v>922</v>
      </c>
      <c r="S993" s="17"/>
      <c r="T993" s="17" t="str">
        <f>+T992</f>
        <v>BCV131</v>
      </c>
      <c r="U993" s="17"/>
      <c r="V993" s="289" t="str">
        <f>+CONCATENATE(E993,".",F993,"\",G993,".",H993,":",I993)</f>
        <v>1.5\0.1:3</v>
      </c>
      <c r="W993" s="18" t="s">
        <v>1852</v>
      </c>
      <c r="X993" s="17">
        <v>0</v>
      </c>
      <c r="Y993" s="17"/>
      <c r="Z993" s="17"/>
      <c r="AA993" s="17"/>
      <c r="AB993" s="17"/>
      <c r="AC993" s="17"/>
      <c r="AD993" s="17"/>
      <c r="AE993" s="17"/>
      <c r="AF993" s="17"/>
      <c r="AG993" s="64"/>
      <c r="AH993" s="64"/>
      <c r="AI993" s="64"/>
      <c r="AJ993" s="64"/>
      <c r="AK993" s="64"/>
      <c r="AL993" s="264"/>
      <c r="AM993" s="84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</row>
    <row r="994" spans="1:51" s="33" customFormat="1" ht="13.5" thickBot="1" x14ac:dyDescent="0.35">
      <c r="A994" s="63" t="str">
        <f>+A993</f>
        <v>BCV131</v>
      </c>
      <c r="B994" s="18" t="str">
        <f>+B993</f>
        <v>AX09</v>
      </c>
      <c r="C994" s="85" t="str">
        <f>+C993</f>
        <v>SIO1</v>
      </c>
      <c r="D994" s="85" t="str">
        <f>+D993</f>
        <v>SLC01</v>
      </c>
      <c r="E994" s="290">
        <f>+E993</f>
        <v>1</v>
      </c>
      <c r="F994" s="290">
        <f>+F993</f>
        <v>5</v>
      </c>
      <c r="G994" s="290">
        <f>+G993</f>
        <v>0</v>
      </c>
      <c r="H994" s="72">
        <f>+H993</f>
        <v>1</v>
      </c>
      <c r="I994" s="71">
        <v>4</v>
      </c>
      <c r="J994" s="70" t="s">
        <v>1318</v>
      </c>
      <c r="K994" s="85"/>
      <c r="L994" s="79" t="s">
        <v>235</v>
      </c>
      <c r="M994" s="17">
        <v>3</v>
      </c>
      <c r="N994" s="17"/>
      <c r="O994" s="17"/>
      <c r="P994" s="17"/>
      <c r="Q994" s="68"/>
      <c r="R994" s="68"/>
      <c r="S994" s="68"/>
      <c r="T994" s="68"/>
      <c r="U994" s="17"/>
      <c r="V994" s="289" t="str">
        <f>+CONCATENATE(E994,".",F994,"\",G994,".",H994,":",I994)</f>
        <v>1.5\0.1:4</v>
      </c>
      <c r="W994" s="18" t="s">
        <v>1852</v>
      </c>
      <c r="X994" s="17">
        <v>0</v>
      </c>
      <c r="Y994" s="17"/>
      <c r="Z994" s="17"/>
      <c r="AA994" s="17"/>
      <c r="AB994" s="17"/>
      <c r="AC994" s="17"/>
      <c r="AD994" s="17"/>
      <c r="AE994" s="17"/>
      <c r="AF994" s="17"/>
      <c r="AG994" s="64"/>
      <c r="AH994" s="64"/>
      <c r="AI994" s="64"/>
      <c r="AJ994" s="64"/>
      <c r="AK994" s="64"/>
      <c r="AL994" s="264"/>
      <c r="AM994" s="84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</row>
    <row r="995" spans="1:51" s="33" customFormat="1" x14ac:dyDescent="0.3">
      <c r="A995" s="63"/>
      <c r="B995" s="63"/>
      <c r="C995" s="63"/>
      <c r="D995" s="63"/>
      <c r="E995" s="288"/>
      <c r="F995" s="288"/>
      <c r="G995" s="288"/>
      <c r="H995" s="63"/>
      <c r="I995" s="63"/>
      <c r="J995" s="63"/>
      <c r="K995" s="17"/>
      <c r="L995" s="17"/>
      <c r="M995" s="17"/>
      <c r="N995" s="17"/>
      <c r="O995" s="68"/>
      <c r="P995" s="68"/>
      <c r="Q995" s="68"/>
      <c r="R995" s="68"/>
      <c r="S995" s="68"/>
      <c r="T995" s="68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64"/>
      <c r="AH995" s="64"/>
      <c r="AI995" s="64"/>
      <c r="AJ995" s="64"/>
      <c r="AK995" s="64"/>
      <c r="AL995" s="264"/>
      <c r="AM995" s="84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</row>
    <row r="996" spans="1:51" s="33" customFormat="1" x14ac:dyDescent="0.3">
      <c r="A996" s="63"/>
      <c r="B996" s="63"/>
      <c r="C996" s="63"/>
      <c r="D996" s="63"/>
      <c r="E996" s="288"/>
      <c r="F996" s="288"/>
      <c r="G996" s="288"/>
      <c r="H996" s="63"/>
      <c r="I996" s="63"/>
      <c r="J996" s="63"/>
      <c r="K996" s="17"/>
      <c r="L996" s="17"/>
      <c r="M996" s="17"/>
      <c r="N996" s="17"/>
      <c r="O996" s="68"/>
      <c r="P996" s="68"/>
      <c r="Q996" s="68"/>
      <c r="R996" s="68"/>
      <c r="S996" s="68"/>
      <c r="T996" s="68"/>
      <c r="U996" s="17"/>
      <c r="V996" s="17"/>
      <c r="W996" s="17"/>
      <c r="X996" s="17"/>
      <c r="Y996" s="17"/>
      <c r="Z996" s="17"/>
      <c r="AA996" s="17"/>
      <c r="AB996" s="20"/>
      <c r="AC996" s="17"/>
      <c r="AD996" s="17"/>
      <c r="AE996" s="17"/>
      <c r="AF996" s="17"/>
      <c r="AG996" s="64"/>
      <c r="AH996" s="64"/>
      <c r="AI996" s="64"/>
      <c r="AJ996" s="64"/>
      <c r="AK996" s="64"/>
      <c r="AL996" s="264"/>
      <c r="AM996" s="84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</row>
    <row r="997" spans="1:51" s="33" customFormat="1" x14ac:dyDescent="0.3">
      <c r="A997" s="63"/>
      <c r="B997" s="63"/>
      <c r="C997" s="63"/>
      <c r="D997" s="63"/>
      <c r="E997" s="288"/>
      <c r="F997" s="288"/>
      <c r="G997" s="288"/>
      <c r="H997" s="63"/>
      <c r="I997" s="63"/>
      <c r="J997" s="63"/>
      <c r="K997" s="17"/>
      <c r="L997" s="17"/>
      <c r="M997" s="17"/>
      <c r="N997" s="17"/>
      <c r="O997" s="68"/>
      <c r="P997" s="68"/>
      <c r="Q997" s="68"/>
      <c r="R997" s="68"/>
      <c r="S997" s="68"/>
      <c r="T997" s="68"/>
      <c r="U997" s="17"/>
      <c r="V997" s="17"/>
      <c r="W997" s="17"/>
      <c r="X997" s="17"/>
      <c r="Y997" s="17"/>
      <c r="Z997" s="17"/>
      <c r="AA997" s="17"/>
      <c r="AB997" s="20"/>
      <c r="AC997" s="17"/>
      <c r="AD997" s="17"/>
      <c r="AE997" s="17"/>
      <c r="AF997" s="17"/>
      <c r="AG997" s="64"/>
      <c r="AH997" s="64"/>
      <c r="AI997" s="64"/>
      <c r="AJ997" s="64"/>
      <c r="AK997" s="64"/>
      <c r="AL997" s="264"/>
      <c r="AM997" s="84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</row>
    <row r="998" spans="1:51" s="33" customFormat="1" ht="15.5" x14ac:dyDescent="0.35">
      <c r="A998" s="297"/>
      <c r="B998" s="96" t="s">
        <v>1851</v>
      </c>
      <c r="C998" s="256"/>
      <c r="D998" s="256"/>
      <c r="E998" s="256"/>
      <c r="F998" s="256"/>
      <c r="G998" s="256"/>
      <c r="H998" s="256"/>
      <c r="I998" s="256"/>
      <c r="J998" s="256"/>
      <c r="K998" s="256"/>
      <c r="L998" s="256"/>
      <c r="M998" s="256"/>
      <c r="N998" s="287"/>
      <c r="O998" s="256"/>
      <c r="P998" s="287"/>
      <c r="Q998" s="256"/>
      <c r="R998" s="256"/>
      <c r="S998" s="256"/>
      <c r="T998" s="256"/>
      <c r="U998" s="256"/>
      <c r="V998" s="256"/>
      <c r="W998" s="287"/>
      <c r="X998" s="256"/>
      <c r="Y998" s="256"/>
      <c r="Z998" s="17"/>
      <c r="AA998" s="17"/>
      <c r="AB998" s="17"/>
      <c r="AC998" s="17"/>
      <c r="AD998" s="17"/>
      <c r="AE998" s="17"/>
      <c r="AF998" s="17"/>
      <c r="AG998" s="64"/>
      <c r="AH998" s="64"/>
      <c r="AI998" s="64"/>
      <c r="AJ998" s="64"/>
      <c r="AK998" s="64"/>
      <c r="AL998" s="264"/>
      <c r="AM998" s="84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</row>
    <row r="999" spans="1:51" s="33" customFormat="1" ht="13.5" thickBot="1" x14ac:dyDescent="0.35">
      <c r="A999" s="63"/>
      <c r="B999" s="63"/>
      <c r="C999" s="63"/>
      <c r="D999" s="63"/>
      <c r="E999" s="288"/>
      <c r="F999" s="288"/>
      <c r="G999" s="288"/>
      <c r="H999" s="63"/>
      <c r="I999" s="63"/>
      <c r="J999" s="63"/>
      <c r="K999" s="17"/>
      <c r="L999" s="17"/>
      <c r="M999" s="17"/>
      <c r="N999" s="17"/>
      <c r="O999" s="68"/>
      <c r="P999" s="68"/>
      <c r="Q999" s="68"/>
      <c r="R999" s="68"/>
      <c r="S999" s="68"/>
      <c r="T999" s="68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64"/>
      <c r="AH999" s="64"/>
      <c r="AI999" s="64"/>
      <c r="AJ999" s="64"/>
      <c r="AK999" s="64"/>
      <c r="AL999" s="264"/>
      <c r="AM999" s="84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</row>
    <row r="1000" spans="1:51" s="33" customFormat="1" ht="13.5" thickBot="1" x14ac:dyDescent="0.35">
      <c r="A1000" s="63" t="s">
        <v>194</v>
      </c>
      <c r="B1000" s="17" t="s">
        <v>1850</v>
      </c>
      <c r="C1000" s="295" t="s">
        <v>271</v>
      </c>
      <c r="D1000" s="290" t="s">
        <v>270</v>
      </c>
      <c r="E1000" s="290">
        <v>2</v>
      </c>
      <c r="F1000" s="290">
        <v>5</v>
      </c>
      <c r="G1000" s="290">
        <v>0</v>
      </c>
      <c r="H1000" s="89">
        <v>0</v>
      </c>
      <c r="I1000" s="88" t="s">
        <v>1106</v>
      </c>
      <c r="J1000" s="87"/>
      <c r="K1000" s="84">
        <v>1059305</v>
      </c>
      <c r="L1000" s="91" t="s">
        <v>1377</v>
      </c>
      <c r="M1000" s="17">
        <v>3</v>
      </c>
      <c r="N1000" s="17"/>
      <c r="O1000" s="83"/>
      <c r="P1000" s="83"/>
      <c r="Q1000" s="68"/>
      <c r="R1000" s="68"/>
      <c r="S1000" s="68"/>
      <c r="T1000" s="68"/>
      <c r="U1000" s="17"/>
      <c r="V1000" s="17"/>
      <c r="W1000" s="18" t="s">
        <v>1834</v>
      </c>
      <c r="X1000" s="17">
        <v>0</v>
      </c>
      <c r="Y1000" s="17"/>
      <c r="Z1000" s="17"/>
      <c r="AA1000" s="17"/>
      <c r="AB1000" s="17"/>
      <c r="AC1000" s="17"/>
      <c r="AD1000" s="17"/>
      <c r="AE1000" s="17"/>
      <c r="AF1000" s="17"/>
      <c r="AG1000" s="64"/>
      <c r="AH1000" s="64"/>
      <c r="AI1000" s="64"/>
      <c r="AJ1000" s="64"/>
      <c r="AK1000" s="64"/>
      <c r="AL1000" s="264"/>
      <c r="AM1000" s="84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</row>
    <row r="1001" spans="1:51" s="33" customFormat="1" x14ac:dyDescent="0.3">
      <c r="A1001" s="63" t="str">
        <f>+A1000</f>
        <v>BCV131</v>
      </c>
      <c r="B1001" s="18" t="str">
        <f>+B1000</f>
        <v>AX10</v>
      </c>
      <c r="C1001" s="85" t="str">
        <f>+C1000</f>
        <v>SIO1</v>
      </c>
      <c r="D1001" s="85" t="str">
        <f>+D1000</f>
        <v>SLC02</v>
      </c>
      <c r="E1001" s="290">
        <f>+E1000</f>
        <v>2</v>
      </c>
      <c r="F1001" s="290">
        <f>+F1000</f>
        <v>5</v>
      </c>
      <c r="G1001" s="290">
        <f>+G1000</f>
        <v>0</v>
      </c>
      <c r="H1001" s="72">
        <v>1</v>
      </c>
      <c r="I1001" s="77">
        <v>1</v>
      </c>
      <c r="J1001" s="76" t="s">
        <v>269</v>
      </c>
      <c r="K1001" s="65">
        <v>1044125</v>
      </c>
      <c r="L1001" s="79" t="s">
        <v>244</v>
      </c>
      <c r="M1001" s="17">
        <v>3</v>
      </c>
      <c r="N1001" s="18" t="s">
        <v>1847</v>
      </c>
      <c r="O1001" s="296" t="s">
        <v>1849</v>
      </c>
      <c r="P1001" s="296"/>
      <c r="Q1001" s="296" t="s">
        <v>1848</v>
      </c>
      <c r="R1001" s="17" t="s">
        <v>211</v>
      </c>
      <c r="S1001" s="17"/>
      <c r="T1001" s="17" t="s">
        <v>194</v>
      </c>
      <c r="U1001" s="17"/>
      <c r="V1001" s="289" t="str">
        <f>+CONCATENATE(E1001,".",F1001,"\",G1001,".",H1001,":",I1001)</f>
        <v>2.5\0.1:1</v>
      </c>
      <c r="W1001" s="18" t="s">
        <v>1834</v>
      </c>
      <c r="X1001" s="17">
        <v>0</v>
      </c>
      <c r="Y1001" s="17"/>
      <c r="Z1001" s="17"/>
      <c r="AA1001" s="17"/>
      <c r="AB1001" s="17"/>
      <c r="AC1001" s="17"/>
      <c r="AD1001" s="17"/>
      <c r="AE1001" s="17"/>
      <c r="AF1001" s="17"/>
      <c r="AG1001" s="64"/>
      <c r="AH1001" s="64"/>
      <c r="AI1001" s="64"/>
      <c r="AJ1001" s="64"/>
      <c r="AK1001" s="64"/>
      <c r="AL1001" s="264"/>
      <c r="AM1001" s="84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</row>
    <row r="1002" spans="1:51" s="33" customFormat="1" x14ac:dyDescent="0.3">
      <c r="A1002" s="63" t="str">
        <f>+A1001</f>
        <v>BCV131</v>
      </c>
      <c r="B1002" s="18" t="str">
        <f>+B1001</f>
        <v>AX10</v>
      </c>
      <c r="C1002" s="85" t="str">
        <f>+C1001</f>
        <v>SIO1</v>
      </c>
      <c r="D1002" s="85" t="str">
        <f>+D1001</f>
        <v>SLC02</v>
      </c>
      <c r="E1002" s="290">
        <f>+E1001</f>
        <v>2</v>
      </c>
      <c r="F1002" s="290">
        <f>+F1001</f>
        <v>5</v>
      </c>
      <c r="G1002" s="290">
        <f>+G1001</f>
        <v>0</v>
      </c>
      <c r="H1002" s="72">
        <f>+H1001</f>
        <v>1</v>
      </c>
      <c r="I1002" s="75">
        <v>2</v>
      </c>
      <c r="J1002" s="74" t="s">
        <v>265</v>
      </c>
      <c r="K1002" s="84">
        <v>1047162</v>
      </c>
      <c r="L1002" s="79" t="s">
        <v>244</v>
      </c>
      <c r="M1002" s="17">
        <v>3</v>
      </c>
      <c r="N1002" s="18" t="s">
        <v>1847</v>
      </c>
      <c r="O1002" s="296" t="s">
        <v>1846</v>
      </c>
      <c r="P1002" s="296"/>
      <c r="Q1002" s="296" t="s">
        <v>1845</v>
      </c>
      <c r="R1002" s="17" t="s">
        <v>211</v>
      </c>
      <c r="S1002" s="17"/>
      <c r="T1002" s="17" t="str">
        <f>+T1001</f>
        <v>BCV131</v>
      </c>
      <c r="U1002" s="17"/>
      <c r="V1002" s="289" t="str">
        <f>+CONCATENATE(E1002,".",F1002,"\",G1002,".",H1002,":",I1002)</f>
        <v>2.5\0.1:2</v>
      </c>
      <c r="W1002" s="18" t="s">
        <v>1834</v>
      </c>
      <c r="X1002" s="17">
        <v>0</v>
      </c>
      <c r="Y1002" s="17"/>
      <c r="Z1002" s="17"/>
      <c r="AA1002" s="17"/>
      <c r="AB1002" s="17"/>
      <c r="AC1002" s="17"/>
      <c r="AD1002" s="17"/>
      <c r="AE1002" s="17"/>
      <c r="AF1002" s="17"/>
      <c r="AG1002" s="64"/>
      <c r="AH1002" s="64"/>
      <c r="AI1002" s="64"/>
      <c r="AJ1002" s="64"/>
      <c r="AK1002" s="64"/>
      <c r="AL1002" s="264"/>
      <c r="AM1002" s="84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</row>
    <row r="1003" spans="1:51" s="33" customFormat="1" x14ac:dyDescent="0.3">
      <c r="A1003" s="63" t="str">
        <f>+A1002</f>
        <v>BCV131</v>
      </c>
      <c r="B1003" s="18" t="str">
        <f>+B1002</f>
        <v>AX10</v>
      </c>
      <c r="C1003" s="85" t="str">
        <f>+C1002</f>
        <v>SIO1</v>
      </c>
      <c r="D1003" s="85" t="str">
        <f>+D1002</f>
        <v>SLC02</v>
      </c>
      <c r="E1003" s="290">
        <f>+E1002</f>
        <v>2</v>
      </c>
      <c r="F1003" s="290">
        <f>+F1002</f>
        <v>5</v>
      </c>
      <c r="G1003" s="290">
        <f>+G1002</f>
        <v>0</v>
      </c>
      <c r="H1003" s="72">
        <f>+H1002</f>
        <v>1</v>
      </c>
      <c r="I1003" s="75">
        <v>3</v>
      </c>
      <c r="J1003" s="74" t="s">
        <v>261</v>
      </c>
      <c r="K1003" s="85"/>
      <c r="L1003" s="79" t="s">
        <v>244</v>
      </c>
      <c r="M1003" s="17">
        <v>3</v>
      </c>
      <c r="N1003" s="18" t="s">
        <v>1842</v>
      </c>
      <c r="O1003" s="296" t="s">
        <v>1844</v>
      </c>
      <c r="P1003" s="296"/>
      <c r="Q1003" s="296" t="s">
        <v>1843</v>
      </c>
      <c r="R1003" s="17" t="s">
        <v>211</v>
      </c>
      <c r="S1003" s="17"/>
      <c r="T1003" s="17" t="str">
        <f>+T1002</f>
        <v>BCV131</v>
      </c>
      <c r="U1003" s="17"/>
      <c r="V1003" s="289" t="str">
        <f>+CONCATENATE(E1003,".",F1003,"\",G1003,".",H1003,":",I1003)</f>
        <v>2.5\0.1:3</v>
      </c>
      <c r="W1003" s="18" t="s">
        <v>1834</v>
      </c>
      <c r="X1003" s="17">
        <v>0</v>
      </c>
      <c r="Y1003" s="17"/>
      <c r="Z1003" s="17"/>
      <c r="AA1003" s="17"/>
      <c r="AB1003" s="17"/>
      <c r="AC1003" s="17"/>
      <c r="AD1003" s="17"/>
      <c r="AE1003" s="17"/>
      <c r="AF1003" s="17"/>
      <c r="AG1003" s="64"/>
      <c r="AH1003" s="64"/>
      <c r="AI1003" s="64"/>
      <c r="AJ1003" s="64"/>
      <c r="AK1003" s="64"/>
      <c r="AL1003" s="264"/>
      <c r="AM1003" s="84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</row>
    <row r="1004" spans="1:51" s="33" customFormat="1" x14ac:dyDescent="0.3">
      <c r="A1004" s="63" t="str">
        <f>+A1003</f>
        <v>BCV131</v>
      </c>
      <c r="B1004" s="18" t="str">
        <f>+B1003</f>
        <v>AX10</v>
      </c>
      <c r="C1004" s="85" t="str">
        <f>+C1003</f>
        <v>SIO1</v>
      </c>
      <c r="D1004" s="85" t="str">
        <f>+D1003</f>
        <v>SLC02</v>
      </c>
      <c r="E1004" s="290">
        <f>+E1003</f>
        <v>2</v>
      </c>
      <c r="F1004" s="290">
        <f>+F1003</f>
        <v>5</v>
      </c>
      <c r="G1004" s="290">
        <f>+G1003</f>
        <v>0</v>
      </c>
      <c r="H1004" s="72">
        <f>+H1003</f>
        <v>1</v>
      </c>
      <c r="I1004" s="75">
        <v>4</v>
      </c>
      <c r="J1004" s="74" t="s">
        <v>257</v>
      </c>
      <c r="K1004" s="85"/>
      <c r="L1004" s="79" t="s">
        <v>244</v>
      </c>
      <c r="M1004" s="17">
        <v>3</v>
      </c>
      <c r="N1004" s="18" t="s">
        <v>1842</v>
      </c>
      <c r="O1004" s="296" t="s">
        <v>1841</v>
      </c>
      <c r="P1004" s="296"/>
      <c r="Q1004" s="296" t="s">
        <v>1840</v>
      </c>
      <c r="R1004" s="17" t="s">
        <v>211</v>
      </c>
      <c r="S1004" s="17"/>
      <c r="T1004" s="17" t="str">
        <f>+T1003</f>
        <v>BCV131</v>
      </c>
      <c r="U1004" s="17"/>
      <c r="V1004" s="289" t="str">
        <f>+CONCATENATE(E1004,".",F1004,"\",G1004,".",H1004,":",I1004)</f>
        <v>2.5\0.1:4</v>
      </c>
      <c r="W1004" s="18" t="s">
        <v>1834</v>
      </c>
      <c r="X1004" s="17">
        <v>0</v>
      </c>
      <c r="Y1004" s="17"/>
      <c r="Z1004" s="17"/>
      <c r="AA1004" s="17"/>
      <c r="AB1004" s="17"/>
      <c r="AC1004" s="17"/>
      <c r="AD1004" s="17"/>
      <c r="AE1004" s="17"/>
      <c r="AF1004" s="17"/>
      <c r="AG1004" s="64"/>
      <c r="AH1004" s="64"/>
      <c r="AI1004" s="64"/>
      <c r="AJ1004" s="64"/>
      <c r="AK1004" s="64"/>
      <c r="AL1004" s="264"/>
      <c r="AM1004" s="84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</row>
    <row r="1005" spans="1:51" s="33" customFormat="1" x14ac:dyDescent="0.3">
      <c r="A1005" s="63" t="str">
        <f>+A1004</f>
        <v>BCV131</v>
      </c>
      <c r="B1005" s="18" t="str">
        <f>+B1004</f>
        <v>AX10</v>
      </c>
      <c r="C1005" s="85" t="str">
        <f>+C1004</f>
        <v>SIO1</v>
      </c>
      <c r="D1005" s="85" t="str">
        <f>+D1004</f>
        <v>SLC02</v>
      </c>
      <c r="E1005" s="290">
        <f>+E1004</f>
        <v>2</v>
      </c>
      <c r="F1005" s="290">
        <f>+F1004</f>
        <v>5</v>
      </c>
      <c r="G1005" s="290">
        <f>+G1004</f>
        <v>0</v>
      </c>
      <c r="H1005" s="72">
        <f>+H1004</f>
        <v>1</v>
      </c>
      <c r="I1005" s="75">
        <v>5</v>
      </c>
      <c r="J1005" s="74" t="s">
        <v>1325</v>
      </c>
      <c r="K1005" s="85"/>
      <c r="L1005" s="79" t="s">
        <v>244</v>
      </c>
      <c r="M1005" s="17">
        <v>3</v>
      </c>
      <c r="N1005" s="17"/>
      <c r="O1005" s="296"/>
      <c r="P1005" s="296"/>
      <c r="Q1005" s="296" t="s">
        <v>127</v>
      </c>
      <c r="R1005" s="17"/>
      <c r="S1005" s="17"/>
      <c r="T1005" s="17"/>
      <c r="U1005" s="17"/>
      <c r="V1005" s="289" t="str">
        <f>+CONCATENATE(E1005,".",F1005,"\",G1005,".",H1005,":",I1005)</f>
        <v>2.5\0.1:5</v>
      </c>
      <c r="W1005" s="18" t="s">
        <v>1834</v>
      </c>
      <c r="X1005" s="17">
        <v>0</v>
      </c>
      <c r="Y1005" s="17"/>
      <c r="Z1005" s="17"/>
      <c r="AA1005" s="17"/>
      <c r="AB1005" s="17"/>
      <c r="AC1005" s="17"/>
      <c r="AD1005" s="17"/>
      <c r="AE1005" s="17"/>
      <c r="AF1005" s="17"/>
      <c r="AG1005" s="64"/>
      <c r="AH1005" s="64"/>
      <c r="AI1005" s="64"/>
      <c r="AJ1005" s="64"/>
      <c r="AK1005" s="64"/>
      <c r="AL1005" s="264"/>
      <c r="AM1005" s="84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</row>
    <row r="1006" spans="1:51" s="33" customFormat="1" x14ac:dyDescent="0.3">
      <c r="A1006" s="63" t="str">
        <f>+A1005</f>
        <v>BCV131</v>
      </c>
      <c r="B1006" s="18" t="str">
        <f>+B1005</f>
        <v>AX10</v>
      </c>
      <c r="C1006" s="85" t="str">
        <f>+C1005</f>
        <v>SIO1</v>
      </c>
      <c r="D1006" s="85" t="str">
        <f>+D1005</f>
        <v>SLC02</v>
      </c>
      <c r="E1006" s="290">
        <f>+E1005</f>
        <v>2</v>
      </c>
      <c r="F1006" s="290">
        <f>+F1005</f>
        <v>5</v>
      </c>
      <c r="G1006" s="290">
        <f>+G1005</f>
        <v>0</v>
      </c>
      <c r="H1006" s="72">
        <f>+H1005</f>
        <v>1</v>
      </c>
      <c r="I1006" s="75">
        <v>6</v>
      </c>
      <c r="J1006" s="74" t="s">
        <v>1323</v>
      </c>
      <c r="K1006" s="85"/>
      <c r="L1006" s="79" t="s">
        <v>244</v>
      </c>
      <c r="M1006" s="17">
        <v>3</v>
      </c>
      <c r="N1006" s="17"/>
      <c r="O1006" s="296"/>
      <c r="P1006" s="296"/>
      <c r="Q1006" s="296" t="s">
        <v>127</v>
      </c>
      <c r="R1006" s="17"/>
      <c r="S1006" s="17"/>
      <c r="T1006" s="17"/>
      <c r="U1006" s="17"/>
      <c r="V1006" s="289" t="str">
        <f>+CONCATENATE(E1006,".",F1006,"\",G1006,".",H1006,":",I1006)</f>
        <v>2.5\0.1:6</v>
      </c>
      <c r="W1006" s="18" t="s">
        <v>1834</v>
      </c>
      <c r="X1006" s="17">
        <v>0</v>
      </c>
      <c r="Y1006" s="17"/>
      <c r="Z1006" s="17"/>
      <c r="AA1006" s="17"/>
      <c r="AB1006" s="17"/>
      <c r="AC1006" s="17"/>
      <c r="AD1006" s="17"/>
      <c r="AE1006" s="17"/>
      <c r="AF1006" s="17"/>
      <c r="AG1006" s="64"/>
      <c r="AH1006" s="64"/>
      <c r="AI1006" s="64"/>
      <c r="AJ1006" s="64"/>
      <c r="AK1006" s="64"/>
      <c r="AL1006" s="264"/>
      <c r="AM1006" s="84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</row>
    <row r="1007" spans="1:51" s="33" customFormat="1" x14ac:dyDescent="0.3">
      <c r="A1007" s="63" t="str">
        <f>+A1006</f>
        <v>BCV131</v>
      </c>
      <c r="B1007" s="18" t="str">
        <f>+B1006</f>
        <v>AX10</v>
      </c>
      <c r="C1007" s="85" t="str">
        <f>+C1006</f>
        <v>SIO1</v>
      </c>
      <c r="D1007" s="85" t="str">
        <f>+D1006</f>
        <v>SLC02</v>
      </c>
      <c r="E1007" s="290">
        <f>+E1006</f>
        <v>2</v>
      </c>
      <c r="F1007" s="290">
        <f>+F1006</f>
        <v>5</v>
      </c>
      <c r="G1007" s="290">
        <f>+G1006</f>
        <v>0</v>
      </c>
      <c r="H1007" s="72">
        <f>+H1006</f>
        <v>1</v>
      </c>
      <c r="I1007" s="75">
        <v>7</v>
      </c>
      <c r="J1007" s="74" t="s">
        <v>246</v>
      </c>
      <c r="K1007" s="85"/>
      <c r="L1007" s="79" t="s">
        <v>244</v>
      </c>
      <c r="M1007" s="17">
        <v>3</v>
      </c>
      <c r="N1007" s="17"/>
      <c r="O1007" s="296"/>
      <c r="P1007" s="296"/>
      <c r="Q1007" s="296" t="s">
        <v>127</v>
      </c>
      <c r="R1007" s="17"/>
      <c r="S1007" s="17"/>
      <c r="T1007" s="17"/>
      <c r="U1007" s="17"/>
      <c r="V1007" s="289" t="str">
        <f>+CONCATENATE(E1007,".",F1007,"\",G1007,".",H1007,":",I1007)</f>
        <v>2.5\0.1:7</v>
      </c>
      <c r="W1007" s="18" t="s">
        <v>1834</v>
      </c>
      <c r="X1007" s="17">
        <v>0</v>
      </c>
      <c r="Y1007" s="17"/>
      <c r="Z1007" s="17"/>
      <c r="AA1007" s="17"/>
      <c r="AB1007" s="17"/>
      <c r="AC1007" s="17"/>
      <c r="AD1007" s="17"/>
      <c r="AE1007" s="17"/>
      <c r="AF1007" s="17"/>
      <c r="AG1007" s="64"/>
      <c r="AH1007" s="64"/>
      <c r="AI1007" s="64"/>
      <c r="AJ1007" s="64"/>
      <c r="AK1007" s="64"/>
      <c r="AL1007" s="264"/>
      <c r="AM1007" s="84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</row>
    <row r="1008" spans="1:51" s="33" customFormat="1" x14ac:dyDescent="0.3">
      <c r="A1008" s="63" t="str">
        <f>+A1007</f>
        <v>BCV131</v>
      </c>
      <c r="B1008" s="18" t="str">
        <f>+B1007</f>
        <v>AX10</v>
      </c>
      <c r="C1008" s="85" t="str">
        <f>+C1007</f>
        <v>SIO1</v>
      </c>
      <c r="D1008" s="85" t="str">
        <f>+D1007</f>
        <v>SLC02</v>
      </c>
      <c r="E1008" s="290">
        <f>+E1007</f>
        <v>2</v>
      </c>
      <c r="F1008" s="290">
        <f>+F1007</f>
        <v>5</v>
      </c>
      <c r="G1008" s="290">
        <f>+G1007</f>
        <v>0</v>
      </c>
      <c r="H1008" s="72">
        <f>+H1007</f>
        <v>1</v>
      </c>
      <c r="I1008" s="75">
        <v>8</v>
      </c>
      <c r="J1008" s="74" t="s">
        <v>245</v>
      </c>
      <c r="K1008" s="85"/>
      <c r="L1008" s="79" t="s">
        <v>244</v>
      </c>
      <c r="M1008" s="17">
        <v>3</v>
      </c>
      <c r="N1008" s="17"/>
      <c r="O1008" s="296"/>
      <c r="P1008" s="296"/>
      <c r="Q1008" s="296" t="s">
        <v>127</v>
      </c>
      <c r="R1008" s="17"/>
      <c r="S1008" s="17"/>
      <c r="T1008" s="17"/>
      <c r="U1008" s="17"/>
      <c r="V1008" s="289" t="str">
        <f>+CONCATENATE(E1008,".",F1008,"\",G1008,".",H1008,":",I1008)</f>
        <v>2.5\0.1:8</v>
      </c>
      <c r="W1008" s="18" t="s">
        <v>1834</v>
      </c>
      <c r="X1008" s="17">
        <v>0</v>
      </c>
      <c r="Y1008" s="17"/>
      <c r="Z1008" s="17"/>
      <c r="AA1008" s="17"/>
      <c r="AB1008" s="17"/>
      <c r="AC1008" s="17"/>
      <c r="AD1008" s="17"/>
      <c r="AE1008" s="17"/>
      <c r="AF1008" s="17"/>
      <c r="AG1008" s="64"/>
      <c r="AH1008" s="64"/>
      <c r="AI1008" s="64"/>
      <c r="AJ1008" s="64"/>
      <c r="AK1008" s="64"/>
      <c r="AL1008" s="264"/>
      <c r="AM1008" s="84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</row>
    <row r="1009" spans="1:51" s="33" customFormat="1" x14ac:dyDescent="0.3">
      <c r="A1009" s="63" t="str">
        <f>+A1008</f>
        <v>BCV131</v>
      </c>
      <c r="B1009" s="18" t="str">
        <f>+B1008</f>
        <v>AX10</v>
      </c>
      <c r="C1009" s="85" t="str">
        <f>+C1008</f>
        <v>SIO1</v>
      </c>
      <c r="D1009" s="85" t="str">
        <f>+D1008</f>
        <v>SLC02</v>
      </c>
      <c r="E1009" s="290">
        <f>+E1008</f>
        <v>2</v>
      </c>
      <c r="F1009" s="290">
        <f>+F1008</f>
        <v>5</v>
      </c>
      <c r="G1009" s="290">
        <f>+G1008</f>
        <v>0</v>
      </c>
      <c r="H1009" s="72">
        <f>+H1008</f>
        <v>1</v>
      </c>
      <c r="I1009" s="75">
        <v>1</v>
      </c>
      <c r="J1009" s="81" t="s">
        <v>1321</v>
      </c>
      <c r="K1009" s="85" t="s">
        <v>1366</v>
      </c>
      <c r="L1009" s="79" t="s">
        <v>235</v>
      </c>
      <c r="M1009" s="17">
        <v>3</v>
      </c>
      <c r="N1009" s="18" t="s">
        <v>1838</v>
      </c>
      <c r="O1009" s="17" t="s">
        <v>1839</v>
      </c>
      <c r="P1009" s="17"/>
      <c r="Q1009" s="17" t="s">
        <v>1335</v>
      </c>
      <c r="R1009" s="17" t="s">
        <v>922</v>
      </c>
      <c r="S1009" s="17"/>
      <c r="T1009" s="17" t="str">
        <f>+T1001</f>
        <v>BCV131</v>
      </c>
      <c r="U1009" s="17"/>
      <c r="V1009" s="289" t="str">
        <f>+CONCATENATE(E1009,".",F1009,"\",G1009,".",H1009,":",I1009)</f>
        <v>2.5\0.1:1</v>
      </c>
      <c r="W1009" s="18" t="s">
        <v>1834</v>
      </c>
      <c r="X1009" s="17">
        <v>0</v>
      </c>
      <c r="Y1009" s="17"/>
      <c r="Z1009" s="17"/>
      <c r="AA1009" s="17"/>
      <c r="AB1009" s="17"/>
      <c r="AC1009" s="17"/>
      <c r="AD1009" s="17"/>
      <c r="AE1009" s="17"/>
      <c r="AF1009" s="17"/>
      <c r="AG1009" s="64"/>
      <c r="AH1009" s="64"/>
      <c r="AI1009" s="64"/>
      <c r="AJ1009" s="64"/>
      <c r="AK1009" s="64"/>
      <c r="AL1009" s="264"/>
      <c r="AM1009" s="84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</row>
    <row r="1010" spans="1:51" s="33" customFormat="1" x14ac:dyDescent="0.3">
      <c r="A1010" s="63" t="str">
        <f>+A1009</f>
        <v>BCV131</v>
      </c>
      <c r="B1010" s="18" t="str">
        <f>+B1009</f>
        <v>AX10</v>
      </c>
      <c r="C1010" s="85" t="str">
        <f>+C1009</f>
        <v>SIO1</v>
      </c>
      <c r="D1010" s="85" t="str">
        <f>+D1009</f>
        <v>SLC02</v>
      </c>
      <c r="E1010" s="290">
        <f>+E1009</f>
        <v>2</v>
      </c>
      <c r="F1010" s="290">
        <f>+F1009</f>
        <v>5</v>
      </c>
      <c r="G1010" s="290">
        <f>+G1009</f>
        <v>0</v>
      </c>
      <c r="H1010" s="72">
        <f>+H1009</f>
        <v>1</v>
      </c>
      <c r="I1010" s="75">
        <v>2</v>
      </c>
      <c r="J1010" s="74" t="s">
        <v>1320</v>
      </c>
      <c r="K1010" s="85"/>
      <c r="L1010" s="79" t="s">
        <v>235</v>
      </c>
      <c r="M1010" s="17">
        <v>3</v>
      </c>
      <c r="N1010" s="18" t="s">
        <v>1838</v>
      </c>
      <c r="O1010" s="17" t="s">
        <v>1837</v>
      </c>
      <c r="P1010" s="17"/>
      <c r="Q1010" s="17" t="s">
        <v>1330</v>
      </c>
      <c r="R1010" s="17" t="s">
        <v>922</v>
      </c>
      <c r="S1010" s="17"/>
      <c r="T1010" s="17" t="str">
        <f>+T1009</f>
        <v>BCV131</v>
      </c>
      <c r="U1010" s="17"/>
      <c r="V1010" s="289" t="str">
        <f>+CONCATENATE(E1010,".",F1010,"\",G1010,".",H1010,":",I1010)</f>
        <v>2.5\0.1:2</v>
      </c>
      <c r="W1010" s="18" t="s">
        <v>1834</v>
      </c>
      <c r="X1010" s="17">
        <v>0</v>
      </c>
      <c r="Y1010" s="17"/>
      <c r="Z1010" s="17"/>
      <c r="AA1010" s="17"/>
      <c r="AB1010" s="17"/>
      <c r="AC1010" s="17"/>
      <c r="AD1010" s="17"/>
      <c r="AE1010" s="17"/>
      <c r="AF1010" s="17"/>
      <c r="AG1010" s="64"/>
      <c r="AH1010" s="64"/>
      <c r="AI1010" s="64"/>
      <c r="AJ1010" s="64"/>
      <c r="AK1010" s="64"/>
      <c r="AL1010" s="264"/>
      <c r="AM1010" s="84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</row>
    <row r="1011" spans="1:51" s="33" customFormat="1" x14ac:dyDescent="0.3">
      <c r="A1011" s="63" t="str">
        <f>+A1010</f>
        <v>BCV131</v>
      </c>
      <c r="B1011" s="18" t="str">
        <f>+B1010</f>
        <v>AX10</v>
      </c>
      <c r="C1011" s="85" t="str">
        <f>+C1010</f>
        <v>SIO1</v>
      </c>
      <c r="D1011" s="85" t="str">
        <f>+D1010</f>
        <v>SLC02</v>
      </c>
      <c r="E1011" s="290">
        <f>+E1010</f>
        <v>2</v>
      </c>
      <c r="F1011" s="290">
        <f>+F1010</f>
        <v>5</v>
      </c>
      <c r="G1011" s="290">
        <f>+G1010</f>
        <v>0</v>
      </c>
      <c r="H1011" s="72">
        <f>+H1010</f>
        <v>1</v>
      </c>
      <c r="I1011" s="75">
        <v>3</v>
      </c>
      <c r="J1011" s="74" t="s">
        <v>1319</v>
      </c>
      <c r="K1011" s="85"/>
      <c r="L1011" s="79" t="s">
        <v>235</v>
      </c>
      <c r="M1011" s="17">
        <v>3</v>
      </c>
      <c r="N1011" s="18" t="s">
        <v>1836</v>
      </c>
      <c r="O1011" s="17" t="s">
        <v>1835</v>
      </c>
      <c r="P1011" s="17"/>
      <c r="Q1011" s="17" t="s">
        <v>1330</v>
      </c>
      <c r="R1011" s="17" t="s">
        <v>922</v>
      </c>
      <c r="S1011" s="17"/>
      <c r="T1011" s="17" t="str">
        <f>+T1010</f>
        <v>BCV131</v>
      </c>
      <c r="U1011" s="17"/>
      <c r="V1011" s="289" t="str">
        <f>+CONCATENATE(E1011,".",F1011,"\",G1011,".",H1011,":",I1011)</f>
        <v>2.5\0.1:3</v>
      </c>
      <c r="W1011" s="18" t="s">
        <v>1834</v>
      </c>
      <c r="X1011" s="17">
        <v>0</v>
      </c>
      <c r="Y1011" s="17"/>
      <c r="Z1011" s="17"/>
      <c r="AA1011" s="17"/>
      <c r="AB1011" s="17"/>
      <c r="AC1011" s="17"/>
      <c r="AD1011" s="17"/>
      <c r="AE1011" s="17"/>
      <c r="AF1011" s="17"/>
      <c r="AG1011" s="64"/>
      <c r="AH1011" s="64"/>
      <c r="AI1011" s="64"/>
      <c r="AJ1011" s="64"/>
      <c r="AK1011" s="64"/>
      <c r="AL1011" s="264"/>
      <c r="AM1011" s="84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</row>
    <row r="1012" spans="1:51" s="33" customFormat="1" ht="13.5" thickBot="1" x14ac:dyDescent="0.35">
      <c r="A1012" s="63" t="str">
        <f>+A1011</f>
        <v>BCV131</v>
      </c>
      <c r="B1012" s="18" t="str">
        <f>+B1011</f>
        <v>AX10</v>
      </c>
      <c r="C1012" s="85" t="str">
        <f>+C1011</f>
        <v>SIO1</v>
      </c>
      <c r="D1012" s="85" t="str">
        <f>+D1011</f>
        <v>SLC02</v>
      </c>
      <c r="E1012" s="290">
        <f>+E1011</f>
        <v>2</v>
      </c>
      <c r="F1012" s="290">
        <f>+F1011</f>
        <v>5</v>
      </c>
      <c r="G1012" s="290">
        <f>+G1011</f>
        <v>0</v>
      </c>
      <c r="H1012" s="72">
        <f>+H1011</f>
        <v>1</v>
      </c>
      <c r="I1012" s="71">
        <v>4</v>
      </c>
      <c r="J1012" s="70" t="s">
        <v>1318</v>
      </c>
      <c r="K1012" s="85"/>
      <c r="L1012" s="79" t="s">
        <v>235</v>
      </c>
      <c r="M1012" s="17">
        <v>3</v>
      </c>
      <c r="N1012" s="17"/>
      <c r="O1012" s="17"/>
      <c r="P1012" s="17"/>
      <c r="Q1012" s="68"/>
      <c r="R1012" s="68"/>
      <c r="S1012" s="68"/>
      <c r="T1012" s="68"/>
      <c r="U1012" s="17"/>
      <c r="V1012" s="289" t="str">
        <f>+CONCATENATE(E1012,".",F1012,"\",G1012,".",H1012,":",I1012)</f>
        <v>2.5\0.1:4</v>
      </c>
      <c r="W1012" s="18" t="s">
        <v>1834</v>
      </c>
      <c r="X1012" s="17">
        <v>0</v>
      </c>
      <c r="Y1012" s="17"/>
      <c r="Z1012" s="17"/>
      <c r="AA1012" s="17"/>
      <c r="AB1012" s="17"/>
      <c r="AC1012" s="17"/>
      <c r="AD1012" s="17"/>
      <c r="AE1012" s="17"/>
      <c r="AF1012" s="17"/>
      <c r="AG1012" s="64"/>
      <c r="AH1012" s="64"/>
      <c r="AI1012" s="64"/>
      <c r="AJ1012" s="64"/>
      <c r="AK1012" s="64"/>
      <c r="AL1012" s="264"/>
      <c r="AM1012" s="84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</row>
    <row r="1013" spans="1:51" s="33" customFormat="1" x14ac:dyDescent="0.3">
      <c r="A1013" s="63"/>
      <c r="B1013" s="63"/>
      <c r="C1013" s="63"/>
      <c r="D1013" s="63"/>
      <c r="E1013" s="288"/>
      <c r="F1013" s="288"/>
      <c r="G1013" s="288"/>
      <c r="H1013" s="63"/>
      <c r="I1013" s="63"/>
      <c r="J1013" s="63"/>
      <c r="K1013" s="17"/>
      <c r="L1013" s="17"/>
      <c r="M1013" s="17"/>
      <c r="N1013" s="17"/>
      <c r="O1013" s="68"/>
      <c r="P1013" s="68"/>
      <c r="Q1013" s="68"/>
      <c r="R1013" s="68"/>
      <c r="S1013" s="68"/>
      <c r="T1013" s="68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64"/>
      <c r="AH1013" s="64"/>
      <c r="AI1013" s="64"/>
      <c r="AJ1013" s="64"/>
      <c r="AK1013" s="64"/>
      <c r="AL1013" s="264"/>
      <c r="AM1013" s="84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</row>
    <row r="1014" spans="1:51" s="33" customFormat="1" x14ac:dyDescent="0.3">
      <c r="A1014" s="63"/>
      <c r="B1014" s="63"/>
      <c r="C1014" s="63"/>
      <c r="D1014" s="63"/>
      <c r="E1014" s="288"/>
      <c r="F1014" s="288"/>
      <c r="G1014" s="288"/>
      <c r="H1014" s="63"/>
      <c r="I1014" s="63"/>
      <c r="J1014" s="63"/>
      <c r="K1014" s="17"/>
      <c r="L1014" s="17"/>
      <c r="M1014" s="17"/>
      <c r="N1014" s="17"/>
      <c r="O1014" s="68"/>
      <c r="P1014" s="68"/>
      <c r="Q1014" s="68"/>
      <c r="R1014" s="68"/>
      <c r="S1014" s="68"/>
      <c r="T1014" s="68"/>
      <c r="U1014" s="17"/>
      <c r="V1014" s="17"/>
      <c r="W1014" s="17"/>
      <c r="X1014" s="17"/>
      <c r="Y1014" s="17"/>
      <c r="Z1014" s="17"/>
      <c r="AA1014" s="17"/>
      <c r="AB1014" s="20"/>
      <c r="AC1014" s="17"/>
      <c r="AD1014" s="17"/>
      <c r="AE1014" s="17"/>
      <c r="AF1014" s="17"/>
      <c r="AG1014" s="64"/>
      <c r="AH1014" s="64"/>
      <c r="AI1014" s="64"/>
      <c r="AJ1014" s="64"/>
      <c r="AK1014" s="64"/>
      <c r="AL1014" s="264"/>
      <c r="AM1014" s="84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</row>
    <row r="1015" spans="1:51" s="33" customFormat="1" x14ac:dyDescent="0.3">
      <c r="A1015" s="63"/>
      <c r="B1015" s="63"/>
      <c r="C1015" s="63"/>
      <c r="D1015" s="63"/>
      <c r="E1015" s="288"/>
      <c r="F1015" s="288"/>
      <c r="G1015" s="288"/>
      <c r="H1015" s="63"/>
      <c r="I1015" s="63"/>
      <c r="J1015" s="63"/>
      <c r="K1015" s="17"/>
      <c r="L1015" s="17"/>
      <c r="M1015" s="17"/>
      <c r="N1015" s="17"/>
      <c r="O1015" s="68"/>
      <c r="P1015" s="68"/>
      <c r="Q1015" s="68"/>
      <c r="R1015" s="68"/>
      <c r="S1015" s="68"/>
      <c r="T1015" s="68"/>
      <c r="U1015" s="17"/>
      <c r="V1015" s="17"/>
      <c r="W1015" s="17"/>
      <c r="X1015" s="17"/>
      <c r="Y1015" s="17"/>
      <c r="Z1015" s="17"/>
      <c r="AA1015" s="17"/>
      <c r="AB1015" s="20"/>
      <c r="AC1015" s="17"/>
      <c r="AD1015" s="17"/>
      <c r="AE1015" s="17"/>
      <c r="AF1015" s="17"/>
      <c r="AG1015" s="64"/>
      <c r="AH1015" s="64"/>
      <c r="AI1015" s="64"/>
      <c r="AJ1015" s="64"/>
      <c r="AK1015" s="64"/>
      <c r="AL1015" s="264"/>
      <c r="AM1015" s="84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</row>
    <row r="1016" spans="1:51" s="33" customFormat="1" ht="15.5" x14ac:dyDescent="0.35">
      <c r="A1016" s="297"/>
      <c r="B1016" s="96" t="s">
        <v>1833</v>
      </c>
      <c r="C1016" s="256"/>
      <c r="D1016" s="256"/>
      <c r="E1016" s="256"/>
      <c r="F1016" s="256"/>
      <c r="G1016" s="256"/>
      <c r="H1016" s="256"/>
      <c r="I1016" s="256"/>
      <c r="J1016" s="256"/>
      <c r="K1016" s="256"/>
      <c r="L1016" s="256"/>
      <c r="M1016" s="256"/>
      <c r="N1016" s="287"/>
      <c r="O1016" s="256"/>
      <c r="P1016" s="287"/>
      <c r="Q1016" s="256"/>
      <c r="R1016" s="256"/>
      <c r="S1016" s="256"/>
      <c r="T1016" s="256"/>
      <c r="U1016" s="256"/>
      <c r="V1016" s="256"/>
      <c r="W1016" s="287"/>
      <c r="X1016" s="256"/>
      <c r="Y1016" s="256"/>
      <c r="Z1016" s="17"/>
      <c r="AA1016" s="17"/>
      <c r="AB1016" s="17"/>
      <c r="AC1016" s="17"/>
      <c r="AD1016" s="17"/>
      <c r="AE1016" s="17"/>
      <c r="AF1016" s="17"/>
      <c r="AG1016" s="64"/>
      <c r="AH1016" s="64"/>
      <c r="AI1016" s="64"/>
      <c r="AJ1016" s="64"/>
      <c r="AK1016" s="64"/>
      <c r="AL1016" s="264"/>
      <c r="AM1016" s="84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</row>
    <row r="1017" spans="1:51" s="33" customFormat="1" ht="13.5" thickBot="1" x14ac:dyDescent="0.35">
      <c r="A1017" s="63"/>
      <c r="B1017" s="63"/>
      <c r="C1017" s="63"/>
      <c r="D1017" s="63"/>
      <c r="E1017" s="288"/>
      <c r="F1017" s="288"/>
      <c r="G1017" s="288"/>
      <c r="H1017" s="63"/>
      <c r="I1017" s="63"/>
      <c r="J1017" s="63"/>
      <c r="K1017" s="17"/>
      <c r="L1017" s="17"/>
      <c r="M1017" s="17"/>
      <c r="N1017" s="17"/>
      <c r="O1017" s="68"/>
      <c r="P1017" s="68"/>
      <c r="Q1017" s="68"/>
      <c r="R1017" s="68"/>
      <c r="S1017" s="68"/>
      <c r="T1017" s="68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64"/>
      <c r="AH1017" s="64"/>
      <c r="AI1017" s="64"/>
      <c r="AJ1017" s="64"/>
      <c r="AK1017" s="64"/>
      <c r="AL1017" s="264"/>
      <c r="AM1017" s="84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</row>
    <row r="1018" spans="1:51" s="33" customFormat="1" ht="13.5" thickBot="1" x14ac:dyDescent="0.35">
      <c r="A1018" s="63" t="s">
        <v>194</v>
      </c>
      <c r="B1018" s="17" t="s">
        <v>1832</v>
      </c>
      <c r="C1018" s="295" t="s">
        <v>271</v>
      </c>
      <c r="D1018" s="290" t="s">
        <v>285</v>
      </c>
      <c r="E1018" s="290">
        <v>1</v>
      </c>
      <c r="F1018" s="290">
        <v>6</v>
      </c>
      <c r="G1018" s="290">
        <v>0</v>
      </c>
      <c r="H1018" s="89">
        <v>0</v>
      </c>
      <c r="I1018" s="88" t="s">
        <v>1106</v>
      </c>
      <c r="J1018" s="87"/>
      <c r="K1018" s="84">
        <v>1059305</v>
      </c>
      <c r="L1018" s="91" t="s">
        <v>1377</v>
      </c>
      <c r="M1018" s="17">
        <v>3</v>
      </c>
      <c r="N1018" s="17"/>
      <c r="O1018" s="83"/>
      <c r="P1018" s="83"/>
      <c r="Q1018" s="68"/>
      <c r="R1018" s="68"/>
      <c r="S1018" s="68"/>
      <c r="T1018" s="68"/>
      <c r="U1018" s="17"/>
      <c r="V1018" s="17"/>
      <c r="W1018" s="18" t="s">
        <v>1816</v>
      </c>
      <c r="X1018" s="17">
        <v>0</v>
      </c>
      <c r="Y1018" s="17"/>
      <c r="Z1018" s="17"/>
      <c r="AA1018" s="17"/>
      <c r="AB1018" s="17"/>
      <c r="AC1018" s="17"/>
      <c r="AD1018" s="17"/>
      <c r="AE1018" s="17"/>
      <c r="AF1018" s="17"/>
      <c r="AG1018" s="64"/>
      <c r="AH1018" s="64"/>
      <c r="AI1018" s="64"/>
      <c r="AJ1018" s="64"/>
      <c r="AK1018" s="64"/>
      <c r="AL1018" s="264"/>
      <c r="AM1018" s="84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</row>
    <row r="1019" spans="1:51" s="33" customFormat="1" x14ac:dyDescent="0.3">
      <c r="A1019" s="63" t="str">
        <f>+A1018</f>
        <v>BCV131</v>
      </c>
      <c r="B1019" s="18" t="str">
        <f>+B1018</f>
        <v>AX11</v>
      </c>
      <c r="C1019" s="85" t="str">
        <f>+C1018</f>
        <v>SIO1</v>
      </c>
      <c r="D1019" s="85" t="str">
        <f>+D1018</f>
        <v>SLC01</v>
      </c>
      <c r="E1019" s="290">
        <f>+E1018</f>
        <v>1</v>
      </c>
      <c r="F1019" s="290">
        <f>+F1018</f>
        <v>6</v>
      </c>
      <c r="G1019" s="290">
        <f>+G1018</f>
        <v>0</v>
      </c>
      <c r="H1019" s="72">
        <v>1</v>
      </c>
      <c r="I1019" s="77">
        <v>1</v>
      </c>
      <c r="J1019" s="76" t="s">
        <v>269</v>
      </c>
      <c r="K1019" s="65">
        <v>1044125</v>
      </c>
      <c r="L1019" s="79" t="s">
        <v>244</v>
      </c>
      <c r="M1019" s="17">
        <v>3</v>
      </c>
      <c r="N1019" s="18" t="s">
        <v>1829</v>
      </c>
      <c r="O1019" s="296" t="s">
        <v>1831</v>
      </c>
      <c r="P1019" s="296"/>
      <c r="Q1019" s="296" t="s">
        <v>1830</v>
      </c>
      <c r="R1019" s="17" t="s">
        <v>211</v>
      </c>
      <c r="S1019" s="17"/>
      <c r="T1019" s="17" t="s">
        <v>194</v>
      </c>
      <c r="U1019" s="17"/>
      <c r="V1019" s="289" t="str">
        <f>+CONCATENATE(E1019,".",F1019,"\",G1019,".",H1019,":",I1019)</f>
        <v>1.6\0.1:1</v>
      </c>
      <c r="W1019" s="18" t="s">
        <v>1816</v>
      </c>
      <c r="X1019" s="17">
        <v>0</v>
      </c>
      <c r="Y1019" s="17"/>
      <c r="Z1019" s="17"/>
      <c r="AA1019" s="17"/>
      <c r="AB1019" s="17"/>
      <c r="AC1019" s="17"/>
      <c r="AD1019" s="17"/>
      <c r="AE1019" s="17"/>
      <c r="AF1019" s="17"/>
      <c r="AG1019" s="64"/>
      <c r="AH1019" s="64"/>
      <c r="AI1019" s="64"/>
      <c r="AJ1019" s="64"/>
      <c r="AK1019" s="64"/>
      <c r="AL1019" s="264"/>
      <c r="AM1019" s="84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</row>
    <row r="1020" spans="1:51" s="33" customFormat="1" x14ac:dyDescent="0.3">
      <c r="A1020" s="63" t="str">
        <f>+A1019</f>
        <v>BCV131</v>
      </c>
      <c r="B1020" s="18" t="str">
        <f>+B1019</f>
        <v>AX11</v>
      </c>
      <c r="C1020" s="85" t="str">
        <f>+C1019</f>
        <v>SIO1</v>
      </c>
      <c r="D1020" s="85" t="str">
        <f>+D1019</f>
        <v>SLC01</v>
      </c>
      <c r="E1020" s="290">
        <f>+E1019</f>
        <v>1</v>
      </c>
      <c r="F1020" s="290">
        <f>+F1019</f>
        <v>6</v>
      </c>
      <c r="G1020" s="290">
        <f>+G1019</f>
        <v>0</v>
      </c>
      <c r="H1020" s="72">
        <f>+H1019</f>
        <v>1</v>
      </c>
      <c r="I1020" s="75">
        <v>2</v>
      </c>
      <c r="J1020" s="74" t="s">
        <v>265</v>
      </c>
      <c r="K1020" s="84">
        <v>1047162</v>
      </c>
      <c r="L1020" s="79" t="s">
        <v>244</v>
      </c>
      <c r="M1020" s="17">
        <v>3</v>
      </c>
      <c r="N1020" s="18" t="s">
        <v>1829</v>
      </c>
      <c r="O1020" s="296" t="s">
        <v>1828</v>
      </c>
      <c r="P1020" s="296"/>
      <c r="Q1020" s="296" t="s">
        <v>1827</v>
      </c>
      <c r="R1020" s="17" t="s">
        <v>211</v>
      </c>
      <c r="S1020" s="17"/>
      <c r="T1020" s="17" t="str">
        <f>+T1019</f>
        <v>BCV131</v>
      </c>
      <c r="U1020" s="17"/>
      <c r="V1020" s="289" t="str">
        <f>+CONCATENATE(E1020,".",F1020,"\",G1020,".",H1020,":",I1020)</f>
        <v>1.6\0.1:2</v>
      </c>
      <c r="W1020" s="18" t="s">
        <v>1816</v>
      </c>
      <c r="X1020" s="17">
        <v>0</v>
      </c>
      <c r="Y1020" s="17"/>
      <c r="Z1020" s="17"/>
      <c r="AA1020" s="17"/>
      <c r="AB1020" s="17"/>
      <c r="AC1020" s="17"/>
      <c r="AD1020" s="17"/>
      <c r="AE1020" s="17"/>
      <c r="AF1020" s="17"/>
      <c r="AG1020" s="64"/>
      <c r="AH1020" s="64"/>
      <c r="AI1020" s="64"/>
      <c r="AJ1020" s="64"/>
      <c r="AK1020" s="64"/>
      <c r="AL1020" s="264"/>
      <c r="AM1020" s="84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</row>
    <row r="1021" spans="1:51" s="33" customFormat="1" x14ac:dyDescent="0.3">
      <c r="A1021" s="63" t="str">
        <f>+A1020</f>
        <v>BCV131</v>
      </c>
      <c r="B1021" s="18" t="str">
        <f>+B1020</f>
        <v>AX11</v>
      </c>
      <c r="C1021" s="85" t="str">
        <f>+C1020</f>
        <v>SIO1</v>
      </c>
      <c r="D1021" s="85" t="str">
        <f>+D1020</f>
        <v>SLC01</v>
      </c>
      <c r="E1021" s="290">
        <f>+E1020</f>
        <v>1</v>
      </c>
      <c r="F1021" s="290">
        <f>+F1020</f>
        <v>6</v>
      </c>
      <c r="G1021" s="290">
        <f>+G1020</f>
        <v>0</v>
      </c>
      <c r="H1021" s="72">
        <f>+H1020</f>
        <v>1</v>
      </c>
      <c r="I1021" s="75">
        <v>3</v>
      </c>
      <c r="J1021" s="74" t="s">
        <v>261</v>
      </c>
      <c r="K1021" s="85"/>
      <c r="L1021" s="79" t="s">
        <v>244</v>
      </c>
      <c r="M1021" s="17">
        <v>3</v>
      </c>
      <c r="N1021" s="18" t="s">
        <v>1824</v>
      </c>
      <c r="O1021" s="296" t="s">
        <v>1826</v>
      </c>
      <c r="P1021" s="296"/>
      <c r="Q1021" s="296" t="s">
        <v>1825</v>
      </c>
      <c r="R1021" s="17" t="s">
        <v>211</v>
      </c>
      <c r="S1021" s="17"/>
      <c r="T1021" s="17" t="str">
        <f>+T1020</f>
        <v>BCV131</v>
      </c>
      <c r="U1021" s="17"/>
      <c r="V1021" s="289" t="str">
        <f>+CONCATENATE(E1021,".",F1021,"\",G1021,".",H1021,":",I1021)</f>
        <v>1.6\0.1:3</v>
      </c>
      <c r="W1021" s="18" t="s">
        <v>1816</v>
      </c>
      <c r="X1021" s="17">
        <v>0</v>
      </c>
      <c r="Y1021" s="17"/>
      <c r="Z1021" s="17"/>
      <c r="AA1021" s="17"/>
      <c r="AB1021" s="17"/>
      <c r="AC1021" s="17"/>
      <c r="AD1021" s="17"/>
      <c r="AE1021" s="17"/>
      <c r="AF1021" s="17"/>
      <c r="AG1021" s="64"/>
      <c r="AH1021" s="64"/>
      <c r="AI1021" s="64"/>
      <c r="AJ1021" s="64"/>
      <c r="AK1021" s="64"/>
      <c r="AL1021" s="264"/>
      <c r="AM1021" s="84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</row>
    <row r="1022" spans="1:51" s="33" customFormat="1" x14ac:dyDescent="0.3">
      <c r="A1022" s="63" t="str">
        <f>+A1021</f>
        <v>BCV131</v>
      </c>
      <c r="B1022" s="18" t="str">
        <f>+B1021</f>
        <v>AX11</v>
      </c>
      <c r="C1022" s="85" t="str">
        <f>+C1021</f>
        <v>SIO1</v>
      </c>
      <c r="D1022" s="85" t="str">
        <f>+D1021</f>
        <v>SLC01</v>
      </c>
      <c r="E1022" s="290">
        <f>+E1021</f>
        <v>1</v>
      </c>
      <c r="F1022" s="290">
        <f>+F1021</f>
        <v>6</v>
      </c>
      <c r="G1022" s="290">
        <f>+G1021</f>
        <v>0</v>
      </c>
      <c r="H1022" s="72">
        <f>+H1021</f>
        <v>1</v>
      </c>
      <c r="I1022" s="75">
        <v>4</v>
      </c>
      <c r="J1022" s="74" t="s">
        <v>257</v>
      </c>
      <c r="K1022" s="85"/>
      <c r="L1022" s="79" t="s">
        <v>244</v>
      </c>
      <c r="M1022" s="17">
        <v>3</v>
      </c>
      <c r="N1022" s="18" t="s">
        <v>1824</v>
      </c>
      <c r="O1022" s="296" t="s">
        <v>1823</v>
      </c>
      <c r="P1022" s="296"/>
      <c r="Q1022" s="296" t="s">
        <v>1822</v>
      </c>
      <c r="R1022" s="17" t="s">
        <v>211</v>
      </c>
      <c r="S1022" s="17"/>
      <c r="T1022" s="17" t="str">
        <f>+T1021</f>
        <v>BCV131</v>
      </c>
      <c r="U1022" s="17"/>
      <c r="V1022" s="289" t="str">
        <f>+CONCATENATE(E1022,".",F1022,"\",G1022,".",H1022,":",I1022)</f>
        <v>1.6\0.1:4</v>
      </c>
      <c r="W1022" s="18" t="s">
        <v>1816</v>
      </c>
      <c r="X1022" s="17">
        <v>0</v>
      </c>
      <c r="Y1022" s="17"/>
      <c r="Z1022" s="17"/>
      <c r="AA1022" s="17"/>
      <c r="AB1022" s="17"/>
      <c r="AC1022" s="17"/>
      <c r="AD1022" s="17"/>
      <c r="AE1022" s="17"/>
      <c r="AF1022" s="17"/>
      <c r="AG1022" s="64"/>
      <c r="AH1022" s="64"/>
      <c r="AI1022" s="64"/>
      <c r="AJ1022" s="64"/>
      <c r="AK1022" s="64"/>
      <c r="AL1022" s="264"/>
      <c r="AM1022" s="84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</row>
    <row r="1023" spans="1:51" s="33" customFormat="1" x14ac:dyDescent="0.3">
      <c r="A1023" s="63" t="str">
        <f>+A1022</f>
        <v>BCV131</v>
      </c>
      <c r="B1023" s="18" t="str">
        <f>+B1022</f>
        <v>AX11</v>
      </c>
      <c r="C1023" s="85" t="str">
        <f>+C1022</f>
        <v>SIO1</v>
      </c>
      <c r="D1023" s="85" t="str">
        <f>+D1022</f>
        <v>SLC01</v>
      </c>
      <c r="E1023" s="290">
        <f>+E1022</f>
        <v>1</v>
      </c>
      <c r="F1023" s="290">
        <f>+F1022</f>
        <v>6</v>
      </c>
      <c r="G1023" s="290">
        <f>+G1022</f>
        <v>0</v>
      </c>
      <c r="H1023" s="72">
        <f>+H1022</f>
        <v>1</v>
      </c>
      <c r="I1023" s="75">
        <v>5</v>
      </c>
      <c r="J1023" s="74" t="s">
        <v>1325</v>
      </c>
      <c r="K1023" s="85"/>
      <c r="L1023" s="79" t="s">
        <v>244</v>
      </c>
      <c r="M1023" s="17">
        <v>3</v>
      </c>
      <c r="N1023" s="17"/>
      <c r="O1023" s="296"/>
      <c r="P1023" s="296"/>
      <c r="Q1023" s="296" t="s">
        <v>127</v>
      </c>
      <c r="R1023" s="17"/>
      <c r="S1023" s="17"/>
      <c r="T1023" s="17"/>
      <c r="U1023" s="17"/>
      <c r="V1023" s="289" t="str">
        <f>+CONCATENATE(E1023,".",F1023,"\",G1023,".",H1023,":",I1023)</f>
        <v>1.6\0.1:5</v>
      </c>
      <c r="W1023" s="18" t="s">
        <v>1816</v>
      </c>
      <c r="X1023" s="17">
        <v>0</v>
      </c>
      <c r="Y1023" s="17"/>
      <c r="Z1023" s="17"/>
      <c r="AA1023" s="17"/>
      <c r="AB1023" s="17"/>
      <c r="AC1023" s="17"/>
      <c r="AD1023" s="17"/>
      <c r="AE1023" s="17"/>
      <c r="AF1023" s="17"/>
      <c r="AG1023" s="64"/>
      <c r="AH1023" s="64"/>
      <c r="AI1023" s="64"/>
      <c r="AJ1023" s="64"/>
      <c r="AK1023" s="64"/>
      <c r="AL1023" s="264"/>
      <c r="AM1023" s="84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</row>
    <row r="1024" spans="1:51" s="33" customFormat="1" x14ac:dyDescent="0.3">
      <c r="A1024" s="63" t="str">
        <f>+A1023</f>
        <v>BCV131</v>
      </c>
      <c r="B1024" s="18" t="str">
        <f>+B1023</f>
        <v>AX11</v>
      </c>
      <c r="C1024" s="85" t="str">
        <f>+C1023</f>
        <v>SIO1</v>
      </c>
      <c r="D1024" s="85" t="str">
        <f>+D1023</f>
        <v>SLC01</v>
      </c>
      <c r="E1024" s="290">
        <f>+E1023</f>
        <v>1</v>
      </c>
      <c r="F1024" s="290">
        <f>+F1023</f>
        <v>6</v>
      </c>
      <c r="G1024" s="290">
        <f>+G1023</f>
        <v>0</v>
      </c>
      <c r="H1024" s="72">
        <f>+H1023</f>
        <v>1</v>
      </c>
      <c r="I1024" s="75">
        <v>6</v>
      </c>
      <c r="J1024" s="74" t="s">
        <v>1323</v>
      </c>
      <c r="K1024" s="85"/>
      <c r="L1024" s="79" t="s">
        <v>244</v>
      </c>
      <c r="M1024" s="17">
        <v>3</v>
      </c>
      <c r="N1024" s="17"/>
      <c r="O1024" s="296"/>
      <c r="P1024" s="296"/>
      <c r="Q1024" s="296" t="s">
        <v>127</v>
      </c>
      <c r="R1024" s="17"/>
      <c r="S1024" s="17"/>
      <c r="T1024" s="17"/>
      <c r="U1024" s="17"/>
      <c r="V1024" s="289" t="str">
        <f>+CONCATENATE(E1024,".",F1024,"\",G1024,".",H1024,":",I1024)</f>
        <v>1.6\0.1:6</v>
      </c>
      <c r="W1024" s="18" t="s">
        <v>1816</v>
      </c>
      <c r="X1024" s="17">
        <v>0</v>
      </c>
      <c r="Y1024" s="17"/>
      <c r="Z1024" s="17"/>
      <c r="AA1024" s="17"/>
      <c r="AB1024" s="17"/>
      <c r="AC1024" s="17"/>
      <c r="AD1024" s="17"/>
      <c r="AE1024" s="17"/>
      <c r="AF1024" s="17"/>
      <c r="AG1024" s="64"/>
      <c r="AH1024" s="64"/>
      <c r="AI1024" s="64"/>
      <c r="AJ1024" s="64"/>
      <c r="AK1024" s="64"/>
      <c r="AL1024" s="264"/>
      <c r="AM1024" s="84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</row>
    <row r="1025" spans="1:51" s="33" customFormat="1" x14ac:dyDescent="0.3">
      <c r="A1025" s="63" t="str">
        <f>+A1024</f>
        <v>BCV131</v>
      </c>
      <c r="B1025" s="18" t="str">
        <f>+B1024</f>
        <v>AX11</v>
      </c>
      <c r="C1025" s="85" t="str">
        <f>+C1024</f>
        <v>SIO1</v>
      </c>
      <c r="D1025" s="85" t="str">
        <f>+D1024</f>
        <v>SLC01</v>
      </c>
      <c r="E1025" s="290">
        <f>+E1024</f>
        <v>1</v>
      </c>
      <c r="F1025" s="290">
        <f>+F1024</f>
        <v>6</v>
      </c>
      <c r="G1025" s="290">
        <f>+G1024</f>
        <v>0</v>
      </c>
      <c r="H1025" s="72">
        <f>+H1024</f>
        <v>1</v>
      </c>
      <c r="I1025" s="75">
        <v>7</v>
      </c>
      <c r="J1025" s="74" t="s">
        <v>246</v>
      </c>
      <c r="K1025" s="85"/>
      <c r="L1025" s="79" t="s">
        <v>244</v>
      </c>
      <c r="M1025" s="17">
        <v>3</v>
      </c>
      <c r="N1025" s="17"/>
      <c r="O1025" s="296"/>
      <c r="P1025" s="296"/>
      <c r="Q1025" s="296" t="s">
        <v>127</v>
      </c>
      <c r="R1025" s="17"/>
      <c r="S1025" s="17"/>
      <c r="T1025" s="17"/>
      <c r="U1025" s="17"/>
      <c r="V1025" s="289" t="str">
        <f>+CONCATENATE(E1025,".",F1025,"\",G1025,".",H1025,":",I1025)</f>
        <v>1.6\0.1:7</v>
      </c>
      <c r="W1025" s="18" t="s">
        <v>1816</v>
      </c>
      <c r="X1025" s="17">
        <v>0</v>
      </c>
      <c r="Y1025" s="17"/>
      <c r="Z1025" s="17"/>
      <c r="AA1025" s="17"/>
      <c r="AB1025" s="17"/>
      <c r="AC1025" s="17"/>
      <c r="AD1025" s="17"/>
      <c r="AE1025" s="17"/>
      <c r="AF1025" s="17"/>
      <c r="AG1025" s="64"/>
      <c r="AH1025" s="64"/>
      <c r="AI1025" s="64"/>
      <c r="AJ1025" s="64"/>
      <c r="AK1025" s="64"/>
      <c r="AL1025" s="264"/>
      <c r="AM1025" s="84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</row>
    <row r="1026" spans="1:51" s="33" customFormat="1" x14ac:dyDescent="0.3">
      <c r="A1026" s="63" t="str">
        <f>+A1025</f>
        <v>BCV131</v>
      </c>
      <c r="B1026" s="18" t="str">
        <f>+B1025</f>
        <v>AX11</v>
      </c>
      <c r="C1026" s="85" t="str">
        <f>+C1025</f>
        <v>SIO1</v>
      </c>
      <c r="D1026" s="85" t="str">
        <f>+D1025</f>
        <v>SLC01</v>
      </c>
      <c r="E1026" s="290">
        <f>+E1025</f>
        <v>1</v>
      </c>
      <c r="F1026" s="290">
        <f>+F1025</f>
        <v>6</v>
      </c>
      <c r="G1026" s="290">
        <f>+G1025</f>
        <v>0</v>
      </c>
      <c r="H1026" s="72">
        <f>+H1025</f>
        <v>1</v>
      </c>
      <c r="I1026" s="75">
        <v>8</v>
      </c>
      <c r="J1026" s="74" t="s">
        <v>245</v>
      </c>
      <c r="K1026" s="85"/>
      <c r="L1026" s="79" t="s">
        <v>244</v>
      </c>
      <c r="M1026" s="17">
        <v>3</v>
      </c>
      <c r="N1026" s="17"/>
      <c r="O1026" s="296"/>
      <c r="P1026" s="296"/>
      <c r="Q1026" s="296" t="s">
        <v>127</v>
      </c>
      <c r="R1026" s="17"/>
      <c r="S1026" s="17"/>
      <c r="T1026" s="17"/>
      <c r="U1026" s="17"/>
      <c r="V1026" s="289" t="str">
        <f>+CONCATENATE(E1026,".",F1026,"\",G1026,".",H1026,":",I1026)</f>
        <v>1.6\0.1:8</v>
      </c>
      <c r="W1026" s="18" t="s">
        <v>1816</v>
      </c>
      <c r="X1026" s="17">
        <v>0</v>
      </c>
      <c r="Y1026" s="17"/>
      <c r="Z1026" s="17"/>
      <c r="AA1026" s="17"/>
      <c r="AB1026" s="17"/>
      <c r="AC1026" s="17"/>
      <c r="AD1026" s="17"/>
      <c r="AE1026" s="17"/>
      <c r="AF1026" s="17"/>
      <c r="AG1026" s="64"/>
      <c r="AH1026" s="64"/>
      <c r="AI1026" s="64"/>
      <c r="AJ1026" s="64"/>
      <c r="AK1026" s="64"/>
      <c r="AL1026" s="264"/>
      <c r="AM1026" s="84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</row>
    <row r="1027" spans="1:51" s="33" customFormat="1" x14ac:dyDescent="0.3">
      <c r="A1027" s="63" t="str">
        <f>+A1026</f>
        <v>BCV131</v>
      </c>
      <c r="B1027" s="18" t="str">
        <f>+B1026</f>
        <v>AX11</v>
      </c>
      <c r="C1027" s="85" t="str">
        <f>+C1026</f>
        <v>SIO1</v>
      </c>
      <c r="D1027" s="85" t="str">
        <f>+D1026</f>
        <v>SLC01</v>
      </c>
      <c r="E1027" s="290">
        <f>+E1026</f>
        <v>1</v>
      </c>
      <c r="F1027" s="290">
        <f>+F1026</f>
        <v>6</v>
      </c>
      <c r="G1027" s="290">
        <f>+G1026</f>
        <v>0</v>
      </c>
      <c r="H1027" s="72">
        <f>+H1026</f>
        <v>1</v>
      </c>
      <c r="I1027" s="75">
        <v>1</v>
      </c>
      <c r="J1027" s="81" t="s">
        <v>1321</v>
      </c>
      <c r="K1027" s="85" t="s">
        <v>1366</v>
      </c>
      <c r="L1027" s="79" t="s">
        <v>235</v>
      </c>
      <c r="M1027" s="17">
        <v>3</v>
      </c>
      <c r="N1027" s="18" t="s">
        <v>1820</v>
      </c>
      <c r="O1027" s="17" t="s">
        <v>1821</v>
      </c>
      <c r="P1027" s="17"/>
      <c r="Q1027" s="17" t="s">
        <v>1335</v>
      </c>
      <c r="R1027" s="17" t="s">
        <v>922</v>
      </c>
      <c r="S1027" s="17"/>
      <c r="T1027" s="17" t="str">
        <f>+T1019</f>
        <v>BCV131</v>
      </c>
      <c r="U1027" s="17"/>
      <c r="V1027" s="289" t="str">
        <f>+CONCATENATE(E1027,".",F1027,"\",G1027,".",H1027,":",I1027)</f>
        <v>1.6\0.1:1</v>
      </c>
      <c r="W1027" s="18" t="s">
        <v>1816</v>
      </c>
      <c r="X1027" s="17">
        <v>0</v>
      </c>
      <c r="Y1027" s="17"/>
      <c r="Z1027" s="17"/>
      <c r="AA1027" s="17"/>
      <c r="AB1027" s="17"/>
      <c r="AC1027" s="17"/>
      <c r="AD1027" s="17"/>
      <c r="AE1027" s="17"/>
      <c r="AF1027" s="17"/>
      <c r="AG1027" s="64"/>
      <c r="AH1027" s="64"/>
      <c r="AI1027" s="64"/>
      <c r="AJ1027" s="64"/>
      <c r="AK1027" s="64"/>
      <c r="AL1027" s="264"/>
      <c r="AM1027" s="84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</row>
    <row r="1028" spans="1:51" s="33" customFormat="1" x14ac:dyDescent="0.3">
      <c r="A1028" s="63" t="str">
        <f>+A1027</f>
        <v>BCV131</v>
      </c>
      <c r="B1028" s="18" t="str">
        <f>+B1027</f>
        <v>AX11</v>
      </c>
      <c r="C1028" s="85" t="str">
        <f>+C1027</f>
        <v>SIO1</v>
      </c>
      <c r="D1028" s="85" t="str">
        <f>+D1027</f>
        <v>SLC01</v>
      </c>
      <c r="E1028" s="290">
        <f>+E1027</f>
        <v>1</v>
      </c>
      <c r="F1028" s="290">
        <f>+F1027</f>
        <v>6</v>
      </c>
      <c r="G1028" s="290">
        <f>+G1027</f>
        <v>0</v>
      </c>
      <c r="H1028" s="72">
        <f>+H1027</f>
        <v>1</v>
      </c>
      <c r="I1028" s="75">
        <v>2</v>
      </c>
      <c r="J1028" s="74" t="s">
        <v>1320</v>
      </c>
      <c r="K1028" s="85"/>
      <c r="L1028" s="79" t="s">
        <v>235</v>
      </c>
      <c r="M1028" s="17">
        <v>3</v>
      </c>
      <c r="N1028" s="18" t="s">
        <v>1820</v>
      </c>
      <c r="O1028" s="17" t="s">
        <v>1819</v>
      </c>
      <c r="P1028" s="17"/>
      <c r="Q1028" s="17" t="s">
        <v>1330</v>
      </c>
      <c r="R1028" s="17" t="s">
        <v>922</v>
      </c>
      <c r="S1028" s="17"/>
      <c r="T1028" s="17" t="str">
        <f>+T1027</f>
        <v>BCV131</v>
      </c>
      <c r="U1028" s="17"/>
      <c r="V1028" s="289" t="str">
        <f>+CONCATENATE(E1028,".",F1028,"\",G1028,".",H1028,":",I1028)</f>
        <v>1.6\0.1:2</v>
      </c>
      <c r="W1028" s="18" t="s">
        <v>1816</v>
      </c>
      <c r="X1028" s="17">
        <v>0</v>
      </c>
      <c r="Y1028" s="17"/>
      <c r="Z1028" s="17"/>
      <c r="AA1028" s="17"/>
      <c r="AB1028" s="17"/>
      <c r="AC1028" s="17"/>
      <c r="AD1028" s="17"/>
      <c r="AE1028" s="17"/>
      <c r="AF1028" s="17"/>
      <c r="AG1028" s="64"/>
      <c r="AH1028" s="64"/>
      <c r="AI1028" s="64"/>
      <c r="AJ1028" s="64"/>
      <c r="AK1028" s="64"/>
      <c r="AL1028" s="264"/>
      <c r="AM1028" s="84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</row>
    <row r="1029" spans="1:51" s="33" customFormat="1" x14ac:dyDescent="0.3">
      <c r="A1029" s="63" t="str">
        <f>+A1028</f>
        <v>BCV131</v>
      </c>
      <c r="B1029" s="18" t="str">
        <f>+B1028</f>
        <v>AX11</v>
      </c>
      <c r="C1029" s="85" t="str">
        <f>+C1028</f>
        <v>SIO1</v>
      </c>
      <c r="D1029" s="85" t="str">
        <f>+D1028</f>
        <v>SLC01</v>
      </c>
      <c r="E1029" s="290">
        <f>+E1028</f>
        <v>1</v>
      </c>
      <c r="F1029" s="290">
        <f>+F1028</f>
        <v>6</v>
      </c>
      <c r="G1029" s="290">
        <f>+G1028</f>
        <v>0</v>
      </c>
      <c r="H1029" s="72">
        <f>+H1028</f>
        <v>1</v>
      </c>
      <c r="I1029" s="75">
        <v>3</v>
      </c>
      <c r="J1029" s="74" t="s">
        <v>1319</v>
      </c>
      <c r="K1029" s="85"/>
      <c r="L1029" s="79" t="s">
        <v>235</v>
      </c>
      <c r="M1029" s="17">
        <v>3</v>
      </c>
      <c r="N1029" s="18" t="s">
        <v>1818</v>
      </c>
      <c r="O1029" s="17" t="s">
        <v>1817</v>
      </c>
      <c r="P1029" s="17"/>
      <c r="Q1029" s="17" t="s">
        <v>1330</v>
      </c>
      <c r="R1029" s="17" t="s">
        <v>922</v>
      </c>
      <c r="S1029" s="17"/>
      <c r="T1029" s="17" t="str">
        <f>+T1028</f>
        <v>BCV131</v>
      </c>
      <c r="U1029" s="17"/>
      <c r="V1029" s="289" t="str">
        <f>+CONCATENATE(E1029,".",F1029,"\",G1029,".",H1029,":",I1029)</f>
        <v>1.6\0.1:3</v>
      </c>
      <c r="W1029" s="18" t="s">
        <v>1816</v>
      </c>
      <c r="X1029" s="17">
        <v>0</v>
      </c>
      <c r="Y1029" s="17"/>
      <c r="Z1029" s="17"/>
      <c r="AA1029" s="17"/>
      <c r="AB1029" s="17"/>
      <c r="AC1029" s="17"/>
      <c r="AD1029" s="17"/>
      <c r="AE1029" s="17"/>
      <c r="AF1029" s="17"/>
      <c r="AG1029" s="64"/>
      <c r="AH1029" s="64"/>
      <c r="AI1029" s="64"/>
      <c r="AJ1029" s="64"/>
      <c r="AK1029" s="64"/>
      <c r="AL1029" s="264"/>
      <c r="AM1029" s="84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</row>
    <row r="1030" spans="1:51" s="33" customFormat="1" ht="13.5" thickBot="1" x14ac:dyDescent="0.35">
      <c r="A1030" s="63" t="str">
        <f>+A1029</f>
        <v>BCV131</v>
      </c>
      <c r="B1030" s="18" t="str">
        <f>+B1029</f>
        <v>AX11</v>
      </c>
      <c r="C1030" s="85" t="str">
        <f>+C1029</f>
        <v>SIO1</v>
      </c>
      <c r="D1030" s="85" t="str">
        <f>+D1029</f>
        <v>SLC01</v>
      </c>
      <c r="E1030" s="290">
        <f>+E1029</f>
        <v>1</v>
      </c>
      <c r="F1030" s="290">
        <f>+F1029</f>
        <v>6</v>
      </c>
      <c r="G1030" s="290">
        <f>+G1029</f>
        <v>0</v>
      </c>
      <c r="H1030" s="72">
        <f>+H1029</f>
        <v>1</v>
      </c>
      <c r="I1030" s="71">
        <v>4</v>
      </c>
      <c r="J1030" s="70" t="s">
        <v>1318</v>
      </c>
      <c r="K1030" s="85"/>
      <c r="L1030" s="79" t="s">
        <v>235</v>
      </c>
      <c r="M1030" s="17">
        <v>3</v>
      </c>
      <c r="N1030" s="17"/>
      <c r="O1030" s="17"/>
      <c r="P1030" s="17"/>
      <c r="Q1030" s="68"/>
      <c r="R1030" s="68"/>
      <c r="S1030" s="68"/>
      <c r="T1030" s="68"/>
      <c r="U1030" s="17"/>
      <c r="V1030" s="289" t="str">
        <f>+CONCATENATE(E1030,".",F1030,"\",G1030,".",H1030,":",I1030)</f>
        <v>1.6\0.1:4</v>
      </c>
      <c r="W1030" s="18" t="s">
        <v>1816</v>
      </c>
      <c r="X1030" s="17">
        <v>0</v>
      </c>
      <c r="Y1030" s="17"/>
      <c r="Z1030" s="17"/>
      <c r="AA1030" s="17"/>
      <c r="AB1030" s="17"/>
      <c r="AC1030" s="17"/>
      <c r="AD1030" s="17"/>
      <c r="AE1030" s="17"/>
      <c r="AF1030" s="17"/>
      <c r="AG1030" s="64"/>
      <c r="AH1030" s="64"/>
      <c r="AI1030" s="64"/>
      <c r="AJ1030" s="64"/>
      <c r="AK1030" s="64"/>
      <c r="AL1030" s="264"/>
      <c r="AM1030" s="84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</row>
    <row r="1031" spans="1:51" s="33" customFormat="1" x14ac:dyDescent="0.3">
      <c r="A1031" s="63"/>
      <c r="B1031" s="63"/>
      <c r="C1031" s="63"/>
      <c r="D1031" s="63"/>
      <c r="E1031" s="288"/>
      <c r="F1031" s="288"/>
      <c r="G1031" s="288"/>
      <c r="H1031" s="63"/>
      <c r="I1031" s="63"/>
      <c r="J1031" s="63"/>
      <c r="K1031" s="17"/>
      <c r="L1031" s="17"/>
      <c r="M1031" s="17"/>
      <c r="N1031" s="17"/>
      <c r="O1031" s="68"/>
      <c r="P1031" s="68"/>
      <c r="Q1031" s="68"/>
      <c r="R1031" s="68"/>
      <c r="S1031" s="68"/>
      <c r="T1031" s="68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64"/>
      <c r="AH1031" s="64"/>
      <c r="AI1031" s="64"/>
      <c r="AJ1031" s="64"/>
      <c r="AK1031" s="64"/>
      <c r="AL1031" s="264"/>
      <c r="AM1031" s="84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</row>
    <row r="1032" spans="1:51" s="33" customFormat="1" x14ac:dyDescent="0.3">
      <c r="A1032" s="63"/>
      <c r="B1032" s="63"/>
      <c r="C1032" s="63"/>
      <c r="D1032" s="63"/>
      <c r="E1032" s="288"/>
      <c r="F1032" s="288"/>
      <c r="G1032" s="288"/>
      <c r="H1032" s="63"/>
      <c r="I1032" s="63"/>
      <c r="J1032" s="63"/>
      <c r="K1032" s="17"/>
      <c r="L1032" s="17"/>
      <c r="M1032" s="17"/>
      <c r="N1032" s="17"/>
      <c r="O1032" s="68"/>
      <c r="P1032" s="68"/>
      <c r="Q1032" s="68"/>
      <c r="R1032" s="68"/>
      <c r="S1032" s="68"/>
      <c r="T1032" s="68"/>
      <c r="U1032" s="17"/>
      <c r="V1032" s="17"/>
      <c r="W1032" s="17"/>
      <c r="X1032" s="17"/>
      <c r="Y1032" s="17"/>
      <c r="Z1032" s="17"/>
      <c r="AA1032" s="17"/>
      <c r="AB1032" s="20"/>
      <c r="AC1032" s="17"/>
      <c r="AD1032" s="17"/>
      <c r="AE1032" s="17"/>
      <c r="AF1032" s="17"/>
      <c r="AG1032" s="64"/>
      <c r="AH1032" s="64"/>
      <c r="AI1032" s="64"/>
      <c r="AJ1032" s="64"/>
      <c r="AK1032" s="64"/>
      <c r="AL1032" s="264"/>
      <c r="AM1032" s="84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</row>
    <row r="1033" spans="1:51" s="33" customFormat="1" x14ac:dyDescent="0.3">
      <c r="A1033" s="63"/>
      <c r="B1033" s="63"/>
      <c r="C1033" s="63"/>
      <c r="D1033" s="63"/>
      <c r="E1033" s="288"/>
      <c r="F1033" s="288"/>
      <c r="G1033" s="288"/>
      <c r="H1033" s="63"/>
      <c r="I1033" s="63"/>
      <c r="J1033" s="63"/>
      <c r="K1033" s="17"/>
      <c r="L1033" s="17"/>
      <c r="M1033" s="17"/>
      <c r="N1033" s="17"/>
      <c r="O1033" s="68"/>
      <c r="P1033" s="68"/>
      <c r="Q1033" s="68"/>
      <c r="R1033" s="68"/>
      <c r="S1033" s="68"/>
      <c r="T1033" s="68"/>
      <c r="U1033" s="17"/>
      <c r="V1033" s="17"/>
      <c r="W1033" s="17"/>
      <c r="X1033" s="17"/>
      <c r="Y1033" s="17"/>
      <c r="Z1033" s="17"/>
      <c r="AA1033" s="17"/>
      <c r="AB1033" s="20"/>
      <c r="AC1033" s="17"/>
      <c r="AD1033" s="17"/>
      <c r="AE1033" s="17"/>
      <c r="AF1033" s="17"/>
      <c r="AG1033" s="64"/>
      <c r="AH1033" s="64"/>
      <c r="AI1033" s="64"/>
      <c r="AJ1033" s="64"/>
      <c r="AK1033" s="64"/>
      <c r="AL1033" s="264"/>
      <c r="AM1033" s="84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</row>
    <row r="1034" spans="1:51" s="33" customFormat="1" ht="15.5" x14ac:dyDescent="0.35">
      <c r="A1034" s="297"/>
      <c r="B1034" s="96" t="s">
        <v>1815</v>
      </c>
      <c r="C1034" s="256"/>
      <c r="D1034" s="256"/>
      <c r="E1034" s="256"/>
      <c r="F1034" s="256"/>
      <c r="G1034" s="256"/>
      <c r="H1034" s="256"/>
      <c r="I1034" s="256"/>
      <c r="J1034" s="256"/>
      <c r="K1034" s="256"/>
      <c r="L1034" s="256"/>
      <c r="M1034" s="256"/>
      <c r="N1034" s="287"/>
      <c r="O1034" s="256"/>
      <c r="P1034" s="287"/>
      <c r="Q1034" s="256"/>
      <c r="R1034" s="256"/>
      <c r="S1034" s="256"/>
      <c r="T1034" s="256"/>
      <c r="U1034" s="256"/>
      <c r="V1034" s="256"/>
      <c r="W1034" s="287"/>
      <c r="X1034" s="256"/>
      <c r="Y1034" s="256"/>
      <c r="Z1034" s="17"/>
      <c r="AA1034" s="17"/>
      <c r="AB1034" s="17"/>
      <c r="AC1034" s="17"/>
      <c r="AD1034" s="17"/>
      <c r="AE1034" s="17"/>
      <c r="AF1034" s="17"/>
      <c r="AG1034" s="64"/>
      <c r="AH1034" s="64"/>
      <c r="AI1034" s="64"/>
      <c r="AJ1034" s="64"/>
      <c r="AK1034" s="64"/>
      <c r="AL1034" s="264"/>
      <c r="AM1034" s="84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</row>
    <row r="1035" spans="1:51" s="33" customFormat="1" ht="13.5" thickBot="1" x14ac:dyDescent="0.35">
      <c r="A1035" s="63"/>
      <c r="B1035" s="63"/>
      <c r="C1035" s="63"/>
      <c r="D1035" s="63"/>
      <c r="E1035" s="288"/>
      <c r="F1035" s="288"/>
      <c r="G1035" s="288"/>
      <c r="H1035" s="63"/>
      <c r="I1035" s="63"/>
      <c r="J1035" s="63"/>
      <c r="K1035" s="17"/>
      <c r="L1035" s="17"/>
      <c r="M1035" s="17"/>
      <c r="N1035" s="17"/>
      <c r="O1035" s="68"/>
      <c r="P1035" s="68"/>
      <c r="Q1035" s="68"/>
      <c r="R1035" s="68"/>
      <c r="S1035" s="68"/>
      <c r="T1035" s="68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64"/>
      <c r="AH1035" s="64"/>
      <c r="AI1035" s="64"/>
      <c r="AJ1035" s="64"/>
      <c r="AK1035" s="64"/>
      <c r="AL1035" s="264"/>
      <c r="AM1035" s="84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</row>
    <row r="1036" spans="1:51" s="33" customFormat="1" ht="13.5" thickBot="1" x14ac:dyDescent="0.35">
      <c r="A1036" s="63" t="s">
        <v>194</v>
      </c>
      <c r="B1036" s="17" t="s">
        <v>1814</v>
      </c>
      <c r="C1036" s="295" t="s">
        <v>271</v>
      </c>
      <c r="D1036" s="290" t="s">
        <v>270</v>
      </c>
      <c r="E1036" s="290">
        <v>2</v>
      </c>
      <c r="F1036" s="290">
        <v>6</v>
      </c>
      <c r="G1036" s="290">
        <v>0</v>
      </c>
      <c r="H1036" s="89">
        <v>0</v>
      </c>
      <c r="I1036" s="88" t="s">
        <v>1106</v>
      </c>
      <c r="J1036" s="87"/>
      <c r="K1036" s="84">
        <v>1059305</v>
      </c>
      <c r="L1036" s="91" t="s">
        <v>1377</v>
      </c>
      <c r="M1036" s="17">
        <v>3</v>
      </c>
      <c r="N1036" s="17"/>
      <c r="O1036" s="83"/>
      <c r="P1036" s="83"/>
      <c r="Q1036" s="68"/>
      <c r="R1036" s="68"/>
      <c r="S1036" s="68"/>
      <c r="T1036" s="68"/>
      <c r="U1036" s="17"/>
      <c r="V1036" s="17"/>
      <c r="W1036" s="18" t="s">
        <v>1798</v>
      </c>
      <c r="X1036" s="17">
        <v>0</v>
      </c>
      <c r="Y1036" s="17"/>
      <c r="Z1036" s="17"/>
      <c r="AA1036" s="17"/>
      <c r="AB1036" s="17"/>
      <c r="AC1036" s="17"/>
      <c r="AD1036" s="17"/>
      <c r="AE1036" s="17"/>
      <c r="AF1036" s="17"/>
      <c r="AG1036" s="64"/>
      <c r="AH1036" s="64"/>
      <c r="AI1036" s="64"/>
      <c r="AJ1036" s="64"/>
      <c r="AK1036" s="64"/>
      <c r="AL1036" s="264"/>
      <c r="AM1036" s="84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</row>
    <row r="1037" spans="1:51" s="33" customFormat="1" x14ac:dyDescent="0.3">
      <c r="A1037" s="63" t="str">
        <f>+A1036</f>
        <v>BCV131</v>
      </c>
      <c r="B1037" s="18" t="str">
        <f>+B1036</f>
        <v>AX12</v>
      </c>
      <c r="C1037" s="85" t="str">
        <f>+C1036</f>
        <v>SIO1</v>
      </c>
      <c r="D1037" s="85" t="str">
        <f>+D1036</f>
        <v>SLC02</v>
      </c>
      <c r="E1037" s="290">
        <f>+E1036</f>
        <v>2</v>
      </c>
      <c r="F1037" s="290">
        <f>+F1036</f>
        <v>6</v>
      </c>
      <c r="G1037" s="290">
        <f>+G1036</f>
        <v>0</v>
      </c>
      <c r="H1037" s="72">
        <v>1</v>
      </c>
      <c r="I1037" s="77">
        <v>1</v>
      </c>
      <c r="J1037" s="76" t="s">
        <v>269</v>
      </c>
      <c r="K1037" s="65">
        <v>1044125</v>
      </c>
      <c r="L1037" s="79" t="s">
        <v>244</v>
      </c>
      <c r="M1037" s="17">
        <v>3</v>
      </c>
      <c r="N1037" s="18" t="s">
        <v>1811</v>
      </c>
      <c r="O1037" s="296" t="s">
        <v>1813</v>
      </c>
      <c r="P1037" s="296"/>
      <c r="Q1037" s="296" t="s">
        <v>1812</v>
      </c>
      <c r="R1037" s="17" t="s">
        <v>211</v>
      </c>
      <c r="S1037" s="17"/>
      <c r="T1037" s="17" t="s">
        <v>194</v>
      </c>
      <c r="U1037" s="17"/>
      <c r="V1037" s="289" t="str">
        <f>+CONCATENATE(E1037,".",F1037,"\",G1037,".",H1037,":",I1037)</f>
        <v>2.6\0.1:1</v>
      </c>
      <c r="W1037" s="18" t="s">
        <v>1798</v>
      </c>
      <c r="X1037" s="17">
        <v>0</v>
      </c>
      <c r="Y1037" s="17"/>
      <c r="Z1037" s="17"/>
      <c r="AA1037" s="17"/>
      <c r="AB1037" s="17"/>
      <c r="AC1037" s="17"/>
      <c r="AD1037" s="17"/>
      <c r="AE1037" s="17"/>
      <c r="AF1037" s="17"/>
      <c r="AG1037" s="64"/>
      <c r="AH1037" s="64"/>
      <c r="AI1037" s="64"/>
      <c r="AJ1037" s="64"/>
      <c r="AK1037" s="64"/>
      <c r="AL1037" s="264"/>
      <c r="AM1037" s="84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</row>
    <row r="1038" spans="1:51" s="33" customFormat="1" x14ac:dyDescent="0.3">
      <c r="A1038" s="63" t="str">
        <f>+A1037</f>
        <v>BCV131</v>
      </c>
      <c r="B1038" s="18" t="str">
        <f>+B1037</f>
        <v>AX12</v>
      </c>
      <c r="C1038" s="85" t="str">
        <f>+C1037</f>
        <v>SIO1</v>
      </c>
      <c r="D1038" s="85" t="str">
        <f>+D1037</f>
        <v>SLC02</v>
      </c>
      <c r="E1038" s="290">
        <f>+E1037</f>
        <v>2</v>
      </c>
      <c r="F1038" s="290">
        <f>+F1037</f>
        <v>6</v>
      </c>
      <c r="G1038" s="290">
        <f>+G1037</f>
        <v>0</v>
      </c>
      <c r="H1038" s="72">
        <f>+H1037</f>
        <v>1</v>
      </c>
      <c r="I1038" s="75">
        <v>2</v>
      </c>
      <c r="J1038" s="74" t="s">
        <v>265</v>
      </c>
      <c r="K1038" s="84">
        <v>1047162</v>
      </c>
      <c r="L1038" s="79" t="s">
        <v>244</v>
      </c>
      <c r="M1038" s="17">
        <v>3</v>
      </c>
      <c r="N1038" s="18" t="s">
        <v>1811</v>
      </c>
      <c r="O1038" s="296" t="s">
        <v>1810</v>
      </c>
      <c r="P1038" s="296"/>
      <c r="Q1038" s="296" t="s">
        <v>1809</v>
      </c>
      <c r="R1038" s="17" t="s">
        <v>211</v>
      </c>
      <c r="S1038" s="17"/>
      <c r="T1038" s="17" t="str">
        <f>+T1037</f>
        <v>BCV131</v>
      </c>
      <c r="U1038" s="17"/>
      <c r="V1038" s="289" t="str">
        <f>+CONCATENATE(E1038,".",F1038,"\",G1038,".",H1038,":",I1038)</f>
        <v>2.6\0.1:2</v>
      </c>
      <c r="W1038" s="18" t="s">
        <v>1798</v>
      </c>
      <c r="X1038" s="17">
        <v>0</v>
      </c>
      <c r="Y1038" s="17"/>
      <c r="Z1038" s="17"/>
      <c r="AA1038" s="17"/>
      <c r="AB1038" s="17"/>
      <c r="AC1038" s="17"/>
      <c r="AD1038" s="17"/>
      <c r="AE1038" s="17"/>
      <c r="AF1038" s="17"/>
      <c r="AG1038" s="64"/>
      <c r="AH1038" s="64"/>
      <c r="AI1038" s="64"/>
      <c r="AJ1038" s="64"/>
      <c r="AK1038" s="64"/>
      <c r="AL1038" s="264"/>
      <c r="AM1038" s="84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</row>
    <row r="1039" spans="1:51" s="33" customFormat="1" x14ac:dyDescent="0.3">
      <c r="A1039" s="63" t="str">
        <f>+A1038</f>
        <v>BCV131</v>
      </c>
      <c r="B1039" s="18" t="str">
        <f>+B1038</f>
        <v>AX12</v>
      </c>
      <c r="C1039" s="85" t="str">
        <f>+C1038</f>
        <v>SIO1</v>
      </c>
      <c r="D1039" s="85" t="str">
        <f>+D1038</f>
        <v>SLC02</v>
      </c>
      <c r="E1039" s="290">
        <f>+E1038</f>
        <v>2</v>
      </c>
      <c r="F1039" s="290">
        <f>+F1038</f>
        <v>6</v>
      </c>
      <c r="G1039" s="290">
        <f>+G1038</f>
        <v>0</v>
      </c>
      <c r="H1039" s="72">
        <f>+H1038</f>
        <v>1</v>
      </c>
      <c r="I1039" s="75">
        <v>3</v>
      </c>
      <c r="J1039" s="74" t="s">
        <v>261</v>
      </c>
      <c r="K1039" s="85"/>
      <c r="L1039" s="79" t="s">
        <v>244</v>
      </c>
      <c r="M1039" s="17">
        <v>3</v>
      </c>
      <c r="N1039" s="18" t="s">
        <v>1806</v>
      </c>
      <c r="O1039" s="296" t="s">
        <v>1808</v>
      </c>
      <c r="P1039" s="296"/>
      <c r="Q1039" s="296" t="s">
        <v>1807</v>
      </c>
      <c r="R1039" s="17" t="s">
        <v>211</v>
      </c>
      <c r="S1039" s="17"/>
      <c r="T1039" s="17" t="str">
        <f>+T1038</f>
        <v>BCV131</v>
      </c>
      <c r="U1039" s="17"/>
      <c r="V1039" s="289" t="str">
        <f>+CONCATENATE(E1039,".",F1039,"\",G1039,".",H1039,":",I1039)</f>
        <v>2.6\0.1:3</v>
      </c>
      <c r="W1039" s="18" t="s">
        <v>1798</v>
      </c>
      <c r="X1039" s="17">
        <v>0</v>
      </c>
      <c r="Y1039" s="17"/>
      <c r="Z1039" s="17"/>
      <c r="AA1039" s="17"/>
      <c r="AB1039" s="17"/>
      <c r="AC1039" s="17"/>
      <c r="AD1039" s="17"/>
      <c r="AE1039" s="17"/>
      <c r="AF1039" s="17"/>
      <c r="AG1039" s="64"/>
      <c r="AH1039" s="64"/>
      <c r="AI1039" s="64"/>
      <c r="AJ1039" s="64"/>
      <c r="AK1039" s="64"/>
      <c r="AL1039" s="264"/>
      <c r="AM1039" s="84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</row>
    <row r="1040" spans="1:51" s="33" customFormat="1" x14ac:dyDescent="0.3">
      <c r="A1040" s="63" t="str">
        <f>+A1039</f>
        <v>BCV131</v>
      </c>
      <c r="B1040" s="18" t="str">
        <f>+B1039</f>
        <v>AX12</v>
      </c>
      <c r="C1040" s="85" t="str">
        <f>+C1039</f>
        <v>SIO1</v>
      </c>
      <c r="D1040" s="85" t="str">
        <f>+D1039</f>
        <v>SLC02</v>
      </c>
      <c r="E1040" s="290">
        <f>+E1039</f>
        <v>2</v>
      </c>
      <c r="F1040" s="290">
        <f>+F1039</f>
        <v>6</v>
      </c>
      <c r="G1040" s="290">
        <f>+G1039</f>
        <v>0</v>
      </c>
      <c r="H1040" s="72">
        <f>+H1039</f>
        <v>1</v>
      </c>
      <c r="I1040" s="75">
        <v>4</v>
      </c>
      <c r="J1040" s="74" t="s">
        <v>257</v>
      </c>
      <c r="K1040" s="85"/>
      <c r="L1040" s="79" t="s">
        <v>244</v>
      </c>
      <c r="M1040" s="17">
        <v>3</v>
      </c>
      <c r="N1040" s="18" t="s">
        <v>1806</v>
      </c>
      <c r="O1040" s="296" t="s">
        <v>1805</v>
      </c>
      <c r="P1040" s="296"/>
      <c r="Q1040" s="296" t="s">
        <v>1804</v>
      </c>
      <c r="R1040" s="17" t="s">
        <v>211</v>
      </c>
      <c r="S1040" s="17"/>
      <c r="T1040" s="17" t="str">
        <f>+T1039</f>
        <v>BCV131</v>
      </c>
      <c r="U1040" s="17"/>
      <c r="V1040" s="289" t="str">
        <f>+CONCATENATE(E1040,".",F1040,"\",G1040,".",H1040,":",I1040)</f>
        <v>2.6\0.1:4</v>
      </c>
      <c r="W1040" s="18" t="s">
        <v>1798</v>
      </c>
      <c r="X1040" s="17">
        <v>0</v>
      </c>
      <c r="Y1040" s="17"/>
      <c r="Z1040" s="17"/>
      <c r="AA1040" s="17"/>
      <c r="AB1040" s="17"/>
      <c r="AC1040" s="17"/>
      <c r="AD1040" s="17"/>
      <c r="AE1040" s="17"/>
      <c r="AF1040" s="17"/>
      <c r="AG1040" s="64"/>
      <c r="AH1040" s="64"/>
      <c r="AI1040" s="64"/>
      <c r="AJ1040" s="64"/>
      <c r="AK1040" s="64"/>
      <c r="AL1040" s="264"/>
      <c r="AM1040" s="84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</row>
    <row r="1041" spans="1:51" s="33" customFormat="1" x14ac:dyDescent="0.3">
      <c r="A1041" s="63" t="str">
        <f>+A1040</f>
        <v>BCV131</v>
      </c>
      <c r="B1041" s="18" t="str">
        <f>+B1040</f>
        <v>AX12</v>
      </c>
      <c r="C1041" s="85" t="str">
        <f>+C1040</f>
        <v>SIO1</v>
      </c>
      <c r="D1041" s="85" t="str">
        <f>+D1040</f>
        <v>SLC02</v>
      </c>
      <c r="E1041" s="290">
        <f>+E1040</f>
        <v>2</v>
      </c>
      <c r="F1041" s="290">
        <f>+F1040</f>
        <v>6</v>
      </c>
      <c r="G1041" s="290">
        <f>+G1040</f>
        <v>0</v>
      </c>
      <c r="H1041" s="72">
        <f>+H1040</f>
        <v>1</v>
      </c>
      <c r="I1041" s="75">
        <v>5</v>
      </c>
      <c r="J1041" s="74" t="s">
        <v>1325</v>
      </c>
      <c r="K1041" s="85"/>
      <c r="L1041" s="79" t="s">
        <v>244</v>
      </c>
      <c r="M1041" s="17">
        <v>3</v>
      </c>
      <c r="N1041" s="17"/>
      <c r="O1041" s="296"/>
      <c r="P1041" s="296"/>
      <c r="Q1041" s="296" t="s">
        <v>127</v>
      </c>
      <c r="R1041" s="17"/>
      <c r="S1041" s="17"/>
      <c r="T1041" s="17"/>
      <c r="U1041" s="17"/>
      <c r="V1041" s="289" t="str">
        <f>+CONCATENATE(E1041,".",F1041,"\",G1041,".",H1041,":",I1041)</f>
        <v>2.6\0.1:5</v>
      </c>
      <c r="W1041" s="18" t="s">
        <v>1798</v>
      </c>
      <c r="X1041" s="17">
        <v>0</v>
      </c>
      <c r="Y1041" s="17"/>
      <c r="Z1041" s="17"/>
      <c r="AA1041" s="17"/>
      <c r="AB1041" s="17"/>
      <c r="AC1041" s="17"/>
      <c r="AD1041" s="17"/>
      <c r="AE1041" s="17"/>
      <c r="AF1041" s="17"/>
      <c r="AG1041" s="64"/>
      <c r="AH1041" s="64"/>
      <c r="AI1041" s="64"/>
      <c r="AJ1041" s="64"/>
      <c r="AK1041" s="64"/>
      <c r="AL1041" s="264"/>
      <c r="AM1041" s="84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</row>
    <row r="1042" spans="1:51" s="33" customFormat="1" x14ac:dyDescent="0.3">
      <c r="A1042" s="63" t="str">
        <f>+A1041</f>
        <v>BCV131</v>
      </c>
      <c r="B1042" s="18" t="str">
        <f>+B1041</f>
        <v>AX12</v>
      </c>
      <c r="C1042" s="85" t="str">
        <f>+C1041</f>
        <v>SIO1</v>
      </c>
      <c r="D1042" s="85" t="str">
        <f>+D1041</f>
        <v>SLC02</v>
      </c>
      <c r="E1042" s="290">
        <f>+E1041</f>
        <v>2</v>
      </c>
      <c r="F1042" s="290">
        <f>+F1041</f>
        <v>6</v>
      </c>
      <c r="G1042" s="290">
        <f>+G1041</f>
        <v>0</v>
      </c>
      <c r="H1042" s="72">
        <f>+H1041</f>
        <v>1</v>
      </c>
      <c r="I1042" s="75">
        <v>6</v>
      </c>
      <c r="J1042" s="74" t="s">
        <v>1323</v>
      </c>
      <c r="K1042" s="85"/>
      <c r="L1042" s="79" t="s">
        <v>244</v>
      </c>
      <c r="M1042" s="17">
        <v>3</v>
      </c>
      <c r="N1042" s="17"/>
      <c r="O1042" s="296"/>
      <c r="P1042" s="296"/>
      <c r="Q1042" s="296" t="s">
        <v>127</v>
      </c>
      <c r="R1042" s="17"/>
      <c r="S1042" s="17"/>
      <c r="T1042" s="17"/>
      <c r="U1042" s="17"/>
      <c r="V1042" s="289" t="str">
        <f>+CONCATENATE(E1042,".",F1042,"\",G1042,".",H1042,":",I1042)</f>
        <v>2.6\0.1:6</v>
      </c>
      <c r="W1042" s="18" t="s">
        <v>1798</v>
      </c>
      <c r="X1042" s="17">
        <v>0</v>
      </c>
      <c r="Y1042" s="17"/>
      <c r="Z1042" s="17"/>
      <c r="AA1042" s="17"/>
      <c r="AB1042" s="17"/>
      <c r="AC1042" s="17"/>
      <c r="AD1042" s="17"/>
      <c r="AE1042" s="17"/>
      <c r="AF1042" s="17"/>
      <c r="AG1042" s="64"/>
      <c r="AH1042" s="64"/>
      <c r="AI1042" s="64"/>
      <c r="AJ1042" s="64"/>
      <c r="AK1042" s="64"/>
      <c r="AL1042" s="264"/>
      <c r="AM1042" s="84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</row>
    <row r="1043" spans="1:51" s="33" customFormat="1" x14ac:dyDescent="0.3">
      <c r="A1043" s="63" t="str">
        <f>+A1042</f>
        <v>BCV131</v>
      </c>
      <c r="B1043" s="18" t="str">
        <f>+B1042</f>
        <v>AX12</v>
      </c>
      <c r="C1043" s="85" t="str">
        <f>+C1042</f>
        <v>SIO1</v>
      </c>
      <c r="D1043" s="85" t="str">
        <f>+D1042</f>
        <v>SLC02</v>
      </c>
      <c r="E1043" s="290">
        <f>+E1042</f>
        <v>2</v>
      </c>
      <c r="F1043" s="290">
        <f>+F1042</f>
        <v>6</v>
      </c>
      <c r="G1043" s="290">
        <f>+G1042</f>
        <v>0</v>
      </c>
      <c r="H1043" s="72">
        <f>+H1042</f>
        <v>1</v>
      </c>
      <c r="I1043" s="75">
        <v>7</v>
      </c>
      <c r="J1043" s="74" t="s">
        <v>246</v>
      </c>
      <c r="K1043" s="85"/>
      <c r="L1043" s="79" t="s">
        <v>244</v>
      </c>
      <c r="M1043" s="17">
        <v>3</v>
      </c>
      <c r="N1043" s="17"/>
      <c r="O1043" s="296"/>
      <c r="P1043" s="296"/>
      <c r="Q1043" s="296" t="s">
        <v>127</v>
      </c>
      <c r="R1043" s="17"/>
      <c r="S1043" s="17"/>
      <c r="T1043" s="17"/>
      <c r="U1043" s="17"/>
      <c r="V1043" s="289" t="str">
        <f>+CONCATENATE(E1043,".",F1043,"\",G1043,".",H1043,":",I1043)</f>
        <v>2.6\0.1:7</v>
      </c>
      <c r="W1043" s="18" t="s">
        <v>1798</v>
      </c>
      <c r="X1043" s="17">
        <v>0</v>
      </c>
      <c r="Y1043" s="17"/>
      <c r="Z1043" s="17"/>
      <c r="AA1043" s="17"/>
      <c r="AB1043" s="17"/>
      <c r="AC1043" s="17"/>
      <c r="AD1043" s="17"/>
      <c r="AE1043" s="17"/>
      <c r="AF1043" s="17"/>
      <c r="AG1043" s="64"/>
      <c r="AH1043" s="64"/>
      <c r="AI1043" s="64"/>
      <c r="AJ1043" s="64"/>
      <c r="AK1043" s="64"/>
      <c r="AL1043" s="264"/>
      <c r="AM1043" s="84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</row>
    <row r="1044" spans="1:51" s="33" customFormat="1" x14ac:dyDescent="0.3">
      <c r="A1044" s="63" t="str">
        <f>+A1043</f>
        <v>BCV131</v>
      </c>
      <c r="B1044" s="18" t="str">
        <f>+B1043</f>
        <v>AX12</v>
      </c>
      <c r="C1044" s="85" t="str">
        <f>+C1043</f>
        <v>SIO1</v>
      </c>
      <c r="D1044" s="85" t="str">
        <f>+D1043</f>
        <v>SLC02</v>
      </c>
      <c r="E1044" s="290">
        <f>+E1043</f>
        <v>2</v>
      </c>
      <c r="F1044" s="290">
        <f>+F1043</f>
        <v>6</v>
      </c>
      <c r="G1044" s="290">
        <f>+G1043</f>
        <v>0</v>
      </c>
      <c r="H1044" s="72">
        <f>+H1043</f>
        <v>1</v>
      </c>
      <c r="I1044" s="75">
        <v>8</v>
      </c>
      <c r="J1044" s="74" t="s">
        <v>245</v>
      </c>
      <c r="K1044" s="85"/>
      <c r="L1044" s="79" t="s">
        <v>244</v>
      </c>
      <c r="M1044" s="17">
        <v>3</v>
      </c>
      <c r="N1044" s="17"/>
      <c r="O1044" s="296"/>
      <c r="P1044" s="296"/>
      <c r="Q1044" s="296" t="s">
        <v>127</v>
      </c>
      <c r="R1044" s="17"/>
      <c r="S1044" s="17"/>
      <c r="T1044" s="17"/>
      <c r="U1044" s="17"/>
      <c r="V1044" s="289" t="str">
        <f>+CONCATENATE(E1044,".",F1044,"\",G1044,".",H1044,":",I1044)</f>
        <v>2.6\0.1:8</v>
      </c>
      <c r="W1044" s="18" t="s">
        <v>1798</v>
      </c>
      <c r="X1044" s="17">
        <v>0</v>
      </c>
      <c r="Y1044" s="17"/>
      <c r="Z1044" s="17"/>
      <c r="AA1044" s="17"/>
      <c r="AB1044" s="17"/>
      <c r="AC1044" s="17"/>
      <c r="AD1044" s="17"/>
      <c r="AE1044" s="17"/>
      <c r="AF1044" s="17"/>
      <c r="AG1044" s="64"/>
      <c r="AH1044" s="64"/>
      <c r="AI1044" s="64"/>
      <c r="AJ1044" s="64"/>
      <c r="AK1044" s="64"/>
      <c r="AL1044" s="264"/>
      <c r="AM1044" s="84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</row>
    <row r="1045" spans="1:51" s="33" customFormat="1" x14ac:dyDescent="0.3">
      <c r="A1045" s="63" t="str">
        <f>+A1044</f>
        <v>BCV131</v>
      </c>
      <c r="B1045" s="18" t="str">
        <f>+B1044</f>
        <v>AX12</v>
      </c>
      <c r="C1045" s="85" t="str">
        <f>+C1044</f>
        <v>SIO1</v>
      </c>
      <c r="D1045" s="85" t="str">
        <f>+D1044</f>
        <v>SLC02</v>
      </c>
      <c r="E1045" s="290">
        <f>+E1044</f>
        <v>2</v>
      </c>
      <c r="F1045" s="290">
        <f>+F1044</f>
        <v>6</v>
      </c>
      <c r="G1045" s="290">
        <f>+G1044</f>
        <v>0</v>
      </c>
      <c r="H1045" s="72">
        <f>+H1044</f>
        <v>1</v>
      </c>
      <c r="I1045" s="75">
        <v>1</v>
      </c>
      <c r="J1045" s="81" t="s">
        <v>1321</v>
      </c>
      <c r="K1045" s="85" t="s">
        <v>1366</v>
      </c>
      <c r="L1045" s="79" t="s">
        <v>235</v>
      </c>
      <c r="M1045" s="17">
        <v>3</v>
      </c>
      <c r="N1045" s="18" t="s">
        <v>1802</v>
      </c>
      <c r="O1045" s="17" t="s">
        <v>1803</v>
      </c>
      <c r="P1045" s="17"/>
      <c r="Q1045" s="17" t="s">
        <v>1335</v>
      </c>
      <c r="R1045" s="17" t="s">
        <v>922</v>
      </c>
      <c r="S1045" s="17"/>
      <c r="T1045" s="17" t="str">
        <f>+T1037</f>
        <v>BCV131</v>
      </c>
      <c r="U1045" s="17"/>
      <c r="V1045" s="289" t="str">
        <f>+CONCATENATE(E1045,".",F1045,"\",G1045,".",H1045,":",I1045)</f>
        <v>2.6\0.1:1</v>
      </c>
      <c r="W1045" s="18" t="s">
        <v>1798</v>
      </c>
      <c r="X1045" s="17">
        <v>0</v>
      </c>
      <c r="Y1045" s="17"/>
      <c r="Z1045" s="17"/>
      <c r="AA1045" s="17"/>
      <c r="AB1045" s="17"/>
      <c r="AC1045" s="17"/>
      <c r="AD1045" s="17"/>
      <c r="AE1045" s="17"/>
      <c r="AF1045" s="17"/>
      <c r="AG1045" s="64"/>
      <c r="AH1045" s="64"/>
      <c r="AI1045" s="64"/>
      <c r="AJ1045" s="64"/>
      <c r="AK1045" s="64"/>
      <c r="AL1045" s="264"/>
      <c r="AM1045" s="84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</row>
    <row r="1046" spans="1:51" s="33" customFormat="1" x14ac:dyDescent="0.3">
      <c r="A1046" s="63" t="str">
        <f>+A1045</f>
        <v>BCV131</v>
      </c>
      <c r="B1046" s="18" t="str">
        <f>+B1045</f>
        <v>AX12</v>
      </c>
      <c r="C1046" s="85" t="str">
        <f>+C1045</f>
        <v>SIO1</v>
      </c>
      <c r="D1046" s="85" t="str">
        <f>+D1045</f>
        <v>SLC02</v>
      </c>
      <c r="E1046" s="290">
        <f>+E1045</f>
        <v>2</v>
      </c>
      <c r="F1046" s="290">
        <f>+F1045</f>
        <v>6</v>
      </c>
      <c r="G1046" s="290">
        <f>+G1045</f>
        <v>0</v>
      </c>
      <c r="H1046" s="72">
        <f>+H1045</f>
        <v>1</v>
      </c>
      <c r="I1046" s="75">
        <v>2</v>
      </c>
      <c r="J1046" s="74" t="s">
        <v>1320</v>
      </c>
      <c r="K1046" s="85"/>
      <c r="L1046" s="79" t="s">
        <v>235</v>
      </c>
      <c r="M1046" s="17">
        <v>3</v>
      </c>
      <c r="N1046" s="18" t="s">
        <v>1802</v>
      </c>
      <c r="O1046" s="17" t="s">
        <v>1801</v>
      </c>
      <c r="P1046" s="17"/>
      <c r="Q1046" s="17" t="s">
        <v>1330</v>
      </c>
      <c r="R1046" s="17" t="s">
        <v>922</v>
      </c>
      <c r="S1046" s="17"/>
      <c r="T1046" s="17" t="str">
        <f>+T1045</f>
        <v>BCV131</v>
      </c>
      <c r="U1046" s="17"/>
      <c r="V1046" s="289" t="str">
        <f>+CONCATENATE(E1046,".",F1046,"\",G1046,".",H1046,":",I1046)</f>
        <v>2.6\0.1:2</v>
      </c>
      <c r="W1046" s="18" t="s">
        <v>1798</v>
      </c>
      <c r="X1046" s="17">
        <v>0</v>
      </c>
      <c r="Y1046" s="17"/>
      <c r="Z1046" s="17"/>
      <c r="AA1046" s="17"/>
      <c r="AB1046" s="17"/>
      <c r="AC1046" s="17"/>
      <c r="AD1046" s="17"/>
      <c r="AE1046" s="17"/>
      <c r="AF1046" s="17"/>
      <c r="AG1046" s="64"/>
      <c r="AH1046" s="64"/>
      <c r="AI1046" s="64"/>
      <c r="AJ1046" s="64"/>
      <c r="AK1046" s="64"/>
      <c r="AL1046" s="264"/>
      <c r="AM1046" s="84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</row>
    <row r="1047" spans="1:51" s="33" customFormat="1" x14ac:dyDescent="0.3">
      <c r="A1047" s="63" t="str">
        <f>+A1046</f>
        <v>BCV131</v>
      </c>
      <c r="B1047" s="18" t="str">
        <f>+B1046</f>
        <v>AX12</v>
      </c>
      <c r="C1047" s="85" t="str">
        <f>+C1046</f>
        <v>SIO1</v>
      </c>
      <c r="D1047" s="85" t="str">
        <f>+D1046</f>
        <v>SLC02</v>
      </c>
      <c r="E1047" s="290">
        <f>+E1046</f>
        <v>2</v>
      </c>
      <c r="F1047" s="290">
        <f>+F1046</f>
        <v>6</v>
      </c>
      <c r="G1047" s="290">
        <f>+G1046</f>
        <v>0</v>
      </c>
      <c r="H1047" s="72">
        <f>+H1046</f>
        <v>1</v>
      </c>
      <c r="I1047" s="75">
        <v>3</v>
      </c>
      <c r="J1047" s="74" t="s">
        <v>1319</v>
      </c>
      <c r="K1047" s="85"/>
      <c r="L1047" s="79" t="s">
        <v>235</v>
      </c>
      <c r="M1047" s="17">
        <v>3</v>
      </c>
      <c r="N1047" s="18" t="s">
        <v>1800</v>
      </c>
      <c r="O1047" s="17" t="s">
        <v>1799</v>
      </c>
      <c r="P1047" s="17"/>
      <c r="Q1047" s="17" t="s">
        <v>1330</v>
      </c>
      <c r="R1047" s="17" t="s">
        <v>922</v>
      </c>
      <c r="S1047" s="17"/>
      <c r="T1047" s="17" t="str">
        <f>+T1046</f>
        <v>BCV131</v>
      </c>
      <c r="U1047" s="17"/>
      <c r="V1047" s="289" t="str">
        <f>+CONCATENATE(E1047,".",F1047,"\",G1047,".",H1047,":",I1047)</f>
        <v>2.6\0.1:3</v>
      </c>
      <c r="W1047" s="18" t="s">
        <v>1798</v>
      </c>
      <c r="X1047" s="17">
        <v>0</v>
      </c>
      <c r="Y1047" s="17"/>
      <c r="Z1047" s="17"/>
      <c r="AA1047" s="17"/>
      <c r="AB1047" s="17"/>
      <c r="AC1047" s="17"/>
      <c r="AD1047" s="17"/>
      <c r="AE1047" s="17"/>
      <c r="AF1047" s="17"/>
      <c r="AG1047" s="64"/>
      <c r="AH1047" s="64"/>
      <c r="AI1047" s="64"/>
      <c r="AJ1047" s="64"/>
      <c r="AK1047" s="64"/>
      <c r="AL1047" s="264"/>
      <c r="AM1047" s="84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</row>
    <row r="1048" spans="1:51" s="33" customFormat="1" ht="13.5" thickBot="1" x14ac:dyDescent="0.35">
      <c r="A1048" s="63" t="str">
        <f>+A1047</f>
        <v>BCV131</v>
      </c>
      <c r="B1048" s="18" t="str">
        <f>+B1047</f>
        <v>AX12</v>
      </c>
      <c r="C1048" s="85" t="str">
        <f>+C1047</f>
        <v>SIO1</v>
      </c>
      <c r="D1048" s="85" t="str">
        <f>+D1047</f>
        <v>SLC02</v>
      </c>
      <c r="E1048" s="290">
        <f>+E1047</f>
        <v>2</v>
      </c>
      <c r="F1048" s="290">
        <f>+F1047</f>
        <v>6</v>
      </c>
      <c r="G1048" s="290">
        <f>+G1047</f>
        <v>0</v>
      </c>
      <c r="H1048" s="72">
        <f>+H1047</f>
        <v>1</v>
      </c>
      <c r="I1048" s="71">
        <v>4</v>
      </c>
      <c r="J1048" s="70" t="s">
        <v>1318</v>
      </c>
      <c r="K1048" s="85"/>
      <c r="L1048" s="79" t="s">
        <v>235</v>
      </c>
      <c r="M1048" s="17">
        <v>3</v>
      </c>
      <c r="N1048" s="17"/>
      <c r="O1048" s="17"/>
      <c r="P1048" s="17"/>
      <c r="Q1048" s="68"/>
      <c r="R1048" s="68"/>
      <c r="S1048" s="68"/>
      <c r="T1048" s="68"/>
      <c r="U1048" s="17"/>
      <c r="V1048" s="289" t="str">
        <f>+CONCATENATE(E1048,".",F1048,"\",G1048,".",H1048,":",I1048)</f>
        <v>2.6\0.1:4</v>
      </c>
      <c r="W1048" s="18" t="s">
        <v>1798</v>
      </c>
      <c r="X1048" s="17">
        <v>0</v>
      </c>
      <c r="Y1048" s="17"/>
      <c r="Z1048" s="17"/>
      <c r="AA1048" s="17"/>
      <c r="AB1048" s="17"/>
      <c r="AC1048" s="17"/>
      <c r="AD1048" s="17"/>
      <c r="AE1048" s="17"/>
      <c r="AF1048" s="17"/>
      <c r="AG1048" s="64"/>
      <c r="AH1048" s="64"/>
      <c r="AI1048" s="64"/>
      <c r="AJ1048" s="64"/>
      <c r="AK1048" s="64"/>
      <c r="AL1048" s="264"/>
      <c r="AM1048" s="84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</row>
    <row r="1049" spans="1:51" s="33" customFormat="1" x14ac:dyDescent="0.3">
      <c r="A1049" s="63"/>
      <c r="B1049" s="63"/>
      <c r="C1049" s="63"/>
      <c r="D1049" s="63"/>
      <c r="E1049" s="288"/>
      <c r="F1049" s="288"/>
      <c r="G1049" s="288"/>
      <c r="H1049" s="63"/>
      <c r="I1049" s="63"/>
      <c r="J1049" s="63"/>
      <c r="K1049" s="17"/>
      <c r="L1049" s="17"/>
      <c r="M1049" s="17"/>
      <c r="N1049" s="17"/>
      <c r="O1049" s="68"/>
      <c r="P1049" s="68"/>
      <c r="Q1049" s="68"/>
      <c r="R1049" s="68"/>
      <c r="S1049" s="68"/>
      <c r="T1049" s="68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64"/>
      <c r="AH1049" s="64"/>
      <c r="AI1049" s="64"/>
      <c r="AJ1049" s="64"/>
      <c r="AK1049" s="64"/>
      <c r="AL1049" s="264"/>
      <c r="AM1049" s="84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</row>
    <row r="1050" spans="1:51" s="33" customFormat="1" x14ac:dyDescent="0.3">
      <c r="A1050" s="63"/>
      <c r="B1050" s="63"/>
      <c r="C1050" s="63"/>
      <c r="D1050" s="63"/>
      <c r="E1050" s="288"/>
      <c r="F1050" s="288"/>
      <c r="G1050" s="288"/>
      <c r="H1050" s="63"/>
      <c r="I1050" s="63"/>
      <c r="J1050" s="63"/>
      <c r="K1050" s="17"/>
      <c r="L1050" s="17"/>
      <c r="M1050" s="17"/>
      <c r="N1050" s="17"/>
      <c r="O1050" s="68"/>
      <c r="P1050" s="68"/>
      <c r="Q1050" s="68"/>
      <c r="R1050" s="68"/>
      <c r="S1050" s="68"/>
      <c r="T1050" s="68"/>
      <c r="U1050" s="17"/>
      <c r="V1050" s="17"/>
      <c r="W1050" s="17"/>
      <c r="X1050" s="17"/>
      <c r="Y1050" s="17"/>
      <c r="Z1050" s="17"/>
      <c r="AA1050" s="17"/>
      <c r="AB1050" s="20"/>
      <c r="AC1050" s="17"/>
      <c r="AD1050" s="17"/>
      <c r="AE1050" s="17"/>
      <c r="AF1050" s="17"/>
      <c r="AG1050" s="64"/>
      <c r="AH1050" s="64"/>
      <c r="AI1050" s="64"/>
      <c r="AJ1050" s="64"/>
      <c r="AK1050" s="64"/>
      <c r="AL1050" s="264"/>
      <c r="AM1050" s="84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</row>
    <row r="1051" spans="1:51" s="33" customFormat="1" x14ac:dyDescent="0.3">
      <c r="A1051" s="63"/>
      <c r="B1051" s="63"/>
      <c r="C1051" s="63"/>
      <c r="D1051" s="63"/>
      <c r="E1051" s="288"/>
      <c r="F1051" s="288"/>
      <c r="G1051" s="288"/>
      <c r="H1051" s="63"/>
      <c r="I1051" s="63"/>
      <c r="J1051" s="63"/>
      <c r="K1051" s="17"/>
      <c r="L1051" s="17"/>
      <c r="M1051" s="17"/>
      <c r="N1051" s="17"/>
      <c r="O1051" s="68"/>
      <c r="P1051" s="68"/>
      <c r="Q1051" s="68"/>
      <c r="R1051" s="68"/>
      <c r="S1051" s="68"/>
      <c r="T1051" s="68"/>
      <c r="U1051" s="17"/>
      <c r="V1051" s="17"/>
      <c r="W1051" s="17"/>
      <c r="X1051" s="17"/>
      <c r="Y1051" s="17"/>
      <c r="Z1051" s="17"/>
      <c r="AA1051" s="17"/>
      <c r="AB1051" s="20"/>
      <c r="AC1051" s="17"/>
      <c r="AD1051" s="17"/>
      <c r="AE1051" s="17"/>
      <c r="AF1051" s="17"/>
      <c r="AG1051" s="64"/>
      <c r="AH1051" s="64"/>
      <c r="AI1051" s="64"/>
      <c r="AJ1051" s="64"/>
      <c r="AK1051" s="64"/>
      <c r="AL1051" s="264"/>
      <c r="AM1051" s="84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</row>
    <row r="1052" spans="1:51" s="33" customFormat="1" ht="15.5" x14ac:dyDescent="0.35">
      <c r="A1052" s="297"/>
      <c r="B1052" s="96" t="s">
        <v>1797</v>
      </c>
      <c r="C1052" s="256"/>
      <c r="D1052" s="256"/>
      <c r="E1052" s="256"/>
      <c r="F1052" s="256"/>
      <c r="G1052" s="256"/>
      <c r="H1052" s="256"/>
      <c r="I1052" s="256"/>
      <c r="J1052" s="256"/>
      <c r="K1052" s="256"/>
      <c r="L1052" s="256"/>
      <c r="M1052" s="256"/>
      <c r="N1052" s="287"/>
      <c r="O1052" s="256"/>
      <c r="P1052" s="287"/>
      <c r="Q1052" s="256"/>
      <c r="R1052" s="256"/>
      <c r="S1052" s="256"/>
      <c r="T1052" s="256"/>
      <c r="U1052" s="256"/>
      <c r="V1052" s="256"/>
      <c r="W1052" s="287"/>
      <c r="X1052" s="256"/>
      <c r="Y1052" s="256"/>
      <c r="Z1052" s="17"/>
      <c r="AA1052" s="17"/>
      <c r="AB1052" s="17"/>
      <c r="AC1052" s="17"/>
      <c r="AD1052" s="17"/>
      <c r="AE1052" s="17"/>
      <c r="AF1052" s="17"/>
      <c r="AG1052" s="64"/>
      <c r="AH1052" s="64"/>
      <c r="AI1052" s="64"/>
      <c r="AJ1052" s="64"/>
      <c r="AK1052" s="64"/>
      <c r="AL1052" s="264"/>
      <c r="AM1052" s="84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</row>
    <row r="1053" spans="1:51" s="33" customFormat="1" ht="13.5" thickBot="1" x14ac:dyDescent="0.35">
      <c r="A1053" s="63"/>
      <c r="B1053" s="63"/>
      <c r="C1053" s="63"/>
      <c r="D1053" s="63"/>
      <c r="E1053" s="288"/>
      <c r="F1053" s="288"/>
      <c r="G1053" s="288"/>
      <c r="H1053" s="63"/>
      <c r="I1053" s="63"/>
      <c r="J1053" s="63"/>
      <c r="K1053" s="17"/>
      <c r="L1053" s="17"/>
      <c r="M1053" s="17"/>
      <c r="N1053" s="17"/>
      <c r="O1053" s="68"/>
      <c r="P1053" s="68"/>
      <c r="Q1053" s="68"/>
      <c r="R1053" s="68"/>
      <c r="S1053" s="68"/>
      <c r="T1053" s="68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64"/>
      <c r="AH1053" s="64"/>
      <c r="AI1053" s="64"/>
      <c r="AJ1053" s="64"/>
      <c r="AK1053" s="64"/>
      <c r="AL1053" s="264"/>
      <c r="AM1053" s="84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</row>
    <row r="1054" spans="1:51" s="33" customFormat="1" ht="13.5" thickBot="1" x14ac:dyDescent="0.35">
      <c r="A1054" s="63" t="s">
        <v>194</v>
      </c>
      <c r="B1054" s="17" t="s">
        <v>1796</v>
      </c>
      <c r="C1054" s="295" t="s">
        <v>271</v>
      </c>
      <c r="D1054" s="290" t="s">
        <v>285</v>
      </c>
      <c r="E1054" s="290">
        <v>1</v>
      </c>
      <c r="F1054" s="290">
        <v>7</v>
      </c>
      <c r="G1054" s="290">
        <v>0</v>
      </c>
      <c r="H1054" s="89">
        <v>0</v>
      </c>
      <c r="I1054" s="88" t="s">
        <v>1106</v>
      </c>
      <c r="J1054" s="87"/>
      <c r="K1054" s="84">
        <v>1059305</v>
      </c>
      <c r="L1054" s="91" t="s">
        <v>1377</v>
      </c>
      <c r="M1054" s="17">
        <v>3</v>
      </c>
      <c r="N1054" s="17"/>
      <c r="O1054" s="83"/>
      <c r="P1054" s="83"/>
      <c r="Q1054" s="68"/>
      <c r="R1054" s="68"/>
      <c r="S1054" s="68"/>
      <c r="T1054" s="68"/>
      <c r="U1054" s="17"/>
      <c r="V1054" s="17"/>
      <c r="W1054" s="18" t="s">
        <v>1780</v>
      </c>
      <c r="X1054" s="17">
        <v>0</v>
      </c>
      <c r="Y1054" s="17"/>
      <c r="Z1054" s="17"/>
      <c r="AA1054" s="17"/>
      <c r="AB1054" s="17"/>
      <c r="AC1054" s="17"/>
      <c r="AD1054" s="17"/>
      <c r="AE1054" s="17"/>
      <c r="AF1054" s="17"/>
      <c r="AG1054" s="64"/>
      <c r="AH1054" s="64"/>
      <c r="AI1054" s="64"/>
      <c r="AJ1054" s="64"/>
      <c r="AK1054" s="64"/>
      <c r="AL1054" s="264"/>
      <c r="AM1054" s="84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</row>
    <row r="1055" spans="1:51" s="33" customFormat="1" x14ac:dyDescent="0.3">
      <c r="A1055" s="63" t="str">
        <f>+A1054</f>
        <v>BCV131</v>
      </c>
      <c r="B1055" s="18" t="str">
        <f>+B1054</f>
        <v>AX13</v>
      </c>
      <c r="C1055" s="85" t="str">
        <f>+C1054</f>
        <v>SIO1</v>
      </c>
      <c r="D1055" s="85" t="str">
        <f>+D1054</f>
        <v>SLC01</v>
      </c>
      <c r="E1055" s="290">
        <f>+E1054</f>
        <v>1</v>
      </c>
      <c r="F1055" s="290">
        <f>+F1054</f>
        <v>7</v>
      </c>
      <c r="G1055" s="290">
        <f>+G1054</f>
        <v>0</v>
      </c>
      <c r="H1055" s="72">
        <v>1</v>
      </c>
      <c r="I1055" s="77">
        <v>1</v>
      </c>
      <c r="J1055" s="76" t="s">
        <v>269</v>
      </c>
      <c r="K1055" s="65">
        <v>1044125</v>
      </c>
      <c r="L1055" s="79" t="s">
        <v>244</v>
      </c>
      <c r="M1055" s="17">
        <v>3</v>
      </c>
      <c r="N1055" s="18" t="s">
        <v>1793</v>
      </c>
      <c r="O1055" s="296" t="s">
        <v>1795</v>
      </c>
      <c r="P1055" s="296"/>
      <c r="Q1055" s="296" t="s">
        <v>1794</v>
      </c>
      <c r="R1055" s="17" t="s">
        <v>211</v>
      </c>
      <c r="S1055" s="17"/>
      <c r="T1055" s="17" t="s">
        <v>194</v>
      </c>
      <c r="U1055" s="17"/>
      <c r="V1055" s="289" t="str">
        <f>+CONCATENATE(E1055,".",F1055,"\",G1055,".",H1055,":",I1055)</f>
        <v>1.7\0.1:1</v>
      </c>
      <c r="W1055" s="18" t="s">
        <v>1780</v>
      </c>
      <c r="X1055" s="17">
        <v>0</v>
      </c>
      <c r="Y1055" s="17"/>
      <c r="Z1055" s="17"/>
      <c r="AA1055" s="17"/>
      <c r="AB1055" s="17"/>
      <c r="AC1055" s="17"/>
      <c r="AD1055" s="17"/>
      <c r="AE1055" s="17"/>
      <c r="AF1055" s="17"/>
      <c r="AG1055" s="64"/>
      <c r="AH1055" s="64"/>
      <c r="AI1055" s="64"/>
      <c r="AJ1055" s="64"/>
      <c r="AK1055" s="64"/>
      <c r="AL1055" s="264"/>
      <c r="AM1055" s="84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</row>
    <row r="1056" spans="1:51" s="33" customFormat="1" x14ac:dyDescent="0.3">
      <c r="A1056" s="63" t="str">
        <f>+A1055</f>
        <v>BCV131</v>
      </c>
      <c r="B1056" s="18" t="str">
        <f>+B1055</f>
        <v>AX13</v>
      </c>
      <c r="C1056" s="85" t="str">
        <f>+C1055</f>
        <v>SIO1</v>
      </c>
      <c r="D1056" s="85" t="str">
        <f>+D1055</f>
        <v>SLC01</v>
      </c>
      <c r="E1056" s="290">
        <f>+E1055</f>
        <v>1</v>
      </c>
      <c r="F1056" s="290">
        <f>+F1055</f>
        <v>7</v>
      </c>
      <c r="G1056" s="290">
        <f>+G1055</f>
        <v>0</v>
      </c>
      <c r="H1056" s="72">
        <f>+H1055</f>
        <v>1</v>
      </c>
      <c r="I1056" s="75">
        <v>2</v>
      </c>
      <c r="J1056" s="74" t="s">
        <v>265</v>
      </c>
      <c r="K1056" s="84">
        <v>1047162</v>
      </c>
      <c r="L1056" s="79" t="s">
        <v>244</v>
      </c>
      <c r="M1056" s="17">
        <v>3</v>
      </c>
      <c r="N1056" s="18" t="s">
        <v>1793</v>
      </c>
      <c r="O1056" s="296" t="s">
        <v>1792</v>
      </c>
      <c r="P1056" s="296"/>
      <c r="Q1056" s="296" t="s">
        <v>1791</v>
      </c>
      <c r="R1056" s="17" t="s">
        <v>211</v>
      </c>
      <c r="S1056" s="17"/>
      <c r="T1056" s="17" t="str">
        <f>+T1055</f>
        <v>BCV131</v>
      </c>
      <c r="U1056" s="17"/>
      <c r="V1056" s="289" t="str">
        <f>+CONCATENATE(E1056,".",F1056,"\",G1056,".",H1056,":",I1056)</f>
        <v>1.7\0.1:2</v>
      </c>
      <c r="W1056" s="18" t="s">
        <v>1780</v>
      </c>
      <c r="X1056" s="17">
        <v>0</v>
      </c>
      <c r="Y1056" s="17"/>
      <c r="Z1056" s="17"/>
      <c r="AA1056" s="17"/>
      <c r="AB1056" s="17"/>
      <c r="AC1056" s="17"/>
      <c r="AD1056" s="17"/>
      <c r="AE1056" s="17"/>
      <c r="AF1056" s="17"/>
      <c r="AG1056" s="64"/>
      <c r="AH1056" s="64"/>
      <c r="AI1056" s="64"/>
      <c r="AJ1056" s="64"/>
      <c r="AK1056" s="64"/>
      <c r="AL1056" s="264"/>
      <c r="AM1056" s="84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</row>
    <row r="1057" spans="1:51" s="33" customFormat="1" x14ac:dyDescent="0.3">
      <c r="A1057" s="63" t="str">
        <f>+A1056</f>
        <v>BCV131</v>
      </c>
      <c r="B1057" s="18" t="str">
        <f>+B1056</f>
        <v>AX13</v>
      </c>
      <c r="C1057" s="85" t="str">
        <f>+C1056</f>
        <v>SIO1</v>
      </c>
      <c r="D1057" s="85" t="str">
        <f>+D1056</f>
        <v>SLC01</v>
      </c>
      <c r="E1057" s="290">
        <f>+E1056</f>
        <v>1</v>
      </c>
      <c r="F1057" s="290">
        <f>+F1056</f>
        <v>7</v>
      </c>
      <c r="G1057" s="290">
        <f>+G1056</f>
        <v>0</v>
      </c>
      <c r="H1057" s="72">
        <f>+H1056</f>
        <v>1</v>
      </c>
      <c r="I1057" s="75">
        <v>3</v>
      </c>
      <c r="J1057" s="74" t="s">
        <v>261</v>
      </c>
      <c r="K1057" s="85"/>
      <c r="L1057" s="79" t="s">
        <v>244</v>
      </c>
      <c r="M1057" s="17">
        <v>3</v>
      </c>
      <c r="N1057" s="18" t="s">
        <v>1788</v>
      </c>
      <c r="O1057" s="296" t="s">
        <v>1790</v>
      </c>
      <c r="P1057" s="296"/>
      <c r="Q1057" s="296" t="s">
        <v>1789</v>
      </c>
      <c r="R1057" s="17" t="s">
        <v>211</v>
      </c>
      <c r="S1057" s="17"/>
      <c r="T1057" s="17" t="str">
        <f>+T1056</f>
        <v>BCV131</v>
      </c>
      <c r="U1057" s="17"/>
      <c r="V1057" s="289" t="str">
        <f>+CONCATENATE(E1057,".",F1057,"\",G1057,".",H1057,":",I1057)</f>
        <v>1.7\0.1:3</v>
      </c>
      <c r="W1057" s="18" t="s">
        <v>1780</v>
      </c>
      <c r="X1057" s="17">
        <v>0</v>
      </c>
      <c r="Y1057" s="17"/>
      <c r="Z1057" s="17"/>
      <c r="AA1057" s="17"/>
      <c r="AB1057" s="17"/>
      <c r="AC1057" s="17"/>
      <c r="AD1057" s="17"/>
      <c r="AE1057" s="17"/>
      <c r="AF1057" s="17"/>
      <c r="AG1057" s="64"/>
      <c r="AH1057" s="64"/>
      <c r="AI1057" s="64"/>
      <c r="AJ1057" s="64"/>
      <c r="AK1057" s="64"/>
      <c r="AL1057" s="264"/>
      <c r="AM1057" s="84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</row>
    <row r="1058" spans="1:51" s="33" customFormat="1" x14ac:dyDescent="0.3">
      <c r="A1058" s="63" t="str">
        <f>+A1057</f>
        <v>BCV131</v>
      </c>
      <c r="B1058" s="18" t="str">
        <f>+B1057</f>
        <v>AX13</v>
      </c>
      <c r="C1058" s="85" t="str">
        <f>+C1057</f>
        <v>SIO1</v>
      </c>
      <c r="D1058" s="85" t="str">
        <f>+D1057</f>
        <v>SLC01</v>
      </c>
      <c r="E1058" s="290">
        <f>+E1057</f>
        <v>1</v>
      </c>
      <c r="F1058" s="290">
        <f>+F1057</f>
        <v>7</v>
      </c>
      <c r="G1058" s="290">
        <f>+G1057</f>
        <v>0</v>
      </c>
      <c r="H1058" s="72">
        <f>+H1057</f>
        <v>1</v>
      </c>
      <c r="I1058" s="75">
        <v>4</v>
      </c>
      <c r="J1058" s="74" t="s">
        <v>257</v>
      </c>
      <c r="K1058" s="85"/>
      <c r="L1058" s="79" t="s">
        <v>244</v>
      </c>
      <c r="M1058" s="17">
        <v>3</v>
      </c>
      <c r="N1058" s="18" t="s">
        <v>1788</v>
      </c>
      <c r="O1058" s="296" t="s">
        <v>1787</v>
      </c>
      <c r="P1058" s="296"/>
      <c r="Q1058" s="296" t="s">
        <v>1786</v>
      </c>
      <c r="R1058" s="17" t="s">
        <v>211</v>
      </c>
      <c r="S1058" s="17"/>
      <c r="T1058" s="17" t="str">
        <f>+T1057</f>
        <v>BCV131</v>
      </c>
      <c r="U1058" s="17"/>
      <c r="V1058" s="289" t="str">
        <f>+CONCATENATE(E1058,".",F1058,"\",G1058,".",H1058,":",I1058)</f>
        <v>1.7\0.1:4</v>
      </c>
      <c r="W1058" s="18" t="s">
        <v>1780</v>
      </c>
      <c r="X1058" s="17">
        <v>0</v>
      </c>
      <c r="Y1058" s="17"/>
      <c r="Z1058" s="17"/>
      <c r="AA1058" s="17"/>
      <c r="AB1058" s="17"/>
      <c r="AC1058" s="17"/>
      <c r="AD1058" s="17"/>
      <c r="AE1058" s="17"/>
      <c r="AF1058" s="17"/>
      <c r="AG1058" s="64"/>
      <c r="AH1058" s="64"/>
      <c r="AI1058" s="64"/>
      <c r="AJ1058" s="64"/>
      <c r="AK1058" s="64"/>
      <c r="AL1058" s="264"/>
      <c r="AM1058" s="84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</row>
    <row r="1059" spans="1:51" s="33" customFormat="1" x14ac:dyDescent="0.3">
      <c r="A1059" s="63" t="str">
        <f>+A1058</f>
        <v>BCV131</v>
      </c>
      <c r="B1059" s="18" t="str">
        <f>+B1058</f>
        <v>AX13</v>
      </c>
      <c r="C1059" s="85" t="str">
        <f>+C1058</f>
        <v>SIO1</v>
      </c>
      <c r="D1059" s="85" t="str">
        <f>+D1058</f>
        <v>SLC01</v>
      </c>
      <c r="E1059" s="290">
        <f>+E1058</f>
        <v>1</v>
      </c>
      <c r="F1059" s="290">
        <f>+F1058</f>
        <v>7</v>
      </c>
      <c r="G1059" s="290">
        <f>+G1058</f>
        <v>0</v>
      </c>
      <c r="H1059" s="72">
        <f>+H1058</f>
        <v>1</v>
      </c>
      <c r="I1059" s="75">
        <v>5</v>
      </c>
      <c r="J1059" s="74" t="s">
        <v>1325</v>
      </c>
      <c r="K1059" s="85"/>
      <c r="L1059" s="79" t="s">
        <v>244</v>
      </c>
      <c r="M1059" s="17">
        <v>3</v>
      </c>
      <c r="N1059" s="17"/>
      <c r="O1059" s="296"/>
      <c r="P1059" s="296"/>
      <c r="Q1059" s="296" t="s">
        <v>127</v>
      </c>
      <c r="R1059" s="17"/>
      <c r="S1059" s="17"/>
      <c r="T1059" s="17"/>
      <c r="U1059" s="17"/>
      <c r="V1059" s="289" t="str">
        <f>+CONCATENATE(E1059,".",F1059,"\",G1059,".",H1059,":",I1059)</f>
        <v>1.7\0.1:5</v>
      </c>
      <c r="W1059" s="18" t="s">
        <v>1780</v>
      </c>
      <c r="X1059" s="17">
        <v>0</v>
      </c>
      <c r="Y1059" s="17"/>
      <c r="Z1059" s="17"/>
      <c r="AA1059" s="17"/>
      <c r="AB1059" s="17"/>
      <c r="AC1059" s="17"/>
      <c r="AD1059" s="17"/>
      <c r="AE1059" s="17"/>
      <c r="AF1059" s="17"/>
      <c r="AG1059" s="64"/>
      <c r="AH1059" s="64"/>
      <c r="AI1059" s="64"/>
      <c r="AJ1059" s="64"/>
      <c r="AK1059" s="64"/>
      <c r="AL1059" s="264"/>
      <c r="AM1059" s="84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</row>
    <row r="1060" spans="1:51" s="33" customFormat="1" x14ac:dyDescent="0.3">
      <c r="A1060" s="63" t="str">
        <f>+A1059</f>
        <v>BCV131</v>
      </c>
      <c r="B1060" s="18" t="str">
        <f>+B1059</f>
        <v>AX13</v>
      </c>
      <c r="C1060" s="85" t="str">
        <f>+C1059</f>
        <v>SIO1</v>
      </c>
      <c r="D1060" s="85" t="str">
        <f>+D1059</f>
        <v>SLC01</v>
      </c>
      <c r="E1060" s="290">
        <f>+E1059</f>
        <v>1</v>
      </c>
      <c r="F1060" s="290">
        <f>+F1059</f>
        <v>7</v>
      </c>
      <c r="G1060" s="290">
        <f>+G1059</f>
        <v>0</v>
      </c>
      <c r="H1060" s="72">
        <f>+H1059</f>
        <v>1</v>
      </c>
      <c r="I1060" s="75">
        <v>6</v>
      </c>
      <c r="J1060" s="74" t="s">
        <v>1323</v>
      </c>
      <c r="K1060" s="85"/>
      <c r="L1060" s="79" t="s">
        <v>244</v>
      </c>
      <c r="M1060" s="17">
        <v>3</v>
      </c>
      <c r="N1060" s="17"/>
      <c r="O1060" s="296"/>
      <c r="P1060" s="296"/>
      <c r="Q1060" s="296" t="s">
        <v>127</v>
      </c>
      <c r="R1060" s="17"/>
      <c r="S1060" s="17"/>
      <c r="T1060" s="17"/>
      <c r="U1060" s="17"/>
      <c r="V1060" s="289" t="str">
        <f>+CONCATENATE(E1060,".",F1060,"\",G1060,".",H1060,":",I1060)</f>
        <v>1.7\0.1:6</v>
      </c>
      <c r="W1060" s="18" t="s">
        <v>1780</v>
      </c>
      <c r="X1060" s="17">
        <v>0</v>
      </c>
      <c r="Y1060" s="17"/>
      <c r="Z1060" s="17"/>
      <c r="AA1060" s="17"/>
      <c r="AB1060" s="17"/>
      <c r="AC1060" s="17"/>
      <c r="AD1060" s="17"/>
      <c r="AE1060" s="17"/>
      <c r="AF1060" s="17"/>
      <c r="AG1060" s="64"/>
      <c r="AH1060" s="64"/>
      <c r="AI1060" s="64"/>
      <c r="AJ1060" s="64"/>
      <c r="AK1060" s="64"/>
      <c r="AL1060" s="264"/>
      <c r="AM1060" s="84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</row>
    <row r="1061" spans="1:51" s="33" customFormat="1" x14ac:dyDescent="0.3">
      <c r="A1061" s="63" t="str">
        <f>+A1060</f>
        <v>BCV131</v>
      </c>
      <c r="B1061" s="18" t="str">
        <f>+B1060</f>
        <v>AX13</v>
      </c>
      <c r="C1061" s="85" t="str">
        <f>+C1060</f>
        <v>SIO1</v>
      </c>
      <c r="D1061" s="85" t="str">
        <f>+D1060</f>
        <v>SLC01</v>
      </c>
      <c r="E1061" s="290">
        <f>+E1060</f>
        <v>1</v>
      </c>
      <c r="F1061" s="290">
        <f>+F1060</f>
        <v>7</v>
      </c>
      <c r="G1061" s="290">
        <f>+G1060</f>
        <v>0</v>
      </c>
      <c r="H1061" s="72">
        <f>+H1060</f>
        <v>1</v>
      </c>
      <c r="I1061" s="75">
        <v>7</v>
      </c>
      <c r="J1061" s="74" t="s">
        <v>246</v>
      </c>
      <c r="K1061" s="85"/>
      <c r="L1061" s="79" t="s">
        <v>244</v>
      </c>
      <c r="M1061" s="17">
        <v>3</v>
      </c>
      <c r="N1061" s="17"/>
      <c r="O1061" s="296"/>
      <c r="P1061" s="296"/>
      <c r="Q1061" s="296" t="s">
        <v>127</v>
      </c>
      <c r="R1061" s="17"/>
      <c r="S1061" s="17"/>
      <c r="T1061" s="17"/>
      <c r="U1061" s="17"/>
      <c r="V1061" s="289" t="str">
        <f>+CONCATENATE(E1061,".",F1061,"\",G1061,".",H1061,":",I1061)</f>
        <v>1.7\0.1:7</v>
      </c>
      <c r="W1061" s="18" t="s">
        <v>1780</v>
      </c>
      <c r="X1061" s="17">
        <v>0</v>
      </c>
      <c r="Y1061" s="17"/>
      <c r="Z1061" s="17"/>
      <c r="AA1061" s="17"/>
      <c r="AB1061" s="17"/>
      <c r="AC1061" s="17"/>
      <c r="AD1061" s="17"/>
      <c r="AE1061" s="17"/>
      <c r="AF1061" s="17"/>
      <c r="AG1061" s="64"/>
      <c r="AH1061" s="64"/>
      <c r="AI1061" s="64"/>
      <c r="AJ1061" s="64"/>
      <c r="AK1061" s="64"/>
      <c r="AL1061" s="264"/>
      <c r="AM1061" s="84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</row>
    <row r="1062" spans="1:51" s="33" customFormat="1" x14ac:dyDescent="0.3">
      <c r="A1062" s="63" t="str">
        <f>+A1061</f>
        <v>BCV131</v>
      </c>
      <c r="B1062" s="18" t="str">
        <f>+B1061</f>
        <v>AX13</v>
      </c>
      <c r="C1062" s="85" t="str">
        <f>+C1061</f>
        <v>SIO1</v>
      </c>
      <c r="D1062" s="85" t="str">
        <f>+D1061</f>
        <v>SLC01</v>
      </c>
      <c r="E1062" s="290">
        <f>+E1061</f>
        <v>1</v>
      </c>
      <c r="F1062" s="290">
        <f>+F1061</f>
        <v>7</v>
      </c>
      <c r="G1062" s="290">
        <f>+G1061</f>
        <v>0</v>
      </c>
      <c r="H1062" s="72">
        <f>+H1061</f>
        <v>1</v>
      </c>
      <c r="I1062" s="75">
        <v>8</v>
      </c>
      <c r="J1062" s="74" t="s">
        <v>245</v>
      </c>
      <c r="K1062" s="85"/>
      <c r="L1062" s="79" t="s">
        <v>244</v>
      </c>
      <c r="M1062" s="17">
        <v>3</v>
      </c>
      <c r="N1062" s="17"/>
      <c r="O1062" s="296"/>
      <c r="P1062" s="296"/>
      <c r="Q1062" s="296" t="s">
        <v>127</v>
      </c>
      <c r="R1062" s="17"/>
      <c r="S1062" s="17"/>
      <c r="T1062" s="17"/>
      <c r="U1062" s="17"/>
      <c r="V1062" s="289" t="str">
        <f>+CONCATENATE(E1062,".",F1062,"\",G1062,".",H1062,":",I1062)</f>
        <v>1.7\0.1:8</v>
      </c>
      <c r="W1062" s="18" t="s">
        <v>1780</v>
      </c>
      <c r="X1062" s="17">
        <v>0</v>
      </c>
      <c r="Y1062" s="17"/>
      <c r="Z1062" s="17"/>
      <c r="AA1062" s="17"/>
      <c r="AB1062" s="17"/>
      <c r="AC1062" s="17"/>
      <c r="AD1062" s="17"/>
      <c r="AE1062" s="17"/>
      <c r="AF1062" s="17"/>
      <c r="AG1062" s="64"/>
      <c r="AH1062" s="64"/>
      <c r="AI1062" s="64"/>
      <c r="AJ1062" s="64"/>
      <c r="AK1062" s="64"/>
      <c r="AL1062" s="264"/>
      <c r="AM1062" s="84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</row>
    <row r="1063" spans="1:51" s="33" customFormat="1" x14ac:dyDescent="0.3">
      <c r="A1063" s="63" t="str">
        <f>+A1062</f>
        <v>BCV131</v>
      </c>
      <c r="B1063" s="18" t="str">
        <f>+B1062</f>
        <v>AX13</v>
      </c>
      <c r="C1063" s="85" t="str">
        <f>+C1062</f>
        <v>SIO1</v>
      </c>
      <c r="D1063" s="85" t="str">
        <f>+D1062</f>
        <v>SLC01</v>
      </c>
      <c r="E1063" s="290">
        <f>+E1062</f>
        <v>1</v>
      </c>
      <c r="F1063" s="290">
        <f>+F1062</f>
        <v>7</v>
      </c>
      <c r="G1063" s="290">
        <f>+G1062</f>
        <v>0</v>
      </c>
      <c r="H1063" s="72">
        <f>+H1062</f>
        <v>1</v>
      </c>
      <c r="I1063" s="75">
        <v>1</v>
      </c>
      <c r="J1063" s="81" t="s">
        <v>1321</v>
      </c>
      <c r="K1063" s="85" t="s">
        <v>1366</v>
      </c>
      <c r="L1063" s="79" t="s">
        <v>235</v>
      </c>
      <c r="M1063" s="17">
        <v>3</v>
      </c>
      <c r="N1063" s="18" t="s">
        <v>1784</v>
      </c>
      <c r="O1063" s="17" t="s">
        <v>1785</v>
      </c>
      <c r="P1063" s="17"/>
      <c r="Q1063" s="17" t="s">
        <v>1335</v>
      </c>
      <c r="R1063" s="17" t="s">
        <v>922</v>
      </c>
      <c r="S1063" s="17"/>
      <c r="T1063" s="17" t="str">
        <f>+T1055</f>
        <v>BCV131</v>
      </c>
      <c r="U1063" s="17"/>
      <c r="V1063" s="289" t="str">
        <f>+CONCATENATE(E1063,".",F1063,"\",G1063,".",H1063,":",I1063)</f>
        <v>1.7\0.1:1</v>
      </c>
      <c r="W1063" s="18" t="s">
        <v>1780</v>
      </c>
      <c r="X1063" s="17">
        <v>0</v>
      </c>
      <c r="Y1063" s="17"/>
      <c r="Z1063" s="17"/>
      <c r="AA1063" s="17"/>
      <c r="AB1063" s="17"/>
      <c r="AC1063" s="17"/>
      <c r="AD1063" s="17"/>
      <c r="AE1063" s="17"/>
      <c r="AF1063" s="17"/>
      <c r="AG1063" s="64"/>
      <c r="AH1063" s="64"/>
      <c r="AI1063" s="64"/>
      <c r="AJ1063" s="64"/>
      <c r="AK1063" s="64"/>
      <c r="AL1063" s="264"/>
      <c r="AM1063" s="84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  <c r="AY1063" s="18"/>
    </row>
    <row r="1064" spans="1:51" s="33" customFormat="1" x14ac:dyDescent="0.3">
      <c r="A1064" s="63" t="str">
        <f>+A1063</f>
        <v>BCV131</v>
      </c>
      <c r="B1064" s="18" t="str">
        <f>+B1063</f>
        <v>AX13</v>
      </c>
      <c r="C1064" s="85" t="str">
        <f>+C1063</f>
        <v>SIO1</v>
      </c>
      <c r="D1064" s="85" t="str">
        <f>+D1063</f>
        <v>SLC01</v>
      </c>
      <c r="E1064" s="290">
        <f>+E1063</f>
        <v>1</v>
      </c>
      <c r="F1064" s="290">
        <f>+F1063</f>
        <v>7</v>
      </c>
      <c r="G1064" s="290">
        <f>+G1063</f>
        <v>0</v>
      </c>
      <c r="H1064" s="72">
        <f>+H1063</f>
        <v>1</v>
      </c>
      <c r="I1064" s="75">
        <v>2</v>
      </c>
      <c r="J1064" s="74" t="s">
        <v>1320</v>
      </c>
      <c r="K1064" s="85"/>
      <c r="L1064" s="79" t="s">
        <v>235</v>
      </c>
      <c r="M1064" s="17">
        <v>3</v>
      </c>
      <c r="N1064" s="18" t="s">
        <v>1784</v>
      </c>
      <c r="O1064" s="17" t="s">
        <v>1783</v>
      </c>
      <c r="P1064" s="17"/>
      <c r="Q1064" s="17" t="s">
        <v>1330</v>
      </c>
      <c r="R1064" s="17" t="s">
        <v>922</v>
      </c>
      <c r="S1064" s="17"/>
      <c r="T1064" s="17" t="str">
        <f>+T1063</f>
        <v>BCV131</v>
      </c>
      <c r="U1064" s="17"/>
      <c r="V1064" s="289" t="str">
        <f>+CONCATENATE(E1064,".",F1064,"\",G1064,".",H1064,":",I1064)</f>
        <v>1.7\0.1:2</v>
      </c>
      <c r="W1064" s="18" t="s">
        <v>1780</v>
      </c>
      <c r="X1064" s="17">
        <v>0</v>
      </c>
      <c r="Y1064" s="17"/>
      <c r="Z1064" s="17"/>
      <c r="AA1064" s="17"/>
      <c r="AB1064" s="17"/>
      <c r="AC1064" s="17"/>
      <c r="AD1064" s="17"/>
      <c r="AE1064" s="17"/>
      <c r="AF1064" s="17"/>
      <c r="AG1064" s="64"/>
      <c r="AH1064" s="64"/>
      <c r="AI1064" s="64"/>
      <c r="AJ1064" s="64"/>
      <c r="AK1064" s="64"/>
      <c r="AL1064" s="264"/>
      <c r="AM1064" s="84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  <c r="AY1064" s="18"/>
    </row>
    <row r="1065" spans="1:51" s="33" customFormat="1" x14ac:dyDescent="0.3">
      <c r="A1065" s="63" t="str">
        <f>+A1064</f>
        <v>BCV131</v>
      </c>
      <c r="B1065" s="18" t="str">
        <f>+B1064</f>
        <v>AX13</v>
      </c>
      <c r="C1065" s="85" t="str">
        <f>+C1064</f>
        <v>SIO1</v>
      </c>
      <c r="D1065" s="85" t="str">
        <f>+D1064</f>
        <v>SLC01</v>
      </c>
      <c r="E1065" s="290">
        <f>+E1064</f>
        <v>1</v>
      </c>
      <c r="F1065" s="290">
        <f>+F1064</f>
        <v>7</v>
      </c>
      <c r="G1065" s="290">
        <f>+G1064</f>
        <v>0</v>
      </c>
      <c r="H1065" s="72">
        <f>+H1064</f>
        <v>1</v>
      </c>
      <c r="I1065" s="75">
        <v>3</v>
      </c>
      <c r="J1065" s="74" t="s">
        <v>1319</v>
      </c>
      <c r="K1065" s="85"/>
      <c r="L1065" s="79" t="s">
        <v>235</v>
      </c>
      <c r="M1065" s="17">
        <v>3</v>
      </c>
      <c r="N1065" s="18" t="s">
        <v>1782</v>
      </c>
      <c r="O1065" s="17" t="s">
        <v>1781</v>
      </c>
      <c r="P1065" s="17"/>
      <c r="Q1065" s="17" t="s">
        <v>1330</v>
      </c>
      <c r="R1065" s="17" t="s">
        <v>922</v>
      </c>
      <c r="S1065" s="17"/>
      <c r="T1065" s="17" t="str">
        <f>+T1064</f>
        <v>BCV131</v>
      </c>
      <c r="U1065" s="17"/>
      <c r="V1065" s="289" t="str">
        <f>+CONCATENATE(E1065,".",F1065,"\",G1065,".",H1065,":",I1065)</f>
        <v>1.7\0.1:3</v>
      </c>
      <c r="W1065" s="18" t="s">
        <v>1780</v>
      </c>
      <c r="X1065" s="17">
        <v>0</v>
      </c>
      <c r="Y1065" s="17"/>
      <c r="Z1065" s="17"/>
      <c r="AA1065" s="17"/>
      <c r="AB1065" s="17"/>
      <c r="AC1065" s="17"/>
      <c r="AD1065" s="17"/>
      <c r="AE1065" s="17"/>
      <c r="AF1065" s="17"/>
      <c r="AG1065" s="64"/>
      <c r="AH1065" s="64"/>
      <c r="AI1065" s="64"/>
      <c r="AJ1065" s="64"/>
      <c r="AK1065" s="64"/>
      <c r="AL1065" s="264"/>
      <c r="AM1065" s="84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</row>
    <row r="1066" spans="1:51" s="33" customFormat="1" ht="13.5" thickBot="1" x14ac:dyDescent="0.35">
      <c r="A1066" s="63" t="str">
        <f>+A1065</f>
        <v>BCV131</v>
      </c>
      <c r="B1066" s="18" t="str">
        <f>+B1065</f>
        <v>AX13</v>
      </c>
      <c r="C1066" s="85" t="str">
        <f>+C1065</f>
        <v>SIO1</v>
      </c>
      <c r="D1066" s="85" t="str">
        <f>+D1065</f>
        <v>SLC01</v>
      </c>
      <c r="E1066" s="290">
        <f>+E1065</f>
        <v>1</v>
      </c>
      <c r="F1066" s="290">
        <f>+F1065</f>
        <v>7</v>
      </c>
      <c r="G1066" s="290">
        <f>+G1065</f>
        <v>0</v>
      </c>
      <c r="H1066" s="72">
        <f>+H1065</f>
        <v>1</v>
      </c>
      <c r="I1066" s="71">
        <v>4</v>
      </c>
      <c r="J1066" s="70" t="s">
        <v>1318</v>
      </c>
      <c r="K1066" s="85"/>
      <c r="L1066" s="79" t="s">
        <v>235</v>
      </c>
      <c r="M1066" s="17">
        <v>3</v>
      </c>
      <c r="N1066" s="17"/>
      <c r="O1066" s="17"/>
      <c r="P1066" s="17"/>
      <c r="Q1066" s="68"/>
      <c r="R1066" s="68"/>
      <c r="S1066" s="68"/>
      <c r="T1066" s="68"/>
      <c r="U1066" s="17"/>
      <c r="V1066" s="289" t="str">
        <f>+CONCATENATE(E1066,".",F1066,"\",G1066,".",H1066,":",I1066)</f>
        <v>1.7\0.1:4</v>
      </c>
      <c r="W1066" s="18" t="s">
        <v>1780</v>
      </c>
      <c r="X1066" s="17">
        <v>0</v>
      </c>
      <c r="Y1066" s="17"/>
      <c r="Z1066" s="17"/>
      <c r="AA1066" s="17"/>
      <c r="AB1066" s="17"/>
      <c r="AC1066" s="17"/>
      <c r="AD1066" s="17"/>
      <c r="AE1066" s="17"/>
      <c r="AF1066" s="17"/>
      <c r="AG1066" s="64"/>
      <c r="AH1066" s="64"/>
      <c r="AI1066" s="64"/>
      <c r="AJ1066" s="64"/>
      <c r="AK1066" s="64"/>
      <c r="AL1066" s="264"/>
      <c r="AM1066" s="84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  <c r="AY1066" s="18"/>
    </row>
    <row r="1067" spans="1:51" s="33" customFormat="1" x14ac:dyDescent="0.3">
      <c r="A1067" s="63"/>
      <c r="B1067" s="63"/>
      <c r="C1067" s="63"/>
      <c r="D1067" s="63"/>
      <c r="E1067" s="288"/>
      <c r="F1067" s="288"/>
      <c r="G1067" s="288"/>
      <c r="H1067" s="63"/>
      <c r="I1067" s="63"/>
      <c r="J1067" s="63"/>
      <c r="K1067" s="17"/>
      <c r="L1067" s="17"/>
      <c r="M1067" s="17"/>
      <c r="N1067" s="17"/>
      <c r="O1067" s="68"/>
      <c r="P1067" s="68"/>
      <c r="Q1067" s="68"/>
      <c r="R1067" s="68"/>
      <c r="S1067" s="68"/>
      <c r="T1067" s="68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64"/>
      <c r="AH1067" s="64"/>
      <c r="AI1067" s="64"/>
      <c r="AJ1067" s="64"/>
      <c r="AK1067" s="64"/>
      <c r="AL1067" s="264"/>
      <c r="AM1067" s="84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  <c r="AY1067" s="18"/>
    </row>
    <row r="1068" spans="1:51" s="33" customFormat="1" x14ac:dyDescent="0.3">
      <c r="A1068" s="63"/>
      <c r="B1068" s="63"/>
      <c r="C1068" s="63"/>
      <c r="D1068" s="63"/>
      <c r="E1068" s="288"/>
      <c r="F1068" s="288"/>
      <c r="G1068" s="288"/>
      <c r="H1068" s="63"/>
      <c r="I1068" s="63"/>
      <c r="J1068" s="63"/>
      <c r="K1068" s="17"/>
      <c r="L1068" s="17"/>
      <c r="M1068" s="17"/>
      <c r="N1068" s="17"/>
      <c r="O1068" s="68"/>
      <c r="P1068" s="68"/>
      <c r="Q1068" s="68"/>
      <c r="R1068" s="68"/>
      <c r="S1068" s="68"/>
      <c r="T1068" s="68"/>
      <c r="U1068" s="17"/>
      <c r="V1068" s="17"/>
      <c r="W1068" s="17"/>
      <c r="X1068" s="17"/>
      <c r="Y1068" s="17"/>
      <c r="Z1068" s="17"/>
      <c r="AA1068" s="17"/>
      <c r="AB1068" s="20"/>
      <c r="AC1068" s="17"/>
      <c r="AD1068" s="17"/>
      <c r="AE1068" s="17"/>
      <c r="AF1068" s="17"/>
      <c r="AG1068" s="64"/>
      <c r="AH1068" s="64"/>
      <c r="AI1068" s="64"/>
      <c r="AJ1068" s="64"/>
      <c r="AK1068" s="64"/>
      <c r="AL1068" s="264"/>
      <c r="AM1068" s="84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</row>
    <row r="1069" spans="1:51" s="33" customFormat="1" x14ac:dyDescent="0.3">
      <c r="A1069" s="63"/>
      <c r="B1069" s="63"/>
      <c r="C1069" s="63"/>
      <c r="D1069" s="63"/>
      <c r="E1069" s="288"/>
      <c r="F1069" s="288"/>
      <c r="G1069" s="288"/>
      <c r="H1069" s="63"/>
      <c r="I1069" s="63"/>
      <c r="J1069" s="63"/>
      <c r="K1069" s="17"/>
      <c r="L1069" s="17"/>
      <c r="M1069" s="17"/>
      <c r="N1069" s="17"/>
      <c r="O1069" s="68"/>
      <c r="P1069" s="68"/>
      <c r="Q1069" s="68"/>
      <c r="R1069" s="68"/>
      <c r="S1069" s="68"/>
      <c r="T1069" s="68"/>
      <c r="U1069" s="17"/>
      <c r="V1069" s="17"/>
      <c r="W1069" s="17"/>
      <c r="X1069" s="17"/>
      <c r="Y1069" s="17"/>
      <c r="Z1069" s="17"/>
      <c r="AA1069" s="17"/>
      <c r="AB1069" s="20"/>
      <c r="AC1069" s="17"/>
      <c r="AD1069" s="17"/>
      <c r="AE1069" s="17"/>
      <c r="AF1069" s="17"/>
      <c r="AG1069" s="64"/>
      <c r="AH1069" s="64"/>
      <c r="AI1069" s="64"/>
      <c r="AJ1069" s="64"/>
      <c r="AK1069" s="64"/>
      <c r="AL1069" s="264"/>
      <c r="AM1069" s="84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  <c r="AY1069" s="18"/>
    </row>
    <row r="1070" spans="1:51" s="33" customFormat="1" ht="15.5" x14ac:dyDescent="0.35">
      <c r="A1070" s="297"/>
      <c r="B1070" s="96" t="s">
        <v>1779</v>
      </c>
      <c r="C1070" s="256"/>
      <c r="D1070" s="256"/>
      <c r="E1070" s="256"/>
      <c r="F1070" s="256"/>
      <c r="G1070" s="256"/>
      <c r="H1070" s="256"/>
      <c r="I1070" s="256"/>
      <c r="J1070" s="256"/>
      <c r="K1070" s="256"/>
      <c r="L1070" s="256"/>
      <c r="M1070" s="256"/>
      <c r="N1070" s="287"/>
      <c r="O1070" s="256"/>
      <c r="P1070" s="287"/>
      <c r="Q1070" s="256"/>
      <c r="R1070" s="256"/>
      <c r="S1070" s="256"/>
      <c r="T1070" s="256"/>
      <c r="U1070" s="256"/>
      <c r="V1070" s="256"/>
      <c r="W1070" s="287"/>
      <c r="X1070" s="256"/>
      <c r="Y1070" s="256"/>
      <c r="Z1070" s="17"/>
      <c r="AA1070" s="17"/>
      <c r="AB1070" s="17"/>
      <c r="AC1070" s="17"/>
      <c r="AD1070" s="17"/>
      <c r="AE1070" s="17"/>
      <c r="AF1070" s="17"/>
      <c r="AG1070" s="64"/>
      <c r="AH1070" s="64"/>
      <c r="AI1070" s="64"/>
      <c r="AJ1070" s="64"/>
      <c r="AK1070" s="64"/>
      <c r="AL1070" s="264"/>
      <c r="AM1070" s="84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  <c r="AY1070" s="18"/>
    </row>
    <row r="1071" spans="1:51" s="33" customFormat="1" ht="13.5" thickBot="1" x14ac:dyDescent="0.35">
      <c r="A1071" s="63"/>
      <c r="B1071" s="63"/>
      <c r="C1071" s="63"/>
      <c r="D1071" s="63"/>
      <c r="E1071" s="288"/>
      <c r="F1071" s="288"/>
      <c r="G1071" s="288"/>
      <c r="H1071" s="63"/>
      <c r="I1071" s="63"/>
      <c r="J1071" s="63"/>
      <c r="K1071" s="17"/>
      <c r="L1071" s="17"/>
      <c r="M1071" s="17"/>
      <c r="N1071" s="17"/>
      <c r="O1071" s="68"/>
      <c r="P1071" s="68"/>
      <c r="Q1071" s="68"/>
      <c r="R1071" s="68"/>
      <c r="S1071" s="68"/>
      <c r="T1071" s="68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64"/>
      <c r="AH1071" s="64"/>
      <c r="AI1071" s="64"/>
      <c r="AJ1071" s="64"/>
      <c r="AK1071" s="64"/>
      <c r="AL1071" s="264"/>
      <c r="AM1071" s="84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</row>
    <row r="1072" spans="1:51" s="33" customFormat="1" ht="13.5" thickBot="1" x14ac:dyDescent="0.35">
      <c r="A1072" s="63" t="s">
        <v>194</v>
      </c>
      <c r="B1072" s="17" t="s">
        <v>1778</v>
      </c>
      <c r="C1072" s="295" t="s">
        <v>271</v>
      </c>
      <c r="D1072" s="290" t="s">
        <v>270</v>
      </c>
      <c r="E1072" s="290">
        <v>2</v>
      </c>
      <c r="F1072" s="290">
        <v>7</v>
      </c>
      <c r="G1072" s="290">
        <v>0</v>
      </c>
      <c r="H1072" s="89">
        <v>0</v>
      </c>
      <c r="I1072" s="88" t="s">
        <v>1106</v>
      </c>
      <c r="J1072" s="87"/>
      <c r="K1072" s="84">
        <v>1059305</v>
      </c>
      <c r="L1072" s="91" t="s">
        <v>1377</v>
      </c>
      <c r="M1072" s="17">
        <v>3</v>
      </c>
      <c r="N1072" s="17"/>
      <c r="O1072" s="83"/>
      <c r="P1072" s="83"/>
      <c r="Q1072" s="68"/>
      <c r="R1072" s="68"/>
      <c r="S1072" s="68"/>
      <c r="T1072" s="68"/>
      <c r="U1072" s="17"/>
      <c r="V1072" s="17"/>
      <c r="W1072" s="18" t="s">
        <v>1762</v>
      </c>
      <c r="X1072" s="17">
        <v>0</v>
      </c>
      <c r="Y1072" s="17"/>
      <c r="Z1072" s="17"/>
      <c r="AA1072" s="17"/>
      <c r="AB1072" s="17"/>
      <c r="AC1072" s="17"/>
      <c r="AD1072" s="17"/>
      <c r="AE1072" s="17"/>
      <c r="AF1072" s="17"/>
      <c r="AG1072" s="64"/>
      <c r="AH1072" s="64"/>
      <c r="AI1072" s="64"/>
      <c r="AJ1072" s="64"/>
      <c r="AK1072" s="64"/>
      <c r="AL1072" s="264"/>
      <c r="AM1072" s="84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</row>
    <row r="1073" spans="1:51" s="33" customFormat="1" x14ac:dyDescent="0.3">
      <c r="A1073" s="63" t="str">
        <f>+A1072</f>
        <v>BCV131</v>
      </c>
      <c r="B1073" s="18" t="str">
        <f>+B1072</f>
        <v>AX14</v>
      </c>
      <c r="C1073" s="85" t="str">
        <f>+C1072</f>
        <v>SIO1</v>
      </c>
      <c r="D1073" s="85" t="str">
        <f>+D1072</f>
        <v>SLC02</v>
      </c>
      <c r="E1073" s="290">
        <f>+E1072</f>
        <v>2</v>
      </c>
      <c r="F1073" s="290">
        <f>+F1072</f>
        <v>7</v>
      </c>
      <c r="G1073" s="290">
        <f>+G1072</f>
        <v>0</v>
      </c>
      <c r="H1073" s="72">
        <v>1</v>
      </c>
      <c r="I1073" s="77">
        <v>1</v>
      </c>
      <c r="J1073" s="76" t="s">
        <v>269</v>
      </c>
      <c r="K1073" s="65">
        <v>1044125</v>
      </c>
      <c r="L1073" s="79" t="s">
        <v>244</v>
      </c>
      <c r="M1073" s="17">
        <v>3</v>
      </c>
      <c r="N1073" s="18" t="s">
        <v>1775</v>
      </c>
      <c r="O1073" s="296" t="s">
        <v>1777</v>
      </c>
      <c r="P1073" s="296"/>
      <c r="Q1073" s="296" t="s">
        <v>1776</v>
      </c>
      <c r="R1073" s="17" t="s">
        <v>211</v>
      </c>
      <c r="S1073" s="17"/>
      <c r="T1073" s="17" t="s">
        <v>194</v>
      </c>
      <c r="U1073" s="17"/>
      <c r="V1073" s="289" t="str">
        <f>+CONCATENATE(E1073,".",F1073,"\",G1073,".",H1073,":",I1073)</f>
        <v>2.7\0.1:1</v>
      </c>
      <c r="W1073" s="18" t="s">
        <v>1762</v>
      </c>
      <c r="X1073" s="17">
        <v>0</v>
      </c>
      <c r="Y1073" s="17"/>
      <c r="Z1073" s="17"/>
      <c r="AA1073" s="17"/>
      <c r="AB1073" s="17"/>
      <c r="AC1073" s="17"/>
      <c r="AD1073" s="17"/>
      <c r="AE1073" s="17"/>
      <c r="AF1073" s="17"/>
      <c r="AG1073" s="64"/>
      <c r="AH1073" s="64"/>
      <c r="AI1073" s="64"/>
      <c r="AJ1073" s="64"/>
      <c r="AK1073" s="64"/>
      <c r="AL1073" s="264"/>
      <c r="AM1073" s="84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</row>
    <row r="1074" spans="1:51" s="33" customFormat="1" x14ac:dyDescent="0.3">
      <c r="A1074" s="63" t="str">
        <f>+A1073</f>
        <v>BCV131</v>
      </c>
      <c r="B1074" s="18" t="str">
        <f>+B1073</f>
        <v>AX14</v>
      </c>
      <c r="C1074" s="85" t="str">
        <f>+C1073</f>
        <v>SIO1</v>
      </c>
      <c r="D1074" s="85" t="str">
        <f>+D1073</f>
        <v>SLC02</v>
      </c>
      <c r="E1074" s="290">
        <f>+E1073</f>
        <v>2</v>
      </c>
      <c r="F1074" s="290">
        <f>+F1073</f>
        <v>7</v>
      </c>
      <c r="G1074" s="290">
        <f>+G1073</f>
        <v>0</v>
      </c>
      <c r="H1074" s="72">
        <f>+H1073</f>
        <v>1</v>
      </c>
      <c r="I1074" s="75">
        <v>2</v>
      </c>
      <c r="J1074" s="74" t="s">
        <v>265</v>
      </c>
      <c r="K1074" s="84">
        <v>1047162</v>
      </c>
      <c r="L1074" s="79" t="s">
        <v>244</v>
      </c>
      <c r="M1074" s="17">
        <v>3</v>
      </c>
      <c r="N1074" s="18" t="s">
        <v>1775</v>
      </c>
      <c r="O1074" s="296" t="s">
        <v>1774</v>
      </c>
      <c r="P1074" s="296"/>
      <c r="Q1074" s="296" t="s">
        <v>1773</v>
      </c>
      <c r="R1074" s="17" t="s">
        <v>211</v>
      </c>
      <c r="S1074" s="17"/>
      <c r="T1074" s="17" t="str">
        <f>+T1073</f>
        <v>BCV131</v>
      </c>
      <c r="U1074" s="17"/>
      <c r="V1074" s="289" t="str">
        <f>+CONCATENATE(E1074,".",F1074,"\",G1074,".",H1074,":",I1074)</f>
        <v>2.7\0.1:2</v>
      </c>
      <c r="W1074" s="18" t="s">
        <v>1762</v>
      </c>
      <c r="X1074" s="17">
        <v>0</v>
      </c>
      <c r="Y1074" s="17"/>
      <c r="Z1074" s="17"/>
      <c r="AA1074" s="17"/>
      <c r="AB1074" s="17"/>
      <c r="AC1074" s="17"/>
      <c r="AD1074" s="17"/>
      <c r="AE1074" s="17"/>
      <c r="AF1074" s="17"/>
      <c r="AG1074" s="64"/>
      <c r="AH1074" s="64"/>
      <c r="AI1074" s="64"/>
      <c r="AJ1074" s="64"/>
      <c r="AK1074" s="64"/>
      <c r="AL1074" s="264"/>
      <c r="AM1074" s="84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</row>
    <row r="1075" spans="1:51" s="33" customFormat="1" x14ac:dyDescent="0.3">
      <c r="A1075" s="63" t="str">
        <f>+A1074</f>
        <v>BCV131</v>
      </c>
      <c r="B1075" s="18" t="str">
        <f>+B1074</f>
        <v>AX14</v>
      </c>
      <c r="C1075" s="85" t="str">
        <f>+C1074</f>
        <v>SIO1</v>
      </c>
      <c r="D1075" s="85" t="str">
        <f>+D1074</f>
        <v>SLC02</v>
      </c>
      <c r="E1075" s="290">
        <f>+E1074</f>
        <v>2</v>
      </c>
      <c r="F1075" s="290">
        <f>+F1074</f>
        <v>7</v>
      </c>
      <c r="G1075" s="290">
        <f>+G1074</f>
        <v>0</v>
      </c>
      <c r="H1075" s="72">
        <f>+H1074</f>
        <v>1</v>
      </c>
      <c r="I1075" s="75">
        <v>3</v>
      </c>
      <c r="J1075" s="74" t="s">
        <v>261</v>
      </c>
      <c r="K1075" s="85"/>
      <c r="L1075" s="79" t="s">
        <v>244</v>
      </c>
      <c r="M1075" s="17">
        <v>3</v>
      </c>
      <c r="N1075" s="18" t="s">
        <v>1770</v>
      </c>
      <c r="O1075" s="296" t="s">
        <v>1772</v>
      </c>
      <c r="P1075" s="296"/>
      <c r="Q1075" s="296" t="s">
        <v>1771</v>
      </c>
      <c r="R1075" s="17" t="s">
        <v>211</v>
      </c>
      <c r="S1075" s="17"/>
      <c r="T1075" s="17" t="str">
        <f>+T1074</f>
        <v>BCV131</v>
      </c>
      <c r="U1075" s="17"/>
      <c r="V1075" s="289" t="str">
        <f>+CONCATENATE(E1075,".",F1075,"\",G1075,".",H1075,":",I1075)</f>
        <v>2.7\0.1:3</v>
      </c>
      <c r="W1075" s="18" t="s">
        <v>1762</v>
      </c>
      <c r="X1075" s="17">
        <v>0</v>
      </c>
      <c r="Y1075" s="17"/>
      <c r="Z1075" s="17"/>
      <c r="AA1075" s="17"/>
      <c r="AB1075" s="17"/>
      <c r="AC1075" s="17"/>
      <c r="AD1075" s="17"/>
      <c r="AE1075" s="17"/>
      <c r="AF1075" s="17"/>
      <c r="AG1075" s="64"/>
      <c r="AH1075" s="64"/>
      <c r="AI1075" s="64"/>
      <c r="AJ1075" s="64"/>
      <c r="AK1075" s="64"/>
      <c r="AL1075" s="264"/>
      <c r="AM1075" s="84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</row>
    <row r="1076" spans="1:51" s="33" customFormat="1" x14ac:dyDescent="0.3">
      <c r="A1076" s="63" t="str">
        <f>+A1075</f>
        <v>BCV131</v>
      </c>
      <c r="B1076" s="18" t="str">
        <f>+B1075</f>
        <v>AX14</v>
      </c>
      <c r="C1076" s="85" t="str">
        <f>+C1075</f>
        <v>SIO1</v>
      </c>
      <c r="D1076" s="85" t="str">
        <f>+D1075</f>
        <v>SLC02</v>
      </c>
      <c r="E1076" s="290">
        <f>+E1075</f>
        <v>2</v>
      </c>
      <c r="F1076" s="290">
        <f>+F1075</f>
        <v>7</v>
      </c>
      <c r="G1076" s="290">
        <f>+G1075</f>
        <v>0</v>
      </c>
      <c r="H1076" s="72">
        <f>+H1075</f>
        <v>1</v>
      </c>
      <c r="I1076" s="75">
        <v>4</v>
      </c>
      <c r="J1076" s="74" t="s">
        <v>257</v>
      </c>
      <c r="K1076" s="85"/>
      <c r="L1076" s="79" t="s">
        <v>244</v>
      </c>
      <c r="M1076" s="17">
        <v>3</v>
      </c>
      <c r="N1076" s="18" t="s">
        <v>1770</v>
      </c>
      <c r="O1076" s="296" t="s">
        <v>1769</v>
      </c>
      <c r="P1076" s="296"/>
      <c r="Q1076" s="296" t="s">
        <v>1768</v>
      </c>
      <c r="R1076" s="17" t="s">
        <v>211</v>
      </c>
      <c r="S1076" s="17"/>
      <c r="T1076" s="17" t="str">
        <f>+T1075</f>
        <v>BCV131</v>
      </c>
      <c r="U1076" s="17"/>
      <c r="V1076" s="289" t="str">
        <f>+CONCATENATE(E1076,".",F1076,"\",G1076,".",H1076,":",I1076)</f>
        <v>2.7\0.1:4</v>
      </c>
      <c r="W1076" s="18" t="s">
        <v>1762</v>
      </c>
      <c r="X1076" s="17">
        <v>0</v>
      </c>
      <c r="Y1076" s="17"/>
      <c r="Z1076" s="17"/>
      <c r="AA1076" s="17"/>
      <c r="AB1076" s="17"/>
      <c r="AC1076" s="17"/>
      <c r="AD1076" s="17"/>
      <c r="AE1076" s="17"/>
      <c r="AF1076" s="17"/>
      <c r="AG1076" s="64"/>
      <c r="AH1076" s="64"/>
      <c r="AI1076" s="64"/>
      <c r="AJ1076" s="64"/>
      <c r="AK1076" s="64"/>
      <c r="AL1076" s="264"/>
      <c r="AM1076" s="84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</row>
    <row r="1077" spans="1:51" s="33" customFormat="1" x14ac:dyDescent="0.3">
      <c r="A1077" s="63" t="str">
        <f>+A1076</f>
        <v>BCV131</v>
      </c>
      <c r="B1077" s="18" t="str">
        <f>+B1076</f>
        <v>AX14</v>
      </c>
      <c r="C1077" s="85" t="str">
        <f>+C1076</f>
        <v>SIO1</v>
      </c>
      <c r="D1077" s="85" t="str">
        <f>+D1076</f>
        <v>SLC02</v>
      </c>
      <c r="E1077" s="290">
        <f>+E1076</f>
        <v>2</v>
      </c>
      <c r="F1077" s="290">
        <f>+F1076</f>
        <v>7</v>
      </c>
      <c r="G1077" s="290">
        <f>+G1076</f>
        <v>0</v>
      </c>
      <c r="H1077" s="72">
        <f>+H1076</f>
        <v>1</v>
      </c>
      <c r="I1077" s="75">
        <v>5</v>
      </c>
      <c r="J1077" s="74" t="s">
        <v>1325</v>
      </c>
      <c r="K1077" s="85"/>
      <c r="L1077" s="79" t="s">
        <v>244</v>
      </c>
      <c r="M1077" s="17">
        <v>3</v>
      </c>
      <c r="N1077" s="17"/>
      <c r="O1077" s="296"/>
      <c r="P1077" s="296"/>
      <c r="Q1077" s="296" t="s">
        <v>127</v>
      </c>
      <c r="R1077" s="17"/>
      <c r="S1077" s="17"/>
      <c r="T1077" s="17"/>
      <c r="U1077" s="17"/>
      <c r="V1077" s="289" t="str">
        <f>+CONCATENATE(E1077,".",F1077,"\",G1077,".",H1077,":",I1077)</f>
        <v>2.7\0.1:5</v>
      </c>
      <c r="W1077" s="18" t="s">
        <v>1762</v>
      </c>
      <c r="X1077" s="17">
        <v>0</v>
      </c>
      <c r="Y1077" s="17"/>
      <c r="Z1077" s="17"/>
      <c r="AA1077" s="17"/>
      <c r="AB1077" s="17"/>
      <c r="AC1077" s="17"/>
      <c r="AD1077" s="17"/>
      <c r="AE1077" s="17"/>
      <c r="AF1077" s="17"/>
      <c r="AG1077" s="64"/>
      <c r="AH1077" s="64"/>
      <c r="AI1077" s="64"/>
      <c r="AJ1077" s="64"/>
      <c r="AK1077" s="64"/>
      <c r="AL1077" s="264"/>
      <c r="AM1077" s="84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</row>
    <row r="1078" spans="1:51" s="33" customFormat="1" x14ac:dyDescent="0.3">
      <c r="A1078" s="63" t="str">
        <f>+A1077</f>
        <v>BCV131</v>
      </c>
      <c r="B1078" s="18" t="str">
        <f>+B1077</f>
        <v>AX14</v>
      </c>
      <c r="C1078" s="85" t="str">
        <f>+C1077</f>
        <v>SIO1</v>
      </c>
      <c r="D1078" s="85" t="str">
        <f>+D1077</f>
        <v>SLC02</v>
      </c>
      <c r="E1078" s="290">
        <f>+E1077</f>
        <v>2</v>
      </c>
      <c r="F1078" s="290">
        <f>+F1077</f>
        <v>7</v>
      </c>
      <c r="G1078" s="290">
        <f>+G1077</f>
        <v>0</v>
      </c>
      <c r="H1078" s="72">
        <f>+H1077</f>
        <v>1</v>
      </c>
      <c r="I1078" s="75">
        <v>6</v>
      </c>
      <c r="J1078" s="74" t="s">
        <v>1323</v>
      </c>
      <c r="K1078" s="85"/>
      <c r="L1078" s="79" t="s">
        <v>244</v>
      </c>
      <c r="M1078" s="17">
        <v>3</v>
      </c>
      <c r="N1078" s="17"/>
      <c r="O1078" s="296"/>
      <c r="P1078" s="296"/>
      <c r="Q1078" s="296" t="s">
        <v>127</v>
      </c>
      <c r="R1078" s="17"/>
      <c r="S1078" s="17"/>
      <c r="T1078" s="17"/>
      <c r="U1078" s="17"/>
      <c r="V1078" s="289" t="str">
        <f>+CONCATENATE(E1078,".",F1078,"\",G1078,".",H1078,":",I1078)</f>
        <v>2.7\0.1:6</v>
      </c>
      <c r="W1078" s="18" t="s">
        <v>1762</v>
      </c>
      <c r="X1078" s="17">
        <v>0</v>
      </c>
      <c r="Y1078" s="17"/>
      <c r="Z1078" s="17"/>
      <c r="AA1078" s="17"/>
      <c r="AB1078" s="17"/>
      <c r="AC1078" s="17"/>
      <c r="AD1078" s="17"/>
      <c r="AE1078" s="17"/>
      <c r="AF1078" s="17"/>
      <c r="AG1078" s="64"/>
      <c r="AH1078" s="64"/>
      <c r="AI1078" s="64"/>
      <c r="AJ1078" s="64"/>
      <c r="AK1078" s="64"/>
      <c r="AL1078" s="264"/>
      <c r="AM1078" s="84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</row>
    <row r="1079" spans="1:51" s="33" customFormat="1" x14ac:dyDescent="0.3">
      <c r="A1079" s="63" t="str">
        <f>+A1078</f>
        <v>BCV131</v>
      </c>
      <c r="B1079" s="18" t="str">
        <f>+B1078</f>
        <v>AX14</v>
      </c>
      <c r="C1079" s="85" t="str">
        <f>+C1078</f>
        <v>SIO1</v>
      </c>
      <c r="D1079" s="85" t="str">
        <f>+D1078</f>
        <v>SLC02</v>
      </c>
      <c r="E1079" s="290">
        <f>+E1078</f>
        <v>2</v>
      </c>
      <c r="F1079" s="290">
        <f>+F1078</f>
        <v>7</v>
      </c>
      <c r="G1079" s="290">
        <f>+G1078</f>
        <v>0</v>
      </c>
      <c r="H1079" s="72">
        <f>+H1078</f>
        <v>1</v>
      </c>
      <c r="I1079" s="75">
        <v>7</v>
      </c>
      <c r="J1079" s="74" t="s">
        <v>246</v>
      </c>
      <c r="K1079" s="85"/>
      <c r="L1079" s="79" t="s">
        <v>244</v>
      </c>
      <c r="M1079" s="17">
        <v>3</v>
      </c>
      <c r="N1079" s="17"/>
      <c r="O1079" s="296"/>
      <c r="P1079" s="296"/>
      <c r="Q1079" s="296" t="s">
        <v>127</v>
      </c>
      <c r="R1079" s="17"/>
      <c r="S1079" s="17"/>
      <c r="T1079" s="17"/>
      <c r="U1079" s="17"/>
      <c r="V1079" s="289" t="str">
        <f>+CONCATENATE(E1079,".",F1079,"\",G1079,".",H1079,":",I1079)</f>
        <v>2.7\0.1:7</v>
      </c>
      <c r="W1079" s="18" t="s">
        <v>1762</v>
      </c>
      <c r="X1079" s="17">
        <v>0</v>
      </c>
      <c r="Y1079" s="17"/>
      <c r="Z1079" s="17"/>
      <c r="AA1079" s="17"/>
      <c r="AB1079" s="17"/>
      <c r="AC1079" s="17"/>
      <c r="AD1079" s="17"/>
      <c r="AE1079" s="17"/>
      <c r="AF1079" s="17"/>
      <c r="AG1079" s="64"/>
      <c r="AH1079" s="64"/>
      <c r="AI1079" s="64"/>
      <c r="AJ1079" s="64"/>
      <c r="AK1079" s="64"/>
      <c r="AL1079" s="264"/>
      <c r="AM1079" s="84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</row>
    <row r="1080" spans="1:51" s="33" customFormat="1" x14ac:dyDescent="0.3">
      <c r="A1080" s="63" t="str">
        <f>+A1079</f>
        <v>BCV131</v>
      </c>
      <c r="B1080" s="18" t="str">
        <f>+B1079</f>
        <v>AX14</v>
      </c>
      <c r="C1080" s="85" t="str">
        <f>+C1079</f>
        <v>SIO1</v>
      </c>
      <c r="D1080" s="85" t="str">
        <f>+D1079</f>
        <v>SLC02</v>
      </c>
      <c r="E1080" s="290">
        <f>+E1079</f>
        <v>2</v>
      </c>
      <c r="F1080" s="290">
        <f>+F1079</f>
        <v>7</v>
      </c>
      <c r="G1080" s="290">
        <f>+G1079</f>
        <v>0</v>
      </c>
      <c r="H1080" s="72">
        <f>+H1079</f>
        <v>1</v>
      </c>
      <c r="I1080" s="75">
        <v>8</v>
      </c>
      <c r="J1080" s="74" t="s">
        <v>245</v>
      </c>
      <c r="K1080" s="85"/>
      <c r="L1080" s="79" t="s">
        <v>244</v>
      </c>
      <c r="M1080" s="17">
        <v>3</v>
      </c>
      <c r="N1080" s="17"/>
      <c r="O1080" s="296"/>
      <c r="P1080" s="296"/>
      <c r="Q1080" s="296" t="s">
        <v>127</v>
      </c>
      <c r="R1080" s="17"/>
      <c r="S1080" s="17"/>
      <c r="T1080" s="17"/>
      <c r="U1080" s="17"/>
      <c r="V1080" s="289" t="str">
        <f>+CONCATENATE(E1080,".",F1080,"\",G1080,".",H1080,":",I1080)</f>
        <v>2.7\0.1:8</v>
      </c>
      <c r="W1080" s="18" t="s">
        <v>1762</v>
      </c>
      <c r="X1080" s="17">
        <v>0</v>
      </c>
      <c r="Y1080" s="17"/>
      <c r="Z1080" s="17"/>
      <c r="AA1080" s="17"/>
      <c r="AB1080" s="17"/>
      <c r="AC1080" s="17"/>
      <c r="AD1080" s="17"/>
      <c r="AE1080" s="17"/>
      <c r="AF1080" s="17"/>
      <c r="AG1080" s="64"/>
      <c r="AH1080" s="64"/>
      <c r="AI1080" s="64"/>
      <c r="AJ1080" s="64"/>
      <c r="AK1080" s="64"/>
      <c r="AL1080" s="264"/>
      <c r="AM1080" s="84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</row>
    <row r="1081" spans="1:51" s="33" customFormat="1" x14ac:dyDescent="0.3">
      <c r="A1081" s="63" t="str">
        <f>+A1080</f>
        <v>BCV131</v>
      </c>
      <c r="B1081" s="18" t="str">
        <f>+B1080</f>
        <v>AX14</v>
      </c>
      <c r="C1081" s="85" t="str">
        <f>+C1080</f>
        <v>SIO1</v>
      </c>
      <c r="D1081" s="85" t="str">
        <f>+D1080</f>
        <v>SLC02</v>
      </c>
      <c r="E1081" s="290">
        <f>+E1080</f>
        <v>2</v>
      </c>
      <c r="F1081" s="290">
        <f>+F1080</f>
        <v>7</v>
      </c>
      <c r="G1081" s="290">
        <f>+G1080</f>
        <v>0</v>
      </c>
      <c r="H1081" s="72">
        <f>+H1080</f>
        <v>1</v>
      </c>
      <c r="I1081" s="75">
        <v>1</v>
      </c>
      <c r="J1081" s="81" t="s">
        <v>1321</v>
      </c>
      <c r="K1081" s="85" t="s">
        <v>1366</v>
      </c>
      <c r="L1081" s="79" t="s">
        <v>235</v>
      </c>
      <c r="M1081" s="17">
        <v>3</v>
      </c>
      <c r="N1081" s="18" t="s">
        <v>1766</v>
      </c>
      <c r="O1081" s="17" t="s">
        <v>1767</v>
      </c>
      <c r="P1081" s="17"/>
      <c r="Q1081" s="17" t="s">
        <v>1335</v>
      </c>
      <c r="R1081" s="17" t="s">
        <v>922</v>
      </c>
      <c r="S1081" s="17"/>
      <c r="T1081" s="17" t="str">
        <f>+T1073</f>
        <v>BCV131</v>
      </c>
      <c r="U1081" s="17"/>
      <c r="V1081" s="289" t="str">
        <f>+CONCATENATE(E1081,".",F1081,"\",G1081,".",H1081,":",I1081)</f>
        <v>2.7\0.1:1</v>
      </c>
      <c r="W1081" s="18" t="s">
        <v>1762</v>
      </c>
      <c r="X1081" s="17">
        <v>0</v>
      </c>
      <c r="Y1081" s="17"/>
      <c r="Z1081" s="17"/>
      <c r="AA1081" s="17"/>
      <c r="AB1081" s="17"/>
      <c r="AC1081" s="17"/>
      <c r="AD1081" s="17"/>
      <c r="AE1081" s="17"/>
      <c r="AF1081" s="17"/>
      <c r="AG1081" s="64"/>
      <c r="AH1081" s="64"/>
      <c r="AI1081" s="64"/>
      <c r="AJ1081" s="64"/>
      <c r="AK1081" s="64"/>
      <c r="AL1081" s="264"/>
      <c r="AM1081" s="84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</row>
    <row r="1082" spans="1:51" s="33" customFormat="1" x14ac:dyDescent="0.3">
      <c r="A1082" s="63" t="str">
        <f>+A1081</f>
        <v>BCV131</v>
      </c>
      <c r="B1082" s="18" t="str">
        <f>+B1081</f>
        <v>AX14</v>
      </c>
      <c r="C1082" s="85" t="str">
        <f>+C1081</f>
        <v>SIO1</v>
      </c>
      <c r="D1082" s="85" t="str">
        <f>+D1081</f>
        <v>SLC02</v>
      </c>
      <c r="E1082" s="290">
        <f>+E1081</f>
        <v>2</v>
      </c>
      <c r="F1082" s="290">
        <f>+F1081</f>
        <v>7</v>
      </c>
      <c r="G1082" s="290">
        <f>+G1081</f>
        <v>0</v>
      </c>
      <c r="H1082" s="72">
        <f>+H1081</f>
        <v>1</v>
      </c>
      <c r="I1082" s="75">
        <v>2</v>
      </c>
      <c r="J1082" s="74" t="s">
        <v>1320</v>
      </c>
      <c r="K1082" s="85"/>
      <c r="L1082" s="79" t="s">
        <v>235</v>
      </c>
      <c r="M1082" s="17">
        <v>3</v>
      </c>
      <c r="N1082" s="18" t="s">
        <v>1766</v>
      </c>
      <c r="O1082" s="17" t="s">
        <v>1765</v>
      </c>
      <c r="P1082" s="17"/>
      <c r="Q1082" s="17" t="s">
        <v>1330</v>
      </c>
      <c r="R1082" s="17" t="s">
        <v>922</v>
      </c>
      <c r="S1082" s="17"/>
      <c r="T1082" s="17" t="str">
        <f>+T1081</f>
        <v>BCV131</v>
      </c>
      <c r="U1082" s="17"/>
      <c r="V1082" s="289" t="str">
        <f>+CONCATENATE(E1082,".",F1082,"\",G1082,".",H1082,":",I1082)</f>
        <v>2.7\0.1:2</v>
      </c>
      <c r="W1082" s="18" t="s">
        <v>1762</v>
      </c>
      <c r="X1082" s="17">
        <v>0</v>
      </c>
      <c r="Y1082" s="17"/>
      <c r="Z1082" s="17"/>
      <c r="AA1082" s="17"/>
      <c r="AB1082" s="17"/>
      <c r="AC1082" s="17"/>
      <c r="AD1082" s="17"/>
      <c r="AE1082" s="17"/>
      <c r="AF1082" s="17"/>
      <c r="AG1082" s="64"/>
      <c r="AH1082" s="64"/>
      <c r="AI1082" s="64"/>
      <c r="AJ1082" s="64"/>
      <c r="AK1082" s="64"/>
      <c r="AL1082" s="264"/>
      <c r="AM1082" s="84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</row>
    <row r="1083" spans="1:51" s="33" customFormat="1" x14ac:dyDescent="0.3">
      <c r="A1083" s="63" t="str">
        <f>+A1082</f>
        <v>BCV131</v>
      </c>
      <c r="B1083" s="18" t="str">
        <f>+B1082</f>
        <v>AX14</v>
      </c>
      <c r="C1083" s="85" t="str">
        <f>+C1082</f>
        <v>SIO1</v>
      </c>
      <c r="D1083" s="85" t="str">
        <f>+D1082</f>
        <v>SLC02</v>
      </c>
      <c r="E1083" s="290">
        <f>+E1082</f>
        <v>2</v>
      </c>
      <c r="F1083" s="290">
        <f>+F1082</f>
        <v>7</v>
      </c>
      <c r="G1083" s="290">
        <f>+G1082</f>
        <v>0</v>
      </c>
      <c r="H1083" s="72">
        <f>+H1082</f>
        <v>1</v>
      </c>
      <c r="I1083" s="75">
        <v>3</v>
      </c>
      <c r="J1083" s="74" t="s">
        <v>1319</v>
      </c>
      <c r="K1083" s="85"/>
      <c r="L1083" s="79" t="s">
        <v>235</v>
      </c>
      <c r="M1083" s="17">
        <v>3</v>
      </c>
      <c r="N1083" s="18" t="s">
        <v>1764</v>
      </c>
      <c r="O1083" s="17" t="s">
        <v>1763</v>
      </c>
      <c r="P1083" s="17"/>
      <c r="Q1083" s="17" t="s">
        <v>1330</v>
      </c>
      <c r="R1083" s="17" t="s">
        <v>922</v>
      </c>
      <c r="S1083" s="17"/>
      <c r="T1083" s="17" t="str">
        <f>+T1082</f>
        <v>BCV131</v>
      </c>
      <c r="U1083" s="17"/>
      <c r="V1083" s="289" t="str">
        <f>+CONCATENATE(E1083,".",F1083,"\",G1083,".",H1083,":",I1083)</f>
        <v>2.7\0.1:3</v>
      </c>
      <c r="W1083" s="18" t="s">
        <v>1762</v>
      </c>
      <c r="X1083" s="17">
        <v>0</v>
      </c>
      <c r="Y1083" s="17"/>
      <c r="Z1083" s="17"/>
      <c r="AA1083" s="17"/>
      <c r="AB1083" s="17"/>
      <c r="AC1083" s="17"/>
      <c r="AD1083" s="17"/>
      <c r="AE1083" s="17"/>
      <c r="AF1083" s="17"/>
      <c r="AG1083" s="64"/>
      <c r="AH1083" s="64"/>
      <c r="AI1083" s="64"/>
      <c r="AJ1083" s="64"/>
      <c r="AK1083" s="64"/>
      <c r="AL1083" s="264"/>
      <c r="AM1083" s="84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</row>
    <row r="1084" spans="1:51" s="33" customFormat="1" ht="13.5" thickBot="1" x14ac:dyDescent="0.35">
      <c r="A1084" s="63" t="str">
        <f>+A1083</f>
        <v>BCV131</v>
      </c>
      <c r="B1084" s="18" t="str">
        <f>+B1083</f>
        <v>AX14</v>
      </c>
      <c r="C1084" s="85" t="str">
        <f>+C1083</f>
        <v>SIO1</v>
      </c>
      <c r="D1084" s="85" t="str">
        <f>+D1083</f>
        <v>SLC02</v>
      </c>
      <c r="E1084" s="290">
        <f>+E1083</f>
        <v>2</v>
      </c>
      <c r="F1084" s="290">
        <f>+F1083</f>
        <v>7</v>
      </c>
      <c r="G1084" s="290">
        <f>+G1083</f>
        <v>0</v>
      </c>
      <c r="H1084" s="72">
        <f>+H1083</f>
        <v>1</v>
      </c>
      <c r="I1084" s="71">
        <v>4</v>
      </c>
      <c r="J1084" s="70" t="s">
        <v>1318</v>
      </c>
      <c r="K1084" s="85"/>
      <c r="L1084" s="79" t="s">
        <v>235</v>
      </c>
      <c r="M1084" s="17">
        <v>3</v>
      </c>
      <c r="N1084" s="17"/>
      <c r="O1084" s="17"/>
      <c r="P1084" s="17"/>
      <c r="Q1084" s="68"/>
      <c r="R1084" s="68"/>
      <c r="S1084" s="68"/>
      <c r="T1084" s="68"/>
      <c r="U1084" s="17"/>
      <c r="V1084" s="289" t="str">
        <f>+CONCATENATE(E1084,".",F1084,"\",G1084,".",H1084,":",I1084)</f>
        <v>2.7\0.1:4</v>
      </c>
      <c r="W1084" s="18" t="s">
        <v>1762</v>
      </c>
      <c r="X1084" s="17">
        <v>0</v>
      </c>
      <c r="Y1084" s="17"/>
      <c r="Z1084" s="17"/>
      <c r="AA1084" s="17"/>
      <c r="AB1084" s="17"/>
      <c r="AC1084" s="17"/>
      <c r="AD1084" s="17"/>
      <c r="AE1084" s="17"/>
      <c r="AF1084" s="17"/>
      <c r="AG1084" s="64"/>
      <c r="AH1084" s="64"/>
      <c r="AI1084" s="64"/>
      <c r="AJ1084" s="64"/>
      <c r="AK1084" s="64"/>
      <c r="AL1084" s="264"/>
      <c r="AM1084" s="84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</row>
    <row r="1085" spans="1:51" s="33" customFormat="1" x14ac:dyDescent="0.3">
      <c r="A1085" s="63"/>
      <c r="B1085" s="63"/>
      <c r="C1085" s="63"/>
      <c r="D1085" s="63"/>
      <c r="E1085" s="288"/>
      <c r="F1085" s="288"/>
      <c r="G1085" s="288"/>
      <c r="H1085" s="63"/>
      <c r="I1085" s="63"/>
      <c r="J1085" s="63"/>
      <c r="K1085" s="17"/>
      <c r="L1085" s="17"/>
      <c r="M1085" s="17"/>
      <c r="N1085" s="17"/>
      <c r="O1085" s="68"/>
      <c r="P1085" s="68"/>
      <c r="Q1085" s="68"/>
      <c r="R1085" s="68"/>
      <c r="S1085" s="68"/>
      <c r="T1085" s="68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64"/>
      <c r="AH1085" s="64"/>
      <c r="AI1085" s="64"/>
      <c r="AJ1085" s="64"/>
      <c r="AK1085" s="64"/>
      <c r="AL1085" s="264"/>
      <c r="AM1085" s="84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</row>
    <row r="1086" spans="1:51" s="33" customFormat="1" x14ac:dyDescent="0.3">
      <c r="A1086" s="63"/>
      <c r="B1086" s="63"/>
      <c r="C1086" s="63"/>
      <c r="D1086" s="63"/>
      <c r="E1086" s="288"/>
      <c r="F1086" s="288"/>
      <c r="G1086" s="288"/>
      <c r="H1086" s="63"/>
      <c r="I1086" s="63"/>
      <c r="J1086" s="63"/>
      <c r="K1086" s="17"/>
      <c r="L1086" s="17"/>
      <c r="M1086" s="17"/>
      <c r="N1086" s="17"/>
      <c r="O1086" s="68"/>
      <c r="P1086" s="68"/>
      <c r="Q1086" s="68"/>
      <c r="R1086" s="68"/>
      <c r="S1086" s="68"/>
      <c r="T1086" s="68"/>
      <c r="U1086" s="17"/>
      <c r="V1086" s="17"/>
      <c r="W1086" s="17"/>
      <c r="X1086" s="17"/>
      <c r="Y1086" s="17"/>
      <c r="Z1086" s="17"/>
      <c r="AA1086" s="17"/>
      <c r="AB1086" s="20"/>
      <c r="AC1086" s="17"/>
      <c r="AD1086" s="17"/>
      <c r="AE1086" s="17"/>
      <c r="AF1086" s="17"/>
      <c r="AG1086" s="64"/>
      <c r="AH1086" s="64"/>
      <c r="AI1086" s="64"/>
      <c r="AJ1086" s="64"/>
      <c r="AK1086" s="64"/>
      <c r="AL1086" s="264"/>
      <c r="AM1086" s="84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</row>
    <row r="1087" spans="1:51" s="33" customFormat="1" x14ac:dyDescent="0.3">
      <c r="A1087" s="63"/>
      <c r="B1087" s="63"/>
      <c r="C1087" s="63"/>
      <c r="D1087" s="63"/>
      <c r="E1087" s="288"/>
      <c r="F1087" s="288"/>
      <c r="G1087" s="288"/>
      <c r="H1087" s="63"/>
      <c r="I1087" s="63"/>
      <c r="J1087" s="63"/>
      <c r="K1087" s="17"/>
      <c r="L1087" s="17"/>
      <c r="M1087" s="17"/>
      <c r="N1087" s="17"/>
      <c r="O1087" s="68"/>
      <c r="P1087" s="68"/>
      <c r="Q1087" s="68"/>
      <c r="R1087" s="68"/>
      <c r="S1087" s="68"/>
      <c r="T1087" s="68"/>
      <c r="U1087" s="17"/>
      <c r="V1087" s="17"/>
      <c r="W1087" s="17"/>
      <c r="X1087" s="17"/>
      <c r="Y1087" s="17"/>
      <c r="Z1087" s="17"/>
      <c r="AA1087" s="17"/>
      <c r="AB1087" s="20"/>
      <c r="AC1087" s="17"/>
      <c r="AD1087" s="17"/>
      <c r="AE1087" s="17"/>
      <c r="AF1087" s="17"/>
      <c r="AG1087" s="64"/>
      <c r="AH1087" s="64"/>
      <c r="AI1087" s="64"/>
      <c r="AJ1087" s="64"/>
      <c r="AK1087" s="64"/>
      <c r="AL1087" s="264"/>
      <c r="AM1087" s="84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</row>
    <row r="1088" spans="1:51" s="33" customFormat="1" ht="15.5" x14ac:dyDescent="0.35">
      <c r="A1088" s="297"/>
      <c r="B1088" s="96" t="s">
        <v>1761</v>
      </c>
      <c r="C1088" s="256"/>
      <c r="D1088" s="256"/>
      <c r="E1088" s="256"/>
      <c r="F1088" s="256"/>
      <c r="G1088" s="256"/>
      <c r="H1088" s="256"/>
      <c r="I1088" s="256"/>
      <c r="J1088" s="256"/>
      <c r="K1088" s="256"/>
      <c r="L1088" s="256"/>
      <c r="M1088" s="256"/>
      <c r="N1088" s="287"/>
      <c r="O1088" s="256"/>
      <c r="P1088" s="287"/>
      <c r="Q1088" s="256"/>
      <c r="R1088" s="256"/>
      <c r="S1088" s="256"/>
      <c r="T1088" s="256"/>
      <c r="U1088" s="256"/>
      <c r="V1088" s="256"/>
      <c r="W1088" s="287"/>
      <c r="X1088" s="256"/>
      <c r="Y1088" s="256"/>
      <c r="Z1088" s="17"/>
      <c r="AA1088" s="17"/>
      <c r="AB1088" s="17"/>
      <c r="AC1088" s="17"/>
      <c r="AD1088" s="17"/>
      <c r="AE1088" s="17"/>
      <c r="AF1088" s="17"/>
      <c r="AG1088" s="64"/>
      <c r="AH1088" s="64"/>
      <c r="AI1088" s="64"/>
      <c r="AJ1088" s="64"/>
      <c r="AK1088" s="64"/>
      <c r="AL1088" s="264"/>
      <c r="AM1088" s="84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</row>
    <row r="1089" spans="1:51" s="33" customFormat="1" ht="13.5" thickBot="1" x14ac:dyDescent="0.35">
      <c r="A1089" s="63"/>
      <c r="B1089" s="63"/>
      <c r="C1089" s="63"/>
      <c r="D1089" s="63"/>
      <c r="E1089" s="288"/>
      <c r="F1089" s="288"/>
      <c r="G1089" s="288"/>
      <c r="H1089" s="63"/>
      <c r="I1089" s="63"/>
      <c r="J1089" s="63"/>
      <c r="K1089" s="17"/>
      <c r="L1089" s="17"/>
      <c r="M1089" s="17"/>
      <c r="N1089" s="17"/>
      <c r="O1089" s="68"/>
      <c r="P1089" s="68"/>
      <c r="Q1089" s="68"/>
      <c r="R1089" s="68"/>
      <c r="S1089" s="68"/>
      <c r="T1089" s="68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64"/>
      <c r="AH1089" s="64"/>
      <c r="AI1089" s="64"/>
      <c r="AJ1089" s="64"/>
      <c r="AK1089" s="64"/>
      <c r="AL1089" s="264"/>
      <c r="AM1089" s="84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  <c r="AY1089" s="18"/>
    </row>
    <row r="1090" spans="1:51" s="33" customFormat="1" ht="13.5" thickBot="1" x14ac:dyDescent="0.35">
      <c r="A1090" s="63" t="s">
        <v>194</v>
      </c>
      <c r="B1090" s="17" t="s">
        <v>1760</v>
      </c>
      <c r="C1090" s="295" t="s">
        <v>271</v>
      </c>
      <c r="D1090" s="290" t="s">
        <v>285</v>
      </c>
      <c r="E1090" s="290">
        <v>1</v>
      </c>
      <c r="F1090" s="290">
        <v>8</v>
      </c>
      <c r="G1090" s="290">
        <v>0</v>
      </c>
      <c r="H1090" s="89">
        <v>0</v>
      </c>
      <c r="I1090" s="88" t="s">
        <v>1106</v>
      </c>
      <c r="J1090" s="87"/>
      <c r="K1090" s="84">
        <v>1059305</v>
      </c>
      <c r="L1090" s="91" t="s">
        <v>1377</v>
      </c>
      <c r="M1090" s="17">
        <v>3</v>
      </c>
      <c r="N1090" s="17"/>
      <c r="O1090" s="83"/>
      <c r="P1090" s="83"/>
      <c r="Q1090" s="68"/>
      <c r="R1090" s="68"/>
      <c r="S1090" s="68"/>
      <c r="T1090" s="68"/>
      <c r="U1090" s="17"/>
      <c r="V1090" s="17"/>
      <c r="W1090" s="18" t="s">
        <v>1744</v>
      </c>
      <c r="X1090" s="17">
        <v>0</v>
      </c>
      <c r="Y1090" s="17"/>
      <c r="Z1090" s="17"/>
      <c r="AA1090" s="17"/>
      <c r="AB1090" s="17"/>
      <c r="AC1090" s="17"/>
      <c r="AD1090" s="17"/>
      <c r="AE1090" s="17"/>
      <c r="AF1090" s="17"/>
      <c r="AG1090" s="64"/>
      <c r="AH1090" s="64"/>
      <c r="AI1090" s="64"/>
      <c r="AJ1090" s="64"/>
      <c r="AK1090" s="64"/>
      <c r="AL1090" s="264"/>
      <c r="AM1090" s="84"/>
      <c r="AN1090" s="18"/>
      <c r="AO1090" s="18"/>
      <c r="AP1090" s="18"/>
      <c r="AQ1090" s="18"/>
      <c r="AR1090" s="18"/>
      <c r="AS1090" s="18"/>
      <c r="AT1090" s="18"/>
      <c r="AU1090" s="18"/>
      <c r="AV1090" s="18"/>
      <c r="AW1090" s="18"/>
      <c r="AX1090" s="18"/>
      <c r="AY1090" s="18"/>
    </row>
    <row r="1091" spans="1:51" s="33" customFormat="1" x14ac:dyDescent="0.3">
      <c r="A1091" s="63" t="str">
        <f>+A1090</f>
        <v>BCV131</v>
      </c>
      <c r="B1091" s="18" t="str">
        <f>+B1090</f>
        <v>AX15</v>
      </c>
      <c r="C1091" s="85" t="str">
        <f>+C1090</f>
        <v>SIO1</v>
      </c>
      <c r="D1091" s="85" t="str">
        <f>+D1090</f>
        <v>SLC01</v>
      </c>
      <c r="E1091" s="290">
        <f>+E1090</f>
        <v>1</v>
      </c>
      <c r="F1091" s="290">
        <f>+F1090</f>
        <v>8</v>
      </c>
      <c r="G1091" s="290">
        <f>+G1090</f>
        <v>0</v>
      </c>
      <c r="H1091" s="72">
        <v>1</v>
      </c>
      <c r="I1091" s="77">
        <v>1</v>
      </c>
      <c r="J1091" s="76" t="s">
        <v>269</v>
      </c>
      <c r="K1091" s="65">
        <v>1044125</v>
      </c>
      <c r="L1091" s="79" t="s">
        <v>244</v>
      </c>
      <c r="M1091" s="17">
        <v>3</v>
      </c>
      <c r="N1091" s="18" t="s">
        <v>1757</v>
      </c>
      <c r="O1091" s="296" t="s">
        <v>1759</v>
      </c>
      <c r="P1091" s="296"/>
      <c r="Q1091" s="296" t="s">
        <v>1758</v>
      </c>
      <c r="R1091" s="17" t="s">
        <v>211</v>
      </c>
      <c r="S1091" s="17"/>
      <c r="T1091" s="17" t="s">
        <v>194</v>
      </c>
      <c r="U1091" s="17"/>
      <c r="V1091" s="289" t="str">
        <f>+CONCATENATE(E1091,".",F1091,"\",G1091,".",H1091,":",I1091)</f>
        <v>1.8\0.1:1</v>
      </c>
      <c r="W1091" s="18" t="s">
        <v>1744</v>
      </c>
      <c r="X1091" s="17">
        <v>0</v>
      </c>
      <c r="Y1091" s="17"/>
      <c r="Z1091" s="17"/>
      <c r="AA1091" s="17"/>
      <c r="AB1091" s="17"/>
      <c r="AC1091" s="17"/>
      <c r="AD1091" s="17"/>
      <c r="AE1091" s="17"/>
      <c r="AF1091" s="17"/>
      <c r="AG1091" s="64"/>
      <c r="AH1091" s="64"/>
      <c r="AI1091" s="64"/>
      <c r="AJ1091" s="64"/>
      <c r="AK1091" s="64"/>
      <c r="AL1091" s="264"/>
      <c r="AM1091" s="84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  <c r="AY1091" s="18"/>
    </row>
    <row r="1092" spans="1:51" s="33" customFormat="1" x14ac:dyDescent="0.3">
      <c r="A1092" s="63" t="str">
        <f>+A1091</f>
        <v>BCV131</v>
      </c>
      <c r="B1092" s="18" t="str">
        <f>+B1091</f>
        <v>AX15</v>
      </c>
      <c r="C1092" s="85" t="str">
        <f>+C1091</f>
        <v>SIO1</v>
      </c>
      <c r="D1092" s="85" t="str">
        <f>+D1091</f>
        <v>SLC01</v>
      </c>
      <c r="E1092" s="290">
        <f>+E1091</f>
        <v>1</v>
      </c>
      <c r="F1092" s="290">
        <f>+F1091</f>
        <v>8</v>
      </c>
      <c r="G1092" s="290">
        <f>+G1091</f>
        <v>0</v>
      </c>
      <c r="H1092" s="72">
        <f>+H1091</f>
        <v>1</v>
      </c>
      <c r="I1092" s="75">
        <v>2</v>
      </c>
      <c r="J1092" s="74" t="s">
        <v>265</v>
      </c>
      <c r="K1092" s="84">
        <v>1047162</v>
      </c>
      <c r="L1092" s="79" t="s">
        <v>244</v>
      </c>
      <c r="M1092" s="17">
        <v>3</v>
      </c>
      <c r="N1092" s="18" t="s">
        <v>1757</v>
      </c>
      <c r="O1092" s="296" t="s">
        <v>1756</v>
      </c>
      <c r="P1092" s="296"/>
      <c r="Q1092" s="296" t="s">
        <v>1755</v>
      </c>
      <c r="R1092" s="17" t="s">
        <v>211</v>
      </c>
      <c r="S1092" s="17"/>
      <c r="T1092" s="17" t="str">
        <f>+T1091</f>
        <v>BCV131</v>
      </c>
      <c r="U1092" s="17"/>
      <c r="V1092" s="289" t="str">
        <f>+CONCATENATE(E1092,".",F1092,"\",G1092,".",H1092,":",I1092)</f>
        <v>1.8\0.1:2</v>
      </c>
      <c r="W1092" s="18" t="s">
        <v>1744</v>
      </c>
      <c r="X1092" s="17">
        <v>0</v>
      </c>
      <c r="Y1092" s="17"/>
      <c r="Z1092" s="17"/>
      <c r="AA1092" s="17"/>
      <c r="AB1092" s="17"/>
      <c r="AC1092" s="17"/>
      <c r="AD1092" s="17"/>
      <c r="AE1092" s="17"/>
      <c r="AF1092" s="17"/>
      <c r="AG1092" s="64"/>
      <c r="AH1092" s="64"/>
      <c r="AI1092" s="64"/>
      <c r="AJ1092" s="64"/>
      <c r="AK1092" s="64"/>
      <c r="AL1092" s="264"/>
      <c r="AM1092" s="84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  <c r="AY1092" s="18"/>
    </row>
    <row r="1093" spans="1:51" s="33" customFormat="1" x14ac:dyDescent="0.3">
      <c r="A1093" s="63" t="str">
        <f>+A1092</f>
        <v>BCV131</v>
      </c>
      <c r="B1093" s="18" t="str">
        <f>+B1092</f>
        <v>AX15</v>
      </c>
      <c r="C1093" s="85" t="str">
        <f>+C1092</f>
        <v>SIO1</v>
      </c>
      <c r="D1093" s="85" t="str">
        <f>+D1092</f>
        <v>SLC01</v>
      </c>
      <c r="E1093" s="290">
        <f>+E1092</f>
        <v>1</v>
      </c>
      <c r="F1093" s="290">
        <f>+F1092</f>
        <v>8</v>
      </c>
      <c r="G1093" s="290">
        <f>+G1092</f>
        <v>0</v>
      </c>
      <c r="H1093" s="72">
        <f>+H1092</f>
        <v>1</v>
      </c>
      <c r="I1093" s="75">
        <v>3</v>
      </c>
      <c r="J1093" s="74" t="s">
        <v>261</v>
      </c>
      <c r="K1093" s="85"/>
      <c r="L1093" s="79" t="s">
        <v>244</v>
      </c>
      <c r="M1093" s="17">
        <v>3</v>
      </c>
      <c r="N1093" s="18" t="s">
        <v>1752</v>
      </c>
      <c r="O1093" s="296" t="s">
        <v>1754</v>
      </c>
      <c r="P1093" s="296"/>
      <c r="Q1093" s="296" t="s">
        <v>1753</v>
      </c>
      <c r="R1093" s="17" t="s">
        <v>211</v>
      </c>
      <c r="S1093" s="17"/>
      <c r="T1093" s="17" t="str">
        <f>+T1092</f>
        <v>BCV131</v>
      </c>
      <c r="U1093" s="17"/>
      <c r="V1093" s="289" t="str">
        <f>+CONCATENATE(E1093,".",F1093,"\",G1093,".",H1093,":",I1093)</f>
        <v>1.8\0.1:3</v>
      </c>
      <c r="W1093" s="18" t="s">
        <v>1744</v>
      </c>
      <c r="X1093" s="17">
        <v>0</v>
      </c>
      <c r="Y1093" s="17"/>
      <c r="Z1093" s="17"/>
      <c r="AA1093" s="17"/>
      <c r="AB1093" s="17"/>
      <c r="AC1093" s="17"/>
      <c r="AD1093" s="17"/>
      <c r="AE1093" s="17"/>
      <c r="AF1093" s="17"/>
      <c r="AG1093" s="64"/>
      <c r="AH1093" s="64"/>
      <c r="AI1093" s="64"/>
      <c r="AJ1093" s="64"/>
      <c r="AK1093" s="64"/>
      <c r="AL1093" s="264"/>
      <c r="AM1093" s="84"/>
      <c r="AN1093" s="18"/>
      <c r="AO1093" s="18"/>
      <c r="AP1093" s="18"/>
      <c r="AQ1093" s="18"/>
      <c r="AR1093" s="18"/>
      <c r="AS1093" s="18"/>
      <c r="AT1093" s="18"/>
      <c r="AU1093" s="18"/>
      <c r="AV1093" s="18"/>
      <c r="AW1093" s="18"/>
      <c r="AX1093" s="18"/>
      <c r="AY1093" s="18"/>
    </row>
    <row r="1094" spans="1:51" s="33" customFormat="1" x14ac:dyDescent="0.3">
      <c r="A1094" s="63" t="str">
        <f>+A1093</f>
        <v>BCV131</v>
      </c>
      <c r="B1094" s="18" t="str">
        <f>+B1093</f>
        <v>AX15</v>
      </c>
      <c r="C1094" s="85" t="str">
        <f>+C1093</f>
        <v>SIO1</v>
      </c>
      <c r="D1094" s="85" t="str">
        <f>+D1093</f>
        <v>SLC01</v>
      </c>
      <c r="E1094" s="290">
        <f>+E1093</f>
        <v>1</v>
      </c>
      <c r="F1094" s="290">
        <f>+F1093</f>
        <v>8</v>
      </c>
      <c r="G1094" s="290">
        <f>+G1093</f>
        <v>0</v>
      </c>
      <c r="H1094" s="72">
        <f>+H1093</f>
        <v>1</v>
      </c>
      <c r="I1094" s="75">
        <v>4</v>
      </c>
      <c r="J1094" s="74" t="s">
        <v>257</v>
      </c>
      <c r="K1094" s="85"/>
      <c r="L1094" s="79" t="s">
        <v>244</v>
      </c>
      <c r="M1094" s="17">
        <v>3</v>
      </c>
      <c r="N1094" s="18" t="s">
        <v>1752</v>
      </c>
      <c r="O1094" s="296" t="s">
        <v>1751</v>
      </c>
      <c r="P1094" s="296"/>
      <c r="Q1094" s="296" t="s">
        <v>1750</v>
      </c>
      <c r="R1094" s="17" t="s">
        <v>211</v>
      </c>
      <c r="S1094" s="17"/>
      <c r="T1094" s="17" t="str">
        <f>+T1093</f>
        <v>BCV131</v>
      </c>
      <c r="U1094" s="17"/>
      <c r="V1094" s="289" t="str">
        <f>+CONCATENATE(E1094,".",F1094,"\",G1094,".",H1094,":",I1094)</f>
        <v>1.8\0.1:4</v>
      </c>
      <c r="W1094" s="18" t="s">
        <v>1744</v>
      </c>
      <c r="X1094" s="17">
        <v>0</v>
      </c>
      <c r="Y1094" s="17"/>
      <c r="Z1094" s="17"/>
      <c r="AA1094" s="17"/>
      <c r="AB1094" s="17"/>
      <c r="AC1094" s="17"/>
      <c r="AD1094" s="17"/>
      <c r="AE1094" s="17"/>
      <c r="AF1094" s="17"/>
      <c r="AG1094" s="64"/>
      <c r="AH1094" s="64"/>
      <c r="AI1094" s="64"/>
      <c r="AJ1094" s="64"/>
      <c r="AK1094" s="64"/>
      <c r="AL1094" s="264"/>
      <c r="AM1094" s="84"/>
      <c r="AN1094" s="18"/>
      <c r="AO1094" s="18"/>
      <c r="AP1094" s="18"/>
      <c r="AQ1094" s="18"/>
      <c r="AR1094" s="18"/>
      <c r="AS1094" s="18"/>
      <c r="AT1094" s="18"/>
      <c r="AU1094" s="18"/>
      <c r="AV1094" s="18"/>
      <c r="AW1094" s="18"/>
      <c r="AX1094" s="18"/>
      <c r="AY1094" s="18"/>
    </row>
    <row r="1095" spans="1:51" s="33" customFormat="1" x14ac:dyDescent="0.3">
      <c r="A1095" s="63" t="str">
        <f>+A1094</f>
        <v>BCV131</v>
      </c>
      <c r="B1095" s="18" t="str">
        <f>+B1094</f>
        <v>AX15</v>
      </c>
      <c r="C1095" s="85" t="str">
        <f>+C1094</f>
        <v>SIO1</v>
      </c>
      <c r="D1095" s="85" t="str">
        <f>+D1094</f>
        <v>SLC01</v>
      </c>
      <c r="E1095" s="290">
        <f>+E1094</f>
        <v>1</v>
      </c>
      <c r="F1095" s="290">
        <f>+F1094</f>
        <v>8</v>
      </c>
      <c r="G1095" s="290">
        <f>+G1094</f>
        <v>0</v>
      </c>
      <c r="H1095" s="72">
        <f>+H1094</f>
        <v>1</v>
      </c>
      <c r="I1095" s="75">
        <v>5</v>
      </c>
      <c r="J1095" s="74" t="s">
        <v>1325</v>
      </c>
      <c r="K1095" s="85"/>
      <c r="L1095" s="79" t="s">
        <v>244</v>
      </c>
      <c r="M1095" s="17">
        <v>3</v>
      </c>
      <c r="N1095" s="17"/>
      <c r="O1095" s="296"/>
      <c r="P1095" s="296"/>
      <c r="Q1095" s="296" t="s">
        <v>127</v>
      </c>
      <c r="R1095" s="17"/>
      <c r="S1095" s="17"/>
      <c r="T1095" s="17"/>
      <c r="U1095" s="17"/>
      <c r="V1095" s="289" t="str">
        <f>+CONCATENATE(E1095,".",F1095,"\",G1095,".",H1095,":",I1095)</f>
        <v>1.8\0.1:5</v>
      </c>
      <c r="W1095" s="18" t="s">
        <v>1744</v>
      </c>
      <c r="X1095" s="17">
        <v>0</v>
      </c>
      <c r="Y1095" s="17"/>
      <c r="Z1095" s="17"/>
      <c r="AA1095" s="17"/>
      <c r="AB1095" s="17"/>
      <c r="AC1095" s="17"/>
      <c r="AD1095" s="17"/>
      <c r="AE1095" s="17"/>
      <c r="AF1095" s="17"/>
      <c r="AG1095" s="64"/>
      <c r="AH1095" s="64"/>
      <c r="AI1095" s="64"/>
      <c r="AJ1095" s="64"/>
      <c r="AK1095" s="64"/>
      <c r="AL1095" s="264"/>
      <c r="AM1095" s="84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  <c r="AY1095" s="18"/>
    </row>
    <row r="1096" spans="1:51" s="33" customFormat="1" x14ac:dyDescent="0.3">
      <c r="A1096" s="63" t="str">
        <f>+A1095</f>
        <v>BCV131</v>
      </c>
      <c r="B1096" s="18" t="str">
        <f>+B1095</f>
        <v>AX15</v>
      </c>
      <c r="C1096" s="85" t="str">
        <f>+C1095</f>
        <v>SIO1</v>
      </c>
      <c r="D1096" s="85" t="str">
        <f>+D1095</f>
        <v>SLC01</v>
      </c>
      <c r="E1096" s="290">
        <f>+E1095</f>
        <v>1</v>
      </c>
      <c r="F1096" s="290">
        <f>+F1095</f>
        <v>8</v>
      </c>
      <c r="G1096" s="290">
        <f>+G1095</f>
        <v>0</v>
      </c>
      <c r="H1096" s="72">
        <f>+H1095</f>
        <v>1</v>
      </c>
      <c r="I1096" s="75">
        <v>6</v>
      </c>
      <c r="J1096" s="74" t="s">
        <v>1323</v>
      </c>
      <c r="K1096" s="85"/>
      <c r="L1096" s="79" t="s">
        <v>244</v>
      </c>
      <c r="M1096" s="17">
        <v>3</v>
      </c>
      <c r="N1096" s="17"/>
      <c r="O1096" s="296"/>
      <c r="P1096" s="296"/>
      <c r="Q1096" s="296" t="s">
        <v>127</v>
      </c>
      <c r="R1096" s="17"/>
      <c r="S1096" s="17"/>
      <c r="T1096" s="17"/>
      <c r="U1096" s="17"/>
      <c r="V1096" s="289" t="str">
        <f>+CONCATENATE(E1096,".",F1096,"\",G1096,".",H1096,":",I1096)</f>
        <v>1.8\0.1:6</v>
      </c>
      <c r="W1096" s="18" t="s">
        <v>1744</v>
      </c>
      <c r="X1096" s="17">
        <v>0</v>
      </c>
      <c r="Y1096" s="17"/>
      <c r="Z1096" s="17"/>
      <c r="AA1096" s="17"/>
      <c r="AB1096" s="17"/>
      <c r="AC1096" s="17"/>
      <c r="AD1096" s="17"/>
      <c r="AE1096" s="17"/>
      <c r="AF1096" s="17"/>
      <c r="AG1096" s="64"/>
      <c r="AH1096" s="64"/>
      <c r="AI1096" s="64"/>
      <c r="AJ1096" s="64"/>
      <c r="AK1096" s="64"/>
      <c r="AL1096" s="264"/>
      <c r="AM1096" s="84"/>
      <c r="AN1096" s="18"/>
      <c r="AO1096" s="18"/>
      <c r="AP1096" s="18"/>
      <c r="AQ1096" s="18"/>
      <c r="AR1096" s="18"/>
      <c r="AS1096" s="18"/>
      <c r="AT1096" s="18"/>
      <c r="AU1096" s="18"/>
      <c r="AV1096" s="18"/>
      <c r="AW1096" s="18"/>
      <c r="AX1096" s="18"/>
      <c r="AY1096" s="18"/>
    </row>
    <row r="1097" spans="1:51" s="33" customFormat="1" x14ac:dyDescent="0.3">
      <c r="A1097" s="63" t="str">
        <f>+A1096</f>
        <v>BCV131</v>
      </c>
      <c r="B1097" s="18" t="str">
        <f>+B1096</f>
        <v>AX15</v>
      </c>
      <c r="C1097" s="85" t="str">
        <f>+C1096</f>
        <v>SIO1</v>
      </c>
      <c r="D1097" s="85" t="str">
        <f>+D1096</f>
        <v>SLC01</v>
      </c>
      <c r="E1097" s="290">
        <f>+E1096</f>
        <v>1</v>
      </c>
      <c r="F1097" s="290">
        <f>+F1096</f>
        <v>8</v>
      </c>
      <c r="G1097" s="290">
        <f>+G1096</f>
        <v>0</v>
      </c>
      <c r="H1097" s="72">
        <f>+H1096</f>
        <v>1</v>
      </c>
      <c r="I1097" s="75">
        <v>7</v>
      </c>
      <c r="J1097" s="74" t="s">
        <v>246</v>
      </c>
      <c r="K1097" s="85"/>
      <c r="L1097" s="79" t="s">
        <v>244</v>
      </c>
      <c r="M1097" s="17">
        <v>3</v>
      </c>
      <c r="N1097" s="17"/>
      <c r="O1097" s="296"/>
      <c r="P1097" s="296"/>
      <c r="Q1097" s="296" t="s">
        <v>127</v>
      </c>
      <c r="R1097" s="17"/>
      <c r="S1097" s="17"/>
      <c r="T1097" s="17"/>
      <c r="U1097" s="17"/>
      <c r="V1097" s="289" t="str">
        <f>+CONCATENATE(E1097,".",F1097,"\",G1097,".",H1097,":",I1097)</f>
        <v>1.8\0.1:7</v>
      </c>
      <c r="W1097" s="18" t="s">
        <v>1744</v>
      </c>
      <c r="X1097" s="17">
        <v>0</v>
      </c>
      <c r="Y1097" s="17"/>
      <c r="Z1097" s="17"/>
      <c r="AA1097" s="17"/>
      <c r="AB1097" s="17"/>
      <c r="AC1097" s="17"/>
      <c r="AD1097" s="17"/>
      <c r="AE1097" s="17"/>
      <c r="AF1097" s="17"/>
      <c r="AG1097" s="64"/>
      <c r="AH1097" s="64"/>
      <c r="AI1097" s="64"/>
      <c r="AJ1097" s="64"/>
      <c r="AK1097" s="64"/>
      <c r="AL1097" s="264"/>
      <c r="AM1097" s="84"/>
      <c r="AN1097" s="18"/>
      <c r="AO1097" s="18"/>
      <c r="AP1097" s="18"/>
      <c r="AQ1097" s="18"/>
      <c r="AR1097" s="18"/>
      <c r="AS1097" s="18"/>
      <c r="AT1097" s="18"/>
      <c r="AU1097" s="18"/>
      <c r="AV1097" s="18"/>
      <c r="AW1097" s="18"/>
      <c r="AX1097" s="18"/>
      <c r="AY1097" s="18"/>
    </row>
    <row r="1098" spans="1:51" s="33" customFormat="1" x14ac:dyDescent="0.3">
      <c r="A1098" s="63" t="str">
        <f>+A1097</f>
        <v>BCV131</v>
      </c>
      <c r="B1098" s="18" t="str">
        <f>+B1097</f>
        <v>AX15</v>
      </c>
      <c r="C1098" s="85" t="str">
        <f>+C1097</f>
        <v>SIO1</v>
      </c>
      <c r="D1098" s="85" t="str">
        <f>+D1097</f>
        <v>SLC01</v>
      </c>
      <c r="E1098" s="290">
        <f>+E1097</f>
        <v>1</v>
      </c>
      <c r="F1098" s="290">
        <f>+F1097</f>
        <v>8</v>
      </c>
      <c r="G1098" s="290">
        <f>+G1097</f>
        <v>0</v>
      </c>
      <c r="H1098" s="72">
        <f>+H1097</f>
        <v>1</v>
      </c>
      <c r="I1098" s="75">
        <v>8</v>
      </c>
      <c r="J1098" s="74" t="s">
        <v>245</v>
      </c>
      <c r="K1098" s="85"/>
      <c r="L1098" s="79" t="s">
        <v>244</v>
      </c>
      <c r="M1098" s="17">
        <v>3</v>
      </c>
      <c r="N1098" s="17"/>
      <c r="O1098" s="296"/>
      <c r="P1098" s="296"/>
      <c r="Q1098" s="296" t="s">
        <v>127</v>
      </c>
      <c r="R1098" s="17"/>
      <c r="S1098" s="17"/>
      <c r="T1098" s="17"/>
      <c r="U1098" s="17"/>
      <c r="V1098" s="289" t="str">
        <f>+CONCATENATE(E1098,".",F1098,"\",G1098,".",H1098,":",I1098)</f>
        <v>1.8\0.1:8</v>
      </c>
      <c r="W1098" s="18" t="s">
        <v>1744</v>
      </c>
      <c r="X1098" s="17">
        <v>0</v>
      </c>
      <c r="Y1098" s="17"/>
      <c r="Z1098" s="17"/>
      <c r="AA1098" s="17"/>
      <c r="AB1098" s="17"/>
      <c r="AC1098" s="17"/>
      <c r="AD1098" s="17"/>
      <c r="AE1098" s="17"/>
      <c r="AF1098" s="17"/>
      <c r="AG1098" s="64"/>
      <c r="AH1098" s="64"/>
      <c r="AI1098" s="64"/>
      <c r="AJ1098" s="64"/>
      <c r="AK1098" s="64"/>
      <c r="AL1098" s="264"/>
      <c r="AM1098" s="84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  <c r="AY1098" s="18"/>
    </row>
    <row r="1099" spans="1:51" s="33" customFormat="1" x14ac:dyDescent="0.3">
      <c r="A1099" s="63" t="str">
        <f>+A1098</f>
        <v>BCV131</v>
      </c>
      <c r="B1099" s="18" t="str">
        <f>+B1098</f>
        <v>AX15</v>
      </c>
      <c r="C1099" s="85" t="str">
        <f>+C1098</f>
        <v>SIO1</v>
      </c>
      <c r="D1099" s="85" t="str">
        <f>+D1098</f>
        <v>SLC01</v>
      </c>
      <c r="E1099" s="290">
        <f>+E1098</f>
        <v>1</v>
      </c>
      <c r="F1099" s="290">
        <f>+F1098</f>
        <v>8</v>
      </c>
      <c r="G1099" s="290">
        <f>+G1098</f>
        <v>0</v>
      </c>
      <c r="H1099" s="72">
        <f>+H1098</f>
        <v>1</v>
      </c>
      <c r="I1099" s="75">
        <v>1</v>
      </c>
      <c r="J1099" s="81" t="s">
        <v>1321</v>
      </c>
      <c r="K1099" s="85" t="s">
        <v>1366</v>
      </c>
      <c r="L1099" s="79" t="s">
        <v>235</v>
      </c>
      <c r="M1099" s="17">
        <v>3</v>
      </c>
      <c r="N1099" s="18" t="s">
        <v>1748</v>
      </c>
      <c r="O1099" s="17" t="s">
        <v>1749</v>
      </c>
      <c r="P1099" s="17"/>
      <c r="Q1099" s="17" t="s">
        <v>1335</v>
      </c>
      <c r="R1099" s="17" t="s">
        <v>922</v>
      </c>
      <c r="S1099" s="17"/>
      <c r="T1099" s="17" t="str">
        <f>+T1091</f>
        <v>BCV131</v>
      </c>
      <c r="U1099" s="17"/>
      <c r="V1099" s="289" t="str">
        <f>+CONCATENATE(E1099,".",F1099,"\",G1099,".",H1099,":",I1099)</f>
        <v>1.8\0.1:1</v>
      </c>
      <c r="W1099" s="18" t="s">
        <v>1744</v>
      </c>
      <c r="X1099" s="17">
        <v>0</v>
      </c>
      <c r="Y1099" s="17"/>
      <c r="Z1099" s="17"/>
      <c r="AA1099" s="17"/>
      <c r="AB1099" s="17"/>
      <c r="AC1099" s="17"/>
      <c r="AD1099" s="17"/>
      <c r="AE1099" s="17"/>
      <c r="AF1099" s="17"/>
      <c r="AG1099" s="64"/>
      <c r="AH1099" s="64"/>
      <c r="AI1099" s="64"/>
      <c r="AJ1099" s="64"/>
      <c r="AK1099" s="64"/>
      <c r="AL1099" s="264"/>
      <c r="AM1099" s="84"/>
      <c r="AN1099" s="18"/>
      <c r="AO1099" s="18"/>
      <c r="AP1099" s="18"/>
      <c r="AQ1099" s="18"/>
      <c r="AR1099" s="18"/>
      <c r="AS1099" s="18"/>
      <c r="AT1099" s="18"/>
      <c r="AU1099" s="18"/>
      <c r="AV1099" s="18"/>
      <c r="AW1099" s="18"/>
      <c r="AX1099" s="18"/>
      <c r="AY1099" s="18"/>
    </row>
    <row r="1100" spans="1:51" s="33" customFormat="1" x14ac:dyDescent="0.3">
      <c r="A1100" s="63" t="str">
        <f>+A1099</f>
        <v>BCV131</v>
      </c>
      <c r="B1100" s="18" t="str">
        <f>+B1099</f>
        <v>AX15</v>
      </c>
      <c r="C1100" s="85" t="str">
        <f>+C1099</f>
        <v>SIO1</v>
      </c>
      <c r="D1100" s="85" t="str">
        <f>+D1099</f>
        <v>SLC01</v>
      </c>
      <c r="E1100" s="290">
        <f>+E1099</f>
        <v>1</v>
      </c>
      <c r="F1100" s="290">
        <f>+F1099</f>
        <v>8</v>
      </c>
      <c r="G1100" s="290">
        <f>+G1099</f>
        <v>0</v>
      </c>
      <c r="H1100" s="72">
        <f>+H1099</f>
        <v>1</v>
      </c>
      <c r="I1100" s="75">
        <v>2</v>
      </c>
      <c r="J1100" s="74" t="s">
        <v>1320</v>
      </c>
      <c r="K1100" s="85"/>
      <c r="L1100" s="79" t="s">
        <v>235</v>
      </c>
      <c r="M1100" s="17">
        <v>3</v>
      </c>
      <c r="N1100" s="18" t="s">
        <v>1748</v>
      </c>
      <c r="O1100" s="17" t="s">
        <v>1747</v>
      </c>
      <c r="P1100" s="17"/>
      <c r="Q1100" s="17" t="s">
        <v>1330</v>
      </c>
      <c r="R1100" s="17" t="s">
        <v>922</v>
      </c>
      <c r="S1100" s="17"/>
      <c r="T1100" s="17" t="str">
        <f>+T1099</f>
        <v>BCV131</v>
      </c>
      <c r="U1100" s="17"/>
      <c r="V1100" s="289" t="str">
        <f>+CONCATENATE(E1100,".",F1100,"\",G1100,".",H1100,":",I1100)</f>
        <v>1.8\0.1:2</v>
      </c>
      <c r="W1100" s="18" t="s">
        <v>1744</v>
      </c>
      <c r="X1100" s="17">
        <v>0</v>
      </c>
      <c r="Y1100" s="17"/>
      <c r="Z1100" s="17"/>
      <c r="AA1100" s="17"/>
      <c r="AB1100" s="17"/>
      <c r="AC1100" s="17"/>
      <c r="AD1100" s="17"/>
      <c r="AE1100" s="17"/>
      <c r="AF1100" s="17"/>
      <c r="AG1100" s="64"/>
      <c r="AH1100" s="64"/>
      <c r="AI1100" s="64"/>
      <c r="AJ1100" s="64"/>
      <c r="AK1100" s="64"/>
      <c r="AL1100" s="264"/>
      <c r="AM1100" s="84"/>
      <c r="AN1100" s="18"/>
      <c r="AO1100" s="18"/>
      <c r="AP1100" s="18"/>
      <c r="AQ1100" s="18"/>
      <c r="AR1100" s="18"/>
      <c r="AS1100" s="18"/>
      <c r="AT1100" s="18"/>
      <c r="AU1100" s="18"/>
      <c r="AV1100" s="18"/>
      <c r="AW1100" s="18"/>
      <c r="AX1100" s="18"/>
      <c r="AY1100" s="18"/>
    </row>
    <row r="1101" spans="1:51" s="33" customFormat="1" x14ac:dyDescent="0.3">
      <c r="A1101" s="63" t="str">
        <f>+A1100</f>
        <v>BCV131</v>
      </c>
      <c r="B1101" s="18" t="str">
        <f>+B1100</f>
        <v>AX15</v>
      </c>
      <c r="C1101" s="85" t="str">
        <f>+C1100</f>
        <v>SIO1</v>
      </c>
      <c r="D1101" s="85" t="str">
        <f>+D1100</f>
        <v>SLC01</v>
      </c>
      <c r="E1101" s="290">
        <f>+E1100</f>
        <v>1</v>
      </c>
      <c r="F1101" s="290">
        <f>+F1100</f>
        <v>8</v>
      </c>
      <c r="G1101" s="290">
        <f>+G1100</f>
        <v>0</v>
      </c>
      <c r="H1101" s="72">
        <f>+H1100</f>
        <v>1</v>
      </c>
      <c r="I1101" s="75">
        <v>3</v>
      </c>
      <c r="J1101" s="74" t="s">
        <v>1319</v>
      </c>
      <c r="K1101" s="85"/>
      <c r="L1101" s="79" t="s">
        <v>235</v>
      </c>
      <c r="M1101" s="17">
        <v>3</v>
      </c>
      <c r="N1101" s="18" t="s">
        <v>1746</v>
      </c>
      <c r="O1101" s="17" t="s">
        <v>1745</v>
      </c>
      <c r="P1101" s="17"/>
      <c r="Q1101" s="17" t="s">
        <v>1330</v>
      </c>
      <c r="R1101" s="17" t="s">
        <v>922</v>
      </c>
      <c r="S1101" s="17"/>
      <c r="T1101" s="17" t="str">
        <f>+T1100</f>
        <v>BCV131</v>
      </c>
      <c r="U1101" s="17"/>
      <c r="V1101" s="289" t="str">
        <f>+CONCATENATE(E1101,".",F1101,"\",G1101,".",H1101,":",I1101)</f>
        <v>1.8\0.1:3</v>
      </c>
      <c r="W1101" s="18" t="s">
        <v>1744</v>
      </c>
      <c r="X1101" s="17">
        <v>0</v>
      </c>
      <c r="Y1101" s="17"/>
      <c r="Z1101" s="17"/>
      <c r="AA1101" s="17"/>
      <c r="AB1101" s="17"/>
      <c r="AC1101" s="17"/>
      <c r="AD1101" s="17"/>
      <c r="AE1101" s="17"/>
      <c r="AF1101" s="17"/>
      <c r="AG1101" s="64"/>
      <c r="AH1101" s="64"/>
      <c r="AI1101" s="64"/>
      <c r="AJ1101" s="64"/>
      <c r="AK1101" s="64"/>
      <c r="AL1101" s="264"/>
      <c r="AM1101" s="84"/>
      <c r="AN1101" s="18"/>
      <c r="AO1101" s="18"/>
      <c r="AP1101" s="18"/>
      <c r="AQ1101" s="18"/>
      <c r="AR1101" s="18"/>
      <c r="AS1101" s="18"/>
      <c r="AT1101" s="18"/>
      <c r="AU1101" s="18"/>
      <c r="AV1101" s="18"/>
      <c r="AW1101" s="18"/>
      <c r="AX1101" s="18"/>
      <c r="AY1101" s="18"/>
    </row>
    <row r="1102" spans="1:51" s="33" customFormat="1" ht="13.5" thickBot="1" x14ac:dyDescent="0.35">
      <c r="A1102" s="63" t="str">
        <f>+A1101</f>
        <v>BCV131</v>
      </c>
      <c r="B1102" s="18" t="str">
        <f>+B1101</f>
        <v>AX15</v>
      </c>
      <c r="C1102" s="85" t="str">
        <f>+C1101</f>
        <v>SIO1</v>
      </c>
      <c r="D1102" s="85" t="str">
        <f>+D1101</f>
        <v>SLC01</v>
      </c>
      <c r="E1102" s="290">
        <f>+E1101</f>
        <v>1</v>
      </c>
      <c r="F1102" s="290">
        <f>+F1101</f>
        <v>8</v>
      </c>
      <c r="G1102" s="290">
        <f>+G1101</f>
        <v>0</v>
      </c>
      <c r="H1102" s="72">
        <f>+H1101</f>
        <v>1</v>
      </c>
      <c r="I1102" s="71">
        <v>4</v>
      </c>
      <c r="J1102" s="70" t="s">
        <v>1318</v>
      </c>
      <c r="K1102" s="85"/>
      <c r="L1102" s="79" t="s">
        <v>235</v>
      </c>
      <c r="M1102" s="17">
        <v>3</v>
      </c>
      <c r="N1102" s="17"/>
      <c r="O1102" s="17"/>
      <c r="P1102" s="17"/>
      <c r="Q1102" s="68"/>
      <c r="R1102" s="68"/>
      <c r="S1102" s="68"/>
      <c r="T1102" s="68"/>
      <c r="U1102" s="17"/>
      <c r="V1102" s="289" t="str">
        <f>+CONCATENATE(E1102,".",F1102,"\",G1102,".",H1102,":",I1102)</f>
        <v>1.8\0.1:4</v>
      </c>
      <c r="W1102" s="18" t="s">
        <v>1744</v>
      </c>
      <c r="X1102" s="17">
        <v>0</v>
      </c>
      <c r="Y1102" s="17"/>
      <c r="Z1102" s="17"/>
      <c r="AA1102" s="17"/>
      <c r="AB1102" s="17"/>
      <c r="AC1102" s="17"/>
      <c r="AD1102" s="17"/>
      <c r="AE1102" s="17"/>
      <c r="AF1102" s="17"/>
      <c r="AG1102" s="64"/>
      <c r="AH1102" s="64"/>
      <c r="AI1102" s="64"/>
      <c r="AJ1102" s="64"/>
      <c r="AK1102" s="64"/>
      <c r="AL1102" s="264"/>
      <c r="AM1102" s="84"/>
      <c r="AN1102" s="18"/>
      <c r="AO1102" s="18"/>
      <c r="AP1102" s="18"/>
      <c r="AQ1102" s="18"/>
      <c r="AR1102" s="18"/>
      <c r="AS1102" s="18"/>
      <c r="AT1102" s="18"/>
      <c r="AU1102" s="18"/>
      <c r="AV1102" s="18"/>
      <c r="AW1102" s="18"/>
      <c r="AX1102" s="18"/>
      <c r="AY1102" s="18"/>
    </row>
    <row r="1103" spans="1:51" s="33" customFormat="1" x14ac:dyDescent="0.3">
      <c r="A1103" s="63"/>
      <c r="B1103" s="63"/>
      <c r="C1103" s="63"/>
      <c r="D1103" s="63"/>
      <c r="E1103" s="288"/>
      <c r="F1103" s="288"/>
      <c r="G1103" s="288"/>
      <c r="H1103" s="63"/>
      <c r="I1103" s="63"/>
      <c r="J1103" s="63"/>
      <c r="K1103" s="17"/>
      <c r="L1103" s="17"/>
      <c r="M1103" s="17"/>
      <c r="N1103" s="17"/>
      <c r="O1103" s="68"/>
      <c r="P1103" s="68"/>
      <c r="Q1103" s="68"/>
      <c r="R1103" s="68"/>
      <c r="S1103" s="68"/>
      <c r="T1103" s="68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64"/>
      <c r="AH1103" s="64"/>
      <c r="AI1103" s="64"/>
      <c r="AJ1103" s="64"/>
      <c r="AK1103" s="64"/>
      <c r="AL1103" s="264"/>
      <c r="AM1103" s="84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  <c r="AY1103" s="18"/>
    </row>
    <row r="1104" spans="1:51" s="33" customFormat="1" x14ac:dyDescent="0.3">
      <c r="A1104" s="63"/>
      <c r="B1104" s="63"/>
      <c r="C1104" s="63"/>
      <c r="D1104" s="63"/>
      <c r="E1104" s="288"/>
      <c r="F1104" s="288"/>
      <c r="G1104" s="288"/>
      <c r="H1104" s="63"/>
      <c r="I1104" s="63"/>
      <c r="J1104" s="63"/>
      <c r="K1104" s="17"/>
      <c r="L1104" s="17"/>
      <c r="M1104" s="17"/>
      <c r="N1104" s="17"/>
      <c r="O1104" s="68"/>
      <c r="P1104" s="68"/>
      <c r="Q1104" s="68"/>
      <c r="R1104" s="68"/>
      <c r="S1104" s="68"/>
      <c r="T1104" s="68"/>
      <c r="U1104" s="17"/>
      <c r="V1104" s="17"/>
      <c r="W1104" s="17"/>
      <c r="X1104" s="17"/>
      <c r="Y1104" s="17"/>
      <c r="Z1104" s="17"/>
      <c r="AA1104" s="17"/>
      <c r="AB1104" s="20"/>
      <c r="AC1104" s="17"/>
      <c r="AD1104" s="17"/>
      <c r="AE1104" s="17"/>
      <c r="AF1104" s="17"/>
      <c r="AG1104" s="64"/>
      <c r="AH1104" s="64"/>
      <c r="AI1104" s="64"/>
      <c r="AJ1104" s="64"/>
      <c r="AK1104" s="64"/>
      <c r="AL1104" s="264"/>
      <c r="AM1104" s="84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  <c r="AY1104" s="18"/>
    </row>
    <row r="1105" spans="1:51" s="33" customFormat="1" x14ac:dyDescent="0.3">
      <c r="A1105" s="63"/>
      <c r="B1105" s="63"/>
      <c r="C1105" s="63"/>
      <c r="D1105" s="63"/>
      <c r="E1105" s="288"/>
      <c r="F1105" s="288"/>
      <c r="G1105" s="288"/>
      <c r="H1105" s="63"/>
      <c r="I1105" s="63"/>
      <c r="J1105" s="63"/>
      <c r="K1105" s="17"/>
      <c r="L1105" s="17"/>
      <c r="M1105" s="17"/>
      <c r="N1105" s="17"/>
      <c r="O1105" s="68"/>
      <c r="P1105" s="68"/>
      <c r="Q1105" s="68"/>
      <c r="R1105" s="68"/>
      <c r="S1105" s="68"/>
      <c r="T1105" s="68"/>
      <c r="U1105" s="17"/>
      <c r="V1105" s="17"/>
      <c r="W1105" s="17"/>
      <c r="X1105" s="17"/>
      <c r="Y1105" s="17"/>
      <c r="Z1105" s="17"/>
      <c r="AA1105" s="17"/>
      <c r="AB1105" s="20"/>
      <c r="AC1105" s="17"/>
      <c r="AD1105" s="17"/>
      <c r="AE1105" s="17"/>
      <c r="AF1105" s="17"/>
      <c r="AG1105" s="64"/>
      <c r="AH1105" s="64"/>
      <c r="AI1105" s="64"/>
      <c r="AJ1105" s="64"/>
      <c r="AK1105" s="64"/>
      <c r="AL1105" s="264"/>
      <c r="AM1105" s="84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  <c r="AY1105" s="18"/>
    </row>
    <row r="1106" spans="1:51" s="33" customFormat="1" ht="15.5" x14ac:dyDescent="0.35">
      <c r="A1106" s="297"/>
      <c r="B1106" s="96" t="s">
        <v>1743</v>
      </c>
      <c r="C1106" s="256"/>
      <c r="D1106" s="256"/>
      <c r="E1106" s="256"/>
      <c r="F1106" s="256"/>
      <c r="G1106" s="256"/>
      <c r="H1106" s="256"/>
      <c r="I1106" s="256"/>
      <c r="J1106" s="256"/>
      <c r="K1106" s="256"/>
      <c r="L1106" s="256"/>
      <c r="M1106" s="256"/>
      <c r="N1106" s="287"/>
      <c r="O1106" s="256"/>
      <c r="P1106" s="287"/>
      <c r="Q1106" s="256"/>
      <c r="R1106" s="256"/>
      <c r="S1106" s="256"/>
      <c r="T1106" s="256"/>
      <c r="U1106" s="256"/>
      <c r="V1106" s="256"/>
      <c r="W1106" s="287"/>
      <c r="X1106" s="256"/>
      <c r="Y1106" s="256"/>
      <c r="Z1106" s="17"/>
      <c r="AA1106" s="17"/>
      <c r="AB1106" s="17"/>
      <c r="AC1106" s="17"/>
      <c r="AD1106" s="17"/>
      <c r="AE1106" s="17"/>
      <c r="AF1106" s="17"/>
      <c r="AG1106" s="64"/>
      <c r="AH1106" s="64"/>
      <c r="AI1106" s="64"/>
      <c r="AJ1106" s="64"/>
      <c r="AK1106" s="64"/>
      <c r="AL1106" s="264"/>
      <c r="AM1106" s="84"/>
      <c r="AN1106" s="18"/>
      <c r="AO1106" s="18"/>
      <c r="AP1106" s="18"/>
      <c r="AQ1106" s="18"/>
      <c r="AR1106" s="18"/>
      <c r="AS1106" s="18"/>
      <c r="AT1106" s="18"/>
      <c r="AU1106" s="18"/>
      <c r="AV1106" s="18"/>
      <c r="AW1106" s="18"/>
      <c r="AX1106" s="18"/>
      <c r="AY1106" s="18"/>
    </row>
    <row r="1107" spans="1:51" s="33" customFormat="1" ht="13.5" thickBot="1" x14ac:dyDescent="0.35">
      <c r="A1107" s="63"/>
      <c r="B1107" s="63"/>
      <c r="C1107" s="63"/>
      <c r="D1107" s="63"/>
      <c r="E1107" s="288"/>
      <c r="F1107" s="288"/>
      <c r="G1107" s="288"/>
      <c r="H1107" s="63"/>
      <c r="I1107" s="63"/>
      <c r="J1107" s="63"/>
      <c r="K1107" s="17"/>
      <c r="L1107" s="17"/>
      <c r="M1107" s="17"/>
      <c r="N1107" s="17"/>
      <c r="O1107" s="68"/>
      <c r="P1107" s="68"/>
      <c r="Q1107" s="68"/>
      <c r="R1107" s="68"/>
      <c r="S1107" s="68"/>
      <c r="T1107" s="68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64"/>
      <c r="AH1107" s="64"/>
      <c r="AI1107" s="64"/>
      <c r="AJ1107" s="64"/>
      <c r="AK1107" s="64"/>
      <c r="AL1107" s="264"/>
      <c r="AM1107" s="84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18"/>
      <c r="AY1107" s="18"/>
    </row>
    <row r="1108" spans="1:51" s="33" customFormat="1" ht="13.5" thickBot="1" x14ac:dyDescent="0.35">
      <c r="A1108" s="63" t="s">
        <v>194</v>
      </c>
      <c r="B1108" s="17" t="s">
        <v>1742</v>
      </c>
      <c r="C1108" s="295" t="s">
        <v>271</v>
      </c>
      <c r="D1108" s="290" t="s">
        <v>270</v>
      </c>
      <c r="E1108" s="290">
        <v>2</v>
      </c>
      <c r="F1108" s="290">
        <v>8</v>
      </c>
      <c r="G1108" s="290">
        <v>0</v>
      </c>
      <c r="H1108" s="89">
        <v>0</v>
      </c>
      <c r="I1108" s="88" t="s">
        <v>1106</v>
      </c>
      <c r="J1108" s="87"/>
      <c r="K1108" s="84">
        <v>1059305</v>
      </c>
      <c r="L1108" s="91" t="s">
        <v>1377</v>
      </c>
      <c r="M1108" s="17">
        <v>3</v>
      </c>
      <c r="N1108" s="17"/>
      <c r="O1108" s="83"/>
      <c r="P1108" s="83"/>
      <c r="Q1108" s="68"/>
      <c r="R1108" s="68"/>
      <c r="S1108" s="68"/>
      <c r="T1108" s="68"/>
      <c r="U1108" s="17"/>
      <c r="V1108" s="17"/>
      <c r="W1108" s="18" t="s">
        <v>1726</v>
      </c>
      <c r="X1108" s="17">
        <v>0</v>
      </c>
      <c r="Y1108" s="17"/>
      <c r="Z1108" s="17"/>
      <c r="AA1108" s="17"/>
      <c r="AB1108" s="17"/>
      <c r="AC1108" s="17"/>
      <c r="AD1108" s="17"/>
      <c r="AE1108" s="17"/>
      <c r="AF1108" s="17"/>
      <c r="AG1108" s="64"/>
      <c r="AH1108" s="64"/>
      <c r="AI1108" s="64"/>
      <c r="AJ1108" s="64"/>
      <c r="AK1108" s="64"/>
      <c r="AL1108" s="264"/>
      <c r="AM1108" s="84"/>
      <c r="AN1108" s="18"/>
      <c r="AO1108" s="18"/>
      <c r="AP1108" s="18"/>
      <c r="AQ1108" s="18"/>
      <c r="AR1108" s="18"/>
      <c r="AS1108" s="18"/>
      <c r="AT1108" s="18"/>
      <c r="AU1108" s="18"/>
      <c r="AV1108" s="18"/>
      <c r="AW1108" s="18"/>
      <c r="AX1108" s="18"/>
      <c r="AY1108" s="18"/>
    </row>
    <row r="1109" spans="1:51" s="33" customFormat="1" x14ac:dyDescent="0.3">
      <c r="A1109" s="63" t="str">
        <f>+A1108</f>
        <v>BCV131</v>
      </c>
      <c r="B1109" s="18" t="str">
        <f>+B1108</f>
        <v>AX16</v>
      </c>
      <c r="C1109" s="85" t="str">
        <f>+C1108</f>
        <v>SIO1</v>
      </c>
      <c r="D1109" s="85" t="str">
        <f>+D1108</f>
        <v>SLC02</v>
      </c>
      <c r="E1109" s="290">
        <f>+E1108</f>
        <v>2</v>
      </c>
      <c r="F1109" s="290">
        <f>+F1108</f>
        <v>8</v>
      </c>
      <c r="G1109" s="290">
        <f>+G1108</f>
        <v>0</v>
      </c>
      <c r="H1109" s="72">
        <v>1</v>
      </c>
      <c r="I1109" s="77">
        <v>1</v>
      </c>
      <c r="J1109" s="76" t="s">
        <v>269</v>
      </c>
      <c r="K1109" s="65">
        <v>1044125</v>
      </c>
      <c r="L1109" s="79" t="s">
        <v>244</v>
      </c>
      <c r="M1109" s="17">
        <v>3</v>
      </c>
      <c r="N1109" s="18" t="s">
        <v>1739</v>
      </c>
      <c r="O1109" s="296" t="s">
        <v>1741</v>
      </c>
      <c r="P1109" s="296"/>
      <c r="Q1109" s="296" t="s">
        <v>1740</v>
      </c>
      <c r="R1109" s="17" t="s">
        <v>211</v>
      </c>
      <c r="S1109" s="17"/>
      <c r="T1109" s="17" t="s">
        <v>194</v>
      </c>
      <c r="U1109" s="17"/>
      <c r="V1109" s="289" t="str">
        <f>+CONCATENATE(E1109,".",F1109,"\",G1109,".",H1109,":",I1109)</f>
        <v>2.8\0.1:1</v>
      </c>
      <c r="W1109" s="18" t="s">
        <v>1726</v>
      </c>
      <c r="X1109" s="17">
        <v>0</v>
      </c>
      <c r="Y1109" s="17"/>
      <c r="Z1109" s="17"/>
      <c r="AA1109" s="17"/>
      <c r="AB1109" s="17"/>
      <c r="AC1109" s="17"/>
      <c r="AD1109" s="17"/>
      <c r="AE1109" s="17"/>
      <c r="AF1109" s="17"/>
      <c r="AG1109" s="64"/>
      <c r="AH1109" s="64"/>
      <c r="AI1109" s="64"/>
      <c r="AJ1109" s="64"/>
      <c r="AK1109" s="64"/>
      <c r="AL1109" s="264"/>
      <c r="AM1109" s="84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  <c r="AY1109" s="18"/>
    </row>
    <row r="1110" spans="1:51" s="33" customFormat="1" x14ac:dyDescent="0.3">
      <c r="A1110" s="63" t="str">
        <f>+A1109</f>
        <v>BCV131</v>
      </c>
      <c r="B1110" s="18" t="str">
        <f>+B1109</f>
        <v>AX16</v>
      </c>
      <c r="C1110" s="85" t="str">
        <f>+C1109</f>
        <v>SIO1</v>
      </c>
      <c r="D1110" s="85" t="str">
        <f>+D1109</f>
        <v>SLC02</v>
      </c>
      <c r="E1110" s="290">
        <f>+E1109</f>
        <v>2</v>
      </c>
      <c r="F1110" s="290">
        <f>+F1109</f>
        <v>8</v>
      </c>
      <c r="G1110" s="290">
        <f>+G1109</f>
        <v>0</v>
      </c>
      <c r="H1110" s="72">
        <f>+H1109</f>
        <v>1</v>
      </c>
      <c r="I1110" s="75">
        <v>2</v>
      </c>
      <c r="J1110" s="74" t="s">
        <v>265</v>
      </c>
      <c r="K1110" s="84">
        <v>1047162</v>
      </c>
      <c r="L1110" s="79" t="s">
        <v>244</v>
      </c>
      <c r="M1110" s="17">
        <v>3</v>
      </c>
      <c r="N1110" s="18" t="s">
        <v>1739</v>
      </c>
      <c r="O1110" s="296" t="s">
        <v>1738</v>
      </c>
      <c r="P1110" s="296"/>
      <c r="Q1110" s="296" t="s">
        <v>1737</v>
      </c>
      <c r="R1110" s="17" t="s">
        <v>211</v>
      </c>
      <c r="S1110" s="17"/>
      <c r="T1110" s="17" t="str">
        <f>+T1109</f>
        <v>BCV131</v>
      </c>
      <c r="U1110" s="17"/>
      <c r="V1110" s="289" t="str">
        <f>+CONCATENATE(E1110,".",F1110,"\",G1110,".",H1110,":",I1110)</f>
        <v>2.8\0.1:2</v>
      </c>
      <c r="W1110" s="18" t="s">
        <v>1726</v>
      </c>
      <c r="X1110" s="17">
        <v>0</v>
      </c>
      <c r="Y1110" s="17"/>
      <c r="Z1110" s="17"/>
      <c r="AA1110" s="17"/>
      <c r="AB1110" s="17"/>
      <c r="AC1110" s="17"/>
      <c r="AD1110" s="17"/>
      <c r="AE1110" s="17"/>
      <c r="AF1110" s="17"/>
      <c r="AG1110" s="64"/>
      <c r="AH1110" s="64"/>
      <c r="AI1110" s="64"/>
      <c r="AJ1110" s="64"/>
      <c r="AK1110" s="64"/>
      <c r="AL1110" s="264"/>
      <c r="AM1110" s="84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  <c r="AY1110" s="18"/>
    </row>
    <row r="1111" spans="1:51" s="33" customFormat="1" x14ac:dyDescent="0.3">
      <c r="A1111" s="63" t="str">
        <f>+A1110</f>
        <v>BCV131</v>
      </c>
      <c r="B1111" s="18" t="str">
        <f>+B1110</f>
        <v>AX16</v>
      </c>
      <c r="C1111" s="85" t="str">
        <f>+C1110</f>
        <v>SIO1</v>
      </c>
      <c r="D1111" s="85" t="str">
        <f>+D1110</f>
        <v>SLC02</v>
      </c>
      <c r="E1111" s="290">
        <f>+E1110</f>
        <v>2</v>
      </c>
      <c r="F1111" s="290">
        <f>+F1110</f>
        <v>8</v>
      </c>
      <c r="G1111" s="290">
        <f>+G1110</f>
        <v>0</v>
      </c>
      <c r="H1111" s="72">
        <f>+H1110</f>
        <v>1</v>
      </c>
      <c r="I1111" s="75">
        <v>3</v>
      </c>
      <c r="J1111" s="74" t="s">
        <v>261</v>
      </c>
      <c r="K1111" s="85"/>
      <c r="L1111" s="79" t="s">
        <v>244</v>
      </c>
      <c r="M1111" s="17">
        <v>3</v>
      </c>
      <c r="N1111" s="18" t="s">
        <v>1734</v>
      </c>
      <c r="O1111" s="296" t="s">
        <v>1736</v>
      </c>
      <c r="P1111" s="296"/>
      <c r="Q1111" s="296" t="s">
        <v>1735</v>
      </c>
      <c r="R1111" s="17" t="s">
        <v>211</v>
      </c>
      <c r="S1111" s="17"/>
      <c r="T1111" s="17" t="str">
        <f>+T1110</f>
        <v>BCV131</v>
      </c>
      <c r="U1111" s="17"/>
      <c r="V1111" s="289" t="str">
        <f>+CONCATENATE(E1111,".",F1111,"\",G1111,".",H1111,":",I1111)</f>
        <v>2.8\0.1:3</v>
      </c>
      <c r="W1111" s="18" t="s">
        <v>1726</v>
      </c>
      <c r="X1111" s="17">
        <v>0</v>
      </c>
      <c r="Y1111" s="17"/>
      <c r="Z1111" s="17"/>
      <c r="AA1111" s="17"/>
      <c r="AB1111" s="17"/>
      <c r="AC1111" s="17"/>
      <c r="AD1111" s="17"/>
      <c r="AE1111" s="17"/>
      <c r="AF1111" s="17"/>
      <c r="AG1111" s="64"/>
      <c r="AH1111" s="64"/>
      <c r="AI1111" s="64"/>
      <c r="AJ1111" s="64"/>
      <c r="AK1111" s="64"/>
      <c r="AL1111" s="264"/>
      <c r="AM1111" s="84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  <c r="AY1111" s="18"/>
    </row>
    <row r="1112" spans="1:51" s="33" customFormat="1" x14ac:dyDescent="0.3">
      <c r="A1112" s="63" t="str">
        <f>+A1111</f>
        <v>BCV131</v>
      </c>
      <c r="B1112" s="18" t="str">
        <f>+B1111</f>
        <v>AX16</v>
      </c>
      <c r="C1112" s="85" t="str">
        <f>+C1111</f>
        <v>SIO1</v>
      </c>
      <c r="D1112" s="85" t="str">
        <f>+D1111</f>
        <v>SLC02</v>
      </c>
      <c r="E1112" s="290">
        <f>+E1111</f>
        <v>2</v>
      </c>
      <c r="F1112" s="290">
        <f>+F1111</f>
        <v>8</v>
      </c>
      <c r="G1112" s="290">
        <f>+G1111</f>
        <v>0</v>
      </c>
      <c r="H1112" s="72">
        <f>+H1111</f>
        <v>1</v>
      </c>
      <c r="I1112" s="75">
        <v>4</v>
      </c>
      <c r="J1112" s="74" t="s">
        <v>257</v>
      </c>
      <c r="K1112" s="85"/>
      <c r="L1112" s="79" t="s">
        <v>244</v>
      </c>
      <c r="M1112" s="17">
        <v>3</v>
      </c>
      <c r="N1112" s="18" t="s">
        <v>1734</v>
      </c>
      <c r="O1112" s="296" t="s">
        <v>1733</v>
      </c>
      <c r="P1112" s="296"/>
      <c r="Q1112" s="296" t="s">
        <v>1732</v>
      </c>
      <c r="R1112" s="17" t="s">
        <v>211</v>
      </c>
      <c r="S1112" s="17"/>
      <c r="T1112" s="17" t="str">
        <f>+T1111</f>
        <v>BCV131</v>
      </c>
      <c r="U1112" s="17"/>
      <c r="V1112" s="289" t="str">
        <f>+CONCATENATE(E1112,".",F1112,"\",G1112,".",H1112,":",I1112)</f>
        <v>2.8\0.1:4</v>
      </c>
      <c r="W1112" s="18" t="s">
        <v>1726</v>
      </c>
      <c r="X1112" s="17">
        <v>0</v>
      </c>
      <c r="Y1112" s="17"/>
      <c r="Z1112" s="17"/>
      <c r="AA1112" s="17"/>
      <c r="AB1112" s="17"/>
      <c r="AC1112" s="17"/>
      <c r="AD1112" s="17"/>
      <c r="AE1112" s="17"/>
      <c r="AF1112" s="17"/>
      <c r="AG1112" s="64"/>
      <c r="AH1112" s="64"/>
      <c r="AI1112" s="64"/>
      <c r="AJ1112" s="64"/>
      <c r="AK1112" s="64"/>
      <c r="AL1112" s="264"/>
      <c r="AM1112" s="84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  <c r="AY1112" s="18"/>
    </row>
    <row r="1113" spans="1:51" s="33" customFormat="1" x14ac:dyDescent="0.3">
      <c r="A1113" s="63" t="str">
        <f>+A1112</f>
        <v>BCV131</v>
      </c>
      <c r="B1113" s="18" t="str">
        <f>+B1112</f>
        <v>AX16</v>
      </c>
      <c r="C1113" s="85" t="str">
        <f>+C1112</f>
        <v>SIO1</v>
      </c>
      <c r="D1113" s="85" t="str">
        <f>+D1112</f>
        <v>SLC02</v>
      </c>
      <c r="E1113" s="290">
        <f>+E1112</f>
        <v>2</v>
      </c>
      <c r="F1113" s="290">
        <f>+F1112</f>
        <v>8</v>
      </c>
      <c r="G1113" s="290">
        <f>+G1112</f>
        <v>0</v>
      </c>
      <c r="H1113" s="72">
        <f>+H1112</f>
        <v>1</v>
      </c>
      <c r="I1113" s="75">
        <v>5</v>
      </c>
      <c r="J1113" s="74" t="s">
        <v>1325</v>
      </c>
      <c r="K1113" s="85"/>
      <c r="L1113" s="79" t="s">
        <v>244</v>
      </c>
      <c r="M1113" s="17">
        <v>3</v>
      </c>
      <c r="N1113" s="17"/>
      <c r="O1113" s="296"/>
      <c r="P1113" s="296"/>
      <c r="Q1113" s="296" t="s">
        <v>127</v>
      </c>
      <c r="R1113" s="17"/>
      <c r="S1113" s="17"/>
      <c r="T1113" s="17"/>
      <c r="U1113" s="17"/>
      <c r="V1113" s="289" t="str">
        <f>+CONCATENATE(E1113,".",F1113,"\",G1113,".",H1113,":",I1113)</f>
        <v>2.8\0.1:5</v>
      </c>
      <c r="W1113" s="18" t="s">
        <v>1726</v>
      </c>
      <c r="X1113" s="17">
        <v>0</v>
      </c>
      <c r="Y1113" s="17"/>
      <c r="Z1113" s="17"/>
      <c r="AA1113" s="17"/>
      <c r="AB1113" s="17"/>
      <c r="AC1113" s="17"/>
      <c r="AD1113" s="17"/>
      <c r="AE1113" s="17"/>
      <c r="AF1113" s="17"/>
      <c r="AG1113" s="64"/>
      <c r="AH1113" s="64"/>
      <c r="AI1113" s="64"/>
      <c r="AJ1113" s="64"/>
      <c r="AK1113" s="64"/>
      <c r="AL1113" s="264"/>
      <c r="AM1113" s="84"/>
      <c r="AN1113" s="18"/>
      <c r="AO1113" s="18"/>
      <c r="AP1113" s="18"/>
      <c r="AQ1113" s="18"/>
      <c r="AR1113" s="18"/>
      <c r="AS1113" s="18"/>
      <c r="AT1113" s="18"/>
      <c r="AU1113" s="18"/>
      <c r="AV1113" s="18"/>
      <c r="AW1113" s="18"/>
      <c r="AX1113" s="18"/>
      <c r="AY1113" s="18"/>
    </row>
    <row r="1114" spans="1:51" s="33" customFormat="1" x14ac:dyDescent="0.3">
      <c r="A1114" s="63" t="str">
        <f>+A1113</f>
        <v>BCV131</v>
      </c>
      <c r="B1114" s="18" t="str">
        <f>+B1113</f>
        <v>AX16</v>
      </c>
      <c r="C1114" s="85" t="str">
        <f>+C1113</f>
        <v>SIO1</v>
      </c>
      <c r="D1114" s="85" t="str">
        <f>+D1113</f>
        <v>SLC02</v>
      </c>
      <c r="E1114" s="290">
        <f>+E1113</f>
        <v>2</v>
      </c>
      <c r="F1114" s="290">
        <f>+F1113</f>
        <v>8</v>
      </c>
      <c r="G1114" s="290">
        <f>+G1113</f>
        <v>0</v>
      </c>
      <c r="H1114" s="72">
        <f>+H1113</f>
        <v>1</v>
      </c>
      <c r="I1114" s="75">
        <v>6</v>
      </c>
      <c r="J1114" s="74" t="s">
        <v>1323</v>
      </c>
      <c r="K1114" s="85"/>
      <c r="L1114" s="79" t="s">
        <v>244</v>
      </c>
      <c r="M1114" s="17">
        <v>3</v>
      </c>
      <c r="N1114" s="17"/>
      <c r="O1114" s="296"/>
      <c r="P1114" s="296"/>
      <c r="Q1114" s="296" t="s">
        <v>127</v>
      </c>
      <c r="R1114" s="17"/>
      <c r="S1114" s="17"/>
      <c r="T1114" s="17"/>
      <c r="U1114" s="17"/>
      <c r="V1114" s="289" t="str">
        <f>+CONCATENATE(E1114,".",F1114,"\",G1114,".",H1114,":",I1114)</f>
        <v>2.8\0.1:6</v>
      </c>
      <c r="W1114" s="18" t="s">
        <v>1726</v>
      </c>
      <c r="X1114" s="17">
        <v>0</v>
      </c>
      <c r="Y1114" s="17"/>
      <c r="Z1114" s="17"/>
      <c r="AA1114" s="17"/>
      <c r="AB1114" s="17"/>
      <c r="AC1114" s="17"/>
      <c r="AD1114" s="17"/>
      <c r="AE1114" s="17"/>
      <c r="AF1114" s="17"/>
      <c r="AG1114" s="64"/>
      <c r="AH1114" s="64"/>
      <c r="AI1114" s="64"/>
      <c r="AJ1114" s="64"/>
      <c r="AK1114" s="64"/>
      <c r="AL1114" s="264"/>
      <c r="AM1114" s="84"/>
      <c r="AN1114" s="18"/>
      <c r="AO1114" s="18"/>
      <c r="AP1114" s="18"/>
      <c r="AQ1114" s="18"/>
      <c r="AR1114" s="18"/>
      <c r="AS1114" s="18"/>
      <c r="AT1114" s="18"/>
      <c r="AU1114" s="18"/>
      <c r="AV1114" s="18"/>
      <c r="AW1114" s="18"/>
      <c r="AX1114" s="18"/>
      <c r="AY1114" s="18"/>
    </row>
    <row r="1115" spans="1:51" s="33" customFormat="1" x14ac:dyDescent="0.3">
      <c r="A1115" s="63" t="str">
        <f>+A1114</f>
        <v>BCV131</v>
      </c>
      <c r="B1115" s="18" t="str">
        <f>+B1114</f>
        <v>AX16</v>
      </c>
      <c r="C1115" s="85" t="str">
        <f>+C1114</f>
        <v>SIO1</v>
      </c>
      <c r="D1115" s="85" t="str">
        <f>+D1114</f>
        <v>SLC02</v>
      </c>
      <c r="E1115" s="290">
        <f>+E1114</f>
        <v>2</v>
      </c>
      <c r="F1115" s="290">
        <f>+F1114</f>
        <v>8</v>
      </c>
      <c r="G1115" s="290">
        <f>+G1114</f>
        <v>0</v>
      </c>
      <c r="H1115" s="72">
        <f>+H1114</f>
        <v>1</v>
      </c>
      <c r="I1115" s="75">
        <v>7</v>
      </c>
      <c r="J1115" s="74" t="s">
        <v>246</v>
      </c>
      <c r="K1115" s="85"/>
      <c r="L1115" s="79" t="s">
        <v>244</v>
      </c>
      <c r="M1115" s="17">
        <v>3</v>
      </c>
      <c r="N1115" s="17"/>
      <c r="O1115" s="296"/>
      <c r="P1115" s="296"/>
      <c r="Q1115" s="296" t="s">
        <v>127</v>
      </c>
      <c r="R1115" s="17"/>
      <c r="S1115" s="17"/>
      <c r="T1115" s="17"/>
      <c r="U1115" s="17"/>
      <c r="V1115" s="289" t="str">
        <f>+CONCATENATE(E1115,".",F1115,"\",G1115,".",H1115,":",I1115)</f>
        <v>2.8\0.1:7</v>
      </c>
      <c r="W1115" s="18" t="s">
        <v>1726</v>
      </c>
      <c r="X1115" s="17">
        <v>0</v>
      </c>
      <c r="Y1115" s="17"/>
      <c r="Z1115" s="17"/>
      <c r="AA1115" s="17"/>
      <c r="AB1115" s="17"/>
      <c r="AC1115" s="17"/>
      <c r="AD1115" s="17"/>
      <c r="AE1115" s="17"/>
      <c r="AF1115" s="17"/>
      <c r="AG1115" s="64"/>
      <c r="AH1115" s="64"/>
      <c r="AI1115" s="64"/>
      <c r="AJ1115" s="64"/>
      <c r="AK1115" s="64"/>
      <c r="AL1115" s="264"/>
      <c r="AM1115" s="84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  <c r="AY1115" s="18"/>
    </row>
    <row r="1116" spans="1:51" s="33" customFormat="1" x14ac:dyDescent="0.3">
      <c r="A1116" s="63" t="str">
        <f>+A1115</f>
        <v>BCV131</v>
      </c>
      <c r="B1116" s="18" t="str">
        <f>+B1115</f>
        <v>AX16</v>
      </c>
      <c r="C1116" s="85" t="str">
        <f>+C1115</f>
        <v>SIO1</v>
      </c>
      <c r="D1116" s="85" t="str">
        <f>+D1115</f>
        <v>SLC02</v>
      </c>
      <c r="E1116" s="290">
        <f>+E1115</f>
        <v>2</v>
      </c>
      <c r="F1116" s="290">
        <f>+F1115</f>
        <v>8</v>
      </c>
      <c r="G1116" s="290">
        <f>+G1115</f>
        <v>0</v>
      </c>
      <c r="H1116" s="72">
        <f>+H1115</f>
        <v>1</v>
      </c>
      <c r="I1116" s="75">
        <v>8</v>
      </c>
      <c r="J1116" s="74" t="s">
        <v>245</v>
      </c>
      <c r="K1116" s="85"/>
      <c r="L1116" s="79" t="s">
        <v>244</v>
      </c>
      <c r="M1116" s="17">
        <v>3</v>
      </c>
      <c r="N1116" s="17"/>
      <c r="O1116" s="296"/>
      <c r="P1116" s="296"/>
      <c r="Q1116" s="296" t="s">
        <v>127</v>
      </c>
      <c r="R1116" s="17"/>
      <c r="S1116" s="17"/>
      <c r="T1116" s="17"/>
      <c r="U1116" s="17"/>
      <c r="V1116" s="289" t="str">
        <f>+CONCATENATE(E1116,".",F1116,"\",G1116,".",H1116,":",I1116)</f>
        <v>2.8\0.1:8</v>
      </c>
      <c r="W1116" s="18" t="s">
        <v>1726</v>
      </c>
      <c r="X1116" s="17">
        <v>0</v>
      </c>
      <c r="Y1116" s="17"/>
      <c r="Z1116" s="17"/>
      <c r="AA1116" s="17"/>
      <c r="AB1116" s="17"/>
      <c r="AC1116" s="17"/>
      <c r="AD1116" s="17"/>
      <c r="AE1116" s="17"/>
      <c r="AF1116" s="17"/>
      <c r="AG1116" s="64"/>
      <c r="AH1116" s="64"/>
      <c r="AI1116" s="64"/>
      <c r="AJ1116" s="64"/>
      <c r="AK1116" s="64"/>
      <c r="AL1116" s="264"/>
      <c r="AM1116" s="84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  <c r="AY1116" s="18"/>
    </row>
    <row r="1117" spans="1:51" s="33" customFormat="1" x14ac:dyDescent="0.3">
      <c r="A1117" s="63" t="str">
        <f>+A1116</f>
        <v>BCV131</v>
      </c>
      <c r="B1117" s="18" t="str">
        <f>+B1116</f>
        <v>AX16</v>
      </c>
      <c r="C1117" s="85" t="str">
        <f>+C1116</f>
        <v>SIO1</v>
      </c>
      <c r="D1117" s="85" t="str">
        <f>+D1116</f>
        <v>SLC02</v>
      </c>
      <c r="E1117" s="290">
        <f>+E1116</f>
        <v>2</v>
      </c>
      <c r="F1117" s="290">
        <f>+F1116</f>
        <v>8</v>
      </c>
      <c r="G1117" s="290">
        <f>+G1116</f>
        <v>0</v>
      </c>
      <c r="H1117" s="72">
        <f>+H1116</f>
        <v>1</v>
      </c>
      <c r="I1117" s="75">
        <v>1</v>
      </c>
      <c r="J1117" s="81" t="s">
        <v>1321</v>
      </c>
      <c r="K1117" s="85" t="s">
        <v>1366</v>
      </c>
      <c r="L1117" s="79" t="s">
        <v>235</v>
      </c>
      <c r="M1117" s="17">
        <v>3</v>
      </c>
      <c r="N1117" s="18" t="s">
        <v>1730</v>
      </c>
      <c r="O1117" s="17" t="s">
        <v>1731</v>
      </c>
      <c r="P1117" s="17"/>
      <c r="Q1117" s="17" t="s">
        <v>1335</v>
      </c>
      <c r="R1117" s="17" t="s">
        <v>922</v>
      </c>
      <c r="S1117" s="17"/>
      <c r="T1117" s="17" t="str">
        <f>+T1109</f>
        <v>BCV131</v>
      </c>
      <c r="U1117" s="17"/>
      <c r="V1117" s="289" t="str">
        <f>+CONCATENATE(E1117,".",F1117,"\",G1117,".",H1117,":",I1117)</f>
        <v>2.8\0.1:1</v>
      </c>
      <c r="W1117" s="18" t="s">
        <v>1726</v>
      </c>
      <c r="X1117" s="17">
        <v>0</v>
      </c>
      <c r="Y1117" s="17"/>
      <c r="Z1117" s="17"/>
      <c r="AA1117" s="17"/>
      <c r="AB1117" s="17"/>
      <c r="AC1117" s="17"/>
      <c r="AD1117" s="17"/>
      <c r="AE1117" s="17"/>
      <c r="AF1117" s="17"/>
      <c r="AG1117" s="64"/>
      <c r="AH1117" s="64"/>
      <c r="AI1117" s="64"/>
      <c r="AJ1117" s="64"/>
      <c r="AK1117" s="64"/>
      <c r="AL1117" s="264"/>
      <c r="AM1117" s="84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  <c r="AY1117" s="18"/>
    </row>
    <row r="1118" spans="1:51" s="33" customFormat="1" x14ac:dyDescent="0.3">
      <c r="A1118" s="63" t="str">
        <f>+A1117</f>
        <v>BCV131</v>
      </c>
      <c r="B1118" s="18" t="str">
        <f>+B1117</f>
        <v>AX16</v>
      </c>
      <c r="C1118" s="85" t="str">
        <f>+C1117</f>
        <v>SIO1</v>
      </c>
      <c r="D1118" s="85" t="str">
        <f>+D1117</f>
        <v>SLC02</v>
      </c>
      <c r="E1118" s="290">
        <f>+E1117</f>
        <v>2</v>
      </c>
      <c r="F1118" s="290">
        <f>+F1117</f>
        <v>8</v>
      </c>
      <c r="G1118" s="290">
        <f>+G1117</f>
        <v>0</v>
      </c>
      <c r="H1118" s="72">
        <f>+H1117</f>
        <v>1</v>
      </c>
      <c r="I1118" s="75">
        <v>2</v>
      </c>
      <c r="J1118" s="74" t="s">
        <v>1320</v>
      </c>
      <c r="K1118" s="85"/>
      <c r="L1118" s="79" t="s">
        <v>235</v>
      </c>
      <c r="M1118" s="17">
        <v>3</v>
      </c>
      <c r="N1118" s="18" t="s">
        <v>1730</v>
      </c>
      <c r="O1118" s="17" t="s">
        <v>1729</v>
      </c>
      <c r="P1118" s="17"/>
      <c r="Q1118" s="17" t="s">
        <v>1330</v>
      </c>
      <c r="R1118" s="17" t="s">
        <v>922</v>
      </c>
      <c r="S1118" s="17"/>
      <c r="T1118" s="17" t="str">
        <f>+T1117</f>
        <v>BCV131</v>
      </c>
      <c r="U1118" s="17"/>
      <c r="V1118" s="289" t="str">
        <f>+CONCATENATE(E1118,".",F1118,"\",G1118,".",H1118,":",I1118)</f>
        <v>2.8\0.1:2</v>
      </c>
      <c r="W1118" s="18" t="s">
        <v>1726</v>
      </c>
      <c r="X1118" s="17">
        <v>0</v>
      </c>
      <c r="Y1118" s="17"/>
      <c r="Z1118" s="17"/>
      <c r="AA1118" s="17"/>
      <c r="AB1118" s="17"/>
      <c r="AC1118" s="17"/>
      <c r="AD1118" s="17"/>
      <c r="AE1118" s="17"/>
      <c r="AF1118" s="17"/>
      <c r="AG1118" s="64"/>
      <c r="AH1118" s="64"/>
      <c r="AI1118" s="64"/>
      <c r="AJ1118" s="64"/>
      <c r="AK1118" s="64"/>
      <c r="AL1118" s="264"/>
      <c r="AM1118" s="84"/>
      <c r="AN1118" s="18"/>
      <c r="AO1118" s="18"/>
      <c r="AP1118" s="18"/>
      <c r="AQ1118" s="18"/>
      <c r="AR1118" s="18"/>
      <c r="AS1118" s="18"/>
      <c r="AT1118" s="18"/>
      <c r="AU1118" s="18"/>
      <c r="AV1118" s="18"/>
      <c r="AW1118" s="18"/>
      <c r="AX1118" s="18"/>
      <c r="AY1118" s="18"/>
    </row>
    <row r="1119" spans="1:51" s="33" customFormat="1" x14ac:dyDescent="0.3">
      <c r="A1119" s="63" t="str">
        <f>+A1118</f>
        <v>BCV131</v>
      </c>
      <c r="B1119" s="18" t="str">
        <f>+B1118</f>
        <v>AX16</v>
      </c>
      <c r="C1119" s="85" t="str">
        <f>+C1118</f>
        <v>SIO1</v>
      </c>
      <c r="D1119" s="85" t="str">
        <f>+D1118</f>
        <v>SLC02</v>
      </c>
      <c r="E1119" s="290">
        <f>+E1118</f>
        <v>2</v>
      </c>
      <c r="F1119" s="290">
        <f>+F1118</f>
        <v>8</v>
      </c>
      <c r="G1119" s="290">
        <f>+G1118</f>
        <v>0</v>
      </c>
      <c r="H1119" s="72">
        <f>+H1118</f>
        <v>1</v>
      </c>
      <c r="I1119" s="75">
        <v>3</v>
      </c>
      <c r="J1119" s="74" t="s">
        <v>1319</v>
      </c>
      <c r="K1119" s="85"/>
      <c r="L1119" s="79" t="s">
        <v>235</v>
      </c>
      <c r="M1119" s="17">
        <v>3</v>
      </c>
      <c r="N1119" s="18" t="s">
        <v>1728</v>
      </c>
      <c r="O1119" s="17" t="s">
        <v>1727</v>
      </c>
      <c r="P1119" s="17"/>
      <c r="Q1119" s="17" t="s">
        <v>1330</v>
      </c>
      <c r="R1119" s="17" t="s">
        <v>922</v>
      </c>
      <c r="S1119" s="17"/>
      <c r="T1119" s="17" t="str">
        <f>+T1118</f>
        <v>BCV131</v>
      </c>
      <c r="U1119" s="17"/>
      <c r="V1119" s="289" t="str">
        <f>+CONCATENATE(E1119,".",F1119,"\",G1119,".",H1119,":",I1119)</f>
        <v>2.8\0.1:3</v>
      </c>
      <c r="W1119" s="18" t="s">
        <v>1726</v>
      </c>
      <c r="X1119" s="17">
        <v>0</v>
      </c>
      <c r="Y1119" s="17"/>
      <c r="Z1119" s="17"/>
      <c r="AA1119" s="17"/>
      <c r="AB1119" s="17"/>
      <c r="AC1119" s="17"/>
      <c r="AD1119" s="17"/>
      <c r="AE1119" s="17"/>
      <c r="AF1119" s="17"/>
      <c r="AG1119" s="64"/>
      <c r="AH1119" s="64"/>
      <c r="AI1119" s="64"/>
      <c r="AJ1119" s="64"/>
      <c r="AK1119" s="64"/>
      <c r="AL1119" s="264"/>
      <c r="AM1119" s="84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  <c r="AY1119" s="18"/>
    </row>
    <row r="1120" spans="1:51" s="33" customFormat="1" ht="13.5" thickBot="1" x14ac:dyDescent="0.35">
      <c r="A1120" s="63" t="str">
        <f>+A1119</f>
        <v>BCV131</v>
      </c>
      <c r="B1120" s="18" t="str">
        <f>+B1119</f>
        <v>AX16</v>
      </c>
      <c r="C1120" s="85" t="str">
        <f>+C1119</f>
        <v>SIO1</v>
      </c>
      <c r="D1120" s="85" t="str">
        <f>+D1119</f>
        <v>SLC02</v>
      </c>
      <c r="E1120" s="290">
        <f>+E1119</f>
        <v>2</v>
      </c>
      <c r="F1120" s="290">
        <f>+F1119</f>
        <v>8</v>
      </c>
      <c r="G1120" s="290">
        <f>+G1119</f>
        <v>0</v>
      </c>
      <c r="H1120" s="72">
        <f>+H1119</f>
        <v>1</v>
      </c>
      <c r="I1120" s="71">
        <v>4</v>
      </c>
      <c r="J1120" s="70" t="s">
        <v>1318</v>
      </c>
      <c r="K1120" s="85"/>
      <c r="L1120" s="79" t="s">
        <v>235</v>
      </c>
      <c r="M1120" s="17">
        <v>3</v>
      </c>
      <c r="N1120" s="17"/>
      <c r="O1120" s="17"/>
      <c r="P1120" s="17"/>
      <c r="Q1120" s="68"/>
      <c r="R1120" s="68"/>
      <c r="S1120" s="68"/>
      <c r="T1120" s="68"/>
      <c r="U1120" s="17"/>
      <c r="V1120" s="289" t="str">
        <f>+CONCATENATE(E1120,".",F1120,"\",G1120,".",H1120,":",I1120)</f>
        <v>2.8\0.1:4</v>
      </c>
      <c r="W1120" s="18" t="s">
        <v>1726</v>
      </c>
      <c r="X1120" s="17">
        <v>0</v>
      </c>
      <c r="Y1120" s="17"/>
      <c r="Z1120" s="17"/>
      <c r="AA1120" s="17"/>
      <c r="AB1120" s="17"/>
      <c r="AC1120" s="17"/>
      <c r="AD1120" s="17"/>
      <c r="AE1120" s="17"/>
      <c r="AF1120" s="17"/>
      <c r="AG1120" s="64"/>
      <c r="AH1120" s="64"/>
      <c r="AI1120" s="64"/>
      <c r="AJ1120" s="64"/>
      <c r="AK1120" s="64"/>
      <c r="AL1120" s="264"/>
      <c r="AM1120" s="84"/>
      <c r="AN1120" s="18"/>
      <c r="AO1120" s="18"/>
      <c r="AP1120" s="18"/>
      <c r="AQ1120" s="18"/>
      <c r="AR1120" s="18"/>
      <c r="AS1120" s="18"/>
      <c r="AT1120" s="18"/>
      <c r="AU1120" s="18"/>
      <c r="AV1120" s="18"/>
      <c r="AW1120" s="18"/>
      <c r="AX1120" s="18"/>
      <c r="AY1120" s="18"/>
    </row>
    <row r="1121" spans="1:51" s="33" customFormat="1" x14ac:dyDescent="0.3">
      <c r="A1121" s="63"/>
      <c r="B1121" s="63"/>
      <c r="C1121" s="63"/>
      <c r="D1121" s="63"/>
      <c r="E1121" s="288"/>
      <c r="F1121" s="288"/>
      <c r="G1121" s="288"/>
      <c r="H1121" s="63"/>
      <c r="I1121" s="63"/>
      <c r="J1121" s="63"/>
      <c r="K1121" s="17"/>
      <c r="L1121" s="17"/>
      <c r="M1121" s="17"/>
      <c r="N1121" s="17"/>
      <c r="O1121" s="68"/>
      <c r="P1121" s="68"/>
      <c r="Q1121" s="68"/>
      <c r="R1121" s="68"/>
      <c r="S1121" s="68"/>
      <c r="T1121" s="68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64"/>
      <c r="AH1121" s="64"/>
      <c r="AI1121" s="64"/>
      <c r="AJ1121" s="64"/>
      <c r="AK1121" s="64"/>
      <c r="AL1121" s="264"/>
      <c r="AM1121" s="84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  <c r="AY1121" s="18"/>
    </row>
    <row r="1122" spans="1:51" s="33" customFormat="1" x14ac:dyDescent="0.3">
      <c r="A1122" s="63"/>
      <c r="B1122" s="63"/>
      <c r="C1122" s="63"/>
      <c r="D1122" s="63"/>
      <c r="E1122" s="288"/>
      <c r="F1122" s="288"/>
      <c r="G1122" s="288"/>
      <c r="H1122" s="63"/>
      <c r="I1122" s="63"/>
      <c r="J1122" s="63"/>
      <c r="K1122" s="17"/>
      <c r="L1122" s="17"/>
      <c r="M1122" s="17"/>
      <c r="N1122" s="17"/>
      <c r="O1122" s="68"/>
      <c r="P1122" s="68"/>
      <c r="Q1122" s="68"/>
      <c r="R1122" s="68"/>
      <c r="S1122" s="68"/>
      <c r="T1122" s="68"/>
      <c r="U1122" s="17"/>
      <c r="V1122" s="17"/>
      <c r="W1122" s="17"/>
      <c r="X1122" s="17"/>
      <c r="Y1122" s="17"/>
      <c r="Z1122" s="17"/>
      <c r="AA1122" s="17"/>
      <c r="AB1122" s="20"/>
      <c r="AC1122" s="17"/>
      <c r="AD1122" s="17"/>
      <c r="AE1122" s="17"/>
      <c r="AF1122" s="17"/>
      <c r="AG1122" s="64"/>
      <c r="AH1122" s="64"/>
      <c r="AI1122" s="64"/>
      <c r="AJ1122" s="64"/>
      <c r="AK1122" s="64"/>
      <c r="AL1122" s="264"/>
      <c r="AM1122" s="84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  <c r="AY1122" s="18"/>
    </row>
    <row r="1123" spans="1:51" s="33" customFormat="1" x14ac:dyDescent="0.3">
      <c r="A1123" s="63"/>
      <c r="B1123" s="63"/>
      <c r="C1123" s="63"/>
      <c r="D1123" s="63"/>
      <c r="E1123" s="288"/>
      <c r="F1123" s="288"/>
      <c r="G1123" s="288"/>
      <c r="H1123" s="63"/>
      <c r="I1123" s="63"/>
      <c r="J1123" s="63"/>
      <c r="K1123" s="17"/>
      <c r="L1123" s="17"/>
      <c r="M1123" s="17"/>
      <c r="N1123" s="17"/>
      <c r="O1123" s="68"/>
      <c r="P1123" s="68"/>
      <c r="Q1123" s="68"/>
      <c r="R1123" s="68"/>
      <c r="S1123" s="68"/>
      <c r="T1123" s="68"/>
      <c r="U1123" s="17"/>
      <c r="V1123" s="17"/>
      <c r="W1123" s="17"/>
      <c r="X1123" s="17"/>
      <c r="Y1123" s="17"/>
      <c r="Z1123" s="17"/>
      <c r="AA1123" s="17"/>
      <c r="AB1123" s="20"/>
      <c r="AC1123" s="17"/>
      <c r="AD1123" s="17"/>
      <c r="AE1123" s="17"/>
      <c r="AF1123" s="17"/>
      <c r="AG1123" s="64"/>
      <c r="AH1123" s="64"/>
      <c r="AI1123" s="64"/>
      <c r="AJ1123" s="64"/>
      <c r="AK1123" s="64"/>
      <c r="AL1123" s="264"/>
      <c r="AM1123" s="84"/>
      <c r="AN1123" s="18"/>
      <c r="AO1123" s="18"/>
      <c r="AP1123" s="18"/>
      <c r="AQ1123" s="18"/>
      <c r="AR1123" s="18"/>
      <c r="AS1123" s="18"/>
      <c r="AT1123" s="18"/>
      <c r="AU1123" s="18"/>
      <c r="AV1123" s="18"/>
      <c r="AW1123" s="18"/>
      <c r="AX1123" s="18"/>
      <c r="AY1123" s="18"/>
    </row>
    <row r="1124" spans="1:51" s="33" customFormat="1" ht="15.5" x14ac:dyDescent="0.35">
      <c r="A1124" s="297"/>
      <c r="B1124" s="96" t="s">
        <v>1725</v>
      </c>
      <c r="C1124" s="256"/>
      <c r="D1124" s="256"/>
      <c r="E1124" s="256"/>
      <c r="F1124" s="256"/>
      <c r="G1124" s="256"/>
      <c r="H1124" s="256"/>
      <c r="I1124" s="256"/>
      <c r="J1124" s="256"/>
      <c r="K1124" s="256"/>
      <c r="L1124" s="256"/>
      <c r="M1124" s="256"/>
      <c r="N1124" s="287"/>
      <c r="O1124" s="256"/>
      <c r="P1124" s="287"/>
      <c r="Q1124" s="256"/>
      <c r="R1124" s="256"/>
      <c r="S1124" s="256"/>
      <c r="T1124" s="256"/>
      <c r="U1124" s="256"/>
      <c r="V1124" s="256"/>
      <c r="W1124" s="287"/>
      <c r="X1124" s="256"/>
      <c r="Y1124" s="256"/>
      <c r="Z1124" s="17"/>
      <c r="AA1124" s="17"/>
      <c r="AB1124" s="17"/>
      <c r="AC1124" s="17"/>
      <c r="AD1124" s="17"/>
      <c r="AE1124" s="17"/>
      <c r="AF1124" s="17"/>
      <c r="AG1124" s="64"/>
      <c r="AH1124" s="64"/>
      <c r="AI1124" s="64"/>
      <c r="AJ1124" s="64"/>
      <c r="AK1124" s="64"/>
      <c r="AL1124" s="264"/>
      <c r="AM1124" s="84"/>
      <c r="AN1124" s="18"/>
      <c r="AO1124" s="18"/>
      <c r="AP1124" s="18"/>
      <c r="AQ1124" s="18"/>
      <c r="AR1124" s="18"/>
      <c r="AS1124" s="18"/>
      <c r="AT1124" s="18"/>
      <c r="AU1124" s="18"/>
      <c r="AV1124" s="18"/>
      <c r="AW1124" s="18"/>
      <c r="AX1124" s="18"/>
      <c r="AY1124" s="18"/>
    </row>
    <row r="1125" spans="1:51" s="33" customFormat="1" ht="13.5" thickBot="1" x14ac:dyDescent="0.35">
      <c r="A1125" s="63"/>
      <c r="B1125" s="63"/>
      <c r="C1125" s="63"/>
      <c r="D1125" s="63"/>
      <c r="E1125" s="288"/>
      <c r="F1125" s="288"/>
      <c r="G1125" s="288"/>
      <c r="H1125" s="63"/>
      <c r="I1125" s="63"/>
      <c r="J1125" s="63"/>
      <c r="K1125" s="17"/>
      <c r="L1125" s="17"/>
      <c r="M1125" s="17"/>
      <c r="N1125" s="17"/>
      <c r="O1125" s="68"/>
      <c r="P1125" s="68"/>
      <c r="Q1125" s="68"/>
      <c r="R1125" s="68"/>
      <c r="S1125" s="68"/>
      <c r="T1125" s="68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64"/>
      <c r="AH1125" s="64"/>
      <c r="AI1125" s="64"/>
      <c r="AJ1125" s="64"/>
      <c r="AK1125" s="64"/>
      <c r="AL1125" s="264"/>
      <c r="AM1125" s="84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  <c r="AY1125" s="18"/>
    </row>
    <row r="1126" spans="1:51" s="33" customFormat="1" ht="13.5" thickBot="1" x14ac:dyDescent="0.35">
      <c r="A1126" s="63" t="s">
        <v>194</v>
      </c>
      <c r="B1126" s="17" t="s">
        <v>1724</v>
      </c>
      <c r="C1126" s="295" t="s">
        <v>271</v>
      </c>
      <c r="D1126" s="290" t="s">
        <v>285</v>
      </c>
      <c r="E1126" s="290">
        <v>1</v>
      </c>
      <c r="F1126" s="290">
        <v>9</v>
      </c>
      <c r="G1126" s="290">
        <v>0</v>
      </c>
      <c r="H1126" s="89">
        <v>0</v>
      </c>
      <c r="I1126" s="88" t="s">
        <v>1106</v>
      </c>
      <c r="J1126" s="87"/>
      <c r="K1126" s="84">
        <v>1059305</v>
      </c>
      <c r="L1126" s="91" t="s">
        <v>1377</v>
      </c>
      <c r="M1126" s="17">
        <v>3</v>
      </c>
      <c r="N1126" s="17"/>
      <c r="O1126" s="83"/>
      <c r="P1126" s="83"/>
      <c r="Q1126" s="68"/>
      <c r="R1126" s="68"/>
      <c r="S1126" s="68"/>
      <c r="T1126" s="68"/>
      <c r="U1126" s="17"/>
      <c r="V1126" s="17"/>
      <c r="W1126" s="18" t="s">
        <v>1708</v>
      </c>
      <c r="X1126" s="17">
        <v>0</v>
      </c>
      <c r="Y1126" s="17"/>
      <c r="Z1126" s="17"/>
      <c r="AA1126" s="17"/>
      <c r="AB1126" s="17"/>
      <c r="AC1126" s="17"/>
      <c r="AD1126" s="17"/>
      <c r="AE1126" s="17"/>
      <c r="AF1126" s="17"/>
      <c r="AG1126" s="64"/>
      <c r="AH1126" s="64"/>
      <c r="AI1126" s="64"/>
      <c r="AJ1126" s="64"/>
      <c r="AK1126" s="64"/>
      <c r="AL1126" s="264"/>
      <c r="AM1126" s="84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  <c r="AY1126" s="18"/>
    </row>
    <row r="1127" spans="1:51" s="33" customFormat="1" x14ac:dyDescent="0.3">
      <c r="A1127" s="63" t="str">
        <f>+A1126</f>
        <v>BCV131</v>
      </c>
      <c r="B1127" s="18" t="str">
        <f>+B1126</f>
        <v>AX17</v>
      </c>
      <c r="C1127" s="85" t="str">
        <f>+C1126</f>
        <v>SIO1</v>
      </c>
      <c r="D1127" s="85" t="str">
        <f>+D1126</f>
        <v>SLC01</v>
      </c>
      <c r="E1127" s="290">
        <f>+E1126</f>
        <v>1</v>
      </c>
      <c r="F1127" s="290">
        <f>+F1126</f>
        <v>9</v>
      </c>
      <c r="G1127" s="290">
        <f>+G1126</f>
        <v>0</v>
      </c>
      <c r="H1127" s="72">
        <v>1</v>
      </c>
      <c r="I1127" s="77">
        <v>1</v>
      </c>
      <c r="J1127" s="76" t="s">
        <v>269</v>
      </c>
      <c r="K1127" s="65">
        <v>1044125</v>
      </c>
      <c r="L1127" s="79" t="s">
        <v>244</v>
      </c>
      <c r="M1127" s="17">
        <v>3</v>
      </c>
      <c r="N1127" s="18" t="s">
        <v>1721</v>
      </c>
      <c r="O1127" s="296" t="s">
        <v>1723</v>
      </c>
      <c r="P1127" s="296"/>
      <c r="Q1127" s="296" t="s">
        <v>1722</v>
      </c>
      <c r="R1127" s="17" t="s">
        <v>211</v>
      </c>
      <c r="S1127" s="17"/>
      <c r="T1127" s="17" t="s">
        <v>194</v>
      </c>
      <c r="U1127" s="17"/>
      <c r="V1127" s="289" t="str">
        <f>+CONCATENATE(E1127,".",F1127,"\",G1127,".",H1127,":",I1127)</f>
        <v>1.9\0.1:1</v>
      </c>
      <c r="W1127" s="18" t="s">
        <v>1708</v>
      </c>
      <c r="X1127" s="17">
        <v>0</v>
      </c>
      <c r="Y1127" s="17"/>
      <c r="Z1127" s="17"/>
      <c r="AA1127" s="17"/>
      <c r="AB1127" s="17"/>
      <c r="AC1127" s="17"/>
      <c r="AD1127" s="17"/>
      <c r="AE1127" s="17"/>
      <c r="AF1127" s="17"/>
      <c r="AG1127" s="64"/>
      <c r="AH1127" s="64"/>
      <c r="AI1127" s="64"/>
      <c r="AJ1127" s="64"/>
      <c r="AK1127" s="64"/>
      <c r="AL1127" s="264"/>
      <c r="AM1127" s="84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  <c r="AY1127" s="18"/>
    </row>
    <row r="1128" spans="1:51" s="33" customFormat="1" x14ac:dyDescent="0.3">
      <c r="A1128" s="63" t="str">
        <f>+A1127</f>
        <v>BCV131</v>
      </c>
      <c r="B1128" s="18" t="str">
        <f>+B1127</f>
        <v>AX17</v>
      </c>
      <c r="C1128" s="85" t="str">
        <f>+C1127</f>
        <v>SIO1</v>
      </c>
      <c r="D1128" s="85" t="str">
        <f>+D1127</f>
        <v>SLC01</v>
      </c>
      <c r="E1128" s="290">
        <f>+E1127</f>
        <v>1</v>
      </c>
      <c r="F1128" s="290">
        <f>+F1127</f>
        <v>9</v>
      </c>
      <c r="G1128" s="290">
        <f>+G1127</f>
        <v>0</v>
      </c>
      <c r="H1128" s="72">
        <f>+H1127</f>
        <v>1</v>
      </c>
      <c r="I1128" s="75">
        <v>2</v>
      </c>
      <c r="J1128" s="74" t="s">
        <v>265</v>
      </c>
      <c r="K1128" s="84">
        <v>1047162</v>
      </c>
      <c r="L1128" s="79" t="s">
        <v>244</v>
      </c>
      <c r="M1128" s="17">
        <v>3</v>
      </c>
      <c r="N1128" s="18" t="s">
        <v>1721</v>
      </c>
      <c r="O1128" s="296" t="s">
        <v>1720</v>
      </c>
      <c r="P1128" s="296"/>
      <c r="Q1128" s="296" t="s">
        <v>1719</v>
      </c>
      <c r="R1128" s="17" t="s">
        <v>211</v>
      </c>
      <c r="S1128" s="17"/>
      <c r="T1128" s="17" t="str">
        <f>+T1127</f>
        <v>BCV131</v>
      </c>
      <c r="U1128" s="17"/>
      <c r="V1128" s="289" t="str">
        <f>+CONCATENATE(E1128,".",F1128,"\",G1128,".",H1128,":",I1128)</f>
        <v>1.9\0.1:2</v>
      </c>
      <c r="W1128" s="18" t="s">
        <v>1708</v>
      </c>
      <c r="X1128" s="17">
        <v>0</v>
      </c>
      <c r="Y1128" s="17"/>
      <c r="Z1128" s="17"/>
      <c r="AA1128" s="17"/>
      <c r="AB1128" s="17"/>
      <c r="AC1128" s="17"/>
      <c r="AD1128" s="17"/>
      <c r="AE1128" s="17"/>
      <c r="AF1128" s="17"/>
      <c r="AG1128" s="64"/>
      <c r="AH1128" s="64"/>
      <c r="AI1128" s="64"/>
      <c r="AJ1128" s="64"/>
      <c r="AK1128" s="64"/>
      <c r="AL1128" s="264"/>
      <c r="AM1128" s="84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  <c r="AY1128" s="18"/>
    </row>
    <row r="1129" spans="1:51" s="33" customFormat="1" x14ac:dyDescent="0.3">
      <c r="A1129" s="63" t="str">
        <f>+A1128</f>
        <v>BCV131</v>
      </c>
      <c r="B1129" s="18" t="str">
        <f>+B1128</f>
        <v>AX17</v>
      </c>
      <c r="C1129" s="85" t="str">
        <f>+C1128</f>
        <v>SIO1</v>
      </c>
      <c r="D1129" s="85" t="str">
        <f>+D1128</f>
        <v>SLC01</v>
      </c>
      <c r="E1129" s="290">
        <f>+E1128</f>
        <v>1</v>
      </c>
      <c r="F1129" s="290">
        <f>+F1128</f>
        <v>9</v>
      </c>
      <c r="G1129" s="290">
        <f>+G1128</f>
        <v>0</v>
      </c>
      <c r="H1129" s="72">
        <f>+H1128</f>
        <v>1</v>
      </c>
      <c r="I1129" s="75">
        <v>3</v>
      </c>
      <c r="J1129" s="74" t="s">
        <v>261</v>
      </c>
      <c r="K1129" s="85"/>
      <c r="L1129" s="79" t="s">
        <v>244</v>
      </c>
      <c r="M1129" s="17">
        <v>3</v>
      </c>
      <c r="N1129" s="18" t="s">
        <v>1716</v>
      </c>
      <c r="O1129" s="296" t="s">
        <v>1718</v>
      </c>
      <c r="P1129" s="296"/>
      <c r="Q1129" s="296" t="s">
        <v>1717</v>
      </c>
      <c r="R1129" s="17" t="s">
        <v>211</v>
      </c>
      <c r="S1129" s="17"/>
      <c r="T1129" s="17" t="str">
        <f>+T1128</f>
        <v>BCV131</v>
      </c>
      <c r="U1129" s="17"/>
      <c r="V1129" s="289" t="str">
        <f>+CONCATENATE(E1129,".",F1129,"\",G1129,".",H1129,":",I1129)</f>
        <v>1.9\0.1:3</v>
      </c>
      <c r="W1129" s="18" t="s">
        <v>1708</v>
      </c>
      <c r="X1129" s="17">
        <v>0</v>
      </c>
      <c r="Y1129" s="17"/>
      <c r="Z1129" s="17"/>
      <c r="AA1129" s="17"/>
      <c r="AB1129" s="17"/>
      <c r="AC1129" s="17"/>
      <c r="AD1129" s="17"/>
      <c r="AE1129" s="17"/>
      <c r="AF1129" s="17"/>
      <c r="AG1129" s="64"/>
      <c r="AH1129" s="64"/>
      <c r="AI1129" s="64"/>
      <c r="AJ1129" s="64"/>
      <c r="AK1129" s="64"/>
      <c r="AL1129" s="264"/>
      <c r="AM1129" s="84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  <c r="AY1129" s="18"/>
    </row>
    <row r="1130" spans="1:51" s="33" customFormat="1" x14ac:dyDescent="0.3">
      <c r="A1130" s="63" t="str">
        <f>+A1129</f>
        <v>BCV131</v>
      </c>
      <c r="B1130" s="18" t="str">
        <f>+B1129</f>
        <v>AX17</v>
      </c>
      <c r="C1130" s="85" t="str">
        <f>+C1129</f>
        <v>SIO1</v>
      </c>
      <c r="D1130" s="85" t="str">
        <f>+D1129</f>
        <v>SLC01</v>
      </c>
      <c r="E1130" s="290">
        <f>+E1129</f>
        <v>1</v>
      </c>
      <c r="F1130" s="290">
        <f>+F1129</f>
        <v>9</v>
      </c>
      <c r="G1130" s="290">
        <f>+G1129</f>
        <v>0</v>
      </c>
      <c r="H1130" s="72">
        <f>+H1129</f>
        <v>1</v>
      </c>
      <c r="I1130" s="75">
        <v>4</v>
      </c>
      <c r="J1130" s="74" t="s">
        <v>257</v>
      </c>
      <c r="K1130" s="85"/>
      <c r="L1130" s="79" t="s">
        <v>244</v>
      </c>
      <c r="M1130" s="17">
        <v>3</v>
      </c>
      <c r="N1130" s="18" t="s">
        <v>1716</v>
      </c>
      <c r="O1130" s="296" t="s">
        <v>1715</v>
      </c>
      <c r="P1130" s="296"/>
      <c r="Q1130" s="296" t="s">
        <v>1714</v>
      </c>
      <c r="R1130" s="17" t="s">
        <v>211</v>
      </c>
      <c r="S1130" s="17"/>
      <c r="T1130" s="17" t="str">
        <f>+T1129</f>
        <v>BCV131</v>
      </c>
      <c r="U1130" s="17"/>
      <c r="V1130" s="289" t="str">
        <f>+CONCATENATE(E1130,".",F1130,"\",G1130,".",H1130,":",I1130)</f>
        <v>1.9\0.1:4</v>
      </c>
      <c r="W1130" s="18" t="s">
        <v>1708</v>
      </c>
      <c r="X1130" s="17">
        <v>0</v>
      </c>
      <c r="Y1130" s="17"/>
      <c r="Z1130" s="17"/>
      <c r="AA1130" s="17"/>
      <c r="AB1130" s="17"/>
      <c r="AC1130" s="17"/>
      <c r="AD1130" s="17"/>
      <c r="AE1130" s="17"/>
      <c r="AF1130" s="17"/>
      <c r="AG1130" s="64"/>
      <c r="AH1130" s="64"/>
      <c r="AI1130" s="64"/>
      <c r="AJ1130" s="64"/>
      <c r="AK1130" s="64"/>
      <c r="AL1130" s="264"/>
      <c r="AM1130" s="84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  <c r="AY1130" s="18"/>
    </row>
    <row r="1131" spans="1:51" s="33" customFormat="1" x14ac:dyDescent="0.3">
      <c r="A1131" s="63" t="str">
        <f>+A1130</f>
        <v>BCV131</v>
      </c>
      <c r="B1131" s="18" t="str">
        <f>+B1130</f>
        <v>AX17</v>
      </c>
      <c r="C1131" s="85" t="str">
        <f>+C1130</f>
        <v>SIO1</v>
      </c>
      <c r="D1131" s="85" t="str">
        <f>+D1130</f>
        <v>SLC01</v>
      </c>
      <c r="E1131" s="290">
        <f>+E1130</f>
        <v>1</v>
      </c>
      <c r="F1131" s="290">
        <f>+F1130</f>
        <v>9</v>
      </c>
      <c r="G1131" s="290">
        <f>+G1130</f>
        <v>0</v>
      </c>
      <c r="H1131" s="72">
        <f>+H1130</f>
        <v>1</v>
      </c>
      <c r="I1131" s="75">
        <v>5</v>
      </c>
      <c r="J1131" s="74" t="s">
        <v>1325</v>
      </c>
      <c r="K1131" s="85"/>
      <c r="L1131" s="79" t="s">
        <v>244</v>
      </c>
      <c r="M1131" s="17">
        <v>3</v>
      </c>
      <c r="N1131" s="17"/>
      <c r="O1131" s="296"/>
      <c r="P1131" s="296"/>
      <c r="Q1131" s="296" t="s">
        <v>127</v>
      </c>
      <c r="R1131" s="17"/>
      <c r="S1131" s="17"/>
      <c r="T1131" s="17"/>
      <c r="U1131" s="17"/>
      <c r="V1131" s="289" t="str">
        <f>+CONCATENATE(E1131,".",F1131,"\",G1131,".",H1131,":",I1131)</f>
        <v>1.9\0.1:5</v>
      </c>
      <c r="W1131" s="18" t="s">
        <v>1708</v>
      </c>
      <c r="X1131" s="17">
        <v>0</v>
      </c>
      <c r="Y1131" s="17"/>
      <c r="Z1131" s="17"/>
      <c r="AA1131" s="17"/>
      <c r="AB1131" s="17"/>
      <c r="AC1131" s="17"/>
      <c r="AD1131" s="17"/>
      <c r="AE1131" s="17"/>
      <c r="AF1131" s="17"/>
      <c r="AG1131" s="64"/>
      <c r="AH1131" s="64"/>
      <c r="AI1131" s="64"/>
      <c r="AJ1131" s="64"/>
      <c r="AK1131" s="64"/>
      <c r="AL1131" s="264"/>
      <c r="AM1131" s="84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  <c r="AY1131" s="18"/>
    </row>
    <row r="1132" spans="1:51" s="33" customFormat="1" x14ac:dyDescent="0.3">
      <c r="A1132" s="63" t="str">
        <f>+A1131</f>
        <v>BCV131</v>
      </c>
      <c r="B1132" s="18" t="str">
        <f>+B1131</f>
        <v>AX17</v>
      </c>
      <c r="C1132" s="85" t="str">
        <f>+C1131</f>
        <v>SIO1</v>
      </c>
      <c r="D1132" s="85" t="str">
        <f>+D1131</f>
        <v>SLC01</v>
      </c>
      <c r="E1132" s="290">
        <f>+E1131</f>
        <v>1</v>
      </c>
      <c r="F1132" s="290">
        <f>+F1131</f>
        <v>9</v>
      </c>
      <c r="G1132" s="290">
        <f>+G1131</f>
        <v>0</v>
      </c>
      <c r="H1132" s="72">
        <f>+H1131</f>
        <v>1</v>
      </c>
      <c r="I1132" s="75">
        <v>6</v>
      </c>
      <c r="J1132" s="74" t="s">
        <v>1323</v>
      </c>
      <c r="K1132" s="85"/>
      <c r="L1132" s="79" t="s">
        <v>244</v>
      </c>
      <c r="M1132" s="17">
        <v>3</v>
      </c>
      <c r="N1132" s="17"/>
      <c r="O1132" s="296"/>
      <c r="P1132" s="296"/>
      <c r="Q1132" s="296" t="s">
        <v>127</v>
      </c>
      <c r="R1132" s="17"/>
      <c r="S1132" s="17"/>
      <c r="T1132" s="17"/>
      <c r="U1132" s="17"/>
      <c r="V1132" s="289" t="str">
        <f>+CONCATENATE(E1132,".",F1132,"\",G1132,".",H1132,":",I1132)</f>
        <v>1.9\0.1:6</v>
      </c>
      <c r="W1132" s="18" t="s">
        <v>1708</v>
      </c>
      <c r="X1132" s="17">
        <v>0</v>
      </c>
      <c r="Y1132" s="17"/>
      <c r="Z1132" s="17"/>
      <c r="AA1132" s="17"/>
      <c r="AB1132" s="17"/>
      <c r="AC1132" s="17"/>
      <c r="AD1132" s="17"/>
      <c r="AE1132" s="17"/>
      <c r="AF1132" s="17"/>
      <c r="AG1132" s="64"/>
      <c r="AH1132" s="64"/>
      <c r="AI1132" s="64"/>
      <c r="AJ1132" s="64"/>
      <c r="AK1132" s="64"/>
      <c r="AL1132" s="264"/>
      <c r="AM1132" s="84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  <c r="AY1132" s="18"/>
    </row>
    <row r="1133" spans="1:51" s="33" customFormat="1" x14ac:dyDescent="0.3">
      <c r="A1133" s="63" t="str">
        <f>+A1132</f>
        <v>BCV131</v>
      </c>
      <c r="B1133" s="18" t="str">
        <f>+B1132</f>
        <v>AX17</v>
      </c>
      <c r="C1133" s="85" t="str">
        <f>+C1132</f>
        <v>SIO1</v>
      </c>
      <c r="D1133" s="85" t="str">
        <f>+D1132</f>
        <v>SLC01</v>
      </c>
      <c r="E1133" s="290">
        <f>+E1132</f>
        <v>1</v>
      </c>
      <c r="F1133" s="290">
        <f>+F1132</f>
        <v>9</v>
      </c>
      <c r="G1133" s="290">
        <f>+G1132</f>
        <v>0</v>
      </c>
      <c r="H1133" s="72">
        <f>+H1132</f>
        <v>1</v>
      </c>
      <c r="I1133" s="75">
        <v>7</v>
      </c>
      <c r="J1133" s="74" t="s">
        <v>246</v>
      </c>
      <c r="K1133" s="85"/>
      <c r="L1133" s="79" t="s">
        <v>244</v>
      </c>
      <c r="M1133" s="17">
        <v>3</v>
      </c>
      <c r="N1133" s="17"/>
      <c r="O1133" s="296"/>
      <c r="P1133" s="296"/>
      <c r="Q1133" s="296" t="s">
        <v>127</v>
      </c>
      <c r="R1133" s="17"/>
      <c r="S1133" s="17"/>
      <c r="T1133" s="17"/>
      <c r="U1133" s="17"/>
      <c r="V1133" s="289" t="str">
        <f>+CONCATENATE(E1133,".",F1133,"\",G1133,".",H1133,":",I1133)</f>
        <v>1.9\0.1:7</v>
      </c>
      <c r="W1133" s="18" t="s">
        <v>1708</v>
      </c>
      <c r="X1133" s="17">
        <v>0</v>
      </c>
      <c r="Y1133" s="17"/>
      <c r="Z1133" s="17"/>
      <c r="AA1133" s="17"/>
      <c r="AB1133" s="17"/>
      <c r="AC1133" s="17"/>
      <c r="AD1133" s="17"/>
      <c r="AE1133" s="17"/>
      <c r="AF1133" s="17"/>
      <c r="AG1133" s="64"/>
      <c r="AH1133" s="64"/>
      <c r="AI1133" s="64"/>
      <c r="AJ1133" s="64"/>
      <c r="AK1133" s="64"/>
      <c r="AL1133" s="264"/>
      <c r="AM1133" s="84"/>
      <c r="AN1133" s="18"/>
      <c r="AO1133" s="18"/>
      <c r="AP1133" s="18"/>
      <c r="AQ1133" s="18"/>
      <c r="AR1133" s="18"/>
      <c r="AS1133" s="18"/>
      <c r="AT1133" s="18"/>
      <c r="AU1133" s="18"/>
      <c r="AV1133" s="18"/>
      <c r="AW1133" s="18"/>
      <c r="AX1133" s="18"/>
      <c r="AY1133" s="18"/>
    </row>
    <row r="1134" spans="1:51" s="33" customFormat="1" x14ac:dyDescent="0.3">
      <c r="A1134" s="63" t="str">
        <f>+A1133</f>
        <v>BCV131</v>
      </c>
      <c r="B1134" s="18" t="str">
        <f>+B1133</f>
        <v>AX17</v>
      </c>
      <c r="C1134" s="85" t="str">
        <f>+C1133</f>
        <v>SIO1</v>
      </c>
      <c r="D1134" s="85" t="str">
        <f>+D1133</f>
        <v>SLC01</v>
      </c>
      <c r="E1134" s="290">
        <f>+E1133</f>
        <v>1</v>
      </c>
      <c r="F1134" s="290">
        <f>+F1133</f>
        <v>9</v>
      </c>
      <c r="G1134" s="290">
        <f>+G1133</f>
        <v>0</v>
      </c>
      <c r="H1134" s="72">
        <f>+H1133</f>
        <v>1</v>
      </c>
      <c r="I1134" s="75">
        <v>8</v>
      </c>
      <c r="J1134" s="74" t="s">
        <v>245</v>
      </c>
      <c r="K1134" s="85"/>
      <c r="L1134" s="79" t="s">
        <v>244</v>
      </c>
      <c r="M1134" s="17">
        <v>3</v>
      </c>
      <c r="N1134" s="17"/>
      <c r="O1134" s="296"/>
      <c r="P1134" s="296"/>
      <c r="Q1134" s="296" t="s">
        <v>127</v>
      </c>
      <c r="R1134" s="17"/>
      <c r="S1134" s="17"/>
      <c r="T1134" s="17"/>
      <c r="U1134" s="17"/>
      <c r="V1134" s="289" t="str">
        <f>+CONCATENATE(E1134,".",F1134,"\",G1134,".",H1134,":",I1134)</f>
        <v>1.9\0.1:8</v>
      </c>
      <c r="W1134" s="18" t="s">
        <v>1708</v>
      </c>
      <c r="X1134" s="17">
        <v>0</v>
      </c>
      <c r="Y1134" s="17"/>
      <c r="Z1134" s="17"/>
      <c r="AA1134" s="17"/>
      <c r="AB1134" s="17"/>
      <c r="AC1134" s="17"/>
      <c r="AD1134" s="17"/>
      <c r="AE1134" s="17"/>
      <c r="AF1134" s="17"/>
      <c r="AG1134" s="64"/>
      <c r="AH1134" s="64"/>
      <c r="AI1134" s="64"/>
      <c r="AJ1134" s="64"/>
      <c r="AK1134" s="64"/>
      <c r="AL1134" s="264"/>
      <c r="AM1134" s="84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  <c r="AY1134" s="18"/>
    </row>
    <row r="1135" spans="1:51" s="33" customFormat="1" x14ac:dyDescent="0.3">
      <c r="A1135" s="63" t="str">
        <f>+A1134</f>
        <v>BCV131</v>
      </c>
      <c r="B1135" s="18" t="str">
        <f>+B1134</f>
        <v>AX17</v>
      </c>
      <c r="C1135" s="85" t="str">
        <f>+C1134</f>
        <v>SIO1</v>
      </c>
      <c r="D1135" s="85" t="str">
        <f>+D1134</f>
        <v>SLC01</v>
      </c>
      <c r="E1135" s="290">
        <f>+E1134</f>
        <v>1</v>
      </c>
      <c r="F1135" s="290">
        <f>+F1134</f>
        <v>9</v>
      </c>
      <c r="G1135" s="290">
        <f>+G1134</f>
        <v>0</v>
      </c>
      <c r="H1135" s="72">
        <f>+H1134</f>
        <v>1</v>
      </c>
      <c r="I1135" s="75">
        <v>1</v>
      </c>
      <c r="J1135" s="81" t="s">
        <v>1321</v>
      </c>
      <c r="K1135" s="85" t="s">
        <v>1366</v>
      </c>
      <c r="L1135" s="79" t="s">
        <v>235</v>
      </c>
      <c r="M1135" s="17">
        <v>3</v>
      </c>
      <c r="N1135" s="18" t="s">
        <v>1712</v>
      </c>
      <c r="O1135" s="17" t="s">
        <v>1713</v>
      </c>
      <c r="P1135" s="17"/>
      <c r="Q1135" s="17" t="s">
        <v>1335</v>
      </c>
      <c r="R1135" s="17" t="s">
        <v>922</v>
      </c>
      <c r="S1135" s="17"/>
      <c r="T1135" s="17" t="str">
        <f>+T1127</f>
        <v>BCV131</v>
      </c>
      <c r="U1135" s="17"/>
      <c r="V1135" s="289" t="str">
        <f>+CONCATENATE(E1135,".",F1135,"\",G1135,".",H1135,":",I1135)</f>
        <v>1.9\0.1:1</v>
      </c>
      <c r="W1135" s="18" t="s">
        <v>1708</v>
      </c>
      <c r="X1135" s="17">
        <v>0</v>
      </c>
      <c r="Y1135" s="17"/>
      <c r="Z1135" s="17"/>
      <c r="AA1135" s="17"/>
      <c r="AB1135" s="17"/>
      <c r="AC1135" s="17"/>
      <c r="AD1135" s="17"/>
      <c r="AE1135" s="17"/>
      <c r="AF1135" s="17"/>
      <c r="AG1135" s="64"/>
      <c r="AH1135" s="64"/>
      <c r="AI1135" s="64"/>
      <c r="AJ1135" s="64"/>
      <c r="AK1135" s="64"/>
      <c r="AL1135" s="264"/>
      <c r="AM1135" s="84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  <c r="AY1135" s="18"/>
    </row>
    <row r="1136" spans="1:51" s="33" customFormat="1" x14ac:dyDescent="0.3">
      <c r="A1136" s="63" t="str">
        <f>+A1135</f>
        <v>BCV131</v>
      </c>
      <c r="B1136" s="18" t="str">
        <f>+B1135</f>
        <v>AX17</v>
      </c>
      <c r="C1136" s="85" t="str">
        <f>+C1135</f>
        <v>SIO1</v>
      </c>
      <c r="D1136" s="85" t="str">
        <f>+D1135</f>
        <v>SLC01</v>
      </c>
      <c r="E1136" s="290">
        <f>+E1135</f>
        <v>1</v>
      </c>
      <c r="F1136" s="290">
        <f>+F1135</f>
        <v>9</v>
      </c>
      <c r="G1136" s="290">
        <f>+G1135</f>
        <v>0</v>
      </c>
      <c r="H1136" s="72">
        <f>+H1135</f>
        <v>1</v>
      </c>
      <c r="I1136" s="75">
        <v>2</v>
      </c>
      <c r="J1136" s="74" t="s">
        <v>1320</v>
      </c>
      <c r="K1136" s="85"/>
      <c r="L1136" s="79" t="s">
        <v>235</v>
      </c>
      <c r="M1136" s="17">
        <v>3</v>
      </c>
      <c r="N1136" s="18" t="s">
        <v>1712</v>
      </c>
      <c r="O1136" s="17" t="s">
        <v>1711</v>
      </c>
      <c r="P1136" s="17"/>
      <c r="Q1136" s="17" t="s">
        <v>1330</v>
      </c>
      <c r="R1136" s="17" t="s">
        <v>922</v>
      </c>
      <c r="S1136" s="17"/>
      <c r="T1136" s="17" t="str">
        <f>+T1135</f>
        <v>BCV131</v>
      </c>
      <c r="U1136" s="17"/>
      <c r="V1136" s="289" t="str">
        <f>+CONCATENATE(E1136,".",F1136,"\",G1136,".",H1136,":",I1136)</f>
        <v>1.9\0.1:2</v>
      </c>
      <c r="W1136" s="18" t="s">
        <v>1708</v>
      </c>
      <c r="X1136" s="17">
        <v>0</v>
      </c>
      <c r="Y1136" s="17"/>
      <c r="Z1136" s="17"/>
      <c r="AA1136" s="17"/>
      <c r="AB1136" s="17"/>
      <c r="AC1136" s="17"/>
      <c r="AD1136" s="17"/>
      <c r="AE1136" s="17"/>
      <c r="AF1136" s="17"/>
      <c r="AG1136" s="64"/>
      <c r="AH1136" s="64"/>
      <c r="AI1136" s="64"/>
      <c r="AJ1136" s="64"/>
      <c r="AK1136" s="64"/>
      <c r="AL1136" s="264"/>
      <c r="AM1136" s="84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  <c r="AY1136" s="18"/>
    </row>
    <row r="1137" spans="1:51" s="33" customFormat="1" x14ac:dyDescent="0.3">
      <c r="A1137" s="63" t="str">
        <f>+A1136</f>
        <v>BCV131</v>
      </c>
      <c r="B1137" s="18" t="str">
        <f>+B1136</f>
        <v>AX17</v>
      </c>
      <c r="C1137" s="85" t="str">
        <f>+C1136</f>
        <v>SIO1</v>
      </c>
      <c r="D1137" s="85" t="str">
        <f>+D1136</f>
        <v>SLC01</v>
      </c>
      <c r="E1137" s="290">
        <f>+E1136</f>
        <v>1</v>
      </c>
      <c r="F1137" s="290">
        <f>+F1136</f>
        <v>9</v>
      </c>
      <c r="G1137" s="290">
        <f>+G1136</f>
        <v>0</v>
      </c>
      <c r="H1137" s="72">
        <f>+H1136</f>
        <v>1</v>
      </c>
      <c r="I1137" s="75">
        <v>3</v>
      </c>
      <c r="J1137" s="74" t="s">
        <v>1319</v>
      </c>
      <c r="K1137" s="85"/>
      <c r="L1137" s="79" t="s">
        <v>235</v>
      </c>
      <c r="M1137" s="17">
        <v>3</v>
      </c>
      <c r="N1137" s="18" t="s">
        <v>1710</v>
      </c>
      <c r="O1137" s="17" t="s">
        <v>1709</v>
      </c>
      <c r="P1137" s="17"/>
      <c r="Q1137" s="17" t="s">
        <v>1330</v>
      </c>
      <c r="R1137" s="17" t="s">
        <v>922</v>
      </c>
      <c r="S1137" s="17"/>
      <c r="T1137" s="17" t="str">
        <f>+T1136</f>
        <v>BCV131</v>
      </c>
      <c r="U1137" s="17"/>
      <c r="V1137" s="289" t="str">
        <f>+CONCATENATE(E1137,".",F1137,"\",G1137,".",H1137,":",I1137)</f>
        <v>1.9\0.1:3</v>
      </c>
      <c r="W1137" s="18" t="s">
        <v>1708</v>
      </c>
      <c r="X1137" s="17">
        <v>0</v>
      </c>
      <c r="Y1137" s="17"/>
      <c r="Z1137" s="17"/>
      <c r="AA1137" s="17"/>
      <c r="AB1137" s="17"/>
      <c r="AC1137" s="17"/>
      <c r="AD1137" s="17"/>
      <c r="AE1137" s="17"/>
      <c r="AF1137" s="17"/>
      <c r="AG1137" s="64"/>
      <c r="AH1137" s="64"/>
      <c r="AI1137" s="64"/>
      <c r="AJ1137" s="64"/>
      <c r="AK1137" s="64"/>
      <c r="AL1137" s="264"/>
      <c r="AM1137" s="84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</row>
    <row r="1138" spans="1:51" s="33" customFormat="1" ht="13.5" thickBot="1" x14ac:dyDescent="0.35">
      <c r="A1138" s="63" t="str">
        <f>+A1137</f>
        <v>BCV131</v>
      </c>
      <c r="B1138" s="18" t="str">
        <f>+B1137</f>
        <v>AX17</v>
      </c>
      <c r="C1138" s="85" t="str">
        <f>+C1137</f>
        <v>SIO1</v>
      </c>
      <c r="D1138" s="85" t="str">
        <f>+D1137</f>
        <v>SLC01</v>
      </c>
      <c r="E1138" s="290">
        <f>+E1137</f>
        <v>1</v>
      </c>
      <c r="F1138" s="290">
        <f>+F1137</f>
        <v>9</v>
      </c>
      <c r="G1138" s="290">
        <f>+G1137</f>
        <v>0</v>
      </c>
      <c r="H1138" s="72">
        <f>+H1137</f>
        <v>1</v>
      </c>
      <c r="I1138" s="71">
        <v>4</v>
      </c>
      <c r="J1138" s="70" t="s">
        <v>1318</v>
      </c>
      <c r="K1138" s="85"/>
      <c r="L1138" s="79" t="s">
        <v>235</v>
      </c>
      <c r="M1138" s="17">
        <v>3</v>
      </c>
      <c r="N1138" s="17"/>
      <c r="O1138" s="17"/>
      <c r="P1138" s="17"/>
      <c r="Q1138" s="68"/>
      <c r="R1138" s="68"/>
      <c r="S1138" s="68"/>
      <c r="T1138" s="68"/>
      <c r="U1138" s="17"/>
      <c r="V1138" s="289" t="str">
        <f>+CONCATENATE(E1138,".",F1138,"\",G1138,".",H1138,":",I1138)</f>
        <v>1.9\0.1:4</v>
      </c>
      <c r="W1138" s="18" t="s">
        <v>1708</v>
      </c>
      <c r="X1138" s="17">
        <v>0</v>
      </c>
      <c r="Y1138" s="17"/>
      <c r="Z1138" s="17"/>
      <c r="AA1138" s="17"/>
      <c r="AB1138" s="17"/>
      <c r="AC1138" s="17"/>
      <c r="AD1138" s="17"/>
      <c r="AE1138" s="17"/>
      <c r="AF1138" s="17"/>
      <c r="AG1138" s="64"/>
      <c r="AH1138" s="64"/>
      <c r="AI1138" s="64"/>
      <c r="AJ1138" s="64"/>
      <c r="AK1138" s="64"/>
      <c r="AL1138" s="264"/>
      <c r="AM1138" s="84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  <c r="AY1138" s="18"/>
    </row>
    <row r="1139" spans="1:51" s="33" customFormat="1" x14ac:dyDescent="0.3">
      <c r="A1139" s="63"/>
      <c r="B1139" s="63"/>
      <c r="C1139" s="63"/>
      <c r="D1139" s="63"/>
      <c r="E1139" s="288"/>
      <c r="F1139" s="288"/>
      <c r="G1139" s="288"/>
      <c r="H1139" s="63"/>
      <c r="I1139" s="63"/>
      <c r="J1139" s="63"/>
      <c r="K1139" s="17"/>
      <c r="L1139" s="17"/>
      <c r="M1139" s="17"/>
      <c r="N1139" s="17"/>
      <c r="O1139" s="68"/>
      <c r="P1139" s="68"/>
      <c r="Q1139" s="68"/>
      <c r="R1139" s="68"/>
      <c r="S1139" s="68"/>
      <c r="T1139" s="68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64"/>
      <c r="AH1139" s="64"/>
      <c r="AI1139" s="64"/>
      <c r="AJ1139" s="64"/>
      <c r="AK1139" s="64"/>
      <c r="AL1139" s="264"/>
      <c r="AM1139" s="84"/>
      <c r="AN1139" s="18"/>
      <c r="AO1139" s="18"/>
      <c r="AP1139" s="18"/>
      <c r="AQ1139" s="18"/>
      <c r="AR1139" s="18"/>
      <c r="AS1139" s="18"/>
      <c r="AT1139" s="18"/>
      <c r="AU1139" s="18"/>
      <c r="AV1139" s="18"/>
      <c r="AW1139" s="18"/>
      <c r="AX1139" s="18"/>
      <c r="AY1139" s="18"/>
    </row>
    <row r="1140" spans="1:51" s="33" customFormat="1" x14ac:dyDescent="0.3">
      <c r="A1140" s="63"/>
      <c r="B1140" s="63"/>
      <c r="C1140" s="63"/>
      <c r="D1140" s="63"/>
      <c r="E1140" s="288"/>
      <c r="F1140" s="288"/>
      <c r="G1140" s="288"/>
      <c r="H1140" s="63"/>
      <c r="I1140" s="63"/>
      <c r="J1140" s="63"/>
      <c r="K1140" s="17"/>
      <c r="L1140" s="17"/>
      <c r="M1140" s="17"/>
      <c r="N1140" s="17"/>
      <c r="O1140" s="68"/>
      <c r="P1140" s="68"/>
      <c r="Q1140" s="68"/>
      <c r="R1140" s="68"/>
      <c r="S1140" s="68"/>
      <c r="T1140" s="68"/>
      <c r="U1140" s="17"/>
      <c r="V1140" s="17"/>
      <c r="W1140" s="17"/>
      <c r="X1140" s="17"/>
      <c r="Y1140" s="17"/>
      <c r="Z1140" s="17"/>
      <c r="AA1140" s="17"/>
      <c r="AB1140" s="20"/>
      <c r="AC1140" s="17"/>
      <c r="AD1140" s="17"/>
      <c r="AE1140" s="17"/>
      <c r="AF1140" s="17"/>
      <c r="AG1140" s="64"/>
      <c r="AH1140" s="64"/>
      <c r="AI1140" s="64"/>
      <c r="AJ1140" s="64"/>
      <c r="AK1140" s="64"/>
      <c r="AL1140" s="264"/>
      <c r="AM1140" s="84"/>
      <c r="AN1140" s="18"/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  <c r="AY1140" s="18"/>
    </row>
    <row r="1141" spans="1:51" s="33" customFormat="1" x14ac:dyDescent="0.3">
      <c r="A1141" s="63"/>
      <c r="B1141" s="63"/>
      <c r="C1141" s="63"/>
      <c r="D1141" s="63"/>
      <c r="E1141" s="288"/>
      <c r="F1141" s="288"/>
      <c r="G1141" s="288"/>
      <c r="H1141" s="63"/>
      <c r="I1141" s="63"/>
      <c r="J1141" s="63"/>
      <c r="K1141" s="17"/>
      <c r="L1141" s="17"/>
      <c r="M1141" s="17"/>
      <c r="N1141" s="17"/>
      <c r="O1141" s="68"/>
      <c r="P1141" s="68"/>
      <c r="Q1141" s="68"/>
      <c r="R1141" s="68"/>
      <c r="S1141" s="68"/>
      <c r="T1141" s="68"/>
      <c r="U1141" s="17"/>
      <c r="V1141" s="17"/>
      <c r="W1141" s="17"/>
      <c r="X1141" s="17"/>
      <c r="Y1141" s="17"/>
      <c r="Z1141" s="17"/>
      <c r="AA1141" s="17"/>
      <c r="AB1141" s="20"/>
      <c r="AC1141" s="17"/>
      <c r="AD1141" s="17"/>
      <c r="AE1141" s="17"/>
      <c r="AF1141" s="17"/>
      <c r="AG1141" s="64"/>
      <c r="AH1141" s="64"/>
      <c r="AI1141" s="64"/>
      <c r="AJ1141" s="64"/>
      <c r="AK1141" s="64"/>
      <c r="AL1141" s="264"/>
      <c r="AM1141" s="84"/>
      <c r="AN1141" s="18"/>
      <c r="AO1141" s="18"/>
      <c r="AP1141" s="18"/>
      <c r="AQ1141" s="18"/>
      <c r="AR1141" s="18"/>
      <c r="AS1141" s="18"/>
      <c r="AT1141" s="18"/>
      <c r="AU1141" s="18"/>
      <c r="AV1141" s="18"/>
      <c r="AW1141" s="18"/>
      <c r="AX1141" s="18"/>
      <c r="AY1141" s="18"/>
    </row>
    <row r="1142" spans="1:51" s="33" customFormat="1" ht="15.5" x14ac:dyDescent="0.35">
      <c r="A1142" s="297"/>
      <c r="B1142" s="96" t="s">
        <v>1707</v>
      </c>
      <c r="C1142" s="256"/>
      <c r="D1142" s="256"/>
      <c r="E1142" s="256"/>
      <c r="F1142" s="256"/>
      <c r="G1142" s="256"/>
      <c r="H1142" s="256"/>
      <c r="I1142" s="256"/>
      <c r="J1142" s="256"/>
      <c r="K1142" s="256"/>
      <c r="L1142" s="256"/>
      <c r="M1142" s="256"/>
      <c r="N1142" s="287"/>
      <c r="O1142" s="256"/>
      <c r="P1142" s="287"/>
      <c r="Q1142" s="256"/>
      <c r="R1142" s="256"/>
      <c r="S1142" s="256"/>
      <c r="T1142" s="256"/>
      <c r="U1142" s="256"/>
      <c r="V1142" s="256"/>
      <c r="W1142" s="287"/>
      <c r="X1142" s="256"/>
      <c r="Y1142" s="256"/>
      <c r="Z1142" s="17"/>
      <c r="AA1142" s="17"/>
      <c r="AB1142" s="17"/>
      <c r="AC1142" s="17"/>
      <c r="AD1142" s="17"/>
      <c r="AE1142" s="17"/>
      <c r="AF1142" s="17"/>
      <c r="AG1142" s="64"/>
      <c r="AH1142" s="64"/>
      <c r="AI1142" s="64"/>
      <c r="AJ1142" s="64"/>
      <c r="AK1142" s="64"/>
      <c r="AL1142" s="264"/>
      <c r="AM1142" s="84"/>
      <c r="AN1142" s="18"/>
      <c r="AO1142" s="18"/>
      <c r="AP1142" s="18"/>
      <c r="AQ1142" s="18"/>
      <c r="AR1142" s="18"/>
      <c r="AS1142" s="18"/>
      <c r="AT1142" s="18"/>
      <c r="AU1142" s="18"/>
      <c r="AV1142" s="18"/>
      <c r="AW1142" s="18"/>
      <c r="AX1142" s="18"/>
      <c r="AY1142" s="18"/>
    </row>
    <row r="1143" spans="1:51" s="33" customFormat="1" ht="13.5" thickBot="1" x14ac:dyDescent="0.35">
      <c r="A1143" s="63"/>
      <c r="B1143" s="63"/>
      <c r="C1143" s="63"/>
      <c r="D1143" s="63"/>
      <c r="E1143" s="288"/>
      <c r="F1143" s="288"/>
      <c r="G1143" s="288"/>
      <c r="H1143" s="63"/>
      <c r="I1143" s="63"/>
      <c r="J1143" s="63"/>
      <c r="K1143" s="17"/>
      <c r="L1143" s="17"/>
      <c r="M1143" s="17"/>
      <c r="N1143" s="17"/>
      <c r="O1143" s="68"/>
      <c r="P1143" s="68"/>
      <c r="Q1143" s="68"/>
      <c r="R1143" s="68"/>
      <c r="S1143" s="68"/>
      <c r="T1143" s="68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64"/>
      <c r="AH1143" s="64"/>
      <c r="AI1143" s="64"/>
      <c r="AJ1143" s="64"/>
      <c r="AK1143" s="64"/>
      <c r="AL1143" s="264"/>
      <c r="AM1143" s="84"/>
      <c r="AN1143" s="18"/>
      <c r="AO1143" s="18"/>
      <c r="AP1143" s="18"/>
      <c r="AQ1143" s="18"/>
      <c r="AR1143" s="18"/>
      <c r="AS1143" s="18"/>
      <c r="AT1143" s="18"/>
      <c r="AU1143" s="18"/>
      <c r="AV1143" s="18"/>
      <c r="AW1143" s="18"/>
      <c r="AX1143" s="18"/>
      <c r="AY1143" s="18"/>
    </row>
    <row r="1144" spans="1:51" s="33" customFormat="1" ht="13.5" thickBot="1" x14ac:dyDescent="0.35">
      <c r="A1144" s="63" t="s">
        <v>194</v>
      </c>
      <c r="B1144" s="17" t="s">
        <v>1706</v>
      </c>
      <c r="C1144" s="295" t="s">
        <v>271</v>
      </c>
      <c r="D1144" s="290" t="s">
        <v>270</v>
      </c>
      <c r="E1144" s="290">
        <v>2</v>
      </c>
      <c r="F1144" s="290">
        <v>9</v>
      </c>
      <c r="G1144" s="290">
        <v>0</v>
      </c>
      <c r="H1144" s="89">
        <v>0</v>
      </c>
      <c r="I1144" s="88" t="s">
        <v>1106</v>
      </c>
      <c r="J1144" s="87"/>
      <c r="K1144" s="84">
        <v>1059305</v>
      </c>
      <c r="L1144" s="91" t="s">
        <v>1377</v>
      </c>
      <c r="M1144" s="17">
        <v>3</v>
      </c>
      <c r="N1144" s="17"/>
      <c r="O1144" s="83"/>
      <c r="P1144" s="83"/>
      <c r="Q1144" s="68"/>
      <c r="R1144" s="68"/>
      <c r="S1144" s="68"/>
      <c r="T1144" s="68"/>
      <c r="U1144" s="17"/>
      <c r="V1144" s="17"/>
      <c r="W1144" s="18" t="s">
        <v>1690</v>
      </c>
      <c r="X1144" s="17">
        <v>0</v>
      </c>
      <c r="Y1144" s="17"/>
      <c r="Z1144" s="17"/>
      <c r="AA1144" s="17"/>
      <c r="AB1144" s="17"/>
      <c r="AC1144" s="17"/>
      <c r="AD1144" s="17"/>
      <c r="AE1144" s="17"/>
      <c r="AF1144" s="17"/>
      <c r="AG1144" s="64"/>
      <c r="AH1144" s="64"/>
      <c r="AI1144" s="64"/>
      <c r="AJ1144" s="64"/>
      <c r="AK1144" s="64"/>
      <c r="AL1144" s="264"/>
      <c r="AM1144" s="84"/>
      <c r="AN1144" s="18"/>
      <c r="AO1144" s="18"/>
      <c r="AP1144" s="18"/>
      <c r="AQ1144" s="18"/>
      <c r="AR1144" s="18"/>
      <c r="AS1144" s="18"/>
      <c r="AT1144" s="18"/>
      <c r="AU1144" s="18"/>
      <c r="AV1144" s="18"/>
      <c r="AW1144" s="18"/>
      <c r="AX1144" s="18"/>
      <c r="AY1144" s="18"/>
    </row>
    <row r="1145" spans="1:51" s="33" customFormat="1" x14ac:dyDescent="0.3">
      <c r="A1145" s="63" t="str">
        <f>+A1144</f>
        <v>BCV131</v>
      </c>
      <c r="B1145" s="18" t="str">
        <f>+B1144</f>
        <v>AX18</v>
      </c>
      <c r="C1145" s="85" t="str">
        <f>+C1144</f>
        <v>SIO1</v>
      </c>
      <c r="D1145" s="85" t="str">
        <f>+D1144</f>
        <v>SLC02</v>
      </c>
      <c r="E1145" s="290">
        <f>+E1144</f>
        <v>2</v>
      </c>
      <c r="F1145" s="290">
        <f>+F1144</f>
        <v>9</v>
      </c>
      <c r="G1145" s="290">
        <f>+G1144</f>
        <v>0</v>
      </c>
      <c r="H1145" s="72">
        <v>1</v>
      </c>
      <c r="I1145" s="77">
        <v>1</v>
      </c>
      <c r="J1145" s="76" t="s">
        <v>269</v>
      </c>
      <c r="K1145" s="65">
        <v>1044125</v>
      </c>
      <c r="L1145" s="79" t="s">
        <v>244</v>
      </c>
      <c r="M1145" s="17">
        <v>3</v>
      </c>
      <c r="N1145" s="18" t="s">
        <v>1703</v>
      </c>
      <c r="O1145" s="296" t="s">
        <v>1705</v>
      </c>
      <c r="P1145" s="296"/>
      <c r="Q1145" s="296" t="s">
        <v>1704</v>
      </c>
      <c r="R1145" s="17" t="s">
        <v>211</v>
      </c>
      <c r="S1145" s="17"/>
      <c r="T1145" s="17" t="s">
        <v>194</v>
      </c>
      <c r="U1145" s="17"/>
      <c r="V1145" s="289" t="str">
        <f>+CONCATENATE(E1145,".",F1145,"\",G1145,".",H1145,":",I1145)</f>
        <v>2.9\0.1:1</v>
      </c>
      <c r="W1145" s="18" t="s">
        <v>1690</v>
      </c>
      <c r="X1145" s="17">
        <v>0</v>
      </c>
      <c r="Y1145" s="17"/>
      <c r="Z1145" s="17"/>
      <c r="AA1145" s="17"/>
      <c r="AB1145" s="17"/>
      <c r="AC1145" s="17"/>
      <c r="AD1145" s="17"/>
      <c r="AE1145" s="17"/>
      <c r="AF1145" s="17"/>
      <c r="AG1145" s="64"/>
      <c r="AH1145" s="64"/>
      <c r="AI1145" s="64"/>
      <c r="AJ1145" s="64"/>
      <c r="AK1145" s="64"/>
      <c r="AL1145" s="264"/>
      <c r="AM1145" s="84"/>
      <c r="AN1145" s="18"/>
      <c r="AO1145" s="18"/>
      <c r="AP1145" s="18"/>
      <c r="AQ1145" s="18"/>
      <c r="AR1145" s="18"/>
      <c r="AS1145" s="18"/>
      <c r="AT1145" s="18"/>
      <c r="AU1145" s="18"/>
      <c r="AV1145" s="18"/>
      <c r="AW1145" s="18"/>
      <c r="AX1145" s="18"/>
      <c r="AY1145" s="18"/>
    </row>
    <row r="1146" spans="1:51" s="33" customFormat="1" x14ac:dyDescent="0.3">
      <c r="A1146" s="63" t="str">
        <f>+A1145</f>
        <v>BCV131</v>
      </c>
      <c r="B1146" s="18" t="str">
        <f>+B1145</f>
        <v>AX18</v>
      </c>
      <c r="C1146" s="85" t="str">
        <f>+C1145</f>
        <v>SIO1</v>
      </c>
      <c r="D1146" s="85" t="str">
        <f>+D1145</f>
        <v>SLC02</v>
      </c>
      <c r="E1146" s="290">
        <f>+E1145</f>
        <v>2</v>
      </c>
      <c r="F1146" s="290">
        <f>+F1145</f>
        <v>9</v>
      </c>
      <c r="G1146" s="290">
        <f>+G1145</f>
        <v>0</v>
      </c>
      <c r="H1146" s="72">
        <f>+H1145</f>
        <v>1</v>
      </c>
      <c r="I1146" s="75">
        <v>2</v>
      </c>
      <c r="J1146" s="74" t="s">
        <v>265</v>
      </c>
      <c r="K1146" s="84">
        <v>1047162</v>
      </c>
      <c r="L1146" s="79" t="s">
        <v>244</v>
      </c>
      <c r="M1146" s="17">
        <v>3</v>
      </c>
      <c r="N1146" s="18" t="s">
        <v>1703</v>
      </c>
      <c r="O1146" s="296" t="s">
        <v>1702</v>
      </c>
      <c r="P1146" s="296"/>
      <c r="Q1146" s="296" t="s">
        <v>1701</v>
      </c>
      <c r="R1146" s="17" t="s">
        <v>211</v>
      </c>
      <c r="S1146" s="17"/>
      <c r="T1146" s="17" t="str">
        <f>+T1145</f>
        <v>BCV131</v>
      </c>
      <c r="U1146" s="17"/>
      <c r="V1146" s="289" t="str">
        <f>+CONCATENATE(E1146,".",F1146,"\",G1146,".",H1146,":",I1146)</f>
        <v>2.9\0.1:2</v>
      </c>
      <c r="W1146" s="18" t="s">
        <v>1690</v>
      </c>
      <c r="X1146" s="17">
        <v>0</v>
      </c>
      <c r="Y1146" s="17"/>
      <c r="Z1146" s="17"/>
      <c r="AA1146" s="17"/>
      <c r="AB1146" s="17"/>
      <c r="AC1146" s="17"/>
      <c r="AD1146" s="17"/>
      <c r="AE1146" s="17"/>
      <c r="AF1146" s="17"/>
      <c r="AG1146" s="64"/>
      <c r="AH1146" s="64"/>
      <c r="AI1146" s="64"/>
      <c r="AJ1146" s="64"/>
      <c r="AK1146" s="64"/>
      <c r="AL1146" s="264"/>
      <c r="AM1146" s="84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  <c r="AY1146" s="18"/>
    </row>
    <row r="1147" spans="1:51" s="33" customFormat="1" x14ac:dyDescent="0.3">
      <c r="A1147" s="63" t="str">
        <f>+A1146</f>
        <v>BCV131</v>
      </c>
      <c r="B1147" s="18" t="str">
        <f>+B1146</f>
        <v>AX18</v>
      </c>
      <c r="C1147" s="85" t="str">
        <f>+C1146</f>
        <v>SIO1</v>
      </c>
      <c r="D1147" s="85" t="str">
        <f>+D1146</f>
        <v>SLC02</v>
      </c>
      <c r="E1147" s="290">
        <f>+E1146</f>
        <v>2</v>
      </c>
      <c r="F1147" s="290">
        <f>+F1146</f>
        <v>9</v>
      </c>
      <c r="G1147" s="290">
        <f>+G1146</f>
        <v>0</v>
      </c>
      <c r="H1147" s="72">
        <f>+H1146</f>
        <v>1</v>
      </c>
      <c r="I1147" s="75">
        <v>3</v>
      </c>
      <c r="J1147" s="74" t="s">
        <v>261</v>
      </c>
      <c r="K1147" s="85"/>
      <c r="L1147" s="79" t="s">
        <v>244</v>
      </c>
      <c r="M1147" s="17">
        <v>3</v>
      </c>
      <c r="N1147" s="18" t="s">
        <v>1698</v>
      </c>
      <c r="O1147" s="296" t="s">
        <v>1700</v>
      </c>
      <c r="P1147" s="296"/>
      <c r="Q1147" s="296" t="s">
        <v>1699</v>
      </c>
      <c r="R1147" s="17" t="s">
        <v>211</v>
      </c>
      <c r="S1147" s="17"/>
      <c r="T1147" s="17" t="str">
        <f>+T1146</f>
        <v>BCV131</v>
      </c>
      <c r="U1147" s="17"/>
      <c r="V1147" s="289" t="str">
        <f>+CONCATENATE(E1147,".",F1147,"\",G1147,".",H1147,":",I1147)</f>
        <v>2.9\0.1:3</v>
      </c>
      <c r="W1147" s="18" t="s">
        <v>1690</v>
      </c>
      <c r="X1147" s="17">
        <v>0</v>
      </c>
      <c r="Y1147" s="17"/>
      <c r="Z1147" s="17"/>
      <c r="AA1147" s="17"/>
      <c r="AB1147" s="17"/>
      <c r="AC1147" s="17"/>
      <c r="AD1147" s="17"/>
      <c r="AE1147" s="17"/>
      <c r="AF1147" s="17"/>
      <c r="AG1147" s="64"/>
      <c r="AH1147" s="64"/>
      <c r="AI1147" s="64"/>
      <c r="AJ1147" s="64"/>
      <c r="AK1147" s="64"/>
      <c r="AL1147" s="264"/>
      <c r="AM1147" s="84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  <c r="AY1147" s="18"/>
    </row>
    <row r="1148" spans="1:51" s="33" customFormat="1" x14ac:dyDescent="0.3">
      <c r="A1148" s="63" t="str">
        <f>+A1147</f>
        <v>BCV131</v>
      </c>
      <c r="B1148" s="18" t="str">
        <f>+B1147</f>
        <v>AX18</v>
      </c>
      <c r="C1148" s="85" t="str">
        <f>+C1147</f>
        <v>SIO1</v>
      </c>
      <c r="D1148" s="85" t="str">
        <f>+D1147</f>
        <v>SLC02</v>
      </c>
      <c r="E1148" s="290">
        <f>+E1147</f>
        <v>2</v>
      </c>
      <c r="F1148" s="290">
        <f>+F1147</f>
        <v>9</v>
      </c>
      <c r="G1148" s="290">
        <f>+G1147</f>
        <v>0</v>
      </c>
      <c r="H1148" s="72">
        <f>+H1147</f>
        <v>1</v>
      </c>
      <c r="I1148" s="75">
        <v>4</v>
      </c>
      <c r="J1148" s="74" t="s">
        <v>257</v>
      </c>
      <c r="K1148" s="85"/>
      <c r="L1148" s="79" t="s">
        <v>244</v>
      </c>
      <c r="M1148" s="17">
        <v>3</v>
      </c>
      <c r="N1148" s="18" t="s">
        <v>1698</v>
      </c>
      <c r="O1148" s="296" t="s">
        <v>1697</v>
      </c>
      <c r="P1148" s="296"/>
      <c r="Q1148" s="296" t="s">
        <v>1696</v>
      </c>
      <c r="R1148" s="17" t="s">
        <v>211</v>
      </c>
      <c r="S1148" s="17"/>
      <c r="T1148" s="17" t="str">
        <f>+T1147</f>
        <v>BCV131</v>
      </c>
      <c r="U1148" s="17"/>
      <c r="V1148" s="289" t="str">
        <f>+CONCATENATE(E1148,".",F1148,"\",G1148,".",H1148,":",I1148)</f>
        <v>2.9\0.1:4</v>
      </c>
      <c r="W1148" s="18" t="s">
        <v>1690</v>
      </c>
      <c r="X1148" s="17">
        <v>0</v>
      </c>
      <c r="Y1148" s="17"/>
      <c r="Z1148" s="17"/>
      <c r="AA1148" s="17"/>
      <c r="AB1148" s="17"/>
      <c r="AC1148" s="17"/>
      <c r="AD1148" s="17"/>
      <c r="AE1148" s="17"/>
      <c r="AF1148" s="17"/>
      <c r="AG1148" s="64"/>
      <c r="AH1148" s="64"/>
      <c r="AI1148" s="64"/>
      <c r="AJ1148" s="64"/>
      <c r="AK1148" s="64"/>
      <c r="AL1148" s="264"/>
      <c r="AM1148" s="84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  <c r="AY1148" s="18"/>
    </row>
    <row r="1149" spans="1:51" s="33" customFormat="1" x14ac:dyDescent="0.3">
      <c r="A1149" s="63" t="str">
        <f>+A1148</f>
        <v>BCV131</v>
      </c>
      <c r="B1149" s="18" t="str">
        <f>+B1148</f>
        <v>AX18</v>
      </c>
      <c r="C1149" s="85" t="str">
        <f>+C1148</f>
        <v>SIO1</v>
      </c>
      <c r="D1149" s="85" t="str">
        <f>+D1148</f>
        <v>SLC02</v>
      </c>
      <c r="E1149" s="290">
        <f>+E1148</f>
        <v>2</v>
      </c>
      <c r="F1149" s="290">
        <f>+F1148</f>
        <v>9</v>
      </c>
      <c r="G1149" s="290">
        <f>+G1148</f>
        <v>0</v>
      </c>
      <c r="H1149" s="72">
        <f>+H1148</f>
        <v>1</v>
      </c>
      <c r="I1149" s="75">
        <v>5</v>
      </c>
      <c r="J1149" s="74" t="s">
        <v>1325</v>
      </c>
      <c r="K1149" s="85"/>
      <c r="L1149" s="79" t="s">
        <v>244</v>
      </c>
      <c r="M1149" s="17">
        <v>3</v>
      </c>
      <c r="N1149" s="17"/>
      <c r="O1149" s="296"/>
      <c r="P1149" s="296"/>
      <c r="Q1149" s="296" t="s">
        <v>127</v>
      </c>
      <c r="R1149" s="17"/>
      <c r="S1149" s="17"/>
      <c r="T1149" s="17"/>
      <c r="U1149" s="17"/>
      <c r="V1149" s="289" t="str">
        <f>+CONCATENATE(E1149,".",F1149,"\",G1149,".",H1149,":",I1149)</f>
        <v>2.9\0.1:5</v>
      </c>
      <c r="W1149" s="18" t="s">
        <v>1690</v>
      </c>
      <c r="X1149" s="17">
        <v>0</v>
      </c>
      <c r="Y1149" s="17"/>
      <c r="Z1149" s="17"/>
      <c r="AA1149" s="17"/>
      <c r="AB1149" s="17"/>
      <c r="AC1149" s="17"/>
      <c r="AD1149" s="17"/>
      <c r="AE1149" s="17"/>
      <c r="AF1149" s="17"/>
      <c r="AG1149" s="64"/>
      <c r="AH1149" s="64"/>
      <c r="AI1149" s="64"/>
      <c r="AJ1149" s="64"/>
      <c r="AK1149" s="64"/>
      <c r="AL1149" s="264"/>
      <c r="AM1149" s="84"/>
      <c r="AN1149" s="18"/>
      <c r="AO1149" s="18"/>
      <c r="AP1149" s="18"/>
      <c r="AQ1149" s="18"/>
      <c r="AR1149" s="18"/>
      <c r="AS1149" s="18"/>
      <c r="AT1149" s="18"/>
      <c r="AU1149" s="18"/>
      <c r="AV1149" s="18"/>
      <c r="AW1149" s="18"/>
      <c r="AX1149" s="18"/>
      <c r="AY1149" s="18"/>
    </row>
    <row r="1150" spans="1:51" s="33" customFormat="1" x14ac:dyDescent="0.3">
      <c r="A1150" s="63" t="str">
        <f>+A1149</f>
        <v>BCV131</v>
      </c>
      <c r="B1150" s="18" t="str">
        <f>+B1149</f>
        <v>AX18</v>
      </c>
      <c r="C1150" s="85" t="str">
        <f>+C1149</f>
        <v>SIO1</v>
      </c>
      <c r="D1150" s="85" t="str">
        <f>+D1149</f>
        <v>SLC02</v>
      </c>
      <c r="E1150" s="290">
        <f>+E1149</f>
        <v>2</v>
      </c>
      <c r="F1150" s="290">
        <f>+F1149</f>
        <v>9</v>
      </c>
      <c r="G1150" s="290">
        <f>+G1149</f>
        <v>0</v>
      </c>
      <c r="H1150" s="72">
        <f>+H1149</f>
        <v>1</v>
      </c>
      <c r="I1150" s="75">
        <v>6</v>
      </c>
      <c r="J1150" s="74" t="s">
        <v>1323</v>
      </c>
      <c r="K1150" s="85"/>
      <c r="L1150" s="79" t="s">
        <v>244</v>
      </c>
      <c r="M1150" s="17">
        <v>3</v>
      </c>
      <c r="N1150" s="17"/>
      <c r="O1150" s="296"/>
      <c r="P1150" s="296"/>
      <c r="Q1150" s="296" t="s">
        <v>127</v>
      </c>
      <c r="R1150" s="17"/>
      <c r="S1150" s="17"/>
      <c r="T1150" s="17"/>
      <c r="U1150" s="17"/>
      <c r="V1150" s="289" t="str">
        <f>+CONCATENATE(E1150,".",F1150,"\",G1150,".",H1150,":",I1150)</f>
        <v>2.9\0.1:6</v>
      </c>
      <c r="W1150" s="18" t="s">
        <v>1690</v>
      </c>
      <c r="X1150" s="17">
        <v>0</v>
      </c>
      <c r="Y1150" s="17"/>
      <c r="Z1150" s="17"/>
      <c r="AA1150" s="17"/>
      <c r="AB1150" s="17"/>
      <c r="AC1150" s="17"/>
      <c r="AD1150" s="17"/>
      <c r="AE1150" s="17"/>
      <c r="AF1150" s="17"/>
      <c r="AG1150" s="64"/>
      <c r="AH1150" s="64"/>
      <c r="AI1150" s="64"/>
      <c r="AJ1150" s="64"/>
      <c r="AK1150" s="64"/>
      <c r="AL1150" s="264"/>
      <c r="AM1150" s="84"/>
      <c r="AN1150" s="18"/>
      <c r="AO1150" s="18"/>
      <c r="AP1150" s="18"/>
      <c r="AQ1150" s="18"/>
      <c r="AR1150" s="18"/>
      <c r="AS1150" s="18"/>
      <c r="AT1150" s="18"/>
      <c r="AU1150" s="18"/>
      <c r="AV1150" s="18"/>
      <c r="AW1150" s="18"/>
      <c r="AX1150" s="18"/>
      <c r="AY1150" s="18"/>
    </row>
    <row r="1151" spans="1:51" s="33" customFormat="1" x14ac:dyDescent="0.3">
      <c r="A1151" s="63" t="str">
        <f>+A1150</f>
        <v>BCV131</v>
      </c>
      <c r="B1151" s="18" t="str">
        <f>+B1150</f>
        <v>AX18</v>
      </c>
      <c r="C1151" s="85" t="str">
        <f>+C1150</f>
        <v>SIO1</v>
      </c>
      <c r="D1151" s="85" t="str">
        <f>+D1150</f>
        <v>SLC02</v>
      </c>
      <c r="E1151" s="290">
        <f>+E1150</f>
        <v>2</v>
      </c>
      <c r="F1151" s="290">
        <f>+F1150</f>
        <v>9</v>
      </c>
      <c r="G1151" s="290">
        <f>+G1150</f>
        <v>0</v>
      </c>
      <c r="H1151" s="72">
        <f>+H1150</f>
        <v>1</v>
      </c>
      <c r="I1151" s="75">
        <v>7</v>
      </c>
      <c r="J1151" s="74" t="s">
        <v>246</v>
      </c>
      <c r="K1151" s="85"/>
      <c r="L1151" s="79" t="s">
        <v>244</v>
      </c>
      <c r="M1151" s="17">
        <v>3</v>
      </c>
      <c r="N1151" s="17"/>
      <c r="O1151" s="296"/>
      <c r="P1151" s="296"/>
      <c r="Q1151" s="296" t="s">
        <v>127</v>
      </c>
      <c r="R1151" s="17"/>
      <c r="S1151" s="17"/>
      <c r="T1151" s="17"/>
      <c r="U1151" s="17"/>
      <c r="V1151" s="289" t="str">
        <f>+CONCATENATE(E1151,".",F1151,"\",G1151,".",H1151,":",I1151)</f>
        <v>2.9\0.1:7</v>
      </c>
      <c r="W1151" s="18" t="s">
        <v>1690</v>
      </c>
      <c r="X1151" s="17">
        <v>0</v>
      </c>
      <c r="Y1151" s="17"/>
      <c r="Z1151" s="17"/>
      <c r="AA1151" s="17"/>
      <c r="AB1151" s="17"/>
      <c r="AC1151" s="17"/>
      <c r="AD1151" s="17"/>
      <c r="AE1151" s="17"/>
      <c r="AF1151" s="17"/>
      <c r="AG1151" s="64"/>
      <c r="AH1151" s="64"/>
      <c r="AI1151" s="64"/>
      <c r="AJ1151" s="64"/>
      <c r="AK1151" s="64"/>
      <c r="AL1151" s="264"/>
      <c r="AM1151" s="84"/>
      <c r="AN1151" s="18"/>
      <c r="AO1151" s="18"/>
      <c r="AP1151" s="18"/>
      <c r="AQ1151" s="18"/>
      <c r="AR1151" s="18"/>
      <c r="AS1151" s="18"/>
      <c r="AT1151" s="18"/>
      <c r="AU1151" s="18"/>
      <c r="AV1151" s="18"/>
      <c r="AW1151" s="18"/>
      <c r="AX1151" s="18"/>
      <c r="AY1151" s="18"/>
    </row>
    <row r="1152" spans="1:51" s="33" customFormat="1" x14ac:dyDescent="0.3">
      <c r="A1152" s="63" t="str">
        <f>+A1151</f>
        <v>BCV131</v>
      </c>
      <c r="B1152" s="18" t="str">
        <f>+B1151</f>
        <v>AX18</v>
      </c>
      <c r="C1152" s="85" t="str">
        <f>+C1151</f>
        <v>SIO1</v>
      </c>
      <c r="D1152" s="85" t="str">
        <f>+D1151</f>
        <v>SLC02</v>
      </c>
      <c r="E1152" s="290">
        <f>+E1151</f>
        <v>2</v>
      </c>
      <c r="F1152" s="290">
        <f>+F1151</f>
        <v>9</v>
      </c>
      <c r="G1152" s="290">
        <f>+G1151</f>
        <v>0</v>
      </c>
      <c r="H1152" s="72">
        <f>+H1151</f>
        <v>1</v>
      </c>
      <c r="I1152" s="75">
        <v>8</v>
      </c>
      <c r="J1152" s="74" t="s">
        <v>245</v>
      </c>
      <c r="K1152" s="85"/>
      <c r="L1152" s="79" t="s">
        <v>244</v>
      </c>
      <c r="M1152" s="17">
        <v>3</v>
      </c>
      <c r="N1152" s="17"/>
      <c r="O1152" s="296"/>
      <c r="P1152" s="296"/>
      <c r="Q1152" s="296" t="s">
        <v>127</v>
      </c>
      <c r="R1152" s="17"/>
      <c r="S1152" s="17"/>
      <c r="T1152" s="17"/>
      <c r="U1152" s="17"/>
      <c r="V1152" s="289" t="str">
        <f>+CONCATENATE(E1152,".",F1152,"\",G1152,".",H1152,":",I1152)</f>
        <v>2.9\0.1:8</v>
      </c>
      <c r="W1152" s="18" t="s">
        <v>1690</v>
      </c>
      <c r="X1152" s="17">
        <v>0</v>
      </c>
      <c r="Y1152" s="17"/>
      <c r="Z1152" s="17"/>
      <c r="AA1152" s="17"/>
      <c r="AB1152" s="17"/>
      <c r="AC1152" s="17"/>
      <c r="AD1152" s="17"/>
      <c r="AE1152" s="17"/>
      <c r="AF1152" s="17"/>
      <c r="AG1152" s="64"/>
      <c r="AH1152" s="64"/>
      <c r="AI1152" s="64"/>
      <c r="AJ1152" s="64"/>
      <c r="AK1152" s="64"/>
      <c r="AL1152" s="264"/>
      <c r="AM1152" s="84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  <c r="AY1152" s="18"/>
    </row>
    <row r="1153" spans="1:51" s="33" customFormat="1" x14ac:dyDescent="0.3">
      <c r="A1153" s="63" t="str">
        <f>+A1152</f>
        <v>BCV131</v>
      </c>
      <c r="B1153" s="18" t="str">
        <f>+B1152</f>
        <v>AX18</v>
      </c>
      <c r="C1153" s="85" t="str">
        <f>+C1152</f>
        <v>SIO1</v>
      </c>
      <c r="D1153" s="85" t="str">
        <f>+D1152</f>
        <v>SLC02</v>
      </c>
      <c r="E1153" s="290">
        <f>+E1152</f>
        <v>2</v>
      </c>
      <c r="F1153" s="290">
        <f>+F1152</f>
        <v>9</v>
      </c>
      <c r="G1153" s="290">
        <f>+G1152</f>
        <v>0</v>
      </c>
      <c r="H1153" s="72">
        <f>+H1152</f>
        <v>1</v>
      </c>
      <c r="I1153" s="75">
        <v>1</v>
      </c>
      <c r="J1153" s="81" t="s">
        <v>1321</v>
      </c>
      <c r="K1153" s="85" t="s">
        <v>1366</v>
      </c>
      <c r="L1153" s="79" t="s">
        <v>235</v>
      </c>
      <c r="M1153" s="17">
        <v>3</v>
      </c>
      <c r="N1153" s="18" t="s">
        <v>1694</v>
      </c>
      <c r="O1153" s="17" t="s">
        <v>1695</v>
      </c>
      <c r="P1153" s="17"/>
      <c r="Q1153" s="17" t="s">
        <v>1335</v>
      </c>
      <c r="R1153" s="17" t="s">
        <v>922</v>
      </c>
      <c r="S1153" s="17"/>
      <c r="T1153" s="17" t="str">
        <f>+T1145</f>
        <v>BCV131</v>
      </c>
      <c r="U1153" s="17"/>
      <c r="V1153" s="289" t="str">
        <f>+CONCATENATE(E1153,".",F1153,"\",G1153,".",H1153,":",I1153)</f>
        <v>2.9\0.1:1</v>
      </c>
      <c r="W1153" s="18" t="s">
        <v>1690</v>
      </c>
      <c r="X1153" s="17">
        <v>0</v>
      </c>
      <c r="Y1153" s="17"/>
      <c r="Z1153" s="17"/>
      <c r="AA1153" s="17"/>
      <c r="AB1153" s="17"/>
      <c r="AC1153" s="17"/>
      <c r="AD1153" s="17"/>
      <c r="AE1153" s="17"/>
      <c r="AF1153" s="17"/>
      <c r="AG1153" s="64"/>
      <c r="AH1153" s="64"/>
      <c r="AI1153" s="64"/>
      <c r="AJ1153" s="64"/>
      <c r="AK1153" s="64"/>
      <c r="AL1153" s="264"/>
      <c r="AM1153" s="84"/>
      <c r="AN1153" s="18"/>
      <c r="AO1153" s="18"/>
      <c r="AP1153" s="18"/>
      <c r="AQ1153" s="18"/>
      <c r="AR1153" s="18"/>
      <c r="AS1153" s="18"/>
      <c r="AT1153" s="18"/>
      <c r="AU1153" s="18"/>
      <c r="AV1153" s="18"/>
      <c r="AW1153" s="18"/>
      <c r="AX1153" s="18"/>
      <c r="AY1153" s="18"/>
    </row>
    <row r="1154" spans="1:51" s="33" customFormat="1" x14ac:dyDescent="0.3">
      <c r="A1154" s="63" t="str">
        <f>+A1153</f>
        <v>BCV131</v>
      </c>
      <c r="B1154" s="18" t="str">
        <f>+B1153</f>
        <v>AX18</v>
      </c>
      <c r="C1154" s="85" t="str">
        <f>+C1153</f>
        <v>SIO1</v>
      </c>
      <c r="D1154" s="85" t="str">
        <f>+D1153</f>
        <v>SLC02</v>
      </c>
      <c r="E1154" s="290">
        <f>+E1153</f>
        <v>2</v>
      </c>
      <c r="F1154" s="290">
        <f>+F1153</f>
        <v>9</v>
      </c>
      <c r="G1154" s="290">
        <f>+G1153</f>
        <v>0</v>
      </c>
      <c r="H1154" s="72">
        <f>+H1153</f>
        <v>1</v>
      </c>
      <c r="I1154" s="75">
        <v>2</v>
      </c>
      <c r="J1154" s="74" t="s">
        <v>1320</v>
      </c>
      <c r="K1154" s="85"/>
      <c r="L1154" s="79" t="s">
        <v>235</v>
      </c>
      <c r="M1154" s="17">
        <v>3</v>
      </c>
      <c r="N1154" s="18" t="s">
        <v>1694</v>
      </c>
      <c r="O1154" s="17" t="s">
        <v>1693</v>
      </c>
      <c r="P1154" s="17"/>
      <c r="Q1154" s="17" t="s">
        <v>1330</v>
      </c>
      <c r="R1154" s="17" t="s">
        <v>922</v>
      </c>
      <c r="S1154" s="17"/>
      <c r="T1154" s="17" t="str">
        <f>+T1153</f>
        <v>BCV131</v>
      </c>
      <c r="U1154" s="17"/>
      <c r="V1154" s="289" t="str">
        <f>+CONCATENATE(E1154,".",F1154,"\",G1154,".",H1154,":",I1154)</f>
        <v>2.9\0.1:2</v>
      </c>
      <c r="W1154" s="18" t="s">
        <v>1690</v>
      </c>
      <c r="X1154" s="17">
        <v>0</v>
      </c>
      <c r="Y1154" s="17"/>
      <c r="Z1154" s="17"/>
      <c r="AA1154" s="17"/>
      <c r="AB1154" s="17"/>
      <c r="AC1154" s="17"/>
      <c r="AD1154" s="17"/>
      <c r="AE1154" s="17"/>
      <c r="AF1154" s="17"/>
      <c r="AG1154" s="64"/>
      <c r="AH1154" s="64"/>
      <c r="AI1154" s="64"/>
      <c r="AJ1154" s="64"/>
      <c r="AK1154" s="64"/>
      <c r="AL1154" s="264"/>
      <c r="AM1154" s="84"/>
      <c r="AN1154" s="18"/>
      <c r="AO1154" s="18"/>
      <c r="AP1154" s="18"/>
      <c r="AQ1154" s="18"/>
      <c r="AR1154" s="18"/>
      <c r="AS1154" s="18"/>
      <c r="AT1154" s="18"/>
      <c r="AU1154" s="18"/>
      <c r="AV1154" s="18"/>
      <c r="AW1154" s="18"/>
      <c r="AX1154" s="18"/>
      <c r="AY1154" s="18"/>
    </row>
    <row r="1155" spans="1:51" s="33" customFormat="1" x14ac:dyDescent="0.3">
      <c r="A1155" s="63" t="str">
        <f>+A1154</f>
        <v>BCV131</v>
      </c>
      <c r="B1155" s="18" t="str">
        <f>+B1154</f>
        <v>AX18</v>
      </c>
      <c r="C1155" s="85" t="str">
        <f>+C1154</f>
        <v>SIO1</v>
      </c>
      <c r="D1155" s="85" t="str">
        <f>+D1154</f>
        <v>SLC02</v>
      </c>
      <c r="E1155" s="290">
        <f>+E1154</f>
        <v>2</v>
      </c>
      <c r="F1155" s="290">
        <f>+F1154</f>
        <v>9</v>
      </c>
      <c r="G1155" s="290">
        <f>+G1154</f>
        <v>0</v>
      </c>
      <c r="H1155" s="72">
        <f>+H1154</f>
        <v>1</v>
      </c>
      <c r="I1155" s="75">
        <v>3</v>
      </c>
      <c r="J1155" s="74" t="s">
        <v>1319</v>
      </c>
      <c r="K1155" s="85"/>
      <c r="L1155" s="79" t="s">
        <v>235</v>
      </c>
      <c r="M1155" s="17">
        <v>3</v>
      </c>
      <c r="N1155" s="18" t="s">
        <v>1692</v>
      </c>
      <c r="O1155" s="17" t="s">
        <v>1691</v>
      </c>
      <c r="P1155" s="17"/>
      <c r="Q1155" s="17" t="s">
        <v>1330</v>
      </c>
      <c r="R1155" s="17" t="s">
        <v>922</v>
      </c>
      <c r="S1155" s="17"/>
      <c r="T1155" s="17" t="str">
        <f>+T1154</f>
        <v>BCV131</v>
      </c>
      <c r="U1155" s="17"/>
      <c r="V1155" s="289" t="str">
        <f>+CONCATENATE(E1155,".",F1155,"\",G1155,".",H1155,":",I1155)</f>
        <v>2.9\0.1:3</v>
      </c>
      <c r="W1155" s="18" t="s">
        <v>1690</v>
      </c>
      <c r="X1155" s="17">
        <v>0</v>
      </c>
      <c r="Y1155" s="17"/>
      <c r="Z1155" s="17"/>
      <c r="AA1155" s="17"/>
      <c r="AB1155" s="17"/>
      <c r="AC1155" s="17"/>
      <c r="AD1155" s="17"/>
      <c r="AE1155" s="17"/>
      <c r="AF1155" s="17"/>
      <c r="AG1155" s="64"/>
      <c r="AH1155" s="64"/>
      <c r="AI1155" s="64"/>
      <c r="AJ1155" s="64"/>
      <c r="AK1155" s="64"/>
      <c r="AL1155" s="264"/>
      <c r="AM1155" s="84"/>
      <c r="AN1155" s="18"/>
      <c r="AO1155" s="18"/>
      <c r="AP1155" s="18"/>
      <c r="AQ1155" s="18"/>
      <c r="AR1155" s="18"/>
      <c r="AS1155" s="18"/>
      <c r="AT1155" s="18"/>
      <c r="AU1155" s="18"/>
      <c r="AV1155" s="18"/>
      <c r="AW1155" s="18"/>
      <c r="AX1155" s="18"/>
      <c r="AY1155" s="18"/>
    </row>
    <row r="1156" spans="1:51" s="33" customFormat="1" ht="13.5" thickBot="1" x14ac:dyDescent="0.35">
      <c r="A1156" s="63" t="str">
        <f>+A1155</f>
        <v>BCV131</v>
      </c>
      <c r="B1156" s="18" t="str">
        <f>+B1155</f>
        <v>AX18</v>
      </c>
      <c r="C1156" s="85" t="str">
        <f>+C1155</f>
        <v>SIO1</v>
      </c>
      <c r="D1156" s="85" t="str">
        <f>+D1155</f>
        <v>SLC02</v>
      </c>
      <c r="E1156" s="290">
        <f>+E1155</f>
        <v>2</v>
      </c>
      <c r="F1156" s="290">
        <f>+F1155</f>
        <v>9</v>
      </c>
      <c r="G1156" s="290">
        <f>+G1155</f>
        <v>0</v>
      </c>
      <c r="H1156" s="72">
        <f>+H1155</f>
        <v>1</v>
      </c>
      <c r="I1156" s="71">
        <v>4</v>
      </c>
      <c r="J1156" s="70" t="s">
        <v>1318</v>
      </c>
      <c r="K1156" s="85"/>
      <c r="L1156" s="79" t="s">
        <v>235</v>
      </c>
      <c r="M1156" s="17">
        <v>3</v>
      </c>
      <c r="N1156" s="17"/>
      <c r="O1156" s="17"/>
      <c r="P1156" s="17"/>
      <c r="Q1156" s="68"/>
      <c r="R1156" s="68"/>
      <c r="S1156" s="68"/>
      <c r="T1156" s="68"/>
      <c r="U1156" s="17"/>
      <c r="V1156" s="289" t="str">
        <f>+CONCATENATE(E1156,".",F1156,"\",G1156,".",H1156,":",I1156)</f>
        <v>2.9\0.1:4</v>
      </c>
      <c r="W1156" s="18" t="s">
        <v>1690</v>
      </c>
      <c r="X1156" s="17">
        <v>0</v>
      </c>
      <c r="Y1156" s="17"/>
      <c r="Z1156" s="17"/>
      <c r="AA1156" s="17"/>
      <c r="AB1156" s="17"/>
      <c r="AC1156" s="17"/>
      <c r="AD1156" s="17"/>
      <c r="AE1156" s="17"/>
      <c r="AF1156" s="17"/>
      <c r="AG1156" s="64"/>
      <c r="AH1156" s="64"/>
      <c r="AI1156" s="64"/>
      <c r="AJ1156" s="64"/>
      <c r="AK1156" s="64"/>
      <c r="AL1156" s="264"/>
      <c r="AM1156" s="84"/>
      <c r="AN1156" s="18"/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  <c r="AY1156" s="18"/>
    </row>
    <row r="1157" spans="1:51" s="33" customFormat="1" x14ac:dyDescent="0.3">
      <c r="A1157" s="63"/>
      <c r="B1157" s="63"/>
      <c r="C1157" s="63"/>
      <c r="D1157" s="63"/>
      <c r="E1157" s="288"/>
      <c r="F1157" s="288"/>
      <c r="G1157" s="288"/>
      <c r="H1157" s="63"/>
      <c r="I1157" s="63"/>
      <c r="J1157" s="63"/>
      <c r="K1157" s="17"/>
      <c r="L1157" s="17"/>
      <c r="M1157" s="17"/>
      <c r="N1157" s="17"/>
      <c r="O1157" s="68"/>
      <c r="P1157" s="68"/>
      <c r="Q1157" s="68"/>
      <c r="R1157" s="68"/>
      <c r="S1157" s="68"/>
      <c r="T1157" s="68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64"/>
      <c r="AH1157" s="64"/>
      <c r="AI1157" s="64"/>
      <c r="AJ1157" s="64"/>
      <c r="AK1157" s="64"/>
      <c r="AL1157" s="264"/>
      <c r="AM1157" s="84"/>
      <c r="AN1157" s="18"/>
      <c r="AO1157" s="18"/>
      <c r="AP1157" s="18"/>
      <c r="AQ1157" s="18"/>
      <c r="AR1157" s="18"/>
      <c r="AS1157" s="18"/>
      <c r="AT1157" s="18"/>
      <c r="AU1157" s="18"/>
      <c r="AV1157" s="18"/>
      <c r="AW1157" s="18"/>
      <c r="AX1157" s="18"/>
      <c r="AY1157" s="18"/>
    </row>
    <row r="1158" spans="1:51" s="33" customFormat="1" x14ac:dyDescent="0.3">
      <c r="A1158" s="63"/>
      <c r="B1158" s="63"/>
      <c r="C1158" s="63"/>
      <c r="D1158" s="63"/>
      <c r="E1158" s="288"/>
      <c r="F1158" s="288"/>
      <c r="G1158" s="288"/>
      <c r="H1158" s="63"/>
      <c r="I1158" s="63"/>
      <c r="J1158" s="63"/>
      <c r="K1158" s="17"/>
      <c r="L1158" s="17"/>
      <c r="M1158" s="17"/>
      <c r="N1158" s="17"/>
      <c r="O1158" s="68"/>
      <c r="P1158" s="68"/>
      <c r="Q1158" s="68"/>
      <c r="R1158" s="68"/>
      <c r="S1158" s="68"/>
      <c r="T1158" s="68"/>
      <c r="U1158" s="17"/>
      <c r="V1158" s="17"/>
      <c r="W1158" s="17"/>
      <c r="X1158" s="17"/>
      <c r="Y1158" s="17"/>
      <c r="Z1158" s="17"/>
      <c r="AA1158" s="17"/>
      <c r="AB1158" s="20"/>
      <c r="AC1158" s="17"/>
      <c r="AD1158" s="17"/>
      <c r="AE1158" s="17"/>
      <c r="AF1158" s="17"/>
      <c r="AG1158" s="64"/>
      <c r="AH1158" s="64"/>
      <c r="AI1158" s="64"/>
      <c r="AJ1158" s="64"/>
      <c r="AK1158" s="64"/>
      <c r="AL1158" s="264"/>
      <c r="AM1158" s="84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  <c r="AY1158" s="18"/>
    </row>
    <row r="1159" spans="1:51" s="33" customFormat="1" x14ac:dyDescent="0.3">
      <c r="A1159" s="63"/>
      <c r="B1159" s="63"/>
      <c r="C1159" s="63"/>
      <c r="D1159" s="63"/>
      <c r="E1159" s="288"/>
      <c r="F1159" s="288"/>
      <c r="G1159" s="288"/>
      <c r="H1159" s="63"/>
      <c r="I1159" s="63"/>
      <c r="J1159" s="63"/>
      <c r="K1159" s="17"/>
      <c r="L1159" s="17"/>
      <c r="M1159" s="17"/>
      <c r="N1159" s="17"/>
      <c r="O1159" s="68"/>
      <c r="P1159" s="68"/>
      <c r="Q1159" s="68"/>
      <c r="R1159" s="68"/>
      <c r="S1159" s="68"/>
      <c r="T1159" s="68"/>
      <c r="U1159" s="17"/>
      <c r="V1159" s="17"/>
      <c r="W1159" s="17"/>
      <c r="X1159" s="17"/>
      <c r="Y1159" s="17"/>
      <c r="Z1159" s="17"/>
      <c r="AA1159" s="17"/>
      <c r="AB1159" s="20"/>
      <c r="AC1159" s="17"/>
      <c r="AD1159" s="17"/>
      <c r="AE1159" s="17"/>
      <c r="AF1159" s="17"/>
      <c r="AG1159" s="64"/>
      <c r="AH1159" s="64"/>
      <c r="AI1159" s="64"/>
      <c r="AJ1159" s="64"/>
      <c r="AK1159" s="64"/>
      <c r="AL1159" s="264"/>
      <c r="AM1159" s="84"/>
      <c r="AN1159" s="18"/>
      <c r="AO1159" s="18"/>
      <c r="AP1159" s="18"/>
      <c r="AQ1159" s="18"/>
      <c r="AR1159" s="18"/>
      <c r="AS1159" s="18"/>
      <c r="AT1159" s="18"/>
      <c r="AU1159" s="18"/>
      <c r="AV1159" s="18"/>
      <c r="AW1159" s="18"/>
      <c r="AX1159" s="18"/>
      <c r="AY1159" s="18"/>
    </row>
    <row r="1160" spans="1:51" s="33" customFormat="1" ht="15.5" x14ac:dyDescent="0.35">
      <c r="A1160" s="297"/>
      <c r="B1160" s="96" t="s">
        <v>1689</v>
      </c>
      <c r="C1160" s="256"/>
      <c r="D1160" s="256"/>
      <c r="E1160" s="256"/>
      <c r="F1160" s="256"/>
      <c r="G1160" s="256"/>
      <c r="H1160" s="256"/>
      <c r="I1160" s="256"/>
      <c r="J1160" s="256"/>
      <c r="K1160" s="256"/>
      <c r="L1160" s="256"/>
      <c r="M1160" s="256"/>
      <c r="N1160" s="287"/>
      <c r="O1160" s="256"/>
      <c r="P1160" s="287"/>
      <c r="Q1160" s="256"/>
      <c r="R1160" s="256"/>
      <c r="S1160" s="256"/>
      <c r="T1160" s="256"/>
      <c r="U1160" s="256"/>
      <c r="V1160" s="256"/>
      <c r="W1160" s="287"/>
      <c r="X1160" s="256"/>
      <c r="Y1160" s="256"/>
      <c r="Z1160" s="17"/>
      <c r="AA1160" s="17"/>
      <c r="AB1160" s="17"/>
      <c r="AC1160" s="17"/>
      <c r="AD1160" s="17"/>
      <c r="AE1160" s="17"/>
      <c r="AF1160" s="17"/>
      <c r="AG1160" s="64"/>
      <c r="AH1160" s="64"/>
      <c r="AI1160" s="64"/>
      <c r="AJ1160" s="64"/>
      <c r="AK1160" s="64"/>
      <c r="AL1160" s="264"/>
      <c r="AM1160" s="84"/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  <c r="AY1160" s="18"/>
    </row>
    <row r="1161" spans="1:51" s="33" customFormat="1" ht="13.5" thickBot="1" x14ac:dyDescent="0.35">
      <c r="A1161" s="63"/>
      <c r="B1161" s="63"/>
      <c r="C1161" s="63"/>
      <c r="D1161" s="63"/>
      <c r="E1161" s="288"/>
      <c r="F1161" s="288"/>
      <c r="G1161" s="288"/>
      <c r="H1161" s="63"/>
      <c r="I1161" s="63"/>
      <c r="J1161" s="63"/>
      <c r="K1161" s="17"/>
      <c r="L1161" s="17"/>
      <c r="M1161" s="17"/>
      <c r="N1161" s="17"/>
      <c r="O1161" s="68"/>
      <c r="P1161" s="68"/>
      <c r="Q1161" s="68"/>
      <c r="R1161" s="68"/>
      <c r="S1161" s="68"/>
      <c r="T1161" s="68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64"/>
      <c r="AH1161" s="64"/>
      <c r="AI1161" s="64"/>
      <c r="AJ1161" s="64"/>
      <c r="AK1161" s="64"/>
      <c r="AL1161" s="264"/>
      <c r="AM1161" s="84"/>
      <c r="AN1161" s="18"/>
      <c r="AO1161" s="18"/>
      <c r="AP1161" s="18"/>
      <c r="AQ1161" s="18"/>
      <c r="AR1161" s="18"/>
      <c r="AS1161" s="18"/>
      <c r="AT1161" s="18"/>
      <c r="AU1161" s="18"/>
      <c r="AV1161" s="18"/>
      <c r="AW1161" s="18"/>
      <c r="AX1161" s="18"/>
      <c r="AY1161" s="18"/>
    </row>
    <row r="1162" spans="1:51" s="33" customFormat="1" ht="13.5" thickBot="1" x14ac:dyDescent="0.35">
      <c r="A1162" s="63" t="s">
        <v>194</v>
      </c>
      <c r="B1162" s="17" t="s">
        <v>1654</v>
      </c>
      <c r="C1162" s="295" t="s">
        <v>271</v>
      </c>
      <c r="D1162" s="290" t="s">
        <v>285</v>
      </c>
      <c r="E1162" s="290">
        <v>1</v>
      </c>
      <c r="F1162" s="290">
        <v>10</v>
      </c>
      <c r="G1162" s="290">
        <v>0</v>
      </c>
      <c r="H1162" s="89">
        <v>0</v>
      </c>
      <c r="I1162" s="88" t="s">
        <v>1106</v>
      </c>
      <c r="J1162" s="87"/>
      <c r="K1162" s="84">
        <v>1059305</v>
      </c>
      <c r="L1162" s="91" t="s">
        <v>1377</v>
      </c>
      <c r="M1162" s="17">
        <v>3</v>
      </c>
      <c r="N1162" s="17"/>
      <c r="O1162" s="83"/>
      <c r="P1162" s="83"/>
      <c r="Q1162" s="68"/>
      <c r="R1162" s="68"/>
      <c r="S1162" s="68"/>
      <c r="T1162" s="68"/>
      <c r="U1162" s="17"/>
      <c r="V1162" s="17"/>
      <c r="W1162" s="18" t="s">
        <v>1673</v>
      </c>
      <c r="X1162" s="17">
        <v>0</v>
      </c>
      <c r="Y1162" s="17"/>
      <c r="Z1162" s="17"/>
      <c r="AA1162" s="17"/>
      <c r="AB1162" s="17"/>
      <c r="AC1162" s="17"/>
      <c r="AD1162" s="17"/>
      <c r="AE1162" s="17"/>
      <c r="AF1162" s="17"/>
      <c r="AG1162" s="64"/>
      <c r="AH1162" s="64"/>
      <c r="AI1162" s="64"/>
      <c r="AJ1162" s="64"/>
      <c r="AK1162" s="64"/>
      <c r="AL1162" s="264"/>
      <c r="AM1162" s="84"/>
      <c r="AN1162" s="18"/>
      <c r="AO1162" s="18"/>
      <c r="AP1162" s="18"/>
      <c r="AQ1162" s="18"/>
      <c r="AR1162" s="18"/>
      <c r="AS1162" s="18"/>
      <c r="AT1162" s="18"/>
      <c r="AU1162" s="18"/>
      <c r="AV1162" s="18"/>
      <c r="AW1162" s="18"/>
      <c r="AX1162" s="18"/>
      <c r="AY1162" s="18"/>
    </row>
    <row r="1163" spans="1:51" s="33" customFormat="1" x14ac:dyDescent="0.3">
      <c r="A1163" s="63" t="str">
        <f>+A1162</f>
        <v>BCV131</v>
      </c>
      <c r="B1163" s="18" t="str">
        <f>+B1162</f>
        <v>AX19</v>
      </c>
      <c r="C1163" s="85" t="str">
        <f>+C1162</f>
        <v>SIO1</v>
      </c>
      <c r="D1163" s="85" t="str">
        <f>+D1162</f>
        <v>SLC01</v>
      </c>
      <c r="E1163" s="290">
        <f>+E1162</f>
        <v>1</v>
      </c>
      <c r="F1163" s="290">
        <f>+F1162</f>
        <v>10</v>
      </c>
      <c r="G1163" s="290">
        <f>+G1162</f>
        <v>0</v>
      </c>
      <c r="H1163" s="72">
        <v>1</v>
      </c>
      <c r="I1163" s="77">
        <v>1</v>
      </c>
      <c r="J1163" s="76" t="s">
        <v>269</v>
      </c>
      <c r="K1163" s="65">
        <v>1044125</v>
      </c>
      <c r="L1163" s="79" t="s">
        <v>244</v>
      </c>
      <c r="M1163" s="17">
        <v>3</v>
      </c>
      <c r="N1163" s="18" t="s">
        <v>1686</v>
      </c>
      <c r="O1163" s="296" t="s">
        <v>1688</v>
      </c>
      <c r="P1163" s="296"/>
      <c r="Q1163" s="296" t="s">
        <v>1687</v>
      </c>
      <c r="R1163" s="17" t="s">
        <v>211</v>
      </c>
      <c r="S1163" s="17"/>
      <c r="T1163" s="17" t="s">
        <v>194</v>
      </c>
      <c r="U1163" s="17"/>
      <c r="V1163" s="289" t="str">
        <f>+CONCATENATE(E1163,".",F1163,"\",G1163,".",H1163,":",I1163)</f>
        <v>1.10\0.1:1</v>
      </c>
      <c r="W1163" s="18" t="s">
        <v>1673</v>
      </c>
      <c r="X1163" s="17">
        <v>0</v>
      </c>
      <c r="Y1163" s="17"/>
      <c r="Z1163" s="17"/>
      <c r="AA1163" s="17"/>
      <c r="AB1163" s="17"/>
      <c r="AC1163" s="17"/>
      <c r="AD1163" s="17"/>
      <c r="AE1163" s="17"/>
      <c r="AF1163" s="17"/>
      <c r="AG1163" s="64"/>
      <c r="AH1163" s="64"/>
      <c r="AI1163" s="64"/>
      <c r="AJ1163" s="64"/>
      <c r="AK1163" s="64"/>
      <c r="AL1163" s="264"/>
      <c r="AM1163" s="84"/>
      <c r="AN1163" s="18"/>
      <c r="AO1163" s="18"/>
      <c r="AP1163" s="18"/>
      <c r="AQ1163" s="18"/>
      <c r="AR1163" s="18"/>
      <c r="AS1163" s="18"/>
      <c r="AT1163" s="18"/>
      <c r="AU1163" s="18"/>
      <c r="AV1163" s="18"/>
      <c r="AW1163" s="18"/>
      <c r="AX1163" s="18"/>
      <c r="AY1163" s="18"/>
    </row>
    <row r="1164" spans="1:51" s="33" customFormat="1" x14ac:dyDescent="0.3">
      <c r="A1164" s="63" t="str">
        <f>+A1163</f>
        <v>BCV131</v>
      </c>
      <c r="B1164" s="18" t="str">
        <f>+B1163</f>
        <v>AX19</v>
      </c>
      <c r="C1164" s="85" t="str">
        <f>+C1163</f>
        <v>SIO1</v>
      </c>
      <c r="D1164" s="85" t="str">
        <f>+D1163</f>
        <v>SLC01</v>
      </c>
      <c r="E1164" s="290">
        <f>+E1163</f>
        <v>1</v>
      </c>
      <c r="F1164" s="290">
        <f>+F1163</f>
        <v>10</v>
      </c>
      <c r="G1164" s="290">
        <f>+G1163</f>
        <v>0</v>
      </c>
      <c r="H1164" s="72">
        <f>+H1163</f>
        <v>1</v>
      </c>
      <c r="I1164" s="75">
        <v>2</v>
      </c>
      <c r="J1164" s="74" t="s">
        <v>265</v>
      </c>
      <c r="K1164" s="84">
        <v>1047162</v>
      </c>
      <c r="L1164" s="79" t="s">
        <v>244</v>
      </c>
      <c r="M1164" s="17">
        <v>3</v>
      </c>
      <c r="N1164" s="18" t="s">
        <v>1686</v>
      </c>
      <c r="O1164" s="296" t="s">
        <v>1685</v>
      </c>
      <c r="P1164" s="296"/>
      <c r="Q1164" s="296" t="s">
        <v>1684</v>
      </c>
      <c r="R1164" s="17" t="s">
        <v>211</v>
      </c>
      <c r="S1164" s="17"/>
      <c r="T1164" s="17" t="str">
        <f>+T1163</f>
        <v>BCV131</v>
      </c>
      <c r="U1164" s="17"/>
      <c r="V1164" s="289" t="str">
        <f>+CONCATENATE(E1164,".",F1164,"\",G1164,".",H1164,":",I1164)</f>
        <v>1.10\0.1:2</v>
      </c>
      <c r="W1164" s="18" t="s">
        <v>1673</v>
      </c>
      <c r="X1164" s="17">
        <v>0</v>
      </c>
      <c r="Y1164" s="17"/>
      <c r="Z1164" s="17"/>
      <c r="AA1164" s="17"/>
      <c r="AB1164" s="17"/>
      <c r="AC1164" s="17"/>
      <c r="AD1164" s="17"/>
      <c r="AE1164" s="17"/>
      <c r="AF1164" s="17"/>
      <c r="AG1164" s="64"/>
      <c r="AH1164" s="64"/>
      <c r="AI1164" s="64"/>
      <c r="AJ1164" s="64"/>
      <c r="AK1164" s="64"/>
      <c r="AL1164" s="264"/>
      <c r="AM1164" s="84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  <c r="AY1164" s="18"/>
    </row>
    <row r="1165" spans="1:51" s="33" customFormat="1" x14ac:dyDescent="0.3">
      <c r="A1165" s="63" t="str">
        <f>+A1164</f>
        <v>BCV131</v>
      </c>
      <c r="B1165" s="18" t="str">
        <f>+B1164</f>
        <v>AX19</v>
      </c>
      <c r="C1165" s="85" t="str">
        <f>+C1164</f>
        <v>SIO1</v>
      </c>
      <c r="D1165" s="85" t="str">
        <f>+D1164</f>
        <v>SLC01</v>
      </c>
      <c r="E1165" s="290">
        <f>+E1164</f>
        <v>1</v>
      </c>
      <c r="F1165" s="290">
        <f>+F1164</f>
        <v>10</v>
      </c>
      <c r="G1165" s="290">
        <f>+G1164</f>
        <v>0</v>
      </c>
      <c r="H1165" s="72">
        <f>+H1164</f>
        <v>1</v>
      </c>
      <c r="I1165" s="75">
        <v>3</v>
      </c>
      <c r="J1165" s="74" t="s">
        <v>261</v>
      </c>
      <c r="K1165" s="85"/>
      <c r="L1165" s="79" t="s">
        <v>244</v>
      </c>
      <c r="M1165" s="17">
        <v>3</v>
      </c>
      <c r="N1165" s="18" t="s">
        <v>1681</v>
      </c>
      <c r="O1165" s="296" t="s">
        <v>1683</v>
      </c>
      <c r="P1165" s="296"/>
      <c r="Q1165" s="296" t="s">
        <v>1682</v>
      </c>
      <c r="R1165" s="17" t="s">
        <v>211</v>
      </c>
      <c r="S1165" s="17"/>
      <c r="T1165" s="17" t="str">
        <f>+T1164</f>
        <v>BCV131</v>
      </c>
      <c r="U1165" s="17"/>
      <c r="V1165" s="289" t="str">
        <f>+CONCATENATE(E1165,".",F1165,"\",G1165,".",H1165,":",I1165)</f>
        <v>1.10\0.1:3</v>
      </c>
      <c r="W1165" s="18" t="s">
        <v>1673</v>
      </c>
      <c r="X1165" s="17">
        <v>0</v>
      </c>
      <c r="Y1165" s="17"/>
      <c r="Z1165" s="17"/>
      <c r="AA1165" s="17"/>
      <c r="AB1165" s="17"/>
      <c r="AC1165" s="17"/>
      <c r="AD1165" s="17"/>
      <c r="AE1165" s="17"/>
      <c r="AF1165" s="17"/>
      <c r="AG1165" s="64"/>
      <c r="AH1165" s="64"/>
      <c r="AI1165" s="64"/>
      <c r="AJ1165" s="64"/>
      <c r="AK1165" s="64"/>
      <c r="AL1165" s="264"/>
      <c r="AM1165" s="84"/>
      <c r="AN1165" s="18"/>
      <c r="AO1165" s="18"/>
      <c r="AP1165" s="18"/>
      <c r="AQ1165" s="18"/>
      <c r="AR1165" s="18"/>
      <c r="AS1165" s="18"/>
      <c r="AT1165" s="18"/>
      <c r="AU1165" s="18"/>
      <c r="AV1165" s="18"/>
      <c r="AW1165" s="18"/>
      <c r="AX1165" s="18"/>
      <c r="AY1165" s="18"/>
    </row>
    <row r="1166" spans="1:51" s="33" customFormat="1" x14ac:dyDescent="0.3">
      <c r="A1166" s="63" t="str">
        <f>+A1165</f>
        <v>BCV131</v>
      </c>
      <c r="B1166" s="18" t="str">
        <f>+B1165</f>
        <v>AX19</v>
      </c>
      <c r="C1166" s="85" t="str">
        <f>+C1165</f>
        <v>SIO1</v>
      </c>
      <c r="D1166" s="85" t="str">
        <f>+D1165</f>
        <v>SLC01</v>
      </c>
      <c r="E1166" s="290">
        <f>+E1165</f>
        <v>1</v>
      </c>
      <c r="F1166" s="290">
        <f>+F1165</f>
        <v>10</v>
      </c>
      <c r="G1166" s="290">
        <f>+G1165</f>
        <v>0</v>
      </c>
      <c r="H1166" s="72">
        <f>+H1165</f>
        <v>1</v>
      </c>
      <c r="I1166" s="75">
        <v>4</v>
      </c>
      <c r="J1166" s="74" t="s">
        <v>257</v>
      </c>
      <c r="K1166" s="85"/>
      <c r="L1166" s="79" t="s">
        <v>244</v>
      </c>
      <c r="M1166" s="17">
        <v>3</v>
      </c>
      <c r="N1166" s="18" t="s">
        <v>1681</v>
      </c>
      <c r="O1166" s="296" t="s">
        <v>1680</v>
      </c>
      <c r="P1166" s="296"/>
      <c r="Q1166" s="296" t="s">
        <v>1679</v>
      </c>
      <c r="R1166" s="17" t="s">
        <v>211</v>
      </c>
      <c r="S1166" s="17"/>
      <c r="T1166" s="17" t="str">
        <f>+T1165</f>
        <v>BCV131</v>
      </c>
      <c r="U1166" s="17"/>
      <c r="V1166" s="289" t="str">
        <f>+CONCATENATE(E1166,".",F1166,"\",G1166,".",H1166,":",I1166)</f>
        <v>1.10\0.1:4</v>
      </c>
      <c r="W1166" s="18" t="s">
        <v>1673</v>
      </c>
      <c r="X1166" s="17">
        <v>0</v>
      </c>
      <c r="Y1166" s="17"/>
      <c r="Z1166" s="17"/>
      <c r="AA1166" s="17"/>
      <c r="AB1166" s="17"/>
      <c r="AC1166" s="17"/>
      <c r="AD1166" s="17"/>
      <c r="AE1166" s="17"/>
      <c r="AF1166" s="17"/>
      <c r="AG1166" s="64"/>
      <c r="AH1166" s="64"/>
      <c r="AI1166" s="64"/>
      <c r="AJ1166" s="64"/>
      <c r="AK1166" s="64"/>
      <c r="AL1166" s="264"/>
      <c r="AM1166" s="84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  <c r="AY1166" s="18"/>
    </row>
    <row r="1167" spans="1:51" s="33" customFormat="1" x14ac:dyDescent="0.3">
      <c r="A1167" s="63" t="str">
        <f>+A1166</f>
        <v>BCV131</v>
      </c>
      <c r="B1167" s="18" t="str">
        <f>+B1166</f>
        <v>AX19</v>
      </c>
      <c r="C1167" s="85" t="str">
        <f>+C1166</f>
        <v>SIO1</v>
      </c>
      <c r="D1167" s="85" t="str">
        <f>+D1166</f>
        <v>SLC01</v>
      </c>
      <c r="E1167" s="290">
        <f>+E1166</f>
        <v>1</v>
      </c>
      <c r="F1167" s="290">
        <f>+F1166</f>
        <v>10</v>
      </c>
      <c r="G1167" s="290">
        <f>+G1166</f>
        <v>0</v>
      </c>
      <c r="H1167" s="72">
        <f>+H1166</f>
        <v>1</v>
      </c>
      <c r="I1167" s="75">
        <v>5</v>
      </c>
      <c r="J1167" s="74" t="s">
        <v>1325</v>
      </c>
      <c r="K1167" s="85"/>
      <c r="L1167" s="79" t="s">
        <v>244</v>
      </c>
      <c r="M1167" s="17">
        <v>3</v>
      </c>
      <c r="N1167" s="17"/>
      <c r="O1167" s="296"/>
      <c r="P1167" s="296"/>
      <c r="Q1167" s="296" t="s">
        <v>127</v>
      </c>
      <c r="R1167" s="17"/>
      <c r="S1167" s="17"/>
      <c r="T1167" s="17"/>
      <c r="U1167" s="17"/>
      <c r="V1167" s="289" t="str">
        <f>+CONCATENATE(E1167,".",F1167,"\",G1167,".",H1167,":",I1167)</f>
        <v>1.10\0.1:5</v>
      </c>
      <c r="W1167" s="18" t="s">
        <v>1673</v>
      </c>
      <c r="X1167" s="17">
        <v>0</v>
      </c>
      <c r="Y1167" s="17"/>
      <c r="Z1167" s="17"/>
      <c r="AA1167" s="17"/>
      <c r="AB1167" s="17"/>
      <c r="AC1167" s="17"/>
      <c r="AD1167" s="17"/>
      <c r="AE1167" s="17"/>
      <c r="AF1167" s="17"/>
      <c r="AG1167" s="64"/>
      <c r="AH1167" s="64"/>
      <c r="AI1167" s="64"/>
      <c r="AJ1167" s="64"/>
      <c r="AK1167" s="64"/>
      <c r="AL1167" s="264"/>
      <c r="AM1167" s="84"/>
      <c r="AN1167" s="18"/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  <c r="AY1167" s="18"/>
    </row>
    <row r="1168" spans="1:51" s="33" customFormat="1" x14ac:dyDescent="0.3">
      <c r="A1168" s="63" t="str">
        <f>+A1167</f>
        <v>BCV131</v>
      </c>
      <c r="B1168" s="18" t="str">
        <f>+B1167</f>
        <v>AX19</v>
      </c>
      <c r="C1168" s="85" t="str">
        <f>+C1167</f>
        <v>SIO1</v>
      </c>
      <c r="D1168" s="85" t="str">
        <f>+D1167</f>
        <v>SLC01</v>
      </c>
      <c r="E1168" s="290">
        <f>+E1167</f>
        <v>1</v>
      </c>
      <c r="F1168" s="290">
        <f>+F1167</f>
        <v>10</v>
      </c>
      <c r="G1168" s="290">
        <f>+G1167</f>
        <v>0</v>
      </c>
      <c r="H1168" s="72">
        <f>+H1167</f>
        <v>1</v>
      </c>
      <c r="I1168" s="75">
        <v>6</v>
      </c>
      <c r="J1168" s="74" t="s">
        <v>1323</v>
      </c>
      <c r="K1168" s="85"/>
      <c r="L1168" s="79" t="s">
        <v>244</v>
      </c>
      <c r="M1168" s="17">
        <v>3</v>
      </c>
      <c r="N1168" s="17"/>
      <c r="O1168" s="296"/>
      <c r="P1168" s="296"/>
      <c r="Q1168" s="296" t="s">
        <v>127</v>
      </c>
      <c r="R1168" s="17"/>
      <c r="S1168" s="17"/>
      <c r="T1168" s="17"/>
      <c r="U1168" s="17"/>
      <c r="V1168" s="289" t="str">
        <f>+CONCATENATE(E1168,".",F1168,"\",G1168,".",H1168,":",I1168)</f>
        <v>1.10\0.1:6</v>
      </c>
      <c r="W1168" s="18" t="s">
        <v>1673</v>
      </c>
      <c r="X1168" s="17">
        <v>0</v>
      </c>
      <c r="Y1168" s="17"/>
      <c r="Z1168" s="17"/>
      <c r="AA1168" s="17"/>
      <c r="AB1168" s="17"/>
      <c r="AC1168" s="17"/>
      <c r="AD1168" s="17"/>
      <c r="AE1168" s="17"/>
      <c r="AF1168" s="17"/>
      <c r="AG1168" s="64"/>
      <c r="AH1168" s="64"/>
      <c r="AI1168" s="64"/>
      <c r="AJ1168" s="64"/>
      <c r="AK1168" s="64"/>
      <c r="AL1168" s="264"/>
      <c r="AM1168" s="84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  <c r="AY1168" s="18"/>
    </row>
    <row r="1169" spans="1:51" s="33" customFormat="1" x14ac:dyDescent="0.3">
      <c r="A1169" s="63" t="str">
        <f>+A1168</f>
        <v>BCV131</v>
      </c>
      <c r="B1169" s="18" t="str">
        <f>+B1168</f>
        <v>AX19</v>
      </c>
      <c r="C1169" s="85" t="str">
        <f>+C1168</f>
        <v>SIO1</v>
      </c>
      <c r="D1169" s="85" t="str">
        <f>+D1168</f>
        <v>SLC01</v>
      </c>
      <c r="E1169" s="290">
        <f>+E1168</f>
        <v>1</v>
      </c>
      <c r="F1169" s="290">
        <f>+F1168</f>
        <v>10</v>
      </c>
      <c r="G1169" s="290">
        <f>+G1168</f>
        <v>0</v>
      </c>
      <c r="H1169" s="72">
        <f>+H1168</f>
        <v>1</v>
      </c>
      <c r="I1169" s="75">
        <v>7</v>
      </c>
      <c r="J1169" s="74" t="s">
        <v>246</v>
      </c>
      <c r="K1169" s="85"/>
      <c r="L1169" s="79" t="s">
        <v>244</v>
      </c>
      <c r="M1169" s="17">
        <v>3</v>
      </c>
      <c r="N1169" s="17"/>
      <c r="O1169" s="296"/>
      <c r="P1169" s="296"/>
      <c r="Q1169" s="296" t="s">
        <v>127</v>
      </c>
      <c r="R1169" s="17"/>
      <c r="S1169" s="17"/>
      <c r="T1169" s="17"/>
      <c r="U1169" s="17"/>
      <c r="V1169" s="289" t="str">
        <f>+CONCATENATE(E1169,".",F1169,"\",G1169,".",H1169,":",I1169)</f>
        <v>1.10\0.1:7</v>
      </c>
      <c r="W1169" s="18" t="s">
        <v>1673</v>
      </c>
      <c r="X1169" s="17">
        <v>0</v>
      </c>
      <c r="Y1169" s="17"/>
      <c r="Z1169" s="17"/>
      <c r="AA1169" s="17"/>
      <c r="AB1169" s="17"/>
      <c r="AC1169" s="17"/>
      <c r="AD1169" s="17"/>
      <c r="AE1169" s="17"/>
      <c r="AF1169" s="17"/>
      <c r="AG1169" s="64"/>
      <c r="AH1169" s="64"/>
      <c r="AI1169" s="64"/>
      <c r="AJ1169" s="64"/>
      <c r="AK1169" s="64"/>
      <c r="AL1169" s="264"/>
      <c r="AM1169" s="84"/>
      <c r="AN1169" s="18"/>
      <c r="AO1169" s="18"/>
      <c r="AP1169" s="18"/>
      <c r="AQ1169" s="18"/>
      <c r="AR1169" s="18"/>
      <c r="AS1169" s="18"/>
      <c r="AT1169" s="18"/>
      <c r="AU1169" s="18"/>
      <c r="AV1169" s="18"/>
      <c r="AW1169" s="18"/>
      <c r="AX1169" s="18"/>
      <c r="AY1169" s="18"/>
    </row>
    <row r="1170" spans="1:51" s="33" customFormat="1" x14ac:dyDescent="0.3">
      <c r="A1170" s="63" t="str">
        <f>+A1169</f>
        <v>BCV131</v>
      </c>
      <c r="B1170" s="18" t="str">
        <f>+B1169</f>
        <v>AX19</v>
      </c>
      <c r="C1170" s="85" t="str">
        <f>+C1169</f>
        <v>SIO1</v>
      </c>
      <c r="D1170" s="85" t="str">
        <f>+D1169</f>
        <v>SLC01</v>
      </c>
      <c r="E1170" s="290">
        <f>+E1169</f>
        <v>1</v>
      </c>
      <c r="F1170" s="290">
        <f>+F1169</f>
        <v>10</v>
      </c>
      <c r="G1170" s="290">
        <f>+G1169</f>
        <v>0</v>
      </c>
      <c r="H1170" s="72">
        <f>+H1169</f>
        <v>1</v>
      </c>
      <c r="I1170" s="75">
        <v>8</v>
      </c>
      <c r="J1170" s="74" t="s">
        <v>245</v>
      </c>
      <c r="K1170" s="85"/>
      <c r="L1170" s="79" t="s">
        <v>244</v>
      </c>
      <c r="M1170" s="17">
        <v>3</v>
      </c>
      <c r="N1170" s="17"/>
      <c r="O1170" s="296"/>
      <c r="P1170" s="296"/>
      <c r="Q1170" s="296" t="s">
        <v>127</v>
      </c>
      <c r="R1170" s="17"/>
      <c r="S1170" s="17"/>
      <c r="T1170" s="17"/>
      <c r="U1170" s="17"/>
      <c r="V1170" s="289" t="str">
        <f>+CONCATENATE(E1170,".",F1170,"\",G1170,".",H1170,":",I1170)</f>
        <v>1.10\0.1:8</v>
      </c>
      <c r="W1170" s="18" t="s">
        <v>1673</v>
      </c>
      <c r="X1170" s="17">
        <v>0</v>
      </c>
      <c r="Y1170" s="17"/>
      <c r="Z1170" s="17"/>
      <c r="AA1170" s="17"/>
      <c r="AB1170" s="17"/>
      <c r="AC1170" s="17"/>
      <c r="AD1170" s="17"/>
      <c r="AE1170" s="17"/>
      <c r="AF1170" s="17"/>
      <c r="AG1170" s="64"/>
      <c r="AH1170" s="64"/>
      <c r="AI1170" s="64"/>
      <c r="AJ1170" s="64"/>
      <c r="AK1170" s="64"/>
      <c r="AL1170" s="264"/>
      <c r="AM1170" s="84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  <c r="AY1170" s="18"/>
    </row>
    <row r="1171" spans="1:51" s="33" customFormat="1" x14ac:dyDescent="0.3">
      <c r="A1171" s="63" t="str">
        <f>+A1170</f>
        <v>BCV131</v>
      </c>
      <c r="B1171" s="18" t="str">
        <f>+B1170</f>
        <v>AX19</v>
      </c>
      <c r="C1171" s="85" t="str">
        <f>+C1170</f>
        <v>SIO1</v>
      </c>
      <c r="D1171" s="85" t="str">
        <f>+D1170</f>
        <v>SLC01</v>
      </c>
      <c r="E1171" s="290">
        <f>+E1170</f>
        <v>1</v>
      </c>
      <c r="F1171" s="290">
        <f>+F1170</f>
        <v>10</v>
      </c>
      <c r="G1171" s="290">
        <f>+G1170</f>
        <v>0</v>
      </c>
      <c r="H1171" s="72">
        <f>+H1170</f>
        <v>1</v>
      </c>
      <c r="I1171" s="75">
        <v>1</v>
      </c>
      <c r="J1171" s="81" t="s">
        <v>1321</v>
      </c>
      <c r="K1171" s="85" t="s">
        <v>1366</v>
      </c>
      <c r="L1171" s="79" t="s">
        <v>235</v>
      </c>
      <c r="M1171" s="17">
        <v>3</v>
      </c>
      <c r="N1171" s="18" t="s">
        <v>1677</v>
      </c>
      <c r="O1171" s="17" t="s">
        <v>1678</v>
      </c>
      <c r="P1171" s="17"/>
      <c r="Q1171" s="17" t="s">
        <v>1335</v>
      </c>
      <c r="R1171" s="17" t="s">
        <v>922</v>
      </c>
      <c r="S1171" s="17"/>
      <c r="T1171" s="17" t="str">
        <f>+T1163</f>
        <v>BCV131</v>
      </c>
      <c r="U1171" s="17"/>
      <c r="V1171" s="289" t="str">
        <f>+CONCATENATE(E1171,".",F1171,"\",G1171,".",H1171,":",I1171)</f>
        <v>1.10\0.1:1</v>
      </c>
      <c r="W1171" s="18" t="s">
        <v>1673</v>
      </c>
      <c r="X1171" s="17">
        <v>0</v>
      </c>
      <c r="Y1171" s="17"/>
      <c r="Z1171" s="17"/>
      <c r="AA1171" s="17"/>
      <c r="AB1171" s="17"/>
      <c r="AC1171" s="17"/>
      <c r="AD1171" s="17"/>
      <c r="AE1171" s="17"/>
      <c r="AF1171" s="17"/>
      <c r="AG1171" s="64"/>
      <c r="AH1171" s="64"/>
      <c r="AI1171" s="64"/>
      <c r="AJ1171" s="64"/>
      <c r="AK1171" s="64"/>
      <c r="AL1171" s="264"/>
      <c r="AM1171" s="84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  <c r="AY1171" s="18"/>
    </row>
    <row r="1172" spans="1:51" s="33" customFormat="1" x14ac:dyDescent="0.3">
      <c r="A1172" s="63" t="str">
        <f>+A1171</f>
        <v>BCV131</v>
      </c>
      <c r="B1172" s="18" t="str">
        <f>+B1171</f>
        <v>AX19</v>
      </c>
      <c r="C1172" s="85" t="str">
        <f>+C1171</f>
        <v>SIO1</v>
      </c>
      <c r="D1172" s="85" t="str">
        <f>+D1171</f>
        <v>SLC01</v>
      </c>
      <c r="E1172" s="290">
        <f>+E1171</f>
        <v>1</v>
      </c>
      <c r="F1172" s="290">
        <f>+F1171</f>
        <v>10</v>
      </c>
      <c r="G1172" s="290">
        <f>+G1171</f>
        <v>0</v>
      </c>
      <c r="H1172" s="72">
        <f>+H1171</f>
        <v>1</v>
      </c>
      <c r="I1172" s="75">
        <v>2</v>
      </c>
      <c r="J1172" s="74" t="s">
        <v>1320</v>
      </c>
      <c r="K1172" s="85"/>
      <c r="L1172" s="79" t="s">
        <v>235</v>
      </c>
      <c r="M1172" s="17">
        <v>3</v>
      </c>
      <c r="N1172" s="18" t="s">
        <v>1677</v>
      </c>
      <c r="O1172" s="17" t="s">
        <v>1676</v>
      </c>
      <c r="P1172" s="17"/>
      <c r="Q1172" s="17" t="s">
        <v>1330</v>
      </c>
      <c r="R1172" s="17" t="s">
        <v>922</v>
      </c>
      <c r="S1172" s="17"/>
      <c r="T1172" s="17" t="str">
        <f>+T1171</f>
        <v>BCV131</v>
      </c>
      <c r="U1172" s="17"/>
      <c r="V1172" s="289" t="str">
        <f>+CONCATENATE(E1172,".",F1172,"\",G1172,".",H1172,":",I1172)</f>
        <v>1.10\0.1:2</v>
      </c>
      <c r="W1172" s="18" t="s">
        <v>1673</v>
      </c>
      <c r="X1172" s="17">
        <v>0</v>
      </c>
      <c r="Y1172" s="17"/>
      <c r="Z1172" s="17"/>
      <c r="AA1172" s="17"/>
      <c r="AB1172" s="17"/>
      <c r="AC1172" s="17"/>
      <c r="AD1172" s="17"/>
      <c r="AE1172" s="17"/>
      <c r="AF1172" s="17"/>
      <c r="AG1172" s="64"/>
      <c r="AH1172" s="64"/>
      <c r="AI1172" s="64"/>
      <c r="AJ1172" s="64"/>
      <c r="AK1172" s="64"/>
      <c r="AL1172" s="264"/>
      <c r="AM1172" s="84"/>
      <c r="AN1172" s="18"/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  <c r="AY1172" s="18"/>
    </row>
    <row r="1173" spans="1:51" s="33" customFormat="1" x14ac:dyDescent="0.3">
      <c r="A1173" s="63" t="str">
        <f>+A1172</f>
        <v>BCV131</v>
      </c>
      <c r="B1173" s="18" t="str">
        <f>+B1172</f>
        <v>AX19</v>
      </c>
      <c r="C1173" s="85" t="str">
        <f>+C1172</f>
        <v>SIO1</v>
      </c>
      <c r="D1173" s="85" t="str">
        <f>+D1172</f>
        <v>SLC01</v>
      </c>
      <c r="E1173" s="290">
        <f>+E1172</f>
        <v>1</v>
      </c>
      <c r="F1173" s="290">
        <f>+F1172</f>
        <v>10</v>
      </c>
      <c r="G1173" s="290">
        <f>+G1172</f>
        <v>0</v>
      </c>
      <c r="H1173" s="72">
        <f>+H1172</f>
        <v>1</v>
      </c>
      <c r="I1173" s="75">
        <v>3</v>
      </c>
      <c r="J1173" s="74" t="s">
        <v>1319</v>
      </c>
      <c r="K1173" s="85"/>
      <c r="L1173" s="79" t="s">
        <v>235</v>
      </c>
      <c r="M1173" s="17">
        <v>3</v>
      </c>
      <c r="N1173" s="18" t="s">
        <v>1675</v>
      </c>
      <c r="O1173" s="17" t="s">
        <v>1674</v>
      </c>
      <c r="P1173" s="17"/>
      <c r="Q1173" s="17" t="s">
        <v>1330</v>
      </c>
      <c r="R1173" s="17" t="s">
        <v>922</v>
      </c>
      <c r="S1173" s="17"/>
      <c r="T1173" s="17" t="str">
        <f>+T1172</f>
        <v>BCV131</v>
      </c>
      <c r="U1173" s="17"/>
      <c r="V1173" s="289" t="str">
        <f>+CONCATENATE(E1173,".",F1173,"\",G1173,".",H1173,":",I1173)</f>
        <v>1.10\0.1:3</v>
      </c>
      <c r="W1173" s="18" t="s">
        <v>1673</v>
      </c>
      <c r="X1173" s="17">
        <v>0</v>
      </c>
      <c r="Y1173" s="17"/>
      <c r="Z1173" s="17"/>
      <c r="AA1173" s="17"/>
      <c r="AB1173" s="17"/>
      <c r="AC1173" s="17"/>
      <c r="AD1173" s="17"/>
      <c r="AE1173" s="17"/>
      <c r="AF1173" s="17"/>
      <c r="AG1173" s="64"/>
      <c r="AH1173" s="64"/>
      <c r="AI1173" s="64"/>
      <c r="AJ1173" s="64"/>
      <c r="AK1173" s="64"/>
      <c r="AL1173" s="264"/>
      <c r="AM1173" s="84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  <c r="AY1173" s="18"/>
    </row>
    <row r="1174" spans="1:51" s="33" customFormat="1" ht="13.5" thickBot="1" x14ac:dyDescent="0.35">
      <c r="A1174" s="63" t="str">
        <f>+A1173</f>
        <v>BCV131</v>
      </c>
      <c r="B1174" s="18" t="str">
        <f>+B1173</f>
        <v>AX19</v>
      </c>
      <c r="C1174" s="85" t="str">
        <f>+C1173</f>
        <v>SIO1</v>
      </c>
      <c r="D1174" s="85" t="str">
        <f>+D1173</f>
        <v>SLC01</v>
      </c>
      <c r="E1174" s="290">
        <f>+E1173</f>
        <v>1</v>
      </c>
      <c r="F1174" s="290">
        <f>+F1173</f>
        <v>10</v>
      </c>
      <c r="G1174" s="290">
        <f>+G1173</f>
        <v>0</v>
      </c>
      <c r="H1174" s="72">
        <f>+H1173</f>
        <v>1</v>
      </c>
      <c r="I1174" s="71">
        <v>4</v>
      </c>
      <c r="J1174" s="70" t="s">
        <v>1318</v>
      </c>
      <c r="K1174" s="85"/>
      <c r="L1174" s="79" t="s">
        <v>235</v>
      </c>
      <c r="M1174" s="17">
        <v>3</v>
      </c>
      <c r="N1174" s="17"/>
      <c r="O1174" s="17"/>
      <c r="P1174" s="17"/>
      <c r="Q1174" s="68"/>
      <c r="R1174" s="68"/>
      <c r="S1174" s="68"/>
      <c r="T1174" s="68"/>
      <c r="U1174" s="17"/>
      <c r="V1174" s="289" t="str">
        <f>+CONCATENATE(E1174,".",F1174,"\",G1174,".",H1174,":",I1174)</f>
        <v>1.10\0.1:4</v>
      </c>
      <c r="W1174" s="18" t="s">
        <v>1673</v>
      </c>
      <c r="X1174" s="17">
        <v>0</v>
      </c>
      <c r="Y1174" s="17"/>
      <c r="Z1174" s="17"/>
      <c r="AA1174" s="17"/>
      <c r="AB1174" s="17"/>
      <c r="AC1174" s="17"/>
      <c r="AD1174" s="17"/>
      <c r="AE1174" s="17"/>
      <c r="AF1174" s="17"/>
      <c r="AG1174" s="64"/>
      <c r="AH1174" s="64"/>
      <c r="AI1174" s="64"/>
      <c r="AJ1174" s="64"/>
      <c r="AK1174" s="64"/>
      <c r="AL1174" s="264"/>
      <c r="AM1174" s="84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  <c r="AY1174" s="18"/>
    </row>
    <row r="1175" spans="1:51" s="33" customFormat="1" x14ac:dyDescent="0.3">
      <c r="A1175" s="63"/>
      <c r="B1175" s="63"/>
      <c r="C1175" s="63"/>
      <c r="D1175" s="63"/>
      <c r="E1175" s="288"/>
      <c r="F1175" s="288"/>
      <c r="G1175" s="288"/>
      <c r="H1175" s="63"/>
      <c r="I1175" s="63"/>
      <c r="J1175" s="63"/>
      <c r="K1175" s="17"/>
      <c r="L1175" s="17"/>
      <c r="M1175" s="17"/>
      <c r="N1175" s="17"/>
      <c r="O1175" s="68"/>
      <c r="P1175" s="68"/>
      <c r="Q1175" s="68"/>
      <c r="R1175" s="68"/>
      <c r="S1175" s="68"/>
      <c r="T1175" s="68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64"/>
      <c r="AH1175" s="64"/>
      <c r="AI1175" s="64"/>
      <c r="AJ1175" s="64"/>
      <c r="AK1175" s="64"/>
      <c r="AL1175" s="264"/>
      <c r="AM1175" s="84"/>
      <c r="AN1175" s="18"/>
      <c r="AO1175" s="18"/>
      <c r="AP1175" s="18"/>
      <c r="AQ1175" s="18"/>
      <c r="AR1175" s="18"/>
      <c r="AS1175" s="18"/>
      <c r="AT1175" s="18"/>
      <c r="AU1175" s="18"/>
      <c r="AV1175" s="18"/>
      <c r="AW1175" s="18"/>
      <c r="AX1175" s="18"/>
      <c r="AY1175" s="18"/>
    </row>
    <row r="1176" spans="1:51" s="33" customFormat="1" x14ac:dyDescent="0.3">
      <c r="A1176" s="63"/>
      <c r="B1176" s="63"/>
      <c r="C1176" s="63"/>
      <c r="D1176" s="63"/>
      <c r="E1176" s="288"/>
      <c r="F1176" s="288"/>
      <c r="G1176" s="288"/>
      <c r="H1176" s="63"/>
      <c r="I1176" s="63"/>
      <c r="J1176" s="63"/>
      <c r="K1176" s="17"/>
      <c r="L1176" s="17"/>
      <c r="M1176" s="17"/>
      <c r="N1176" s="17"/>
      <c r="O1176" s="68"/>
      <c r="P1176" s="68"/>
      <c r="Q1176" s="68"/>
      <c r="R1176" s="68"/>
      <c r="S1176" s="68"/>
      <c r="T1176" s="68"/>
      <c r="U1176" s="17"/>
      <c r="V1176" s="17"/>
      <c r="W1176" s="17"/>
      <c r="X1176" s="17"/>
      <c r="Y1176" s="17"/>
      <c r="Z1176" s="17"/>
      <c r="AA1176" s="17"/>
      <c r="AB1176" s="20"/>
      <c r="AC1176" s="17"/>
      <c r="AD1176" s="17"/>
      <c r="AE1176" s="17"/>
      <c r="AF1176" s="17"/>
      <c r="AG1176" s="64"/>
      <c r="AH1176" s="64"/>
      <c r="AI1176" s="64"/>
      <c r="AJ1176" s="64"/>
      <c r="AK1176" s="64"/>
      <c r="AL1176" s="264"/>
      <c r="AM1176" s="84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</row>
    <row r="1177" spans="1:51" s="33" customFormat="1" x14ac:dyDescent="0.3">
      <c r="A1177" s="63"/>
      <c r="B1177" s="63"/>
      <c r="C1177" s="63"/>
      <c r="D1177" s="63"/>
      <c r="E1177" s="288"/>
      <c r="F1177" s="288"/>
      <c r="G1177" s="288"/>
      <c r="H1177" s="63"/>
      <c r="I1177" s="63"/>
      <c r="J1177" s="63"/>
      <c r="K1177" s="17"/>
      <c r="L1177" s="17"/>
      <c r="M1177" s="17"/>
      <c r="N1177" s="17"/>
      <c r="O1177" s="68"/>
      <c r="P1177" s="68"/>
      <c r="Q1177" s="68"/>
      <c r="R1177" s="68"/>
      <c r="S1177" s="68"/>
      <c r="T1177" s="68"/>
      <c r="U1177" s="17"/>
      <c r="V1177" s="17"/>
      <c r="W1177" s="17"/>
      <c r="X1177" s="17"/>
      <c r="Y1177" s="17"/>
      <c r="Z1177" s="17"/>
      <c r="AA1177" s="17"/>
      <c r="AB1177" s="20"/>
      <c r="AC1177" s="17"/>
      <c r="AD1177" s="17"/>
      <c r="AE1177" s="17"/>
      <c r="AF1177" s="17"/>
      <c r="AG1177" s="64"/>
      <c r="AH1177" s="64"/>
      <c r="AI1177" s="64"/>
      <c r="AJ1177" s="64"/>
      <c r="AK1177" s="64"/>
      <c r="AL1177" s="264"/>
      <c r="AM1177" s="84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  <c r="AY1177" s="18"/>
    </row>
    <row r="1178" spans="1:51" s="33" customFormat="1" ht="15.5" x14ac:dyDescent="0.35">
      <c r="A1178" s="297"/>
      <c r="B1178" s="96" t="s">
        <v>1672</v>
      </c>
      <c r="C1178" s="256"/>
      <c r="D1178" s="256"/>
      <c r="E1178" s="256"/>
      <c r="F1178" s="256"/>
      <c r="G1178" s="256"/>
      <c r="H1178" s="256"/>
      <c r="I1178" s="256"/>
      <c r="J1178" s="256"/>
      <c r="K1178" s="256"/>
      <c r="L1178" s="256"/>
      <c r="M1178" s="256"/>
      <c r="N1178" s="287"/>
      <c r="O1178" s="256"/>
      <c r="P1178" s="287"/>
      <c r="Q1178" s="256"/>
      <c r="R1178" s="256"/>
      <c r="S1178" s="256"/>
      <c r="T1178" s="256"/>
      <c r="U1178" s="256"/>
      <c r="V1178" s="256"/>
      <c r="W1178" s="287"/>
      <c r="X1178" s="256"/>
      <c r="Y1178" s="256"/>
      <c r="Z1178" s="17"/>
      <c r="AA1178" s="17"/>
      <c r="AB1178" s="17"/>
      <c r="AC1178" s="17"/>
      <c r="AD1178" s="17"/>
      <c r="AE1178" s="17"/>
      <c r="AF1178" s="17"/>
      <c r="AG1178" s="64"/>
      <c r="AH1178" s="64"/>
      <c r="AI1178" s="64"/>
      <c r="AJ1178" s="64"/>
      <c r="AK1178" s="64"/>
      <c r="AL1178" s="264"/>
      <c r="AM1178" s="84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  <c r="AY1178" s="18"/>
    </row>
    <row r="1179" spans="1:51" s="33" customFormat="1" ht="13.5" thickBot="1" x14ac:dyDescent="0.35">
      <c r="A1179" s="63"/>
      <c r="B1179" s="63"/>
      <c r="C1179" s="63"/>
      <c r="D1179" s="63"/>
      <c r="E1179" s="288"/>
      <c r="F1179" s="288"/>
      <c r="G1179" s="288"/>
      <c r="H1179" s="63"/>
      <c r="I1179" s="63"/>
      <c r="J1179" s="63"/>
      <c r="K1179" s="17"/>
      <c r="L1179" s="17"/>
      <c r="M1179" s="17"/>
      <c r="N1179" s="17"/>
      <c r="O1179" s="68"/>
      <c r="P1179" s="68"/>
      <c r="Q1179" s="68"/>
      <c r="R1179" s="68"/>
      <c r="S1179" s="68"/>
      <c r="T1179" s="68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64"/>
      <c r="AH1179" s="64"/>
      <c r="AI1179" s="64"/>
      <c r="AJ1179" s="64"/>
      <c r="AK1179" s="64"/>
      <c r="AL1179" s="264"/>
      <c r="AM1179" s="84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  <c r="AY1179" s="18"/>
    </row>
    <row r="1180" spans="1:51" s="33" customFormat="1" ht="13.5" thickBot="1" x14ac:dyDescent="0.35">
      <c r="A1180" s="63" t="s">
        <v>194</v>
      </c>
      <c r="B1180" s="17" t="s">
        <v>1636</v>
      </c>
      <c r="C1180" s="295" t="s">
        <v>271</v>
      </c>
      <c r="D1180" s="290" t="s">
        <v>270</v>
      </c>
      <c r="E1180" s="290">
        <v>2</v>
      </c>
      <c r="F1180" s="290">
        <v>10</v>
      </c>
      <c r="G1180" s="290">
        <v>0</v>
      </c>
      <c r="H1180" s="89">
        <v>0</v>
      </c>
      <c r="I1180" s="88" t="s">
        <v>1106</v>
      </c>
      <c r="J1180" s="87"/>
      <c r="K1180" s="84">
        <v>1059305</v>
      </c>
      <c r="L1180" s="91" t="s">
        <v>1377</v>
      </c>
      <c r="M1180" s="17">
        <v>3</v>
      </c>
      <c r="N1180" s="17"/>
      <c r="O1180" s="83"/>
      <c r="P1180" s="83"/>
      <c r="Q1180" s="68"/>
      <c r="R1180" s="68"/>
      <c r="S1180" s="68"/>
      <c r="T1180" s="68"/>
      <c r="U1180" s="17"/>
      <c r="V1180" s="17"/>
      <c r="W1180" s="18" t="s">
        <v>1656</v>
      </c>
      <c r="X1180" s="17">
        <v>0</v>
      </c>
      <c r="Y1180" s="17"/>
      <c r="Z1180" s="17"/>
      <c r="AA1180" s="17"/>
      <c r="AB1180" s="17"/>
      <c r="AC1180" s="17"/>
      <c r="AD1180" s="17"/>
      <c r="AE1180" s="17"/>
      <c r="AF1180" s="17"/>
      <c r="AG1180" s="64"/>
      <c r="AH1180" s="64"/>
      <c r="AI1180" s="64"/>
      <c r="AJ1180" s="64"/>
      <c r="AK1180" s="64"/>
      <c r="AL1180" s="264"/>
      <c r="AM1180" s="84"/>
      <c r="AN1180" s="18"/>
      <c r="AO1180" s="18"/>
      <c r="AP1180" s="18"/>
      <c r="AQ1180" s="18"/>
      <c r="AR1180" s="18"/>
      <c r="AS1180" s="18"/>
      <c r="AT1180" s="18"/>
      <c r="AU1180" s="18"/>
      <c r="AV1180" s="18"/>
      <c r="AW1180" s="18"/>
      <c r="AX1180" s="18"/>
      <c r="AY1180" s="18"/>
    </row>
    <row r="1181" spans="1:51" s="33" customFormat="1" x14ac:dyDescent="0.3">
      <c r="A1181" s="63" t="str">
        <f>+A1180</f>
        <v>BCV131</v>
      </c>
      <c r="B1181" s="18" t="str">
        <f>+B1180</f>
        <v>AX20</v>
      </c>
      <c r="C1181" s="85" t="str">
        <f>+C1180</f>
        <v>SIO1</v>
      </c>
      <c r="D1181" s="85" t="str">
        <f>+D1180</f>
        <v>SLC02</v>
      </c>
      <c r="E1181" s="290">
        <f>+E1180</f>
        <v>2</v>
      </c>
      <c r="F1181" s="290">
        <f>+F1180</f>
        <v>10</v>
      </c>
      <c r="G1181" s="290">
        <f>+G1180</f>
        <v>0</v>
      </c>
      <c r="H1181" s="72">
        <v>1</v>
      </c>
      <c r="I1181" s="77">
        <v>1</v>
      </c>
      <c r="J1181" s="76" t="s">
        <v>269</v>
      </c>
      <c r="K1181" s="65">
        <v>1044125</v>
      </c>
      <c r="L1181" s="79" t="s">
        <v>244</v>
      </c>
      <c r="M1181" s="17">
        <v>3</v>
      </c>
      <c r="N1181" s="18" t="s">
        <v>1669</v>
      </c>
      <c r="O1181" s="296" t="s">
        <v>1671</v>
      </c>
      <c r="P1181" s="296"/>
      <c r="Q1181" s="296" t="s">
        <v>1670</v>
      </c>
      <c r="R1181" s="17" t="s">
        <v>211</v>
      </c>
      <c r="S1181" s="17"/>
      <c r="T1181" s="17" t="s">
        <v>194</v>
      </c>
      <c r="U1181" s="17"/>
      <c r="V1181" s="289" t="str">
        <f>+CONCATENATE(E1181,".",F1181,"\",G1181,".",H1181,":",I1181)</f>
        <v>2.10\0.1:1</v>
      </c>
      <c r="W1181" s="18" t="s">
        <v>1656</v>
      </c>
      <c r="X1181" s="17">
        <v>0</v>
      </c>
      <c r="Y1181" s="17"/>
      <c r="Z1181" s="17"/>
      <c r="AA1181" s="17"/>
      <c r="AB1181" s="17"/>
      <c r="AC1181" s="17"/>
      <c r="AD1181" s="17"/>
      <c r="AE1181" s="17"/>
      <c r="AF1181" s="17"/>
      <c r="AG1181" s="64"/>
      <c r="AH1181" s="64"/>
      <c r="AI1181" s="64"/>
      <c r="AJ1181" s="64"/>
      <c r="AK1181" s="64"/>
      <c r="AL1181" s="264"/>
      <c r="AM1181" s="84"/>
      <c r="AN1181" s="18"/>
      <c r="AO1181" s="18"/>
      <c r="AP1181" s="18"/>
      <c r="AQ1181" s="18"/>
      <c r="AR1181" s="18"/>
      <c r="AS1181" s="18"/>
      <c r="AT1181" s="18"/>
      <c r="AU1181" s="18"/>
      <c r="AV1181" s="18"/>
      <c r="AW1181" s="18"/>
      <c r="AX1181" s="18"/>
      <c r="AY1181" s="18"/>
    </row>
    <row r="1182" spans="1:51" s="33" customFormat="1" x14ac:dyDescent="0.3">
      <c r="A1182" s="63" t="str">
        <f>+A1181</f>
        <v>BCV131</v>
      </c>
      <c r="B1182" s="18" t="str">
        <f>+B1181</f>
        <v>AX20</v>
      </c>
      <c r="C1182" s="85" t="str">
        <f>+C1181</f>
        <v>SIO1</v>
      </c>
      <c r="D1182" s="85" t="str">
        <f>+D1181</f>
        <v>SLC02</v>
      </c>
      <c r="E1182" s="290">
        <f>+E1181</f>
        <v>2</v>
      </c>
      <c r="F1182" s="290">
        <f>+F1181</f>
        <v>10</v>
      </c>
      <c r="G1182" s="290">
        <f>+G1181</f>
        <v>0</v>
      </c>
      <c r="H1182" s="72">
        <f>+H1181</f>
        <v>1</v>
      </c>
      <c r="I1182" s="75">
        <v>2</v>
      </c>
      <c r="J1182" s="74" t="s">
        <v>265</v>
      </c>
      <c r="K1182" s="84">
        <v>1047162</v>
      </c>
      <c r="L1182" s="79" t="s">
        <v>244</v>
      </c>
      <c r="M1182" s="17">
        <v>3</v>
      </c>
      <c r="N1182" s="18" t="s">
        <v>1669</v>
      </c>
      <c r="O1182" s="296" t="s">
        <v>1668</v>
      </c>
      <c r="P1182" s="296"/>
      <c r="Q1182" s="296" t="s">
        <v>1667</v>
      </c>
      <c r="R1182" s="17" t="s">
        <v>211</v>
      </c>
      <c r="S1182" s="17"/>
      <c r="T1182" s="17" t="str">
        <f>+T1181</f>
        <v>BCV131</v>
      </c>
      <c r="U1182" s="17"/>
      <c r="V1182" s="289" t="str">
        <f>+CONCATENATE(E1182,".",F1182,"\",G1182,".",H1182,":",I1182)</f>
        <v>2.10\0.1:2</v>
      </c>
      <c r="W1182" s="18" t="s">
        <v>1656</v>
      </c>
      <c r="X1182" s="17">
        <v>0</v>
      </c>
      <c r="Y1182" s="17"/>
      <c r="Z1182" s="17"/>
      <c r="AA1182" s="17"/>
      <c r="AB1182" s="17"/>
      <c r="AC1182" s="17"/>
      <c r="AD1182" s="17"/>
      <c r="AE1182" s="17"/>
      <c r="AF1182" s="17"/>
      <c r="AG1182" s="64"/>
      <c r="AH1182" s="64"/>
      <c r="AI1182" s="64"/>
      <c r="AJ1182" s="64"/>
      <c r="AK1182" s="64"/>
      <c r="AL1182" s="264"/>
      <c r="AM1182" s="84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  <c r="AY1182" s="18"/>
    </row>
    <row r="1183" spans="1:51" s="33" customFormat="1" x14ac:dyDescent="0.3">
      <c r="A1183" s="63" t="str">
        <f>+A1182</f>
        <v>BCV131</v>
      </c>
      <c r="B1183" s="18" t="str">
        <f>+B1182</f>
        <v>AX20</v>
      </c>
      <c r="C1183" s="85" t="str">
        <f>+C1182</f>
        <v>SIO1</v>
      </c>
      <c r="D1183" s="85" t="str">
        <f>+D1182</f>
        <v>SLC02</v>
      </c>
      <c r="E1183" s="290">
        <f>+E1182</f>
        <v>2</v>
      </c>
      <c r="F1183" s="290">
        <f>+F1182</f>
        <v>10</v>
      </c>
      <c r="G1183" s="290">
        <f>+G1182</f>
        <v>0</v>
      </c>
      <c r="H1183" s="72">
        <f>+H1182</f>
        <v>1</v>
      </c>
      <c r="I1183" s="75">
        <v>3</v>
      </c>
      <c r="J1183" s="74" t="s">
        <v>261</v>
      </c>
      <c r="K1183" s="85"/>
      <c r="L1183" s="79" t="s">
        <v>244</v>
      </c>
      <c r="M1183" s="17">
        <v>3</v>
      </c>
      <c r="N1183" s="18" t="s">
        <v>1664</v>
      </c>
      <c r="O1183" s="296" t="s">
        <v>1666</v>
      </c>
      <c r="P1183" s="296"/>
      <c r="Q1183" s="296" t="s">
        <v>1665</v>
      </c>
      <c r="R1183" s="17" t="s">
        <v>211</v>
      </c>
      <c r="S1183" s="17"/>
      <c r="T1183" s="17" t="str">
        <f>+T1182</f>
        <v>BCV131</v>
      </c>
      <c r="U1183" s="17"/>
      <c r="V1183" s="289" t="str">
        <f>+CONCATENATE(E1183,".",F1183,"\",G1183,".",H1183,":",I1183)</f>
        <v>2.10\0.1:3</v>
      </c>
      <c r="W1183" s="18" t="s">
        <v>1656</v>
      </c>
      <c r="X1183" s="17">
        <v>0</v>
      </c>
      <c r="Y1183" s="17"/>
      <c r="Z1183" s="17"/>
      <c r="AA1183" s="17"/>
      <c r="AB1183" s="17"/>
      <c r="AC1183" s="17"/>
      <c r="AD1183" s="17"/>
      <c r="AE1183" s="17"/>
      <c r="AF1183" s="17"/>
      <c r="AG1183" s="64"/>
      <c r="AH1183" s="64"/>
      <c r="AI1183" s="64"/>
      <c r="AJ1183" s="64"/>
      <c r="AK1183" s="64"/>
      <c r="AL1183" s="264"/>
      <c r="AM1183" s="84"/>
      <c r="AN1183" s="18"/>
      <c r="AO1183" s="18"/>
      <c r="AP1183" s="18"/>
      <c r="AQ1183" s="18"/>
      <c r="AR1183" s="18"/>
      <c r="AS1183" s="18"/>
      <c r="AT1183" s="18"/>
      <c r="AU1183" s="18"/>
      <c r="AV1183" s="18"/>
      <c r="AW1183" s="18"/>
      <c r="AX1183" s="18"/>
      <c r="AY1183" s="18"/>
    </row>
    <row r="1184" spans="1:51" s="33" customFormat="1" x14ac:dyDescent="0.3">
      <c r="A1184" s="63" t="str">
        <f>+A1183</f>
        <v>BCV131</v>
      </c>
      <c r="B1184" s="18" t="str">
        <f>+B1183</f>
        <v>AX20</v>
      </c>
      <c r="C1184" s="85" t="str">
        <f>+C1183</f>
        <v>SIO1</v>
      </c>
      <c r="D1184" s="85" t="str">
        <f>+D1183</f>
        <v>SLC02</v>
      </c>
      <c r="E1184" s="290">
        <f>+E1183</f>
        <v>2</v>
      </c>
      <c r="F1184" s="290">
        <f>+F1183</f>
        <v>10</v>
      </c>
      <c r="G1184" s="290">
        <f>+G1183</f>
        <v>0</v>
      </c>
      <c r="H1184" s="72">
        <f>+H1183</f>
        <v>1</v>
      </c>
      <c r="I1184" s="75">
        <v>4</v>
      </c>
      <c r="J1184" s="74" t="s">
        <v>257</v>
      </c>
      <c r="K1184" s="85"/>
      <c r="L1184" s="79" t="s">
        <v>244</v>
      </c>
      <c r="M1184" s="17">
        <v>3</v>
      </c>
      <c r="N1184" s="18" t="s">
        <v>1664</v>
      </c>
      <c r="O1184" s="296" t="s">
        <v>1663</v>
      </c>
      <c r="P1184" s="296"/>
      <c r="Q1184" s="296" t="s">
        <v>1662</v>
      </c>
      <c r="R1184" s="17" t="s">
        <v>211</v>
      </c>
      <c r="S1184" s="17"/>
      <c r="T1184" s="17" t="str">
        <f>+T1183</f>
        <v>BCV131</v>
      </c>
      <c r="U1184" s="17"/>
      <c r="V1184" s="289" t="str">
        <f>+CONCATENATE(E1184,".",F1184,"\",G1184,".",H1184,":",I1184)</f>
        <v>2.10\0.1:4</v>
      </c>
      <c r="W1184" s="18" t="s">
        <v>1656</v>
      </c>
      <c r="X1184" s="17">
        <v>0</v>
      </c>
      <c r="Y1184" s="17"/>
      <c r="Z1184" s="17"/>
      <c r="AA1184" s="17"/>
      <c r="AB1184" s="17"/>
      <c r="AC1184" s="17"/>
      <c r="AD1184" s="17"/>
      <c r="AE1184" s="17"/>
      <c r="AF1184" s="17"/>
      <c r="AG1184" s="64"/>
      <c r="AH1184" s="64"/>
      <c r="AI1184" s="64"/>
      <c r="AJ1184" s="64"/>
      <c r="AK1184" s="64"/>
      <c r="AL1184" s="264"/>
      <c r="AM1184" s="84"/>
      <c r="AN1184" s="18"/>
      <c r="AO1184" s="18"/>
      <c r="AP1184" s="18"/>
      <c r="AQ1184" s="18"/>
      <c r="AR1184" s="18"/>
      <c r="AS1184" s="18"/>
      <c r="AT1184" s="18"/>
      <c r="AU1184" s="18"/>
      <c r="AV1184" s="18"/>
      <c r="AW1184" s="18"/>
      <c r="AX1184" s="18"/>
      <c r="AY1184" s="18"/>
    </row>
    <row r="1185" spans="1:51" s="33" customFormat="1" x14ac:dyDescent="0.3">
      <c r="A1185" s="63" t="str">
        <f>+A1184</f>
        <v>BCV131</v>
      </c>
      <c r="B1185" s="18" t="str">
        <f>+B1184</f>
        <v>AX20</v>
      </c>
      <c r="C1185" s="85" t="str">
        <f>+C1184</f>
        <v>SIO1</v>
      </c>
      <c r="D1185" s="85" t="str">
        <f>+D1184</f>
        <v>SLC02</v>
      </c>
      <c r="E1185" s="290">
        <f>+E1184</f>
        <v>2</v>
      </c>
      <c r="F1185" s="290">
        <f>+F1184</f>
        <v>10</v>
      </c>
      <c r="G1185" s="290">
        <f>+G1184</f>
        <v>0</v>
      </c>
      <c r="H1185" s="72">
        <f>+H1184</f>
        <v>1</v>
      </c>
      <c r="I1185" s="75">
        <v>5</v>
      </c>
      <c r="J1185" s="74" t="s">
        <v>1325</v>
      </c>
      <c r="K1185" s="85"/>
      <c r="L1185" s="79" t="s">
        <v>244</v>
      </c>
      <c r="M1185" s="17">
        <v>3</v>
      </c>
      <c r="N1185" s="17"/>
      <c r="O1185" s="296"/>
      <c r="P1185" s="296"/>
      <c r="Q1185" s="296" t="s">
        <v>127</v>
      </c>
      <c r="R1185" s="17"/>
      <c r="S1185" s="17"/>
      <c r="T1185" s="17"/>
      <c r="U1185" s="17"/>
      <c r="V1185" s="289" t="str">
        <f>+CONCATENATE(E1185,".",F1185,"\",G1185,".",H1185,":",I1185)</f>
        <v>2.10\0.1:5</v>
      </c>
      <c r="W1185" s="18" t="s">
        <v>1656</v>
      </c>
      <c r="X1185" s="17">
        <v>0</v>
      </c>
      <c r="Y1185" s="17"/>
      <c r="Z1185" s="17"/>
      <c r="AA1185" s="17"/>
      <c r="AB1185" s="17"/>
      <c r="AC1185" s="17"/>
      <c r="AD1185" s="17"/>
      <c r="AE1185" s="17"/>
      <c r="AF1185" s="17"/>
      <c r="AG1185" s="64"/>
      <c r="AH1185" s="64"/>
      <c r="AI1185" s="64"/>
      <c r="AJ1185" s="64"/>
      <c r="AK1185" s="64"/>
      <c r="AL1185" s="264"/>
      <c r="AM1185" s="84"/>
      <c r="AN1185" s="18"/>
      <c r="AO1185" s="18"/>
      <c r="AP1185" s="18"/>
      <c r="AQ1185" s="18"/>
      <c r="AR1185" s="18"/>
      <c r="AS1185" s="18"/>
      <c r="AT1185" s="18"/>
      <c r="AU1185" s="18"/>
      <c r="AV1185" s="18"/>
      <c r="AW1185" s="18"/>
      <c r="AX1185" s="18"/>
      <c r="AY1185" s="18"/>
    </row>
    <row r="1186" spans="1:51" s="33" customFormat="1" x14ac:dyDescent="0.3">
      <c r="A1186" s="63" t="str">
        <f>+A1185</f>
        <v>BCV131</v>
      </c>
      <c r="B1186" s="18" t="str">
        <f>+B1185</f>
        <v>AX20</v>
      </c>
      <c r="C1186" s="85" t="str">
        <f>+C1185</f>
        <v>SIO1</v>
      </c>
      <c r="D1186" s="85" t="str">
        <f>+D1185</f>
        <v>SLC02</v>
      </c>
      <c r="E1186" s="290">
        <f>+E1185</f>
        <v>2</v>
      </c>
      <c r="F1186" s="290">
        <f>+F1185</f>
        <v>10</v>
      </c>
      <c r="G1186" s="290">
        <f>+G1185</f>
        <v>0</v>
      </c>
      <c r="H1186" s="72">
        <f>+H1185</f>
        <v>1</v>
      </c>
      <c r="I1186" s="75">
        <v>6</v>
      </c>
      <c r="J1186" s="74" t="s">
        <v>1323</v>
      </c>
      <c r="K1186" s="85"/>
      <c r="L1186" s="79" t="s">
        <v>244</v>
      </c>
      <c r="M1186" s="17">
        <v>3</v>
      </c>
      <c r="N1186" s="17"/>
      <c r="O1186" s="296"/>
      <c r="P1186" s="296"/>
      <c r="Q1186" s="296" t="s">
        <v>127</v>
      </c>
      <c r="R1186" s="17"/>
      <c r="S1186" s="17"/>
      <c r="T1186" s="17"/>
      <c r="U1186" s="17"/>
      <c r="V1186" s="289" t="str">
        <f>+CONCATENATE(E1186,".",F1186,"\",G1186,".",H1186,":",I1186)</f>
        <v>2.10\0.1:6</v>
      </c>
      <c r="W1186" s="18" t="s">
        <v>1656</v>
      </c>
      <c r="X1186" s="17">
        <v>0</v>
      </c>
      <c r="Y1186" s="17"/>
      <c r="Z1186" s="17"/>
      <c r="AA1186" s="17"/>
      <c r="AB1186" s="17"/>
      <c r="AC1186" s="17"/>
      <c r="AD1186" s="17"/>
      <c r="AE1186" s="17"/>
      <c r="AF1186" s="17"/>
      <c r="AG1186" s="64"/>
      <c r="AH1186" s="64"/>
      <c r="AI1186" s="64"/>
      <c r="AJ1186" s="64"/>
      <c r="AK1186" s="64"/>
      <c r="AL1186" s="264"/>
      <c r="AM1186" s="84"/>
      <c r="AN1186" s="18"/>
      <c r="AO1186" s="18"/>
      <c r="AP1186" s="18"/>
      <c r="AQ1186" s="18"/>
      <c r="AR1186" s="18"/>
      <c r="AS1186" s="18"/>
      <c r="AT1186" s="18"/>
      <c r="AU1186" s="18"/>
      <c r="AV1186" s="18"/>
      <c r="AW1186" s="18"/>
      <c r="AX1186" s="18"/>
      <c r="AY1186" s="18"/>
    </row>
    <row r="1187" spans="1:51" s="33" customFormat="1" x14ac:dyDescent="0.3">
      <c r="A1187" s="63" t="str">
        <f>+A1186</f>
        <v>BCV131</v>
      </c>
      <c r="B1187" s="18" t="str">
        <f>+B1186</f>
        <v>AX20</v>
      </c>
      <c r="C1187" s="85" t="str">
        <f>+C1186</f>
        <v>SIO1</v>
      </c>
      <c r="D1187" s="85" t="str">
        <f>+D1186</f>
        <v>SLC02</v>
      </c>
      <c r="E1187" s="290">
        <f>+E1186</f>
        <v>2</v>
      </c>
      <c r="F1187" s="290">
        <f>+F1186</f>
        <v>10</v>
      </c>
      <c r="G1187" s="290">
        <f>+G1186</f>
        <v>0</v>
      </c>
      <c r="H1187" s="72">
        <f>+H1186</f>
        <v>1</v>
      </c>
      <c r="I1187" s="75">
        <v>7</v>
      </c>
      <c r="J1187" s="74" t="s">
        <v>246</v>
      </c>
      <c r="K1187" s="85"/>
      <c r="L1187" s="79" t="s">
        <v>244</v>
      </c>
      <c r="M1187" s="17">
        <v>3</v>
      </c>
      <c r="N1187" s="17"/>
      <c r="O1187" s="296"/>
      <c r="P1187" s="296"/>
      <c r="Q1187" s="296" t="s">
        <v>127</v>
      </c>
      <c r="R1187" s="17"/>
      <c r="S1187" s="17"/>
      <c r="T1187" s="17"/>
      <c r="U1187" s="17"/>
      <c r="V1187" s="289" t="str">
        <f>+CONCATENATE(E1187,".",F1187,"\",G1187,".",H1187,":",I1187)</f>
        <v>2.10\0.1:7</v>
      </c>
      <c r="W1187" s="18" t="s">
        <v>1656</v>
      </c>
      <c r="X1187" s="17">
        <v>0</v>
      </c>
      <c r="Y1187" s="17"/>
      <c r="Z1187" s="17"/>
      <c r="AA1187" s="17"/>
      <c r="AB1187" s="17"/>
      <c r="AC1187" s="17"/>
      <c r="AD1187" s="17"/>
      <c r="AE1187" s="17"/>
      <c r="AF1187" s="17"/>
      <c r="AG1187" s="64"/>
      <c r="AH1187" s="64"/>
      <c r="AI1187" s="64"/>
      <c r="AJ1187" s="64"/>
      <c r="AK1187" s="64"/>
      <c r="AL1187" s="264"/>
      <c r="AM1187" s="84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  <c r="AY1187" s="18"/>
    </row>
    <row r="1188" spans="1:51" s="33" customFormat="1" x14ac:dyDescent="0.3">
      <c r="A1188" s="63" t="str">
        <f>+A1187</f>
        <v>BCV131</v>
      </c>
      <c r="B1188" s="18" t="str">
        <f>+B1187</f>
        <v>AX20</v>
      </c>
      <c r="C1188" s="85" t="str">
        <f>+C1187</f>
        <v>SIO1</v>
      </c>
      <c r="D1188" s="85" t="str">
        <f>+D1187</f>
        <v>SLC02</v>
      </c>
      <c r="E1188" s="290">
        <f>+E1187</f>
        <v>2</v>
      </c>
      <c r="F1188" s="290">
        <f>+F1187</f>
        <v>10</v>
      </c>
      <c r="G1188" s="290">
        <f>+G1187</f>
        <v>0</v>
      </c>
      <c r="H1188" s="72">
        <f>+H1187</f>
        <v>1</v>
      </c>
      <c r="I1188" s="75">
        <v>8</v>
      </c>
      <c r="J1188" s="74" t="s">
        <v>245</v>
      </c>
      <c r="K1188" s="85"/>
      <c r="L1188" s="79" t="s">
        <v>244</v>
      </c>
      <c r="M1188" s="17">
        <v>3</v>
      </c>
      <c r="N1188" s="17"/>
      <c r="O1188" s="296"/>
      <c r="P1188" s="296"/>
      <c r="Q1188" s="296" t="s">
        <v>127</v>
      </c>
      <c r="R1188" s="17"/>
      <c r="S1188" s="17"/>
      <c r="T1188" s="17"/>
      <c r="U1188" s="17"/>
      <c r="V1188" s="289" t="str">
        <f>+CONCATENATE(E1188,".",F1188,"\",G1188,".",H1188,":",I1188)</f>
        <v>2.10\0.1:8</v>
      </c>
      <c r="W1188" s="18" t="s">
        <v>1656</v>
      </c>
      <c r="X1188" s="17">
        <v>0</v>
      </c>
      <c r="Y1188" s="17"/>
      <c r="Z1188" s="17"/>
      <c r="AA1188" s="17"/>
      <c r="AB1188" s="17"/>
      <c r="AC1188" s="17"/>
      <c r="AD1188" s="17"/>
      <c r="AE1188" s="17"/>
      <c r="AF1188" s="17"/>
      <c r="AG1188" s="64"/>
      <c r="AH1188" s="64"/>
      <c r="AI1188" s="64"/>
      <c r="AJ1188" s="64"/>
      <c r="AK1188" s="64"/>
      <c r="AL1188" s="264"/>
      <c r="AM1188" s="84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  <c r="AY1188" s="18"/>
    </row>
    <row r="1189" spans="1:51" s="33" customFormat="1" x14ac:dyDescent="0.3">
      <c r="A1189" s="63" t="str">
        <f>+A1188</f>
        <v>BCV131</v>
      </c>
      <c r="B1189" s="18" t="str">
        <f>+B1188</f>
        <v>AX20</v>
      </c>
      <c r="C1189" s="85" t="str">
        <f>+C1188</f>
        <v>SIO1</v>
      </c>
      <c r="D1189" s="85" t="str">
        <f>+D1188</f>
        <v>SLC02</v>
      </c>
      <c r="E1189" s="290">
        <f>+E1188</f>
        <v>2</v>
      </c>
      <c r="F1189" s="290">
        <f>+F1188</f>
        <v>10</v>
      </c>
      <c r="G1189" s="290">
        <f>+G1188</f>
        <v>0</v>
      </c>
      <c r="H1189" s="72">
        <f>+H1188</f>
        <v>1</v>
      </c>
      <c r="I1189" s="75">
        <v>1</v>
      </c>
      <c r="J1189" s="81" t="s">
        <v>1321</v>
      </c>
      <c r="K1189" s="85" t="s">
        <v>1366</v>
      </c>
      <c r="L1189" s="79" t="s">
        <v>235</v>
      </c>
      <c r="M1189" s="17">
        <v>3</v>
      </c>
      <c r="N1189" s="18" t="s">
        <v>1660</v>
      </c>
      <c r="O1189" s="17" t="s">
        <v>1661</v>
      </c>
      <c r="P1189" s="17"/>
      <c r="Q1189" s="17" t="s">
        <v>1335</v>
      </c>
      <c r="R1189" s="17" t="s">
        <v>922</v>
      </c>
      <c r="S1189" s="17"/>
      <c r="T1189" s="17" t="str">
        <f>+T1181</f>
        <v>BCV131</v>
      </c>
      <c r="U1189" s="17"/>
      <c r="V1189" s="289" t="str">
        <f>+CONCATENATE(E1189,".",F1189,"\",G1189,".",H1189,":",I1189)</f>
        <v>2.10\0.1:1</v>
      </c>
      <c r="W1189" s="18" t="s">
        <v>1656</v>
      </c>
      <c r="X1189" s="17">
        <v>0</v>
      </c>
      <c r="Y1189" s="17"/>
      <c r="Z1189" s="17"/>
      <c r="AA1189" s="17"/>
      <c r="AB1189" s="17"/>
      <c r="AC1189" s="17"/>
      <c r="AD1189" s="17"/>
      <c r="AE1189" s="17"/>
      <c r="AF1189" s="17"/>
      <c r="AG1189" s="64"/>
      <c r="AH1189" s="64"/>
      <c r="AI1189" s="64"/>
      <c r="AJ1189" s="64"/>
      <c r="AK1189" s="64"/>
      <c r="AL1189" s="264"/>
      <c r="AM1189" s="84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  <c r="AY1189" s="18"/>
    </row>
    <row r="1190" spans="1:51" s="33" customFormat="1" x14ac:dyDescent="0.3">
      <c r="A1190" s="63" t="str">
        <f>+A1189</f>
        <v>BCV131</v>
      </c>
      <c r="B1190" s="18" t="str">
        <f>+B1189</f>
        <v>AX20</v>
      </c>
      <c r="C1190" s="85" t="str">
        <f>+C1189</f>
        <v>SIO1</v>
      </c>
      <c r="D1190" s="85" t="str">
        <f>+D1189</f>
        <v>SLC02</v>
      </c>
      <c r="E1190" s="290">
        <f>+E1189</f>
        <v>2</v>
      </c>
      <c r="F1190" s="290">
        <f>+F1189</f>
        <v>10</v>
      </c>
      <c r="G1190" s="290">
        <f>+G1189</f>
        <v>0</v>
      </c>
      <c r="H1190" s="72">
        <f>+H1189</f>
        <v>1</v>
      </c>
      <c r="I1190" s="75">
        <v>2</v>
      </c>
      <c r="J1190" s="74" t="s">
        <v>1320</v>
      </c>
      <c r="K1190" s="85"/>
      <c r="L1190" s="79" t="s">
        <v>235</v>
      </c>
      <c r="M1190" s="17">
        <v>3</v>
      </c>
      <c r="N1190" s="18" t="s">
        <v>1660</v>
      </c>
      <c r="O1190" s="17" t="s">
        <v>1659</v>
      </c>
      <c r="P1190" s="17"/>
      <c r="Q1190" s="17" t="s">
        <v>1330</v>
      </c>
      <c r="R1190" s="17" t="s">
        <v>922</v>
      </c>
      <c r="S1190" s="17"/>
      <c r="T1190" s="17" t="str">
        <f>+T1189</f>
        <v>BCV131</v>
      </c>
      <c r="U1190" s="17"/>
      <c r="V1190" s="289" t="str">
        <f>+CONCATENATE(E1190,".",F1190,"\",G1190,".",H1190,":",I1190)</f>
        <v>2.10\0.1:2</v>
      </c>
      <c r="W1190" s="18" t="s">
        <v>1656</v>
      </c>
      <c r="X1190" s="17">
        <v>0</v>
      </c>
      <c r="Y1190" s="17"/>
      <c r="Z1190" s="17"/>
      <c r="AA1190" s="17"/>
      <c r="AB1190" s="17"/>
      <c r="AC1190" s="17"/>
      <c r="AD1190" s="17"/>
      <c r="AE1190" s="17"/>
      <c r="AF1190" s="17"/>
      <c r="AG1190" s="64"/>
      <c r="AH1190" s="64"/>
      <c r="AI1190" s="64"/>
      <c r="AJ1190" s="64"/>
      <c r="AK1190" s="64"/>
      <c r="AL1190" s="264"/>
      <c r="AM1190" s="84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  <c r="AY1190" s="18"/>
    </row>
    <row r="1191" spans="1:51" s="33" customFormat="1" x14ac:dyDescent="0.3">
      <c r="A1191" s="63" t="str">
        <f>+A1190</f>
        <v>BCV131</v>
      </c>
      <c r="B1191" s="18" t="str">
        <f>+B1190</f>
        <v>AX20</v>
      </c>
      <c r="C1191" s="85" t="str">
        <f>+C1190</f>
        <v>SIO1</v>
      </c>
      <c r="D1191" s="85" t="str">
        <f>+D1190</f>
        <v>SLC02</v>
      </c>
      <c r="E1191" s="290">
        <f>+E1190</f>
        <v>2</v>
      </c>
      <c r="F1191" s="290">
        <f>+F1190</f>
        <v>10</v>
      </c>
      <c r="G1191" s="290">
        <f>+G1190</f>
        <v>0</v>
      </c>
      <c r="H1191" s="72">
        <f>+H1190</f>
        <v>1</v>
      </c>
      <c r="I1191" s="75">
        <v>3</v>
      </c>
      <c r="J1191" s="74" t="s">
        <v>1319</v>
      </c>
      <c r="K1191" s="85"/>
      <c r="L1191" s="79" t="s">
        <v>235</v>
      </c>
      <c r="M1191" s="17">
        <v>3</v>
      </c>
      <c r="N1191" s="18" t="s">
        <v>1658</v>
      </c>
      <c r="O1191" s="17" t="s">
        <v>1657</v>
      </c>
      <c r="P1191" s="17"/>
      <c r="Q1191" s="17" t="s">
        <v>1330</v>
      </c>
      <c r="R1191" s="17" t="s">
        <v>922</v>
      </c>
      <c r="S1191" s="17"/>
      <c r="T1191" s="17" t="str">
        <f>+T1190</f>
        <v>BCV131</v>
      </c>
      <c r="U1191" s="17"/>
      <c r="V1191" s="289" t="str">
        <f>+CONCATENATE(E1191,".",F1191,"\",G1191,".",H1191,":",I1191)</f>
        <v>2.10\0.1:3</v>
      </c>
      <c r="W1191" s="18" t="s">
        <v>1656</v>
      </c>
      <c r="X1191" s="17">
        <v>0</v>
      </c>
      <c r="Y1191" s="17"/>
      <c r="Z1191" s="17"/>
      <c r="AA1191" s="17"/>
      <c r="AB1191" s="17"/>
      <c r="AC1191" s="17"/>
      <c r="AD1191" s="17"/>
      <c r="AE1191" s="17"/>
      <c r="AF1191" s="17"/>
      <c r="AG1191" s="64"/>
      <c r="AH1191" s="64"/>
      <c r="AI1191" s="64"/>
      <c r="AJ1191" s="64"/>
      <c r="AK1191" s="64"/>
      <c r="AL1191" s="264"/>
      <c r="AM1191" s="84"/>
      <c r="AN1191" s="18"/>
      <c r="AO1191" s="18"/>
      <c r="AP1191" s="18"/>
      <c r="AQ1191" s="18"/>
      <c r="AR1191" s="18"/>
      <c r="AS1191" s="18"/>
      <c r="AT1191" s="18"/>
      <c r="AU1191" s="18"/>
      <c r="AV1191" s="18"/>
      <c r="AW1191" s="18"/>
      <c r="AX1191" s="18"/>
      <c r="AY1191" s="18"/>
    </row>
    <row r="1192" spans="1:51" s="33" customFormat="1" ht="13.5" thickBot="1" x14ac:dyDescent="0.35">
      <c r="A1192" s="63" t="str">
        <f>+A1191</f>
        <v>BCV131</v>
      </c>
      <c r="B1192" s="18" t="str">
        <f>+B1191</f>
        <v>AX20</v>
      </c>
      <c r="C1192" s="85" t="str">
        <f>+C1191</f>
        <v>SIO1</v>
      </c>
      <c r="D1192" s="85" t="str">
        <f>+D1191</f>
        <v>SLC02</v>
      </c>
      <c r="E1192" s="290">
        <f>+E1191</f>
        <v>2</v>
      </c>
      <c r="F1192" s="290">
        <f>+F1191</f>
        <v>10</v>
      </c>
      <c r="G1192" s="290">
        <f>+G1191</f>
        <v>0</v>
      </c>
      <c r="H1192" s="72">
        <f>+H1191</f>
        <v>1</v>
      </c>
      <c r="I1192" s="71">
        <v>4</v>
      </c>
      <c r="J1192" s="70" t="s">
        <v>1318</v>
      </c>
      <c r="K1192" s="85"/>
      <c r="L1192" s="79" t="s">
        <v>235</v>
      </c>
      <c r="M1192" s="17">
        <v>3</v>
      </c>
      <c r="N1192" s="17"/>
      <c r="O1192" s="17"/>
      <c r="P1192" s="17"/>
      <c r="Q1192" s="68"/>
      <c r="R1192" s="68"/>
      <c r="S1192" s="68"/>
      <c r="T1192" s="68"/>
      <c r="U1192" s="17"/>
      <c r="V1192" s="289" t="str">
        <f>+CONCATENATE(E1192,".",F1192,"\",G1192,".",H1192,":",I1192)</f>
        <v>2.10\0.1:4</v>
      </c>
      <c r="W1192" s="18" t="s">
        <v>1656</v>
      </c>
      <c r="X1192" s="17">
        <v>0</v>
      </c>
      <c r="Y1192" s="17"/>
      <c r="Z1192" s="17"/>
      <c r="AA1192" s="17"/>
      <c r="AB1192" s="17"/>
      <c r="AC1192" s="17"/>
      <c r="AD1192" s="17"/>
      <c r="AE1192" s="17"/>
      <c r="AF1192" s="17"/>
      <c r="AG1192" s="64"/>
      <c r="AH1192" s="64"/>
      <c r="AI1192" s="64"/>
      <c r="AJ1192" s="64"/>
      <c r="AK1192" s="64"/>
      <c r="AL1192" s="264"/>
      <c r="AM1192" s="84"/>
      <c r="AN1192" s="18"/>
      <c r="AO1192" s="18"/>
      <c r="AP1192" s="18"/>
      <c r="AQ1192" s="18"/>
      <c r="AR1192" s="18"/>
      <c r="AS1192" s="18"/>
      <c r="AT1192" s="18"/>
      <c r="AU1192" s="18"/>
      <c r="AV1192" s="18"/>
      <c r="AW1192" s="18"/>
      <c r="AX1192" s="18"/>
      <c r="AY1192" s="18"/>
    </row>
    <row r="1193" spans="1:51" s="33" customFormat="1" x14ac:dyDescent="0.3">
      <c r="A1193" s="63"/>
      <c r="B1193" s="63"/>
      <c r="C1193" s="63"/>
      <c r="D1193" s="63"/>
      <c r="E1193" s="288"/>
      <c r="F1193" s="288"/>
      <c r="G1193" s="288"/>
      <c r="H1193" s="63"/>
      <c r="I1193" s="63"/>
      <c r="J1193" s="63"/>
      <c r="K1193" s="17"/>
      <c r="L1193" s="17"/>
      <c r="M1193" s="17"/>
      <c r="N1193" s="17"/>
      <c r="O1193" s="68"/>
      <c r="P1193" s="68"/>
      <c r="Q1193" s="68"/>
      <c r="R1193" s="68"/>
      <c r="S1193" s="68"/>
      <c r="T1193" s="68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64"/>
      <c r="AH1193" s="64"/>
      <c r="AI1193" s="64"/>
      <c r="AJ1193" s="64"/>
      <c r="AK1193" s="64"/>
      <c r="AL1193" s="264"/>
      <c r="AM1193" s="84"/>
      <c r="AN1193" s="18"/>
      <c r="AO1193" s="18"/>
      <c r="AP1193" s="18"/>
      <c r="AQ1193" s="18"/>
      <c r="AR1193" s="18"/>
      <c r="AS1193" s="18"/>
      <c r="AT1193" s="18"/>
      <c r="AU1193" s="18"/>
      <c r="AV1193" s="18"/>
      <c r="AW1193" s="18"/>
      <c r="AX1193" s="18"/>
      <c r="AY1193" s="18"/>
    </row>
    <row r="1194" spans="1:51" s="33" customFormat="1" x14ac:dyDescent="0.3">
      <c r="A1194" s="63"/>
      <c r="B1194" s="63"/>
      <c r="C1194" s="63"/>
      <c r="D1194" s="63"/>
      <c r="E1194" s="288"/>
      <c r="F1194" s="288"/>
      <c r="G1194" s="288"/>
      <c r="H1194" s="63"/>
      <c r="I1194" s="63"/>
      <c r="J1194" s="63"/>
      <c r="K1194" s="17"/>
      <c r="L1194" s="17"/>
      <c r="M1194" s="17"/>
      <c r="N1194" s="17"/>
      <c r="O1194" s="68"/>
      <c r="P1194" s="68"/>
      <c r="Q1194" s="68"/>
      <c r="R1194" s="68"/>
      <c r="S1194" s="68"/>
      <c r="T1194" s="68"/>
      <c r="U1194" s="17"/>
      <c r="V1194" s="17"/>
      <c r="W1194" s="17"/>
      <c r="X1194" s="17"/>
      <c r="Y1194" s="17"/>
      <c r="Z1194" s="17"/>
      <c r="AA1194" s="17"/>
      <c r="AB1194" s="20"/>
      <c r="AC1194" s="17"/>
      <c r="AD1194" s="17"/>
      <c r="AE1194" s="17"/>
      <c r="AF1194" s="17"/>
      <c r="AG1194" s="64"/>
      <c r="AH1194" s="64"/>
      <c r="AI1194" s="64"/>
      <c r="AJ1194" s="64"/>
      <c r="AK1194" s="64"/>
      <c r="AL1194" s="264"/>
      <c r="AM1194" s="84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  <c r="AY1194" s="18"/>
    </row>
    <row r="1195" spans="1:51" s="33" customFormat="1" x14ac:dyDescent="0.3">
      <c r="A1195" s="63"/>
      <c r="B1195" s="63"/>
      <c r="C1195" s="63"/>
      <c r="D1195" s="63"/>
      <c r="E1195" s="288"/>
      <c r="F1195" s="288"/>
      <c r="G1195" s="288"/>
      <c r="H1195" s="63"/>
      <c r="I1195" s="63"/>
      <c r="J1195" s="63"/>
      <c r="K1195" s="17"/>
      <c r="L1195" s="17"/>
      <c r="M1195" s="17"/>
      <c r="N1195" s="17"/>
      <c r="O1195" s="68"/>
      <c r="P1195" s="68"/>
      <c r="Q1195" s="68"/>
      <c r="R1195" s="68"/>
      <c r="S1195" s="68"/>
      <c r="T1195" s="68"/>
      <c r="U1195" s="17"/>
      <c r="V1195" s="17"/>
      <c r="W1195" s="17"/>
      <c r="X1195" s="17"/>
      <c r="Y1195" s="17"/>
      <c r="Z1195" s="17"/>
      <c r="AA1195" s="17"/>
      <c r="AB1195" s="20"/>
      <c r="AC1195" s="17"/>
      <c r="AD1195" s="17"/>
      <c r="AE1195" s="17"/>
      <c r="AF1195" s="17"/>
      <c r="AG1195" s="64"/>
      <c r="AH1195" s="64"/>
      <c r="AI1195" s="64"/>
      <c r="AJ1195" s="64"/>
      <c r="AK1195" s="64"/>
      <c r="AL1195" s="264"/>
      <c r="AM1195" s="84"/>
      <c r="AN1195" s="18"/>
      <c r="AO1195" s="18"/>
      <c r="AP1195" s="18"/>
      <c r="AQ1195" s="18"/>
      <c r="AR1195" s="18"/>
      <c r="AS1195" s="18"/>
      <c r="AT1195" s="18"/>
      <c r="AU1195" s="18"/>
      <c r="AV1195" s="18"/>
      <c r="AW1195" s="18"/>
      <c r="AX1195" s="18"/>
      <c r="AY1195" s="18"/>
    </row>
    <row r="1196" spans="1:51" s="33" customFormat="1" ht="15.5" x14ac:dyDescent="0.35">
      <c r="A1196" s="297"/>
      <c r="B1196" s="96" t="s">
        <v>1655</v>
      </c>
      <c r="C1196" s="256"/>
      <c r="D1196" s="256"/>
      <c r="E1196" s="256"/>
      <c r="F1196" s="256"/>
      <c r="G1196" s="256"/>
      <c r="H1196" s="256"/>
      <c r="I1196" s="256"/>
      <c r="J1196" s="256"/>
      <c r="K1196" s="256"/>
      <c r="L1196" s="256"/>
      <c r="M1196" s="256"/>
      <c r="N1196" s="287"/>
      <c r="O1196" s="256"/>
      <c r="P1196" s="287"/>
      <c r="Q1196" s="256"/>
      <c r="R1196" s="256"/>
      <c r="S1196" s="256"/>
      <c r="T1196" s="256"/>
      <c r="U1196" s="256"/>
      <c r="V1196" s="256"/>
      <c r="W1196" s="287"/>
      <c r="X1196" s="256"/>
      <c r="Y1196" s="256"/>
      <c r="Z1196" s="17"/>
      <c r="AA1196" s="17"/>
      <c r="AB1196" s="17"/>
      <c r="AC1196" s="17"/>
      <c r="AD1196" s="17"/>
      <c r="AE1196" s="17"/>
      <c r="AF1196" s="17"/>
      <c r="AG1196" s="64"/>
      <c r="AH1196" s="64"/>
      <c r="AI1196" s="64"/>
      <c r="AJ1196" s="64"/>
      <c r="AK1196" s="64"/>
      <c r="AL1196" s="264"/>
      <c r="AM1196" s="84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  <c r="AY1196" s="18"/>
    </row>
    <row r="1197" spans="1:51" s="33" customFormat="1" ht="13.5" thickBot="1" x14ac:dyDescent="0.35">
      <c r="A1197" s="63"/>
      <c r="B1197" s="63"/>
      <c r="C1197" s="63"/>
      <c r="D1197" s="63"/>
      <c r="E1197" s="288"/>
      <c r="F1197" s="288"/>
      <c r="G1197" s="288"/>
      <c r="H1197" s="63"/>
      <c r="I1197" s="63"/>
      <c r="J1197" s="63"/>
      <c r="K1197" s="17"/>
      <c r="L1197" s="17"/>
      <c r="M1197" s="17"/>
      <c r="N1197" s="17"/>
      <c r="O1197" s="68"/>
      <c r="P1197" s="68"/>
      <c r="Q1197" s="68"/>
      <c r="R1197" s="68"/>
      <c r="S1197" s="68"/>
      <c r="T1197" s="68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64"/>
      <c r="AH1197" s="64"/>
      <c r="AI1197" s="64"/>
      <c r="AJ1197" s="64"/>
      <c r="AK1197" s="64"/>
      <c r="AL1197" s="264"/>
      <c r="AM1197" s="84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  <c r="AY1197" s="18"/>
    </row>
    <row r="1198" spans="1:51" s="33" customFormat="1" ht="13.5" thickBot="1" x14ac:dyDescent="0.35">
      <c r="A1198" s="63" t="s">
        <v>194</v>
      </c>
      <c r="B1198" s="17" t="s">
        <v>1654</v>
      </c>
      <c r="C1198" s="295" t="s">
        <v>271</v>
      </c>
      <c r="D1198" s="290" t="s">
        <v>285</v>
      </c>
      <c r="E1198" s="290">
        <v>1</v>
      </c>
      <c r="F1198" s="290">
        <v>11</v>
      </c>
      <c r="G1198" s="290">
        <v>0</v>
      </c>
      <c r="H1198" s="89">
        <v>0</v>
      </c>
      <c r="I1198" s="88" t="s">
        <v>1106</v>
      </c>
      <c r="J1198" s="87"/>
      <c r="K1198" s="84">
        <v>1059305</v>
      </c>
      <c r="L1198" s="91" t="s">
        <v>1377</v>
      </c>
      <c r="M1198" s="17">
        <v>3</v>
      </c>
      <c r="N1198" s="17"/>
      <c r="O1198" s="83"/>
      <c r="P1198" s="83"/>
      <c r="Q1198" s="68"/>
      <c r="R1198" s="68"/>
      <c r="S1198" s="68"/>
      <c r="T1198" s="68"/>
      <c r="U1198" s="17"/>
      <c r="V1198" s="17"/>
      <c r="W1198" s="17" t="s">
        <v>1638</v>
      </c>
      <c r="X1198" s="17">
        <v>0</v>
      </c>
      <c r="Y1198" s="17"/>
      <c r="Z1198" s="17"/>
      <c r="AA1198" s="17"/>
      <c r="AB1198" s="17"/>
      <c r="AC1198" s="17"/>
      <c r="AD1198" s="17"/>
      <c r="AE1198" s="17"/>
      <c r="AF1198" s="17"/>
      <c r="AG1198" s="64"/>
      <c r="AH1198" s="64"/>
      <c r="AI1198" s="64"/>
      <c r="AJ1198" s="64"/>
      <c r="AK1198" s="64"/>
      <c r="AL1198" s="264"/>
      <c r="AM1198" s="84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  <c r="AY1198" s="18"/>
    </row>
    <row r="1199" spans="1:51" s="33" customFormat="1" x14ac:dyDescent="0.3">
      <c r="A1199" s="63" t="str">
        <f>+A1198</f>
        <v>BCV131</v>
      </c>
      <c r="B1199" s="18" t="str">
        <f>+B1198</f>
        <v>AX19</v>
      </c>
      <c r="C1199" s="85" t="str">
        <f>+C1198</f>
        <v>SIO1</v>
      </c>
      <c r="D1199" s="85" t="str">
        <f>+D1198</f>
        <v>SLC01</v>
      </c>
      <c r="E1199" s="290">
        <f>+E1198</f>
        <v>1</v>
      </c>
      <c r="F1199" s="290">
        <f>+F1198</f>
        <v>11</v>
      </c>
      <c r="G1199" s="290">
        <f>+G1198</f>
        <v>0</v>
      </c>
      <c r="H1199" s="72">
        <v>1</v>
      </c>
      <c r="I1199" s="77">
        <v>1</v>
      </c>
      <c r="J1199" s="76" t="s">
        <v>269</v>
      </c>
      <c r="K1199" s="65">
        <v>1044125</v>
      </c>
      <c r="L1199" s="79" t="s">
        <v>244</v>
      </c>
      <c r="M1199" s="17">
        <v>3</v>
      </c>
      <c r="N1199" s="18" t="s">
        <v>1651</v>
      </c>
      <c r="O1199" s="296" t="s">
        <v>1653</v>
      </c>
      <c r="P1199" s="296"/>
      <c r="Q1199" s="296" t="s">
        <v>1652</v>
      </c>
      <c r="R1199" s="17" t="s">
        <v>211</v>
      </c>
      <c r="S1199" s="17"/>
      <c r="T1199" s="17" t="s">
        <v>194</v>
      </c>
      <c r="U1199" s="17"/>
      <c r="V1199" s="289" t="str">
        <f>+CONCATENATE(E1199,".",F1199,"\",G1199,".",H1199,":",I1199)</f>
        <v>1.11\0.1:1</v>
      </c>
      <c r="W1199" s="18" t="s">
        <v>1638</v>
      </c>
      <c r="X1199" s="17">
        <v>0</v>
      </c>
      <c r="Y1199" s="17"/>
      <c r="Z1199" s="17"/>
      <c r="AA1199" s="17"/>
      <c r="AB1199" s="17"/>
      <c r="AC1199" s="17"/>
      <c r="AD1199" s="17"/>
      <c r="AE1199" s="17"/>
      <c r="AF1199" s="17"/>
      <c r="AG1199" s="64"/>
      <c r="AH1199" s="64"/>
      <c r="AI1199" s="64"/>
      <c r="AJ1199" s="64"/>
      <c r="AK1199" s="64"/>
      <c r="AL1199" s="264"/>
      <c r="AM1199" s="84"/>
      <c r="AN1199" s="18"/>
      <c r="AO1199" s="18"/>
      <c r="AP1199" s="18"/>
      <c r="AQ1199" s="18"/>
      <c r="AR1199" s="18"/>
      <c r="AS1199" s="18"/>
      <c r="AT1199" s="18"/>
      <c r="AU1199" s="18"/>
      <c r="AV1199" s="18"/>
      <c r="AW1199" s="18"/>
      <c r="AX1199" s="18"/>
      <c r="AY1199" s="18"/>
    </row>
    <row r="1200" spans="1:51" s="33" customFormat="1" x14ac:dyDescent="0.3">
      <c r="A1200" s="63" t="str">
        <f>+A1199</f>
        <v>BCV131</v>
      </c>
      <c r="B1200" s="18" t="str">
        <f>+B1199</f>
        <v>AX19</v>
      </c>
      <c r="C1200" s="85" t="str">
        <f>+C1199</f>
        <v>SIO1</v>
      </c>
      <c r="D1200" s="85" t="str">
        <f>+D1199</f>
        <v>SLC01</v>
      </c>
      <c r="E1200" s="290">
        <f>+E1199</f>
        <v>1</v>
      </c>
      <c r="F1200" s="290">
        <f>+F1199</f>
        <v>11</v>
      </c>
      <c r="G1200" s="290">
        <f>+G1199</f>
        <v>0</v>
      </c>
      <c r="H1200" s="72">
        <f>+H1199</f>
        <v>1</v>
      </c>
      <c r="I1200" s="75">
        <v>2</v>
      </c>
      <c r="J1200" s="74" t="s">
        <v>265</v>
      </c>
      <c r="K1200" s="84">
        <v>1047162</v>
      </c>
      <c r="L1200" s="79" t="s">
        <v>244</v>
      </c>
      <c r="M1200" s="17">
        <v>3</v>
      </c>
      <c r="N1200" s="18" t="s">
        <v>1651</v>
      </c>
      <c r="O1200" s="296" t="s">
        <v>1650</v>
      </c>
      <c r="P1200" s="296"/>
      <c r="Q1200" s="296" t="s">
        <v>1649</v>
      </c>
      <c r="R1200" s="17" t="s">
        <v>211</v>
      </c>
      <c r="S1200" s="17"/>
      <c r="T1200" s="17" t="str">
        <f>+T1199</f>
        <v>BCV131</v>
      </c>
      <c r="U1200" s="17"/>
      <c r="V1200" s="289" t="str">
        <f>+CONCATENATE(E1200,".",F1200,"\",G1200,".",H1200,":",I1200)</f>
        <v>1.11\0.1:2</v>
      </c>
      <c r="W1200" s="18" t="s">
        <v>1638</v>
      </c>
      <c r="X1200" s="17">
        <v>0</v>
      </c>
      <c r="Y1200" s="17"/>
      <c r="Z1200" s="17"/>
      <c r="AA1200" s="17"/>
      <c r="AB1200" s="17"/>
      <c r="AC1200" s="17"/>
      <c r="AD1200" s="17"/>
      <c r="AE1200" s="17"/>
      <c r="AF1200" s="17"/>
      <c r="AG1200" s="64"/>
      <c r="AH1200" s="64"/>
      <c r="AI1200" s="64"/>
      <c r="AJ1200" s="64"/>
      <c r="AK1200" s="64"/>
      <c r="AL1200" s="264"/>
      <c r="AM1200" s="84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  <c r="AY1200" s="18"/>
    </row>
    <row r="1201" spans="1:51" s="33" customFormat="1" x14ac:dyDescent="0.3">
      <c r="A1201" s="63" t="str">
        <f>+A1200</f>
        <v>BCV131</v>
      </c>
      <c r="B1201" s="18" t="str">
        <f>+B1200</f>
        <v>AX19</v>
      </c>
      <c r="C1201" s="85" t="str">
        <f>+C1200</f>
        <v>SIO1</v>
      </c>
      <c r="D1201" s="85" t="str">
        <f>+D1200</f>
        <v>SLC01</v>
      </c>
      <c r="E1201" s="290">
        <f>+E1200</f>
        <v>1</v>
      </c>
      <c r="F1201" s="290">
        <f>+F1200</f>
        <v>11</v>
      </c>
      <c r="G1201" s="290">
        <f>+G1200</f>
        <v>0</v>
      </c>
      <c r="H1201" s="72">
        <f>+H1200</f>
        <v>1</v>
      </c>
      <c r="I1201" s="75">
        <v>3</v>
      </c>
      <c r="J1201" s="74" t="s">
        <v>261</v>
      </c>
      <c r="K1201" s="85"/>
      <c r="L1201" s="79" t="s">
        <v>244</v>
      </c>
      <c r="M1201" s="17">
        <v>3</v>
      </c>
      <c r="N1201" s="18" t="s">
        <v>1646</v>
      </c>
      <c r="O1201" s="296" t="s">
        <v>1648</v>
      </c>
      <c r="P1201" s="296"/>
      <c r="Q1201" s="296" t="s">
        <v>1647</v>
      </c>
      <c r="R1201" s="17" t="s">
        <v>211</v>
      </c>
      <c r="S1201" s="17"/>
      <c r="T1201" s="17" t="str">
        <f>+T1200</f>
        <v>BCV131</v>
      </c>
      <c r="U1201" s="17"/>
      <c r="V1201" s="289" t="str">
        <f>+CONCATENATE(E1201,".",F1201,"\",G1201,".",H1201,":",I1201)</f>
        <v>1.11\0.1:3</v>
      </c>
      <c r="W1201" s="18" t="s">
        <v>1638</v>
      </c>
      <c r="X1201" s="17">
        <v>0</v>
      </c>
      <c r="Y1201" s="17"/>
      <c r="Z1201" s="17"/>
      <c r="AA1201" s="17"/>
      <c r="AB1201" s="17"/>
      <c r="AC1201" s="17"/>
      <c r="AD1201" s="17"/>
      <c r="AE1201" s="17"/>
      <c r="AF1201" s="17"/>
      <c r="AG1201" s="64"/>
      <c r="AH1201" s="64"/>
      <c r="AI1201" s="64"/>
      <c r="AJ1201" s="64"/>
      <c r="AK1201" s="64"/>
      <c r="AL1201" s="264"/>
      <c r="AM1201" s="84"/>
      <c r="AN1201" s="18"/>
      <c r="AO1201" s="18"/>
      <c r="AP1201" s="18"/>
      <c r="AQ1201" s="18"/>
      <c r="AR1201" s="18"/>
      <c r="AS1201" s="18"/>
      <c r="AT1201" s="18"/>
      <c r="AU1201" s="18"/>
      <c r="AV1201" s="18"/>
      <c r="AW1201" s="18"/>
      <c r="AX1201" s="18"/>
      <c r="AY1201" s="18"/>
    </row>
    <row r="1202" spans="1:51" s="33" customFormat="1" x14ac:dyDescent="0.3">
      <c r="A1202" s="63" t="str">
        <f>+A1201</f>
        <v>BCV131</v>
      </c>
      <c r="B1202" s="18" t="str">
        <f>+B1201</f>
        <v>AX19</v>
      </c>
      <c r="C1202" s="85" t="str">
        <f>+C1201</f>
        <v>SIO1</v>
      </c>
      <c r="D1202" s="85" t="str">
        <f>+D1201</f>
        <v>SLC01</v>
      </c>
      <c r="E1202" s="290">
        <f>+E1201</f>
        <v>1</v>
      </c>
      <c r="F1202" s="290">
        <f>+F1201</f>
        <v>11</v>
      </c>
      <c r="G1202" s="290">
        <f>+G1201</f>
        <v>0</v>
      </c>
      <c r="H1202" s="72">
        <f>+H1201</f>
        <v>1</v>
      </c>
      <c r="I1202" s="75">
        <v>4</v>
      </c>
      <c r="J1202" s="74" t="s">
        <v>257</v>
      </c>
      <c r="K1202" s="85"/>
      <c r="L1202" s="79" t="s">
        <v>244</v>
      </c>
      <c r="M1202" s="17">
        <v>3</v>
      </c>
      <c r="N1202" s="18" t="s">
        <v>1646</v>
      </c>
      <c r="O1202" s="296" t="s">
        <v>1645</v>
      </c>
      <c r="P1202" s="296"/>
      <c r="Q1202" s="296" t="s">
        <v>1644</v>
      </c>
      <c r="R1202" s="17" t="s">
        <v>211</v>
      </c>
      <c r="S1202" s="17"/>
      <c r="T1202" s="17" t="str">
        <f>+T1201</f>
        <v>BCV131</v>
      </c>
      <c r="U1202" s="17"/>
      <c r="V1202" s="289" t="str">
        <f>+CONCATENATE(E1202,".",F1202,"\",G1202,".",H1202,":",I1202)</f>
        <v>1.11\0.1:4</v>
      </c>
      <c r="W1202" s="18" t="s">
        <v>1638</v>
      </c>
      <c r="X1202" s="17">
        <v>0</v>
      </c>
      <c r="Y1202" s="17"/>
      <c r="Z1202" s="17"/>
      <c r="AA1202" s="17"/>
      <c r="AB1202" s="17"/>
      <c r="AC1202" s="17"/>
      <c r="AD1202" s="17"/>
      <c r="AE1202" s="17"/>
      <c r="AF1202" s="17"/>
      <c r="AG1202" s="64"/>
      <c r="AH1202" s="64"/>
      <c r="AI1202" s="64"/>
      <c r="AJ1202" s="64"/>
      <c r="AK1202" s="64"/>
      <c r="AL1202" s="264"/>
      <c r="AM1202" s="84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  <c r="AY1202" s="18"/>
    </row>
    <row r="1203" spans="1:51" s="33" customFormat="1" x14ac:dyDescent="0.3">
      <c r="A1203" s="63" t="str">
        <f>+A1202</f>
        <v>BCV131</v>
      </c>
      <c r="B1203" s="18" t="str">
        <f>+B1202</f>
        <v>AX19</v>
      </c>
      <c r="C1203" s="85" t="str">
        <f>+C1202</f>
        <v>SIO1</v>
      </c>
      <c r="D1203" s="85" t="str">
        <f>+D1202</f>
        <v>SLC01</v>
      </c>
      <c r="E1203" s="290">
        <f>+E1202</f>
        <v>1</v>
      </c>
      <c r="F1203" s="290">
        <f>+F1202</f>
        <v>11</v>
      </c>
      <c r="G1203" s="290">
        <f>+G1202</f>
        <v>0</v>
      </c>
      <c r="H1203" s="72">
        <f>+H1202</f>
        <v>1</v>
      </c>
      <c r="I1203" s="75">
        <v>5</v>
      </c>
      <c r="J1203" s="74" t="s">
        <v>1325</v>
      </c>
      <c r="K1203" s="85"/>
      <c r="L1203" s="79" t="s">
        <v>244</v>
      </c>
      <c r="M1203" s="17">
        <v>3</v>
      </c>
      <c r="N1203" s="17"/>
      <c r="O1203" s="296"/>
      <c r="P1203" s="296"/>
      <c r="Q1203" s="296" t="s">
        <v>127</v>
      </c>
      <c r="R1203" s="17"/>
      <c r="S1203" s="17"/>
      <c r="T1203" s="17"/>
      <c r="U1203" s="17"/>
      <c r="V1203" s="289" t="str">
        <f>+CONCATENATE(E1203,".",F1203,"\",G1203,".",H1203,":",I1203)</f>
        <v>1.11\0.1:5</v>
      </c>
      <c r="W1203" s="18" t="s">
        <v>1638</v>
      </c>
      <c r="X1203" s="17">
        <v>0</v>
      </c>
      <c r="Y1203" s="17"/>
      <c r="Z1203" s="17"/>
      <c r="AA1203" s="17"/>
      <c r="AB1203" s="17"/>
      <c r="AC1203" s="17"/>
      <c r="AD1203" s="17"/>
      <c r="AE1203" s="17"/>
      <c r="AF1203" s="17"/>
      <c r="AG1203" s="64"/>
      <c r="AH1203" s="64"/>
      <c r="AI1203" s="64"/>
      <c r="AJ1203" s="64"/>
      <c r="AK1203" s="64"/>
      <c r="AL1203" s="264"/>
      <c r="AM1203" s="84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  <c r="AY1203" s="18"/>
    </row>
    <row r="1204" spans="1:51" s="33" customFormat="1" x14ac:dyDescent="0.3">
      <c r="A1204" s="63" t="str">
        <f>+A1203</f>
        <v>BCV131</v>
      </c>
      <c r="B1204" s="18" t="str">
        <f>+B1203</f>
        <v>AX19</v>
      </c>
      <c r="C1204" s="85" t="str">
        <f>+C1203</f>
        <v>SIO1</v>
      </c>
      <c r="D1204" s="85" t="str">
        <f>+D1203</f>
        <v>SLC01</v>
      </c>
      <c r="E1204" s="290">
        <f>+E1203</f>
        <v>1</v>
      </c>
      <c r="F1204" s="290">
        <f>+F1203</f>
        <v>11</v>
      </c>
      <c r="G1204" s="290">
        <f>+G1203</f>
        <v>0</v>
      </c>
      <c r="H1204" s="72">
        <f>+H1203</f>
        <v>1</v>
      </c>
      <c r="I1204" s="75">
        <v>6</v>
      </c>
      <c r="J1204" s="74" t="s">
        <v>1323</v>
      </c>
      <c r="K1204" s="85"/>
      <c r="L1204" s="79" t="s">
        <v>244</v>
      </c>
      <c r="M1204" s="17">
        <v>3</v>
      </c>
      <c r="N1204" s="17"/>
      <c r="O1204" s="296"/>
      <c r="P1204" s="296"/>
      <c r="Q1204" s="296" t="s">
        <v>127</v>
      </c>
      <c r="R1204" s="17"/>
      <c r="S1204" s="17"/>
      <c r="T1204" s="17"/>
      <c r="U1204" s="17"/>
      <c r="V1204" s="289" t="str">
        <f>+CONCATENATE(E1204,".",F1204,"\",G1204,".",H1204,":",I1204)</f>
        <v>1.11\0.1:6</v>
      </c>
      <c r="W1204" s="18" t="s">
        <v>1638</v>
      </c>
      <c r="X1204" s="17">
        <v>0</v>
      </c>
      <c r="Y1204" s="17"/>
      <c r="Z1204" s="17"/>
      <c r="AA1204" s="17"/>
      <c r="AB1204" s="17"/>
      <c r="AC1204" s="17"/>
      <c r="AD1204" s="17"/>
      <c r="AE1204" s="17"/>
      <c r="AF1204" s="17"/>
      <c r="AG1204" s="64"/>
      <c r="AH1204" s="64"/>
      <c r="AI1204" s="64"/>
      <c r="AJ1204" s="64"/>
      <c r="AK1204" s="64"/>
      <c r="AL1204" s="264"/>
      <c r="AM1204" s="84"/>
      <c r="AN1204" s="18"/>
      <c r="AO1204" s="18"/>
      <c r="AP1204" s="18"/>
      <c r="AQ1204" s="18"/>
      <c r="AR1204" s="18"/>
      <c r="AS1204" s="18"/>
      <c r="AT1204" s="18"/>
      <c r="AU1204" s="18"/>
      <c r="AV1204" s="18"/>
      <c r="AW1204" s="18"/>
      <c r="AX1204" s="18"/>
      <c r="AY1204" s="18"/>
    </row>
    <row r="1205" spans="1:51" s="33" customFormat="1" x14ac:dyDescent="0.3">
      <c r="A1205" s="63" t="str">
        <f>+A1204</f>
        <v>BCV131</v>
      </c>
      <c r="B1205" s="18" t="str">
        <f>+B1204</f>
        <v>AX19</v>
      </c>
      <c r="C1205" s="85" t="str">
        <f>+C1204</f>
        <v>SIO1</v>
      </c>
      <c r="D1205" s="85" t="str">
        <f>+D1204</f>
        <v>SLC01</v>
      </c>
      <c r="E1205" s="290">
        <f>+E1204</f>
        <v>1</v>
      </c>
      <c r="F1205" s="290">
        <f>+F1204</f>
        <v>11</v>
      </c>
      <c r="G1205" s="290">
        <f>+G1204</f>
        <v>0</v>
      </c>
      <c r="H1205" s="72">
        <f>+H1204</f>
        <v>1</v>
      </c>
      <c r="I1205" s="75">
        <v>7</v>
      </c>
      <c r="J1205" s="74" t="s">
        <v>246</v>
      </c>
      <c r="K1205" s="85"/>
      <c r="L1205" s="79" t="s">
        <v>244</v>
      </c>
      <c r="M1205" s="17">
        <v>3</v>
      </c>
      <c r="N1205" s="17"/>
      <c r="O1205" s="296"/>
      <c r="P1205" s="296"/>
      <c r="Q1205" s="296" t="s">
        <v>127</v>
      </c>
      <c r="R1205" s="17"/>
      <c r="S1205" s="17"/>
      <c r="T1205" s="17"/>
      <c r="U1205" s="17"/>
      <c r="V1205" s="289" t="str">
        <f>+CONCATENATE(E1205,".",F1205,"\",G1205,".",H1205,":",I1205)</f>
        <v>1.11\0.1:7</v>
      </c>
      <c r="W1205" s="18" t="s">
        <v>1638</v>
      </c>
      <c r="X1205" s="17">
        <v>0</v>
      </c>
      <c r="Y1205" s="17"/>
      <c r="Z1205" s="17"/>
      <c r="AA1205" s="17"/>
      <c r="AB1205" s="17"/>
      <c r="AC1205" s="17"/>
      <c r="AD1205" s="17"/>
      <c r="AE1205" s="17"/>
      <c r="AF1205" s="17"/>
      <c r="AG1205" s="64"/>
      <c r="AH1205" s="64"/>
      <c r="AI1205" s="64"/>
      <c r="AJ1205" s="64"/>
      <c r="AK1205" s="64"/>
      <c r="AL1205" s="264"/>
      <c r="AM1205" s="84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  <c r="AY1205" s="18"/>
    </row>
    <row r="1206" spans="1:51" s="33" customFormat="1" x14ac:dyDescent="0.3">
      <c r="A1206" s="63" t="str">
        <f>+A1205</f>
        <v>BCV131</v>
      </c>
      <c r="B1206" s="18" t="str">
        <f>+B1205</f>
        <v>AX19</v>
      </c>
      <c r="C1206" s="85" t="str">
        <f>+C1205</f>
        <v>SIO1</v>
      </c>
      <c r="D1206" s="85" t="str">
        <f>+D1205</f>
        <v>SLC01</v>
      </c>
      <c r="E1206" s="290">
        <f>+E1205</f>
        <v>1</v>
      </c>
      <c r="F1206" s="290">
        <f>+F1205</f>
        <v>11</v>
      </c>
      <c r="G1206" s="290">
        <f>+G1205</f>
        <v>0</v>
      </c>
      <c r="H1206" s="72">
        <f>+H1205</f>
        <v>1</v>
      </c>
      <c r="I1206" s="75">
        <v>8</v>
      </c>
      <c r="J1206" s="74" t="s">
        <v>245</v>
      </c>
      <c r="K1206" s="85"/>
      <c r="L1206" s="79" t="s">
        <v>244</v>
      </c>
      <c r="M1206" s="17">
        <v>3</v>
      </c>
      <c r="N1206" s="17"/>
      <c r="O1206" s="296"/>
      <c r="P1206" s="296"/>
      <c r="Q1206" s="296" t="s">
        <v>127</v>
      </c>
      <c r="R1206" s="17"/>
      <c r="S1206" s="17"/>
      <c r="T1206" s="17"/>
      <c r="U1206" s="17"/>
      <c r="V1206" s="289" t="str">
        <f>+CONCATENATE(E1206,".",F1206,"\",G1206,".",H1206,":",I1206)</f>
        <v>1.11\0.1:8</v>
      </c>
      <c r="W1206" s="18" t="s">
        <v>1638</v>
      </c>
      <c r="X1206" s="17">
        <v>0</v>
      </c>
      <c r="Y1206" s="17"/>
      <c r="Z1206" s="17"/>
      <c r="AA1206" s="17"/>
      <c r="AB1206" s="17"/>
      <c r="AC1206" s="17"/>
      <c r="AD1206" s="17"/>
      <c r="AE1206" s="17"/>
      <c r="AF1206" s="17"/>
      <c r="AG1206" s="64"/>
      <c r="AH1206" s="64"/>
      <c r="AI1206" s="64"/>
      <c r="AJ1206" s="64"/>
      <c r="AK1206" s="64"/>
      <c r="AL1206" s="264"/>
      <c r="AM1206" s="84"/>
      <c r="AN1206" s="18"/>
      <c r="AO1206" s="18"/>
      <c r="AP1206" s="18"/>
      <c r="AQ1206" s="18"/>
      <c r="AR1206" s="18"/>
      <c r="AS1206" s="18"/>
      <c r="AT1206" s="18"/>
      <c r="AU1206" s="18"/>
      <c r="AV1206" s="18"/>
      <c r="AW1206" s="18"/>
      <c r="AX1206" s="18"/>
      <c r="AY1206" s="18"/>
    </row>
    <row r="1207" spans="1:51" s="33" customFormat="1" x14ac:dyDescent="0.3">
      <c r="A1207" s="63" t="str">
        <f>+A1206</f>
        <v>BCV131</v>
      </c>
      <c r="B1207" s="18" t="str">
        <f>+B1206</f>
        <v>AX19</v>
      </c>
      <c r="C1207" s="85" t="str">
        <f>+C1206</f>
        <v>SIO1</v>
      </c>
      <c r="D1207" s="85" t="str">
        <f>+D1206</f>
        <v>SLC01</v>
      </c>
      <c r="E1207" s="290">
        <f>+E1206</f>
        <v>1</v>
      </c>
      <c r="F1207" s="290">
        <f>+F1206</f>
        <v>11</v>
      </c>
      <c r="G1207" s="290">
        <f>+G1206</f>
        <v>0</v>
      </c>
      <c r="H1207" s="72">
        <f>+H1206</f>
        <v>1</v>
      </c>
      <c r="I1207" s="75">
        <v>1</v>
      </c>
      <c r="J1207" s="81" t="s">
        <v>1321</v>
      </c>
      <c r="K1207" s="85" t="s">
        <v>1366</v>
      </c>
      <c r="L1207" s="79" t="s">
        <v>235</v>
      </c>
      <c r="M1207" s="17">
        <v>3</v>
      </c>
      <c r="N1207" s="18" t="s">
        <v>1642</v>
      </c>
      <c r="O1207" s="17" t="s">
        <v>1643</v>
      </c>
      <c r="P1207" s="17"/>
      <c r="Q1207" s="17" t="s">
        <v>1335</v>
      </c>
      <c r="R1207" s="17" t="s">
        <v>922</v>
      </c>
      <c r="S1207" s="17"/>
      <c r="T1207" s="17" t="str">
        <f>+T1199</f>
        <v>BCV131</v>
      </c>
      <c r="U1207" s="17"/>
      <c r="V1207" s="289" t="str">
        <f>+CONCATENATE(E1207,".",F1207,"\",G1207,".",H1207,":",I1207)</f>
        <v>1.11\0.1:1</v>
      </c>
      <c r="W1207" s="18" t="s">
        <v>1638</v>
      </c>
      <c r="X1207" s="17">
        <v>0</v>
      </c>
      <c r="Y1207" s="17"/>
      <c r="Z1207" s="17"/>
      <c r="AA1207" s="17"/>
      <c r="AB1207" s="17"/>
      <c r="AC1207" s="17"/>
      <c r="AD1207" s="17"/>
      <c r="AE1207" s="17"/>
      <c r="AF1207" s="17"/>
      <c r="AG1207" s="64"/>
      <c r="AH1207" s="64"/>
      <c r="AI1207" s="64"/>
      <c r="AJ1207" s="64"/>
      <c r="AK1207" s="64"/>
      <c r="AL1207" s="264"/>
      <c r="AM1207" s="84"/>
      <c r="AN1207" s="18"/>
      <c r="AO1207" s="18"/>
      <c r="AP1207" s="18"/>
      <c r="AQ1207" s="18"/>
      <c r="AR1207" s="18"/>
      <c r="AS1207" s="18"/>
      <c r="AT1207" s="18"/>
      <c r="AU1207" s="18"/>
      <c r="AV1207" s="18"/>
      <c r="AW1207" s="18"/>
      <c r="AX1207" s="18"/>
      <c r="AY1207" s="18"/>
    </row>
    <row r="1208" spans="1:51" s="33" customFormat="1" x14ac:dyDescent="0.3">
      <c r="A1208" s="63" t="str">
        <f>+A1207</f>
        <v>BCV131</v>
      </c>
      <c r="B1208" s="18" t="str">
        <f>+B1207</f>
        <v>AX19</v>
      </c>
      <c r="C1208" s="85" t="str">
        <f>+C1207</f>
        <v>SIO1</v>
      </c>
      <c r="D1208" s="85" t="str">
        <f>+D1207</f>
        <v>SLC01</v>
      </c>
      <c r="E1208" s="290">
        <f>+E1207</f>
        <v>1</v>
      </c>
      <c r="F1208" s="290">
        <f>+F1207</f>
        <v>11</v>
      </c>
      <c r="G1208" s="290">
        <f>+G1207</f>
        <v>0</v>
      </c>
      <c r="H1208" s="72">
        <f>+H1207</f>
        <v>1</v>
      </c>
      <c r="I1208" s="75">
        <v>2</v>
      </c>
      <c r="J1208" s="74" t="s">
        <v>1320</v>
      </c>
      <c r="K1208" s="85"/>
      <c r="L1208" s="79" t="s">
        <v>235</v>
      </c>
      <c r="M1208" s="17">
        <v>3</v>
      </c>
      <c r="N1208" s="18" t="s">
        <v>1642</v>
      </c>
      <c r="O1208" s="17" t="s">
        <v>1641</v>
      </c>
      <c r="P1208" s="17"/>
      <c r="Q1208" s="17" t="s">
        <v>1330</v>
      </c>
      <c r="R1208" s="17" t="s">
        <v>922</v>
      </c>
      <c r="S1208" s="17"/>
      <c r="T1208" s="17" t="str">
        <f>+T1207</f>
        <v>BCV131</v>
      </c>
      <c r="U1208" s="17"/>
      <c r="V1208" s="289" t="str">
        <f>+CONCATENATE(E1208,".",F1208,"\",G1208,".",H1208,":",I1208)</f>
        <v>1.11\0.1:2</v>
      </c>
      <c r="W1208" s="18" t="s">
        <v>1638</v>
      </c>
      <c r="X1208" s="17">
        <v>0</v>
      </c>
      <c r="Y1208" s="17"/>
      <c r="Z1208" s="17"/>
      <c r="AA1208" s="17"/>
      <c r="AB1208" s="17"/>
      <c r="AC1208" s="17"/>
      <c r="AD1208" s="17"/>
      <c r="AE1208" s="17"/>
      <c r="AF1208" s="17"/>
      <c r="AG1208" s="64"/>
      <c r="AH1208" s="64"/>
      <c r="AI1208" s="64"/>
      <c r="AJ1208" s="64"/>
      <c r="AK1208" s="64"/>
      <c r="AL1208" s="264"/>
      <c r="AM1208" s="84"/>
      <c r="AN1208" s="18"/>
      <c r="AO1208" s="18"/>
      <c r="AP1208" s="18"/>
      <c r="AQ1208" s="18"/>
      <c r="AR1208" s="18"/>
      <c r="AS1208" s="18"/>
      <c r="AT1208" s="18"/>
      <c r="AU1208" s="18"/>
      <c r="AV1208" s="18"/>
      <c r="AW1208" s="18"/>
      <c r="AX1208" s="18"/>
      <c r="AY1208" s="18"/>
    </row>
    <row r="1209" spans="1:51" s="33" customFormat="1" x14ac:dyDescent="0.3">
      <c r="A1209" s="63" t="str">
        <f>+A1208</f>
        <v>BCV131</v>
      </c>
      <c r="B1209" s="18" t="str">
        <f>+B1208</f>
        <v>AX19</v>
      </c>
      <c r="C1209" s="85" t="str">
        <f>+C1208</f>
        <v>SIO1</v>
      </c>
      <c r="D1209" s="85" t="str">
        <f>+D1208</f>
        <v>SLC01</v>
      </c>
      <c r="E1209" s="290">
        <f>+E1208</f>
        <v>1</v>
      </c>
      <c r="F1209" s="290">
        <f>+F1208</f>
        <v>11</v>
      </c>
      <c r="G1209" s="290">
        <f>+G1208</f>
        <v>0</v>
      </c>
      <c r="H1209" s="72">
        <f>+H1208</f>
        <v>1</v>
      </c>
      <c r="I1209" s="75">
        <v>3</v>
      </c>
      <c r="J1209" s="74" t="s">
        <v>1319</v>
      </c>
      <c r="K1209" s="85"/>
      <c r="L1209" s="79" t="s">
        <v>235</v>
      </c>
      <c r="M1209" s="17">
        <v>3</v>
      </c>
      <c r="N1209" s="18" t="s">
        <v>1640</v>
      </c>
      <c r="O1209" s="17" t="s">
        <v>1639</v>
      </c>
      <c r="P1209" s="17"/>
      <c r="Q1209" s="17" t="s">
        <v>1330</v>
      </c>
      <c r="R1209" s="17" t="s">
        <v>922</v>
      </c>
      <c r="S1209" s="17"/>
      <c r="T1209" s="17" t="str">
        <f>+T1208</f>
        <v>BCV131</v>
      </c>
      <c r="U1209" s="17"/>
      <c r="V1209" s="289" t="str">
        <f>+CONCATENATE(E1209,".",F1209,"\",G1209,".",H1209,":",I1209)</f>
        <v>1.11\0.1:3</v>
      </c>
      <c r="W1209" s="18" t="s">
        <v>1638</v>
      </c>
      <c r="X1209" s="17">
        <v>0</v>
      </c>
      <c r="Y1209" s="17"/>
      <c r="Z1209" s="17"/>
      <c r="AA1209" s="17"/>
      <c r="AB1209" s="17"/>
      <c r="AC1209" s="17"/>
      <c r="AD1209" s="17"/>
      <c r="AE1209" s="17"/>
      <c r="AF1209" s="17"/>
      <c r="AG1209" s="64"/>
      <c r="AH1209" s="64"/>
      <c r="AI1209" s="64"/>
      <c r="AJ1209" s="64"/>
      <c r="AK1209" s="64"/>
      <c r="AL1209" s="264"/>
      <c r="AM1209" s="84"/>
      <c r="AN1209" s="18"/>
      <c r="AO1209" s="18"/>
      <c r="AP1209" s="18"/>
      <c r="AQ1209" s="18"/>
      <c r="AR1209" s="18"/>
      <c r="AS1209" s="18"/>
      <c r="AT1209" s="18"/>
      <c r="AU1209" s="18"/>
      <c r="AV1209" s="18"/>
      <c r="AW1209" s="18"/>
      <c r="AX1209" s="18"/>
      <c r="AY1209" s="18"/>
    </row>
    <row r="1210" spans="1:51" s="33" customFormat="1" ht="13.5" thickBot="1" x14ac:dyDescent="0.35">
      <c r="A1210" s="63" t="str">
        <f>+A1209</f>
        <v>BCV131</v>
      </c>
      <c r="B1210" s="18" t="str">
        <f>+B1209</f>
        <v>AX19</v>
      </c>
      <c r="C1210" s="85" t="str">
        <f>+C1209</f>
        <v>SIO1</v>
      </c>
      <c r="D1210" s="85" t="str">
        <f>+D1209</f>
        <v>SLC01</v>
      </c>
      <c r="E1210" s="290">
        <f>+E1209</f>
        <v>1</v>
      </c>
      <c r="F1210" s="290">
        <f>+F1209</f>
        <v>11</v>
      </c>
      <c r="G1210" s="290">
        <f>+G1209</f>
        <v>0</v>
      </c>
      <c r="H1210" s="72">
        <f>+H1209</f>
        <v>1</v>
      </c>
      <c r="I1210" s="71">
        <v>4</v>
      </c>
      <c r="J1210" s="70" t="s">
        <v>1318</v>
      </c>
      <c r="K1210" s="85"/>
      <c r="L1210" s="79" t="s">
        <v>235</v>
      </c>
      <c r="M1210" s="17">
        <v>3</v>
      </c>
      <c r="N1210" s="17"/>
      <c r="O1210" s="17"/>
      <c r="P1210" s="17"/>
      <c r="Q1210" s="68"/>
      <c r="R1210" s="68"/>
      <c r="S1210" s="68"/>
      <c r="T1210" s="68"/>
      <c r="U1210" s="17"/>
      <c r="V1210" s="289" t="str">
        <f>+CONCATENATE(E1210,".",F1210,"\",G1210,".",H1210,":",I1210)</f>
        <v>1.11\0.1:4</v>
      </c>
      <c r="W1210" s="18" t="s">
        <v>1638</v>
      </c>
      <c r="X1210" s="17">
        <v>0</v>
      </c>
      <c r="Y1210" s="17"/>
      <c r="Z1210" s="17"/>
      <c r="AA1210" s="17"/>
      <c r="AB1210" s="17"/>
      <c r="AC1210" s="17"/>
      <c r="AD1210" s="17"/>
      <c r="AE1210" s="17"/>
      <c r="AF1210" s="17"/>
      <c r="AG1210" s="64"/>
      <c r="AH1210" s="64"/>
      <c r="AI1210" s="64"/>
      <c r="AJ1210" s="64"/>
      <c r="AK1210" s="64"/>
      <c r="AL1210" s="264"/>
      <c r="AM1210" s="84"/>
      <c r="AN1210" s="18"/>
      <c r="AO1210" s="18"/>
      <c r="AP1210" s="18"/>
      <c r="AQ1210" s="18"/>
      <c r="AR1210" s="18"/>
      <c r="AS1210" s="18"/>
      <c r="AT1210" s="18"/>
      <c r="AU1210" s="18"/>
      <c r="AV1210" s="18"/>
      <c r="AW1210" s="18"/>
      <c r="AX1210" s="18"/>
      <c r="AY1210" s="18"/>
    </row>
    <row r="1211" spans="1:51" s="33" customFormat="1" x14ac:dyDescent="0.3">
      <c r="A1211" s="63"/>
      <c r="B1211" s="63"/>
      <c r="C1211" s="63"/>
      <c r="D1211" s="63"/>
      <c r="E1211" s="288"/>
      <c r="F1211" s="288"/>
      <c r="G1211" s="288"/>
      <c r="H1211" s="63"/>
      <c r="I1211" s="63"/>
      <c r="J1211" s="63"/>
      <c r="K1211" s="17"/>
      <c r="L1211" s="17"/>
      <c r="M1211" s="17"/>
      <c r="N1211" s="17"/>
      <c r="O1211" s="68"/>
      <c r="P1211" s="68"/>
      <c r="Q1211" s="68"/>
      <c r="R1211" s="68"/>
      <c r="S1211" s="68"/>
      <c r="T1211" s="68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64"/>
      <c r="AH1211" s="64"/>
      <c r="AI1211" s="64"/>
      <c r="AJ1211" s="64"/>
      <c r="AK1211" s="64"/>
      <c r="AL1211" s="264"/>
      <c r="AM1211" s="84"/>
      <c r="AN1211" s="18"/>
      <c r="AO1211" s="18"/>
      <c r="AP1211" s="18"/>
      <c r="AQ1211" s="18"/>
      <c r="AR1211" s="18"/>
      <c r="AS1211" s="18"/>
      <c r="AT1211" s="18"/>
      <c r="AU1211" s="18"/>
      <c r="AV1211" s="18"/>
      <c r="AW1211" s="18"/>
      <c r="AX1211" s="18"/>
      <c r="AY1211" s="18"/>
    </row>
    <row r="1212" spans="1:51" s="33" customFormat="1" x14ac:dyDescent="0.3">
      <c r="A1212" s="63"/>
      <c r="B1212" s="63"/>
      <c r="C1212" s="63"/>
      <c r="D1212" s="63"/>
      <c r="E1212" s="288"/>
      <c r="F1212" s="288"/>
      <c r="G1212" s="288"/>
      <c r="H1212" s="63"/>
      <c r="I1212" s="63"/>
      <c r="J1212" s="63"/>
      <c r="K1212" s="17"/>
      <c r="L1212" s="17"/>
      <c r="M1212" s="17"/>
      <c r="N1212" s="17"/>
      <c r="O1212" s="68"/>
      <c r="P1212" s="68"/>
      <c r="Q1212" s="68"/>
      <c r="R1212" s="68"/>
      <c r="S1212" s="68"/>
      <c r="T1212" s="68"/>
      <c r="U1212" s="17"/>
      <c r="V1212" s="17"/>
      <c r="W1212" s="17"/>
      <c r="X1212" s="17"/>
      <c r="Y1212" s="17"/>
      <c r="Z1212" s="17"/>
      <c r="AA1212" s="17"/>
      <c r="AB1212" s="20"/>
      <c r="AC1212" s="17"/>
      <c r="AD1212" s="17"/>
      <c r="AE1212" s="17"/>
      <c r="AF1212" s="17"/>
      <c r="AG1212" s="64"/>
      <c r="AH1212" s="64"/>
      <c r="AI1212" s="64"/>
      <c r="AJ1212" s="64"/>
      <c r="AK1212" s="64"/>
      <c r="AL1212" s="264"/>
      <c r="AM1212" s="84"/>
      <c r="AN1212" s="18"/>
      <c r="AO1212" s="18"/>
      <c r="AP1212" s="18"/>
      <c r="AQ1212" s="18"/>
      <c r="AR1212" s="18"/>
      <c r="AS1212" s="18"/>
      <c r="AT1212" s="18"/>
      <c r="AU1212" s="18"/>
      <c r="AV1212" s="18"/>
      <c r="AW1212" s="18"/>
      <c r="AX1212" s="18"/>
      <c r="AY1212" s="18"/>
    </row>
    <row r="1213" spans="1:51" s="33" customFormat="1" x14ac:dyDescent="0.3">
      <c r="A1213" s="63"/>
      <c r="B1213" s="63"/>
      <c r="C1213" s="63"/>
      <c r="D1213" s="63"/>
      <c r="E1213" s="288"/>
      <c r="F1213" s="288"/>
      <c r="G1213" s="288"/>
      <c r="H1213" s="63"/>
      <c r="I1213" s="63"/>
      <c r="J1213" s="63"/>
      <c r="K1213" s="17"/>
      <c r="L1213" s="17"/>
      <c r="M1213" s="17"/>
      <c r="N1213" s="17"/>
      <c r="O1213" s="68"/>
      <c r="P1213" s="68"/>
      <c r="Q1213" s="68"/>
      <c r="R1213" s="68"/>
      <c r="S1213" s="68"/>
      <c r="T1213" s="68"/>
      <c r="U1213" s="17"/>
      <c r="V1213" s="17"/>
      <c r="W1213" s="17"/>
      <c r="X1213" s="17"/>
      <c r="Y1213" s="17"/>
      <c r="Z1213" s="17"/>
      <c r="AA1213" s="17"/>
      <c r="AB1213" s="20"/>
      <c r="AC1213" s="17"/>
      <c r="AD1213" s="17"/>
      <c r="AE1213" s="17"/>
      <c r="AF1213" s="17"/>
      <c r="AG1213" s="64"/>
      <c r="AH1213" s="64"/>
      <c r="AI1213" s="64"/>
      <c r="AJ1213" s="64"/>
      <c r="AK1213" s="64"/>
      <c r="AL1213" s="264"/>
      <c r="AM1213" s="84"/>
      <c r="AN1213" s="18"/>
      <c r="AO1213" s="18"/>
      <c r="AP1213" s="18"/>
      <c r="AQ1213" s="18"/>
      <c r="AR1213" s="18"/>
      <c r="AS1213" s="18"/>
      <c r="AT1213" s="18"/>
      <c r="AU1213" s="18"/>
      <c r="AV1213" s="18"/>
      <c r="AW1213" s="18"/>
      <c r="AX1213" s="18"/>
      <c r="AY1213" s="18"/>
    </row>
    <row r="1214" spans="1:51" s="33" customFormat="1" ht="15.5" x14ac:dyDescent="0.35">
      <c r="A1214" s="297"/>
      <c r="B1214" s="96" t="s">
        <v>1637</v>
      </c>
      <c r="C1214" s="256"/>
      <c r="D1214" s="256"/>
      <c r="E1214" s="256"/>
      <c r="F1214" s="256"/>
      <c r="G1214" s="256"/>
      <c r="H1214" s="256"/>
      <c r="I1214" s="256"/>
      <c r="J1214" s="256"/>
      <c r="K1214" s="256"/>
      <c r="L1214" s="256"/>
      <c r="M1214" s="256"/>
      <c r="N1214" s="287"/>
      <c r="O1214" s="256"/>
      <c r="P1214" s="287"/>
      <c r="Q1214" s="256"/>
      <c r="R1214" s="256"/>
      <c r="S1214" s="256"/>
      <c r="T1214" s="256"/>
      <c r="U1214" s="256"/>
      <c r="V1214" s="256"/>
      <c r="W1214" s="287"/>
      <c r="X1214" s="256"/>
      <c r="Y1214" s="256"/>
      <c r="Z1214" s="17"/>
      <c r="AA1214" s="17"/>
      <c r="AB1214" s="17"/>
      <c r="AC1214" s="17"/>
      <c r="AD1214" s="17"/>
      <c r="AE1214" s="17"/>
      <c r="AF1214" s="17"/>
      <c r="AG1214" s="64"/>
      <c r="AH1214" s="64"/>
      <c r="AI1214" s="64"/>
      <c r="AJ1214" s="64"/>
      <c r="AK1214" s="64"/>
      <c r="AL1214" s="264"/>
      <c r="AM1214" s="84"/>
      <c r="AN1214" s="18"/>
      <c r="AO1214" s="18"/>
      <c r="AP1214" s="18"/>
      <c r="AQ1214" s="18"/>
      <c r="AR1214" s="18"/>
      <c r="AS1214" s="18"/>
      <c r="AT1214" s="18"/>
      <c r="AU1214" s="18"/>
      <c r="AV1214" s="18"/>
      <c r="AW1214" s="18"/>
      <c r="AX1214" s="18"/>
      <c r="AY1214" s="18"/>
    </row>
    <row r="1215" spans="1:51" s="33" customFormat="1" ht="13.5" thickBot="1" x14ac:dyDescent="0.35">
      <c r="A1215" s="63"/>
      <c r="B1215" s="63"/>
      <c r="C1215" s="63"/>
      <c r="D1215" s="63"/>
      <c r="E1215" s="288"/>
      <c r="F1215" s="288"/>
      <c r="G1215" s="288"/>
      <c r="H1215" s="63"/>
      <c r="I1215" s="63"/>
      <c r="J1215" s="63"/>
      <c r="K1215" s="17"/>
      <c r="L1215" s="17"/>
      <c r="M1215" s="17"/>
      <c r="N1215" s="17"/>
      <c r="O1215" s="68"/>
      <c r="P1215" s="68"/>
      <c r="Q1215" s="68"/>
      <c r="R1215" s="68"/>
      <c r="S1215" s="68"/>
      <c r="T1215" s="68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64"/>
      <c r="AH1215" s="64"/>
      <c r="AI1215" s="64"/>
      <c r="AJ1215" s="64"/>
      <c r="AK1215" s="64"/>
      <c r="AL1215" s="264"/>
      <c r="AM1215" s="84"/>
      <c r="AN1215" s="18"/>
      <c r="AO1215" s="18"/>
      <c r="AP1215" s="18"/>
      <c r="AQ1215" s="18"/>
      <c r="AR1215" s="18"/>
      <c r="AS1215" s="18"/>
      <c r="AT1215" s="18"/>
      <c r="AU1215" s="18"/>
      <c r="AV1215" s="18"/>
      <c r="AW1215" s="18"/>
      <c r="AX1215" s="18"/>
      <c r="AY1215" s="18"/>
    </row>
    <row r="1216" spans="1:51" s="33" customFormat="1" ht="13.5" thickBot="1" x14ac:dyDescent="0.35">
      <c r="A1216" s="63" t="s">
        <v>194</v>
      </c>
      <c r="B1216" s="17" t="s">
        <v>1636</v>
      </c>
      <c r="C1216" s="295" t="s">
        <v>271</v>
      </c>
      <c r="D1216" s="290" t="s">
        <v>270</v>
      </c>
      <c r="E1216" s="290">
        <v>2</v>
      </c>
      <c r="F1216" s="290">
        <v>11</v>
      </c>
      <c r="G1216" s="290">
        <v>0</v>
      </c>
      <c r="H1216" s="89">
        <v>0</v>
      </c>
      <c r="I1216" s="88" t="s">
        <v>1106</v>
      </c>
      <c r="J1216" s="87"/>
      <c r="K1216" s="84">
        <v>1059305</v>
      </c>
      <c r="L1216" s="91" t="s">
        <v>1377</v>
      </c>
      <c r="M1216" s="17">
        <v>3</v>
      </c>
      <c r="N1216" s="17"/>
      <c r="O1216" s="83"/>
      <c r="P1216" s="83"/>
      <c r="Q1216" s="68"/>
      <c r="R1216" s="68"/>
      <c r="S1216" s="68"/>
      <c r="T1216" s="68"/>
      <c r="U1216" s="17"/>
      <c r="V1216" s="17"/>
      <c r="W1216" s="18" t="s">
        <v>1620</v>
      </c>
      <c r="X1216" s="17">
        <v>0</v>
      </c>
      <c r="Y1216" s="17"/>
      <c r="Z1216" s="17"/>
      <c r="AA1216" s="17"/>
      <c r="AB1216" s="17"/>
      <c r="AC1216" s="17"/>
      <c r="AD1216" s="17"/>
      <c r="AE1216" s="17"/>
      <c r="AF1216" s="17"/>
      <c r="AG1216" s="64"/>
      <c r="AH1216" s="64"/>
      <c r="AI1216" s="64"/>
      <c r="AJ1216" s="64"/>
      <c r="AK1216" s="64"/>
      <c r="AL1216" s="264"/>
      <c r="AM1216" s="84"/>
      <c r="AN1216" s="18"/>
      <c r="AO1216" s="18"/>
      <c r="AP1216" s="18"/>
      <c r="AQ1216" s="18"/>
      <c r="AR1216" s="18"/>
      <c r="AS1216" s="18"/>
      <c r="AT1216" s="18"/>
      <c r="AU1216" s="18"/>
      <c r="AV1216" s="18"/>
      <c r="AW1216" s="18"/>
      <c r="AX1216" s="18"/>
      <c r="AY1216" s="18"/>
    </row>
    <row r="1217" spans="1:51" s="33" customFormat="1" x14ac:dyDescent="0.3">
      <c r="A1217" s="63" t="str">
        <f>+A1216</f>
        <v>BCV131</v>
      </c>
      <c r="B1217" s="18" t="str">
        <f>+B1216</f>
        <v>AX20</v>
      </c>
      <c r="C1217" s="85" t="str">
        <f>+C1216</f>
        <v>SIO1</v>
      </c>
      <c r="D1217" s="85" t="str">
        <f>+D1216</f>
        <v>SLC02</v>
      </c>
      <c r="E1217" s="290">
        <f>+E1216</f>
        <v>2</v>
      </c>
      <c r="F1217" s="290">
        <f>+F1216</f>
        <v>11</v>
      </c>
      <c r="G1217" s="290">
        <f>+G1216</f>
        <v>0</v>
      </c>
      <c r="H1217" s="72">
        <v>1</v>
      </c>
      <c r="I1217" s="77">
        <v>1</v>
      </c>
      <c r="J1217" s="76" t="s">
        <v>269</v>
      </c>
      <c r="K1217" s="65">
        <v>1044125</v>
      </c>
      <c r="L1217" s="79" t="s">
        <v>244</v>
      </c>
      <c r="M1217" s="17">
        <v>3</v>
      </c>
      <c r="N1217" s="18" t="s">
        <v>1633</v>
      </c>
      <c r="O1217" s="296" t="s">
        <v>1635</v>
      </c>
      <c r="P1217" s="296"/>
      <c r="Q1217" s="296" t="s">
        <v>1634</v>
      </c>
      <c r="R1217" s="17" t="s">
        <v>211</v>
      </c>
      <c r="S1217" s="17"/>
      <c r="T1217" s="17" t="s">
        <v>194</v>
      </c>
      <c r="U1217" s="17"/>
      <c r="V1217" s="289" t="str">
        <f>+CONCATENATE(E1217,".",F1217,"\",G1217,".",H1217,":",I1217)</f>
        <v>2.11\0.1:1</v>
      </c>
      <c r="W1217" s="18" t="s">
        <v>1620</v>
      </c>
      <c r="X1217" s="17">
        <v>0</v>
      </c>
      <c r="Y1217" s="17"/>
      <c r="Z1217" s="17"/>
      <c r="AA1217" s="17"/>
      <c r="AB1217" s="17"/>
      <c r="AC1217" s="17"/>
      <c r="AD1217" s="17"/>
      <c r="AE1217" s="17"/>
      <c r="AF1217" s="17"/>
      <c r="AG1217" s="64"/>
      <c r="AH1217" s="64"/>
      <c r="AI1217" s="64"/>
      <c r="AJ1217" s="64"/>
      <c r="AK1217" s="64"/>
      <c r="AL1217" s="264"/>
      <c r="AM1217" s="84"/>
      <c r="AN1217" s="18"/>
      <c r="AO1217" s="18"/>
      <c r="AP1217" s="18"/>
      <c r="AQ1217" s="18"/>
      <c r="AR1217" s="18"/>
      <c r="AS1217" s="18"/>
      <c r="AT1217" s="18"/>
      <c r="AU1217" s="18"/>
      <c r="AV1217" s="18"/>
      <c r="AW1217" s="18"/>
      <c r="AX1217" s="18"/>
      <c r="AY1217" s="18"/>
    </row>
    <row r="1218" spans="1:51" s="33" customFormat="1" x14ac:dyDescent="0.3">
      <c r="A1218" s="63" t="str">
        <f>+A1217</f>
        <v>BCV131</v>
      </c>
      <c r="B1218" s="18" t="str">
        <f>+B1217</f>
        <v>AX20</v>
      </c>
      <c r="C1218" s="85" t="str">
        <f>+C1217</f>
        <v>SIO1</v>
      </c>
      <c r="D1218" s="85" t="str">
        <f>+D1217</f>
        <v>SLC02</v>
      </c>
      <c r="E1218" s="290">
        <f>+E1217</f>
        <v>2</v>
      </c>
      <c r="F1218" s="290">
        <f>+F1217</f>
        <v>11</v>
      </c>
      <c r="G1218" s="290">
        <f>+G1217</f>
        <v>0</v>
      </c>
      <c r="H1218" s="72">
        <f>+H1217</f>
        <v>1</v>
      </c>
      <c r="I1218" s="75">
        <v>2</v>
      </c>
      <c r="J1218" s="74" t="s">
        <v>265</v>
      </c>
      <c r="K1218" s="84">
        <v>1047162</v>
      </c>
      <c r="L1218" s="79" t="s">
        <v>244</v>
      </c>
      <c r="M1218" s="17">
        <v>3</v>
      </c>
      <c r="N1218" s="18" t="s">
        <v>1633</v>
      </c>
      <c r="O1218" s="296" t="s">
        <v>1632</v>
      </c>
      <c r="P1218" s="296"/>
      <c r="Q1218" s="296" t="s">
        <v>1631</v>
      </c>
      <c r="R1218" s="17" t="s">
        <v>211</v>
      </c>
      <c r="S1218" s="17"/>
      <c r="T1218" s="17" t="str">
        <f>+T1217</f>
        <v>BCV131</v>
      </c>
      <c r="U1218" s="17"/>
      <c r="V1218" s="289" t="str">
        <f>+CONCATENATE(E1218,".",F1218,"\",G1218,".",H1218,":",I1218)</f>
        <v>2.11\0.1:2</v>
      </c>
      <c r="W1218" s="18" t="s">
        <v>1620</v>
      </c>
      <c r="X1218" s="17">
        <v>0</v>
      </c>
      <c r="Y1218" s="17"/>
      <c r="Z1218" s="17"/>
      <c r="AA1218" s="17"/>
      <c r="AB1218" s="17"/>
      <c r="AC1218" s="17"/>
      <c r="AD1218" s="17"/>
      <c r="AE1218" s="17"/>
      <c r="AF1218" s="17"/>
      <c r="AG1218" s="64"/>
      <c r="AH1218" s="64"/>
      <c r="AI1218" s="64"/>
      <c r="AJ1218" s="64"/>
      <c r="AK1218" s="64"/>
      <c r="AL1218" s="264"/>
      <c r="AM1218" s="84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  <c r="AY1218" s="18"/>
    </row>
    <row r="1219" spans="1:51" s="33" customFormat="1" x14ac:dyDescent="0.3">
      <c r="A1219" s="63" t="str">
        <f>+A1218</f>
        <v>BCV131</v>
      </c>
      <c r="B1219" s="18" t="str">
        <f>+B1218</f>
        <v>AX20</v>
      </c>
      <c r="C1219" s="85" t="str">
        <f>+C1218</f>
        <v>SIO1</v>
      </c>
      <c r="D1219" s="85" t="str">
        <f>+D1218</f>
        <v>SLC02</v>
      </c>
      <c r="E1219" s="290">
        <f>+E1218</f>
        <v>2</v>
      </c>
      <c r="F1219" s="290">
        <f>+F1218</f>
        <v>11</v>
      </c>
      <c r="G1219" s="290">
        <f>+G1218</f>
        <v>0</v>
      </c>
      <c r="H1219" s="72">
        <f>+H1218</f>
        <v>1</v>
      </c>
      <c r="I1219" s="75">
        <v>3</v>
      </c>
      <c r="J1219" s="74" t="s">
        <v>261</v>
      </c>
      <c r="K1219" s="85"/>
      <c r="L1219" s="79" t="s">
        <v>244</v>
      </c>
      <c r="M1219" s="17">
        <v>3</v>
      </c>
      <c r="N1219" s="18" t="s">
        <v>1628</v>
      </c>
      <c r="O1219" s="296" t="s">
        <v>1630</v>
      </c>
      <c r="P1219" s="296"/>
      <c r="Q1219" s="296" t="s">
        <v>1629</v>
      </c>
      <c r="R1219" s="17" t="s">
        <v>211</v>
      </c>
      <c r="S1219" s="17"/>
      <c r="T1219" s="17" t="str">
        <f>+T1218</f>
        <v>BCV131</v>
      </c>
      <c r="U1219" s="17"/>
      <c r="V1219" s="289" t="str">
        <f>+CONCATENATE(E1219,".",F1219,"\",G1219,".",H1219,":",I1219)</f>
        <v>2.11\0.1:3</v>
      </c>
      <c r="W1219" s="18" t="s">
        <v>1620</v>
      </c>
      <c r="X1219" s="17">
        <v>0</v>
      </c>
      <c r="Y1219" s="17"/>
      <c r="Z1219" s="17"/>
      <c r="AA1219" s="17"/>
      <c r="AB1219" s="17"/>
      <c r="AC1219" s="17"/>
      <c r="AD1219" s="17"/>
      <c r="AE1219" s="17"/>
      <c r="AF1219" s="17"/>
      <c r="AG1219" s="64"/>
      <c r="AH1219" s="64"/>
      <c r="AI1219" s="64"/>
      <c r="AJ1219" s="64"/>
      <c r="AK1219" s="64"/>
      <c r="AL1219" s="264"/>
      <c r="AM1219" s="84"/>
      <c r="AN1219" s="18"/>
      <c r="AO1219" s="18"/>
      <c r="AP1219" s="18"/>
      <c r="AQ1219" s="18"/>
      <c r="AR1219" s="18"/>
      <c r="AS1219" s="18"/>
      <c r="AT1219" s="18"/>
      <c r="AU1219" s="18"/>
      <c r="AV1219" s="18"/>
      <c r="AW1219" s="18"/>
      <c r="AX1219" s="18"/>
      <c r="AY1219" s="18"/>
    </row>
    <row r="1220" spans="1:51" s="33" customFormat="1" x14ac:dyDescent="0.3">
      <c r="A1220" s="63" t="str">
        <f>+A1219</f>
        <v>BCV131</v>
      </c>
      <c r="B1220" s="18" t="str">
        <f>+B1219</f>
        <v>AX20</v>
      </c>
      <c r="C1220" s="85" t="str">
        <f>+C1219</f>
        <v>SIO1</v>
      </c>
      <c r="D1220" s="85" t="str">
        <f>+D1219</f>
        <v>SLC02</v>
      </c>
      <c r="E1220" s="290">
        <f>+E1219</f>
        <v>2</v>
      </c>
      <c r="F1220" s="290">
        <f>+F1219</f>
        <v>11</v>
      </c>
      <c r="G1220" s="290">
        <f>+G1219</f>
        <v>0</v>
      </c>
      <c r="H1220" s="72">
        <f>+H1219</f>
        <v>1</v>
      </c>
      <c r="I1220" s="75">
        <v>4</v>
      </c>
      <c r="J1220" s="74" t="s">
        <v>257</v>
      </c>
      <c r="K1220" s="85"/>
      <c r="L1220" s="79" t="s">
        <v>244</v>
      </c>
      <c r="M1220" s="17">
        <v>3</v>
      </c>
      <c r="N1220" s="18" t="s">
        <v>1628</v>
      </c>
      <c r="O1220" s="296" t="s">
        <v>1627</v>
      </c>
      <c r="P1220" s="296"/>
      <c r="Q1220" s="296" t="s">
        <v>1626</v>
      </c>
      <c r="R1220" s="17" t="s">
        <v>211</v>
      </c>
      <c r="S1220" s="17"/>
      <c r="T1220" s="17" t="str">
        <f>+T1219</f>
        <v>BCV131</v>
      </c>
      <c r="U1220" s="17"/>
      <c r="V1220" s="289" t="str">
        <f>+CONCATENATE(E1220,".",F1220,"\",G1220,".",H1220,":",I1220)</f>
        <v>2.11\0.1:4</v>
      </c>
      <c r="W1220" s="18" t="s">
        <v>1620</v>
      </c>
      <c r="X1220" s="17">
        <v>0</v>
      </c>
      <c r="Y1220" s="17"/>
      <c r="Z1220" s="17"/>
      <c r="AA1220" s="17"/>
      <c r="AB1220" s="17"/>
      <c r="AC1220" s="17"/>
      <c r="AD1220" s="17"/>
      <c r="AE1220" s="17"/>
      <c r="AF1220" s="17"/>
      <c r="AG1220" s="64"/>
      <c r="AH1220" s="64"/>
      <c r="AI1220" s="64"/>
      <c r="AJ1220" s="64"/>
      <c r="AK1220" s="64"/>
      <c r="AL1220" s="264"/>
      <c r="AM1220" s="84"/>
      <c r="AN1220" s="18"/>
      <c r="AO1220" s="18"/>
      <c r="AP1220" s="18"/>
      <c r="AQ1220" s="18"/>
      <c r="AR1220" s="18"/>
      <c r="AS1220" s="18"/>
      <c r="AT1220" s="18"/>
      <c r="AU1220" s="18"/>
      <c r="AV1220" s="18"/>
      <c r="AW1220" s="18"/>
      <c r="AX1220" s="18"/>
      <c r="AY1220" s="18"/>
    </row>
    <row r="1221" spans="1:51" s="33" customFormat="1" x14ac:dyDescent="0.3">
      <c r="A1221" s="63" t="str">
        <f>+A1220</f>
        <v>BCV131</v>
      </c>
      <c r="B1221" s="18" t="str">
        <f>+B1220</f>
        <v>AX20</v>
      </c>
      <c r="C1221" s="85" t="str">
        <f>+C1220</f>
        <v>SIO1</v>
      </c>
      <c r="D1221" s="85" t="str">
        <f>+D1220</f>
        <v>SLC02</v>
      </c>
      <c r="E1221" s="290">
        <f>+E1220</f>
        <v>2</v>
      </c>
      <c r="F1221" s="290">
        <f>+F1220</f>
        <v>11</v>
      </c>
      <c r="G1221" s="290">
        <f>+G1220</f>
        <v>0</v>
      </c>
      <c r="H1221" s="72">
        <f>+H1220</f>
        <v>1</v>
      </c>
      <c r="I1221" s="75">
        <v>5</v>
      </c>
      <c r="J1221" s="74" t="s">
        <v>1325</v>
      </c>
      <c r="K1221" s="85"/>
      <c r="L1221" s="79" t="s">
        <v>244</v>
      </c>
      <c r="M1221" s="17">
        <v>3</v>
      </c>
      <c r="N1221" s="17"/>
      <c r="O1221" s="296"/>
      <c r="P1221" s="296"/>
      <c r="Q1221" s="296" t="s">
        <v>127</v>
      </c>
      <c r="R1221" s="17"/>
      <c r="S1221" s="17"/>
      <c r="T1221" s="17"/>
      <c r="U1221" s="17"/>
      <c r="V1221" s="289" t="str">
        <f>+CONCATENATE(E1221,".",F1221,"\",G1221,".",H1221,":",I1221)</f>
        <v>2.11\0.1:5</v>
      </c>
      <c r="W1221" s="18" t="s">
        <v>1620</v>
      </c>
      <c r="X1221" s="17">
        <v>0</v>
      </c>
      <c r="Y1221" s="17"/>
      <c r="Z1221" s="17"/>
      <c r="AA1221" s="17"/>
      <c r="AB1221" s="17"/>
      <c r="AC1221" s="17"/>
      <c r="AD1221" s="17"/>
      <c r="AE1221" s="17"/>
      <c r="AF1221" s="17"/>
      <c r="AG1221" s="64"/>
      <c r="AH1221" s="64"/>
      <c r="AI1221" s="64"/>
      <c r="AJ1221" s="64"/>
      <c r="AK1221" s="64"/>
      <c r="AL1221" s="264"/>
      <c r="AM1221" s="84"/>
      <c r="AN1221" s="18"/>
      <c r="AO1221" s="18"/>
      <c r="AP1221" s="18"/>
      <c r="AQ1221" s="18"/>
      <c r="AR1221" s="18"/>
      <c r="AS1221" s="18"/>
      <c r="AT1221" s="18"/>
      <c r="AU1221" s="18"/>
      <c r="AV1221" s="18"/>
      <c r="AW1221" s="18"/>
      <c r="AX1221" s="18"/>
      <c r="AY1221" s="18"/>
    </row>
    <row r="1222" spans="1:51" s="33" customFormat="1" x14ac:dyDescent="0.3">
      <c r="A1222" s="63" t="str">
        <f>+A1221</f>
        <v>BCV131</v>
      </c>
      <c r="B1222" s="18" t="str">
        <f>+B1221</f>
        <v>AX20</v>
      </c>
      <c r="C1222" s="85" t="str">
        <f>+C1221</f>
        <v>SIO1</v>
      </c>
      <c r="D1222" s="85" t="str">
        <f>+D1221</f>
        <v>SLC02</v>
      </c>
      <c r="E1222" s="290">
        <f>+E1221</f>
        <v>2</v>
      </c>
      <c r="F1222" s="290">
        <f>+F1221</f>
        <v>11</v>
      </c>
      <c r="G1222" s="290">
        <f>+G1221</f>
        <v>0</v>
      </c>
      <c r="H1222" s="72">
        <f>+H1221</f>
        <v>1</v>
      </c>
      <c r="I1222" s="75">
        <v>6</v>
      </c>
      <c r="J1222" s="74" t="s">
        <v>1323</v>
      </c>
      <c r="K1222" s="85"/>
      <c r="L1222" s="79" t="s">
        <v>244</v>
      </c>
      <c r="M1222" s="17">
        <v>3</v>
      </c>
      <c r="N1222" s="17"/>
      <c r="O1222" s="296"/>
      <c r="P1222" s="296"/>
      <c r="Q1222" s="296" t="s">
        <v>127</v>
      </c>
      <c r="R1222" s="17"/>
      <c r="S1222" s="17"/>
      <c r="T1222" s="17"/>
      <c r="U1222" s="17"/>
      <c r="V1222" s="289" t="str">
        <f>+CONCATENATE(E1222,".",F1222,"\",G1222,".",H1222,":",I1222)</f>
        <v>2.11\0.1:6</v>
      </c>
      <c r="W1222" s="18" t="s">
        <v>1620</v>
      </c>
      <c r="X1222" s="17">
        <v>0</v>
      </c>
      <c r="Y1222" s="17"/>
      <c r="Z1222" s="17"/>
      <c r="AA1222" s="17"/>
      <c r="AB1222" s="17"/>
      <c r="AC1222" s="17"/>
      <c r="AD1222" s="17"/>
      <c r="AE1222" s="17"/>
      <c r="AF1222" s="17"/>
      <c r="AG1222" s="64"/>
      <c r="AH1222" s="64"/>
      <c r="AI1222" s="64"/>
      <c r="AJ1222" s="64"/>
      <c r="AK1222" s="64"/>
      <c r="AL1222" s="264"/>
      <c r="AM1222" s="84"/>
      <c r="AN1222" s="18"/>
      <c r="AO1222" s="18"/>
      <c r="AP1222" s="18"/>
      <c r="AQ1222" s="18"/>
      <c r="AR1222" s="18"/>
      <c r="AS1222" s="18"/>
      <c r="AT1222" s="18"/>
      <c r="AU1222" s="18"/>
      <c r="AV1222" s="18"/>
      <c r="AW1222" s="18"/>
      <c r="AX1222" s="18"/>
      <c r="AY1222" s="18"/>
    </row>
    <row r="1223" spans="1:51" s="33" customFormat="1" x14ac:dyDescent="0.3">
      <c r="A1223" s="63" t="str">
        <f>+A1222</f>
        <v>BCV131</v>
      </c>
      <c r="B1223" s="18" t="str">
        <f>+B1222</f>
        <v>AX20</v>
      </c>
      <c r="C1223" s="85" t="str">
        <f>+C1222</f>
        <v>SIO1</v>
      </c>
      <c r="D1223" s="85" t="str">
        <f>+D1222</f>
        <v>SLC02</v>
      </c>
      <c r="E1223" s="290">
        <f>+E1222</f>
        <v>2</v>
      </c>
      <c r="F1223" s="290">
        <f>+F1222</f>
        <v>11</v>
      </c>
      <c r="G1223" s="290">
        <f>+G1222</f>
        <v>0</v>
      </c>
      <c r="H1223" s="72">
        <f>+H1222</f>
        <v>1</v>
      </c>
      <c r="I1223" s="75">
        <v>7</v>
      </c>
      <c r="J1223" s="74" t="s">
        <v>246</v>
      </c>
      <c r="K1223" s="85"/>
      <c r="L1223" s="79" t="s">
        <v>244</v>
      </c>
      <c r="M1223" s="17">
        <v>3</v>
      </c>
      <c r="N1223" s="17"/>
      <c r="O1223" s="296"/>
      <c r="P1223" s="296"/>
      <c r="Q1223" s="296" t="s">
        <v>127</v>
      </c>
      <c r="R1223" s="17"/>
      <c r="S1223" s="17"/>
      <c r="T1223" s="17"/>
      <c r="U1223" s="17"/>
      <c r="V1223" s="289" t="str">
        <f>+CONCATENATE(E1223,".",F1223,"\",G1223,".",H1223,":",I1223)</f>
        <v>2.11\0.1:7</v>
      </c>
      <c r="W1223" s="18" t="s">
        <v>1620</v>
      </c>
      <c r="X1223" s="17">
        <v>0</v>
      </c>
      <c r="Y1223" s="17"/>
      <c r="Z1223" s="17"/>
      <c r="AA1223" s="17"/>
      <c r="AB1223" s="17"/>
      <c r="AC1223" s="17"/>
      <c r="AD1223" s="17"/>
      <c r="AE1223" s="17"/>
      <c r="AF1223" s="17"/>
      <c r="AG1223" s="64"/>
      <c r="AH1223" s="64"/>
      <c r="AI1223" s="64"/>
      <c r="AJ1223" s="64"/>
      <c r="AK1223" s="64"/>
      <c r="AL1223" s="264"/>
      <c r="AM1223" s="84"/>
      <c r="AN1223" s="18"/>
      <c r="AO1223" s="18"/>
      <c r="AP1223" s="18"/>
      <c r="AQ1223" s="18"/>
      <c r="AR1223" s="18"/>
      <c r="AS1223" s="18"/>
      <c r="AT1223" s="18"/>
      <c r="AU1223" s="18"/>
      <c r="AV1223" s="18"/>
      <c r="AW1223" s="18"/>
      <c r="AX1223" s="18"/>
      <c r="AY1223" s="18"/>
    </row>
    <row r="1224" spans="1:51" s="33" customFormat="1" x14ac:dyDescent="0.3">
      <c r="A1224" s="63" t="str">
        <f>+A1223</f>
        <v>BCV131</v>
      </c>
      <c r="B1224" s="18" t="str">
        <f>+B1223</f>
        <v>AX20</v>
      </c>
      <c r="C1224" s="85" t="str">
        <f>+C1223</f>
        <v>SIO1</v>
      </c>
      <c r="D1224" s="85" t="str">
        <f>+D1223</f>
        <v>SLC02</v>
      </c>
      <c r="E1224" s="290">
        <f>+E1223</f>
        <v>2</v>
      </c>
      <c r="F1224" s="290">
        <f>+F1223</f>
        <v>11</v>
      </c>
      <c r="G1224" s="290">
        <f>+G1223</f>
        <v>0</v>
      </c>
      <c r="H1224" s="72">
        <f>+H1223</f>
        <v>1</v>
      </c>
      <c r="I1224" s="75">
        <v>8</v>
      </c>
      <c r="J1224" s="74" t="s">
        <v>245</v>
      </c>
      <c r="K1224" s="85"/>
      <c r="L1224" s="79" t="s">
        <v>244</v>
      </c>
      <c r="M1224" s="17">
        <v>3</v>
      </c>
      <c r="N1224" s="17"/>
      <c r="O1224" s="296"/>
      <c r="P1224" s="296"/>
      <c r="Q1224" s="296" t="s">
        <v>127</v>
      </c>
      <c r="R1224" s="17"/>
      <c r="S1224" s="17"/>
      <c r="T1224" s="17"/>
      <c r="U1224" s="17"/>
      <c r="V1224" s="289" t="str">
        <f>+CONCATENATE(E1224,".",F1224,"\",G1224,".",H1224,":",I1224)</f>
        <v>2.11\0.1:8</v>
      </c>
      <c r="W1224" s="18" t="s">
        <v>1620</v>
      </c>
      <c r="X1224" s="17">
        <v>0</v>
      </c>
      <c r="Y1224" s="17"/>
      <c r="Z1224" s="17"/>
      <c r="AA1224" s="17"/>
      <c r="AB1224" s="17"/>
      <c r="AC1224" s="17"/>
      <c r="AD1224" s="17"/>
      <c r="AE1224" s="17"/>
      <c r="AF1224" s="17"/>
      <c r="AG1224" s="64"/>
      <c r="AH1224" s="64"/>
      <c r="AI1224" s="64"/>
      <c r="AJ1224" s="64"/>
      <c r="AK1224" s="64"/>
      <c r="AL1224" s="264"/>
      <c r="AM1224" s="84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</row>
    <row r="1225" spans="1:51" s="33" customFormat="1" x14ac:dyDescent="0.3">
      <c r="A1225" s="63" t="str">
        <f>+A1224</f>
        <v>BCV131</v>
      </c>
      <c r="B1225" s="18" t="str">
        <f>+B1224</f>
        <v>AX20</v>
      </c>
      <c r="C1225" s="85" t="str">
        <f>+C1224</f>
        <v>SIO1</v>
      </c>
      <c r="D1225" s="85" t="str">
        <f>+D1224</f>
        <v>SLC02</v>
      </c>
      <c r="E1225" s="290">
        <f>+E1224</f>
        <v>2</v>
      </c>
      <c r="F1225" s="290">
        <f>+F1224</f>
        <v>11</v>
      </c>
      <c r="G1225" s="290">
        <f>+G1224</f>
        <v>0</v>
      </c>
      <c r="H1225" s="72">
        <f>+H1224</f>
        <v>1</v>
      </c>
      <c r="I1225" s="75">
        <v>1</v>
      </c>
      <c r="J1225" s="81" t="s">
        <v>1321</v>
      </c>
      <c r="K1225" s="85" t="s">
        <v>1366</v>
      </c>
      <c r="L1225" s="79" t="s">
        <v>235</v>
      </c>
      <c r="M1225" s="17">
        <v>3</v>
      </c>
      <c r="N1225" s="18" t="s">
        <v>1624</v>
      </c>
      <c r="O1225" s="17" t="s">
        <v>1625</v>
      </c>
      <c r="P1225" s="17"/>
      <c r="Q1225" s="17" t="s">
        <v>1335</v>
      </c>
      <c r="R1225" s="17" t="s">
        <v>922</v>
      </c>
      <c r="S1225" s="17"/>
      <c r="T1225" s="17" t="str">
        <f>+T1217</f>
        <v>BCV131</v>
      </c>
      <c r="U1225" s="17"/>
      <c r="V1225" s="289" t="str">
        <f>+CONCATENATE(E1225,".",F1225,"\",G1225,".",H1225,":",I1225)</f>
        <v>2.11\0.1:1</v>
      </c>
      <c r="W1225" s="18" t="s">
        <v>1620</v>
      </c>
      <c r="X1225" s="17">
        <v>0</v>
      </c>
      <c r="Y1225" s="17"/>
      <c r="Z1225" s="17"/>
      <c r="AA1225" s="17"/>
      <c r="AB1225" s="17"/>
      <c r="AC1225" s="17"/>
      <c r="AD1225" s="17"/>
      <c r="AE1225" s="17"/>
      <c r="AF1225" s="17"/>
      <c r="AG1225" s="64"/>
      <c r="AH1225" s="64"/>
      <c r="AI1225" s="64"/>
      <c r="AJ1225" s="64"/>
      <c r="AK1225" s="64"/>
      <c r="AL1225" s="264"/>
      <c r="AM1225" s="84"/>
      <c r="AN1225" s="18"/>
      <c r="AO1225" s="18"/>
      <c r="AP1225" s="18"/>
      <c r="AQ1225" s="18"/>
      <c r="AR1225" s="18"/>
      <c r="AS1225" s="18"/>
      <c r="AT1225" s="18"/>
      <c r="AU1225" s="18"/>
      <c r="AV1225" s="18"/>
      <c r="AW1225" s="18"/>
      <c r="AX1225" s="18"/>
      <c r="AY1225" s="18"/>
    </row>
    <row r="1226" spans="1:51" s="33" customFormat="1" x14ac:dyDescent="0.3">
      <c r="A1226" s="63" t="str">
        <f>+A1225</f>
        <v>BCV131</v>
      </c>
      <c r="B1226" s="18" t="str">
        <f>+B1225</f>
        <v>AX20</v>
      </c>
      <c r="C1226" s="85" t="str">
        <f>+C1225</f>
        <v>SIO1</v>
      </c>
      <c r="D1226" s="85" t="str">
        <f>+D1225</f>
        <v>SLC02</v>
      </c>
      <c r="E1226" s="290">
        <f>+E1225</f>
        <v>2</v>
      </c>
      <c r="F1226" s="290">
        <f>+F1225</f>
        <v>11</v>
      </c>
      <c r="G1226" s="290">
        <f>+G1225</f>
        <v>0</v>
      </c>
      <c r="H1226" s="72">
        <f>+H1225</f>
        <v>1</v>
      </c>
      <c r="I1226" s="75">
        <v>2</v>
      </c>
      <c r="J1226" s="74" t="s">
        <v>1320</v>
      </c>
      <c r="K1226" s="85"/>
      <c r="L1226" s="79" t="s">
        <v>235</v>
      </c>
      <c r="M1226" s="17">
        <v>3</v>
      </c>
      <c r="N1226" s="18" t="s">
        <v>1624</v>
      </c>
      <c r="O1226" s="17" t="s">
        <v>1623</v>
      </c>
      <c r="P1226" s="17"/>
      <c r="Q1226" s="17" t="s">
        <v>1330</v>
      </c>
      <c r="R1226" s="17" t="s">
        <v>922</v>
      </c>
      <c r="S1226" s="17"/>
      <c r="T1226" s="17" t="str">
        <f>+T1225</f>
        <v>BCV131</v>
      </c>
      <c r="U1226" s="17"/>
      <c r="V1226" s="289" t="str">
        <f>+CONCATENATE(E1226,".",F1226,"\",G1226,".",H1226,":",I1226)</f>
        <v>2.11\0.1:2</v>
      </c>
      <c r="W1226" s="18" t="s">
        <v>1620</v>
      </c>
      <c r="X1226" s="17">
        <v>0</v>
      </c>
      <c r="Y1226" s="17"/>
      <c r="Z1226" s="17"/>
      <c r="AA1226" s="17"/>
      <c r="AB1226" s="17"/>
      <c r="AC1226" s="17"/>
      <c r="AD1226" s="17"/>
      <c r="AE1226" s="17"/>
      <c r="AF1226" s="17"/>
      <c r="AG1226" s="64"/>
      <c r="AH1226" s="64"/>
      <c r="AI1226" s="64"/>
      <c r="AJ1226" s="64"/>
      <c r="AK1226" s="64"/>
      <c r="AL1226" s="264"/>
      <c r="AM1226" s="84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  <c r="AY1226" s="18"/>
    </row>
    <row r="1227" spans="1:51" s="33" customFormat="1" x14ac:dyDescent="0.3">
      <c r="A1227" s="63" t="str">
        <f>+A1226</f>
        <v>BCV131</v>
      </c>
      <c r="B1227" s="18" t="str">
        <f>+B1226</f>
        <v>AX20</v>
      </c>
      <c r="C1227" s="85" t="str">
        <f>+C1226</f>
        <v>SIO1</v>
      </c>
      <c r="D1227" s="85" t="str">
        <f>+D1226</f>
        <v>SLC02</v>
      </c>
      <c r="E1227" s="290">
        <f>+E1226</f>
        <v>2</v>
      </c>
      <c r="F1227" s="290">
        <f>+F1226</f>
        <v>11</v>
      </c>
      <c r="G1227" s="290">
        <f>+G1226</f>
        <v>0</v>
      </c>
      <c r="H1227" s="72">
        <f>+H1226</f>
        <v>1</v>
      </c>
      <c r="I1227" s="75">
        <v>3</v>
      </c>
      <c r="J1227" s="74" t="s">
        <v>1319</v>
      </c>
      <c r="K1227" s="85"/>
      <c r="L1227" s="79" t="s">
        <v>235</v>
      </c>
      <c r="M1227" s="17">
        <v>3</v>
      </c>
      <c r="N1227" s="18" t="s">
        <v>1622</v>
      </c>
      <c r="O1227" s="17" t="s">
        <v>1621</v>
      </c>
      <c r="P1227" s="17"/>
      <c r="Q1227" s="17" t="s">
        <v>1330</v>
      </c>
      <c r="R1227" s="17" t="s">
        <v>922</v>
      </c>
      <c r="S1227" s="17"/>
      <c r="T1227" s="17" t="str">
        <f>+T1226</f>
        <v>BCV131</v>
      </c>
      <c r="U1227" s="17"/>
      <c r="V1227" s="289" t="str">
        <f>+CONCATENATE(E1227,".",F1227,"\",G1227,".",H1227,":",I1227)</f>
        <v>2.11\0.1:3</v>
      </c>
      <c r="W1227" s="18" t="s">
        <v>1620</v>
      </c>
      <c r="X1227" s="17">
        <v>0</v>
      </c>
      <c r="Y1227" s="17"/>
      <c r="Z1227" s="17"/>
      <c r="AA1227" s="17"/>
      <c r="AB1227" s="17"/>
      <c r="AC1227" s="17"/>
      <c r="AD1227" s="17"/>
      <c r="AE1227" s="17"/>
      <c r="AF1227" s="17"/>
      <c r="AG1227" s="64"/>
      <c r="AH1227" s="64"/>
      <c r="AI1227" s="64"/>
      <c r="AJ1227" s="64"/>
      <c r="AK1227" s="64"/>
      <c r="AL1227" s="264"/>
      <c r="AM1227" s="84"/>
      <c r="AN1227" s="18"/>
      <c r="AO1227" s="18"/>
      <c r="AP1227" s="18"/>
      <c r="AQ1227" s="18"/>
      <c r="AR1227" s="18"/>
      <c r="AS1227" s="18"/>
      <c r="AT1227" s="18"/>
      <c r="AU1227" s="18"/>
      <c r="AV1227" s="18"/>
      <c r="AW1227" s="18"/>
      <c r="AX1227" s="18"/>
      <c r="AY1227" s="18"/>
    </row>
    <row r="1228" spans="1:51" s="33" customFormat="1" ht="13.5" thickBot="1" x14ac:dyDescent="0.35">
      <c r="A1228" s="63" t="str">
        <f>+A1227</f>
        <v>BCV131</v>
      </c>
      <c r="B1228" s="18" t="str">
        <f>+B1227</f>
        <v>AX20</v>
      </c>
      <c r="C1228" s="85" t="str">
        <f>+C1227</f>
        <v>SIO1</v>
      </c>
      <c r="D1228" s="85" t="str">
        <f>+D1227</f>
        <v>SLC02</v>
      </c>
      <c r="E1228" s="290">
        <f>+E1227</f>
        <v>2</v>
      </c>
      <c r="F1228" s="290">
        <f>+F1227</f>
        <v>11</v>
      </c>
      <c r="G1228" s="290">
        <f>+G1227</f>
        <v>0</v>
      </c>
      <c r="H1228" s="72">
        <f>+H1227</f>
        <v>1</v>
      </c>
      <c r="I1228" s="71">
        <v>4</v>
      </c>
      <c r="J1228" s="70" t="s">
        <v>1318</v>
      </c>
      <c r="K1228" s="85"/>
      <c r="L1228" s="79" t="s">
        <v>235</v>
      </c>
      <c r="M1228" s="17">
        <v>3</v>
      </c>
      <c r="N1228" s="17"/>
      <c r="O1228" s="17"/>
      <c r="P1228" s="17"/>
      <c r="Q1228" s="68"/>
      <c r="R1228" s="68"/>
      <c r="S1228" s="68"/>
      <c r="T1228" s="68"/>
      <c r="U1228" s="17"/>
      <c r="V1228" s="289" t="str">
        <f>+CONCATENATE(E1228,".",F1228,"\",G1228,".",H1228,":",I1228)</f>
        <v>2.11\0.1:4</v>
      </c>
      <c r="W1228" s="18" t="s">
        <v>1620</v>
      </c>
      <c r="X1228" s="17">
        <v>0</v>
      </c>
      <c r="Y1228" s="17"/>
      <c r="Z1228" s="17"/>
      <c r="AA1228" s="17"/>
      <c r="AB1228" s="17"/>
      <c r="AC1228" s="17"/>
      <c r="AD1228" s="17"/>
      <c r="AE1228" s="17"/>
      <c r="AF1228" s="17"/>
      <c r="AG1228" s="64"/>
      <c r="AH1228" s="64"/>
      <c r="AI1228" s="64"/>
      <c r="AJ1228" s="64"/>
      <c r="AK1228" s="64"/>
      <c r="AL1228" s="264"/>
      <c r="AM1228" s="84"/>
      <c r="AN1228" s="18"/>
      <c r="AO1228" s="18"/>
      <c r="AP1228" s="18"/>
      <c r="AQ1228" s="18"/>
      <c r="AR1228" s="18"/>
      <c r="AS1228" s="18"/>
      <c r="AT1228" s="18"/>
      <c r="AU1228" s="18"/>
      <c r="AV1228" s="18"/>
      <c r="AW1228" s="18"/>
      <c r="AX1228" s="18"/>
      <c r="AY1228" s="18"/>
    </row>
    <row r="1229" spans="1:51" s="33" customFormat="1" x14ac:dyDescent="0.3">
      <c r="A1229" s="63"/>
      <c r="B1229" s="63"/>
      <c r="C1229" s="63"/>
      <c r="D1229" s="63"/>
      <c r="E1229" s="288"/>
      <c r="F1229" s="288"/>
      <c r="G1229" s="288"/>
      <c r="H1229" s="63"/>
      <c r="I1229" s="63"/>
      <c r="J1229" s="63"/>
      <c r="K1229" s="17"/>
      <c r="L1229" s="17"/>
      <c r="M1229" s="17"/>
      <c r="N1229" s="17"/>
      <c r="O1229" s="68"/>
      <c r="P1229" s="68"/>
      <c r="Q1229" s="68"/>
      <c r="R1229" s="68"/>
      <c r="S1229" s="68"/>
      <c r="T1229" s="68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64"/>
      <c r="AH1229" s="64"/>
      <c r="AI1229" s="64"/>
      <c r="AJ1229" s="64"/>
      <c r="AK1229" s="64"/>
      <c r="AL1229" s="264"/>
      <c r="AM1229" s="84"/>
      <c r="AN1229" s="18"/>
      <c r="AO1229" s="18"/>
      <c r="AP1229" s="18"/>
      <c r="AQ1229" s="18"/>
      <c r="AR1229" s="18"/>
      <c r="AS1229" s="18"/>
      <c r="AT1229" s="18"/>
      <c r="AU1229" s="18"/>
      <c r="AV1229" s="18"/>
      <c r="AW1229" s="18"/>
      <c r="AX1229" s="18"/>
      <c r="AY1229" s="18"/>
    </row>
    <row r="1230" spans="1:51" s="33" customFormat="1" x14ac:dyDescent="0.3">
      <c r="A1230" s="63"/>
      <c r="B1230" s="63"/>
      <c r="C1230" s="63"/>
      <c r="D1230" s="63"/>
      <c r="E1230" s="288"/>
      <c r="F1230" s="288"/>
      <c r="G1230" s="288"/>
      <c r="H1230" s="63"/>
      <c r="I1230" s="63"/>
      <c r="J1230" s="63"/>
      <c r="K1230" s="17"/>
      <c r="L1230" s="17"/>
      <c r="M1230" s="17"/>
      <c r="N1230" s="17"/>
      <c r="O1230" s="68"/>
      <c r="P1230" s="68"/>
      <c r="Q1230" s="68"/>
      <c r="R1230" s="68"/>
      <c r="S1230" s="68"/>
      <c r="T1230" s="68"/>
      <c r="U1230" s="17"/>
      <c r="V1230" s="17"/>
      <c r="W1230" s="17"/>
      <c r="X1230" s="17"/>
      <c r="Y1230" s="17"/>
      <c r="Z1230" s="17"/>
      <c r="AA1230" s="17"/>
      <c r="AB1230" s="20"/>
      <c r="AC1230" s="17"/>
      <c r="AD1230" s="17"/>
      <c r="AE1230" s="17"/>
      <c r="AF1230" s="17"/>
      <c r="AG1230" s="64"/>
      <c r="AH1230" s="64"/>
      <c r="AI1230" s="64"/>
      <c r="AJ1230" s="64"/>
      <c r="AK1230" s="64"/>
      <c r="AL1230" s="264"/>
      <c r="AM1230" s="84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18"/>
    </row>
    <row r="1231" spans="1:51" s="33" customFormat="1" x14ac:dyDescent="0.3">
      <c r="A1231" s="63"/>
      <c r="B1231" s="63"/>
      <c r="C1231" s="63"/>
      <c r="D1231" s="63"/>
      <c r="E1231" s="288"/>
      <c r="F1231" s="288"/>
      <c r="G1231" s="288"/>
      <c r="H1231" s="63"/>
      <c r="I1231" s="63"/>
      <c r="J1231" s="63"/>
      <c r="K1231" s="17"/>
      <c r="L1231" s="17"/>
      <c r="M1231" s="17"/>
      <c r="N1231" s="17"/>
      <c r="O1231" s="68"/>
      <c r="P1231" s="68"/>
      <c r="Q1231" s="68"/>
      <c r="R1231" s="68"/>
      <c r="S1231" s="68"/>
      <c r="T1231" s="68"/>
      <c r="U1231" s="17"/>
      <c r="V1231" s="17"/>
      <c r="W1231" s="17"/>
      <c r="X1231" s="17"/>
      <c r="Y1231" s="17"/>
      <c r="Z1231" s="17"/>
      <c r="AA1231" s="17"/>
      <c r="AB1231" s="20"/>
      <c r="AC1231" s="17"/>
      <c r="AD1231" s="17"/>
      <c r="AE1231" s="17"/>
      <c r="AF1231" s="17"/>
      <c r="AG1231" s="64"/>
      <c r="AH1231" s="64"/>
      <c r="AI1231" s="64"/>
      <c r="AJ1231" s="64"/>
      <c r="AK1231" s="64"/>
      <c r="AL1231" s="264"/>
      <c r="AM1231" s="84"/>
      <c r="AN1231" s="18"/>
      <c r="AO1231" s="18"/>
      <c r="AP1231" s="18"/>
      <c r="AQ1231" s="18"/>
      <c r="AR1231" s="18"/>
      <c r="AS1231" s="18"/>
      <c r="AT1231" s="18"/>
      <c r="AU1231" s="18"/>
      <c r="AV1231" s="18"/>
      <c r="AW1231" s="18"/>
      <c r="AX1231" s="18"/>
      <c r="AY1231" s="18"/>
    </row>
    <row r="1232" spans="1:51" s="33" customFormat="1" ht="15.5" x14ac:dyDescent="0.35">
      <c r="A1232" s="297"/>
      <c r="B1232" s="96" t="s">
        <v>1619</v>
      </c>
      <c r="C1232" s="256"/>
      <c r="D1232" s="256"/>
      <c r="E1232" s="256"/>
      <c r="F1232" s="256"/>
      <c r="G1232" s="256"/>
      <c r="H1232" s="256"/>
      <c r="I1232" s="256"/>
      <c r="J1232" s="256"/>
      <c r="K1232" s="256"/>
      <c r="L1232" s="256"/>
      <c r="M1232" s="256"/>
      <c r="N1232" s="287"/>
      <c r="O1232" s="256"/>
      <c r="P1232" s="287"/>
      <c r="Q1232" s="256"/>
      <c r="R1232" s="256"/>
      <c r="S1232" s="256"/>
      <c r="T1232" s="256"/>
      <c r="U1232" s="256"/>
      <c r="V1232" s="256"/>
      <c r="W1232" s="287"/>
      <c r="X1232" s="256"/>
      <c r="Y1232" s="256"/>
      <c r="Z1232" s="17"/>
      <c r="AA1232" s="17"/>
      <c r="AB1232" s="17"/>
      <c r="AC1232" s="17"/>
      <c r="AD1232" s="17"/>
      <c r="AE1232" s="17"/>
      <c r="AF1232" s="17"/>
      <c r="AG1232" s="64"/>
      <c r="AH1232" s="64"/>
      <c r="AI1232" s="64"/>
      <c r="AJ1232" s="64"/>
      <c r="AK1232" s="64"/>
      <c r="AL1232" s="264"/>
      <c r="AM1232" s="84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  <c r="AY1232" s="18"/>
    </row>
    <row r="1233" spans="1:51" s="33" customFormat="1" ht="13.5" thickBot="1" x14ac:dyDescent="0.35">
      <c r="A1233" s="63"/>
      <c r="B1233" s="63"/>
      <c r="C1233" s="63"/>
      <c r="D1233" s="63"/>
      <c r="E1233" s="288"/>
      <c r="F1233" s="288"/>
      <c r="G1233" s="288"/>
      <c r="H1233" s="63"/>
      <c r="I1233" s="63"/>
      <c r="J1233" s="63"/>
      <c r="K1233" s="17"/>
      <c r="L1233" s="17"/>
      <c r="M1233" s="17"/>
      <c r="N1233" s="17"/>
      <c r="O1233" s="68"/>
      <c r="P1233" s="68"/>
      <c r="Q1233" s="68"/>
      <c r="R1233" s="68"/>
      <c r="S1233" s="68"/>
      <c r="T1233" s="68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64"/>
      <c r="AH1233" s="64"/>
      <c r="AI1233" s="64"/>
      <c r="AJ1233" s="64"/>
      <c r="AK1233" s="64"/>
      <c r="AL1233" s="264"/>
      <c r="AM1233" s="84"/>
      <c r="AN1233" s="18"/>
      <c r="AO1233" s="18"/>
      <c r="AP1233" s="18"/>
      <c r="AQ1233" s="18"/>
      <c r="AR1233" s="18"/>
      <c r="AS1233" s="18"/>
      <c r="AT1233" s="18"/>
      <c r="AU1233" s="18"/>
      <c r="AV1233" s="18"/>
      <c r="AW1233" s="18"/>
      <c r="AX1233" s="18"/>
      <c r="AY1233" s="18"/>
    </row>
    <row r="1234" spans="1:51" s="33" customFormat="1" ht="13.5" thickBot="1" x14ac:dyDescent="0.35">
      <c r="A1234" s="63" t="s">
        <v>194</v>
      </c>
      <c r="B1234" s="17" t="s">
        <v>1618</v>
      </c>
      <c r="C1234" s="295" t="s">
        <v>271</v>
      </c>
      <c r="D1234" s="290" t="s">
        <v>285</v>
      </c>
      <c r="E1234" s="290">
        <v>1</v>
      </c>
      <c r="F1234" s="290">
        <v>12</v>
      </c>
      <c r="G1234" s="290">
        <v>0</v>
      </c>
      <c r="H1234" s="89">
        <v>0</v>
      </c>
      <c r="I1234" s="88" t="s">
        <v>1106</v>
      </c>
      <c r="J1234" s="87"/>
      <c r="K1234" s="84">
        <v>1059305</v>
      </c>
      <c r="L1234" s="91" t="s">
        <v>1377</v>
      </c>
      <c r="M1234" s="17">
        <v>3</v>
      </c>
      <c r="N1234" s="17"/>
      <c r="O1234" s="83"/>
      <c r="P1234" s="83"/>
      <c r="Q1234" s="68"/>
      <c r="R1234" s="68"/>
      <c r="S1234" s="68"/>
      <c r="T1234" s="68"/>
      <c r="U1234" s="17"/>
      <c r="V1234" s="17"/>
      <c r="W1234" s="18" t="s">
        <v>1602</v>
      </c>
      <c r="X1234" s="17">
        <v>0</v>
      </c>
      <c r="Y1234" s="17"/>
      <c r="Z1234" s="17"/>
      <c r="AA1234" s="17"/>
      <c r="AB1234" s="17"/>
      <c r="AC1234" s="17"/>
      <c r="AD1234" s="17"/>
      <c r="AE1234" s="17"/>
      <c r="AF1234" s="17"/>
      <c r="AG1234" s="64"/>
      <c r="AH1234" s="64"/>
      <c r="AI1234" s="64"/>
      <c r="AJ1234" s="64"/>
      <c r="AK1234" s="64"/>
      <c r="AL1234" s="264"/>
      <c r="AM1234" s="84"/>
      <c r="AN1234" s="18"/>
      <c r="AO1234" s="18"/>
      <c r="AP1234" s="18"/>
      <c r="AQ1234" s="18"/>
      <c r="AR1234" s="18"/>
      <c r="AS1234" s="18"/>
      <c r="AT1234" s="18"/>
      <c r="AU1234" s="18"/>
      <c r="AV1234" s="18"/>
      <c r="AW1234" s="18"/>
      <c r="AX1234" s="18"/>
      <c r="AY1234" s="18"/>
    </row>
    <row r="1235" spans="1:51" s="33" customFormat="1" x14ac:dyDescent="0.3">
      <c r="A1235" s="63" t="str">
        <f>+A1234</f>
        <v>BCV131</v>
      </c>
      <c r="B1235" s="18" t="str">
        <f>+B1234</f>
        <v>AX23</v>
      </c>
      <c r="C1235" s="85" t="str">
        <f>+C1234</f>
        <v>SIO1</v>
      </c>
      <c r="D1235" s="85" t="str">
        <f>+D1234</f>
        <v>SLC01</v>
      </c>
      <c r="E1235" s="290">
        <f>+E1234</f>
        <v>1</v>
      </c>
      <c r="F1235" s="290">
        <f>+F1234</f>
        <v>12</v>
      </c>
      <c r="G1235" s="290">
        <f>+G1234</f>
        <v>0</v>
      </c>
      <c r="H1235" s="72">
        <v>1</v>
      </c>
      <c r="I1235" s="77">
        <v>1</v>
      </c>
      <c r="J1235" s="76" t="s">
        <v>269</v>
      </c>
      <c r="K1235" s="65">
        <v>1044125</v>
      </c>
      <c r="L1235" s="79" t="s">
        <v>244</v>
      </c>
      <c r="M1235" s="17">
        <v>3</v>
      </c>
      <c r="N1235" s="18" t="s">
        <v>1615</v>
      </c>
      <c r="O1235" s="296" t="s">
        <v>1617</v>
      </c>
      <c r="P1235" s="296"/>
      <c r="Q1235" s="296" t="s">
        <v>1616</v>
      </c>
      <c r="R1235" s="17" t="s">
        <v>211</v>
      </c>
      <c r="S1235" s="17"/>
      <c r="T1235" s="17" t="s">
        <v>194</v>
      </c>
      <c r="U1235" s="17"/>
      <c r="V1235" s="289" t="str">
        <f>+CONCATENATE(E1235,".",F1235,"\",G1235,".",H1235,":",I1235)</f>
        <v>1.12\0.1:1</v>
      </c>
      <c r="W1235" s="18" t="s">
        <v>1602</v>
      </c>
      <c r="X1235" s="17">
        <v>0</v>
      </c>
      <c r="Y1235" s="17"/>
      <c r="Z1235" s="17"/>
      <c r="AA1235" s="17"/>
      <c r="AB1235" s="17"/>
      <c r="AC1235" s="17"/>
      <c r="AD1235" s="17"/>
      <c r="AE1235" s="17"/>
      <c r="AF1235" s="17"/>
      <c r="AG1235" s="64"/>
      <c r="AH1235" s="64"/>
      <c r="AI1235" s="64"/>
      <c r="AJ1235" s="64"/>
      <c r="AK1235" s="64"/>
      <c r="AL1235" s="264"/>
      <c r="AM1235" s="84"/>
      <c r="AN1235" s="18"/>
      <c r="AO1235" s="18"/>
      <c r="AP1235" s="18"/>
      <c r="AQ1235" s="18"/>
      <c r="AR1235" s="18"/>
      <c r="AS1235" s="18"/>
      <c r="AT1235" s="18"/>
      <c r="AU1235" s="18"/>
      <c r="AV1235" s="18"/>
      <c r="AW1235" s="18"/>
      <c r="AX1235" s="18"/>
      <c r="AY1235" s="18"/>
    </row>
    <row r="1236" spans="1:51" s="33" customFormat="1" x14ac:dyDescent="0.3">
      <c r="A1236" s="63" t="str">
        <f>+A1235</f>
        <v>BCV131</v>
      </c>
      <c r="B1236" s="18" t="str">
        <f>+B1235</f>
        <v>AX23</v>
      </c>
      <c r="C1236" s="85" t="str">
        <f>+C1235</f>
        <v>SIO1</v>
      </c>
      <c r="D1236" s="85" t="str">
        <f>+D1235</f>
        <v>SLC01</v>
      </c>
      <c r="E1236" s="290">
        <f>+E1235</f>
        <v>1</v>
      </c>
      <c r="F1236" s="290">
        <f>+F1235</f>
        <v>12</v>
      </c>
      <c r="G1236" s="290">
        <f>+G1235</f>
        <v>0</v>
      </c>
      <c r="H1236" s="72">
        <f>+H1235</f>
        <v>1</v>
      </c>
      <c r="I1236" s="75">
        <v>2</v>
      </c>
      <c r="J1236" s="74" t="s">
        <v>265</v>
      </c>
      <c r="K1236" s="84">
        <v>1047162</v>
      </c>
      <c r="L1236" s="79" t="s">
        <v>244</v>
      </c>
      <c r="M1236" s="17">
        <v>3</v>
      </c>
      <c r="N1236" s="18" t="s">
        <v>1615</v>
      </c>
      <c r="O1236" s="296" t="s">
        <v>1614</v>
      </c>
      <c r="P1236" s="296"/>
      <c r="Q1236" s="296" t="s">
        <v>1613</v>
      </c>
      <c r="R1236" s="17" t="s">
        <v>211</v>
      </c>
      <c r="S1236" s="17"/>
      <c r="T1236" s="17" t="str">
        <f>+T1235</f>
        <v>BCV131</v>
      </c>
      <c r="U1236" s="17"/>
      <c r="V1236" s="289" t="str">
        <f>+CONCATENATE(E1236,".",F1236,"\",G1236,".",H1236,":",I1236)</f>
        <v>1.12\0.1:2</v>
      </c>
      <c r="W1236" s="18" t="s">
        <v>1602</v>
      </c>
      <c r="X1236" s="17">
        <v>0</v>
      </c>
      <c r="Y1236" s="17"/>
      <c r="Z1236" s="17"/>
      <c r="AA1236" s="17"/>
      <c r="AB1236" s="17"/>
      <c r="AC1236" s="17"/>
      <c r="AD1236" s="17"/>
      <c r="AE1236" s="17"/>
      <c r="AF1236" s="17"/>
      <c r="AG1236" s="64"/>
      <c r="AH1236" s="64"/>
      <c r="AI1236" s="64"/>
      <c r="AJ1236" s="64"/>
      <c r="AK1236" s="64"/>
      <c r="AL1236" s="264"/>
      <c r="AM1236" s="84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  <c r="AY1236" s="18"/>
    </row>
    <row r="1237" spans="1:51" s="33" customFormat="1" x14ac:dyDescent="0.3">
      <c r="A1237" s="63" t="str">
        <f>+A1236</f>
        <v>BCV131</v>
      </c>
      <c r="B1237" s="18" t="str">
        <f>+B1236</f>
        <v>AX23</v>
      </c>
      <c r="C1237" s="85" t="str">
        <f>+C1236</f>
        <v>SIO1</v>
      </c>
      <c r="D1237" s="85" t="str">
        <f>+D1236</f>
        <v>SLC01</v>
      </c>
      <c r="E1237" s="290">
        <f>+E1236</f>
        <v>1</v>
      </c>
      <c r="F1237" s="290">
        <f>+F1236</f>
        <v>12</v>
      </c>
      <c r="G1237" s="290">
        <f>+G1236</f>
        <v>0</v>
      </c>
      <c r="H1237" s="72">
        <f>+H1236</f>
        <v>1</v>
      </c>
      <c r="I1237" s="75">
        <v>3</v>
      </c>
      <c r="J1237" s="74" t="s">
        <v>261</v>
      </c>
      <c r="K1237" s="85"/>
      <c r="L1237" s="79" t="s">
        <v>244</v>
      </c>
      <c r="M1237" s="17">
        <v>3</v>
      </c>
      <c r="N1237" s="18" t="s">
        <v>1610</v>
      </c>
      <c r="O1237" s="296" t="s">
        <v>1612</v>
      </c>
      <c r="P1237" s="296"/>
      <c r="Q1237" s="296" t="s">
        <v>1611</v>
      </c>
      <c r="R1237" s="17" t="s">
        <v>211</v>
      </c>
      <c r="S1237" s="17"/>
      <c r="T1237" s="17" t="str">
        <f>+T1236</f>
        <v>BCV131</v>
      </c>
      <c r="U1237" s="17"/>
      <c r="V1237" s="289" t="str">
        <f>+CONCATENATE(E1237,".",F1237,"\",G1237,".",H1237,":",I1237)</f>
        <v>1.12\0.1:3</v>
      </c>
      <c r="W1237" s="18" t="s">
        <v>1602</v>
      </c>
      <c r="X1237" s="17">
        <v>0</v>
      </c>
      <c r="Y1237" s="17"/>
      <c r="Z1237" s="17"/>
      <c r="AA1237" s="17"/>
      <c r="AB1237" s="17"/>
      <c r="AC1237" s="17"/>
      <c r="AD1237" s="17"/>
      <c r="AE1237" s="17"/>
      <c r="AF1237" s="17"/>
      <c r="AG1237" s="64"/>
      <c r="AH1237" s="64"/>
      <c r="AI1237" s="64"/>
      <c r="AJ1237" s="64"/>
      <c r="AK1237" s="64"/>
      <c r="AL1237" s="264"/>
      <c r="AM1237" s="84"/>
      <c r="AN1237" s="18"/>
      <c r="AO1237" s="18"/>
      <c r="AP1237" s="18"/>
      <c r="AQ1237" s="18"/>
      <c r="AR1237" s="18"/>
      <c r="AS1237" s="18"/>
      <c r="AT1237" s="18"/>
      <c r="AU1237" s="18"/>
      <c r="AV1237" s="18"/>
      <c r="AW1237" s="18"/>
      <c r="AX1237" s="18"/>
      <c r="AY1237" s="18"/>
    </row>
    <row r="1238" spans="1:51" s="33" customFormat="1" x14ac:dyDescent="0.3">
      <c r="A1238" s="63" t="str">
        <f>+A1237</f>
        <v>BCV131</v>
      </c>
      <c r="B1238" s="18" t="str">
        <f>+B1237</f>
        <v>AX23</v>
      </c>
      <c r="C1238" s="85" t="str">
        <f>+C1237</f>
        <v>SIO1</v>
      </c>
      <c r="D1238" s="85" t="str">
        <f>+D1237</f>
        <v>SLC01</v>
      </c>
      <c r="E1238" s="290">
        <f>+E1237</f>
        <v>1</v>
      </c>
      <c r="F1238" s="290">
        <f>+F1237</f>
        <v>12</v>
      </c>
      <c r="G1238" s="290">
        <f>+G1237</f>
        <v>0</v>
      </c>
      <c r="H1238" s="72">
        <f>+H1237</f>
        <v>1</v>
      </c>
      <c r="I1238" s="75">
        <v>4</v>
      </c>
      <c r="J1238" s="74" t="s">
        <v>257</v>
      </c>
      <c r="K1238" s="85"/>
      <c r="L1238" s="79" t="s">
        <v>244</v>
      </c>
      <c r="M1238" s="17">
        <v>3</v>
      </c>
      <c r="N1238" s="18" t="s">
        <v>1610</v>
      </c>
      <c r="O1238" s="296" t="s">
        <v>1609</v>
      </c>
      <c r="P1238" s="296"/>
      <c r="Q1238" s="296" t="s">
        <v>1608</v>
      </c>
      <c r="R1238" s="17" t="s">
        <v>211</v>
      </c>
      <c r="S1238" s="17"/>
      <c r="T1238" s="17" t="str">
        <f>+T1237</f>
        <v>BCV131</v>
      </c>
      <c r="U1238" s="17"/>
      <c r="V1238" s="289" t="str">
        <f>+CONCATENATE(E1238,".",F1238,"\",G1238,".",H1238,":",I1238)</f>
        <v>1.12\0.1:4</v>
      </c>
      <c r="W1238" s="18" t="s">
        <v>1602</v>
      </c>
      <c r="X1238" s="17">
        <v>0</v>
      </c>
      <c r="Y1238" s="17"/>
      <c r="Z1238" s="17"/>
      <c r="AA1238" s="17"/>
      <c r="AB1238" s="17"/>
      <c r="AC1238" s="17"/>
      <c r="AD1238" s="17"/>
      <c r="AE1238" s="17"/>
      <c r="AF1238" s="17"/>
      <c r="AG1238" s="64"/>
      <c r="AH1238" s="64"/>
      <c r="AI1238" s="64"/>
      <c r="AJ1238" s="64"/>
      <c r="AK1238" s="64"/>
      <c r="AL1238" s="264"/>
      <c r="AM1238" s="84"/>
      <c r="AN1238" s="18"/>
      <c r="AO1238" s="18"/>
      <c r="AP1238" s="18"/>
      <c r="AQ1238" s="18"/>
      <c r="AR1238" s="18"/>
      <c r="AS1238" s="18"/>
      <c r="AT1238" s="18"/>
      <c r="AU1238" s="18"/>
      <c r="AV1238" s="18"/>
      <c r="AW1238" s="18"/>
      <c r="AX1238" s="18"/>
      <c r="AY1238" s="18"/>
    </row>
    <row r="1239" spans="1:51" s="33" customFormat="1" x14ac:dyDescent="0.3">
      <c r="A1239" s="63" t="str">
        <f>+A1238</f>
        <v>BCV131</v>
      </c>
      <c r="B1239" s="18" t="str">
        <f>+B1238</f>
        <v>AX23</v>
      </c>
      <c r="C1239" s="85" t="str">
        <f>+C1238</f>
        <v>SIO1</v>
      </c>
      <c r="D1239" s="85" t="str">
        <f>+D1238</f>
        <v>SLC01</v>
      </c>
      <c r="E1239" s="290">
        <f>+E1238</f>
        <v>1</v>
      </c>
      <c r="F1239" s="290">
        <f>+F1238</f>
        <v>12</v>
      </c>
      <c r="G1239" s="290">
        <f>+G1238</f>
        <v>0</v>
      </c>
      <c r="H1239" s="72">
        <f>+H1238</f>
        <v>1</v>
      </c>
      <c r="I1239" s="75">
        <v>5</v>
      </c>
      <c r="J1239" s="74" t="s">
        <v>1325</v>
      </c>
      <c r="K1239" s="85"/>
      <c r="L1239" s="79" t="s">
        <v>244</v>
      </c>
      <c r="M1239" s="17">
        <v>3</v>
      </c>
      <c r="N1239" s="17"/>
      <c r="O1239" s="296"/>
      <c r="P1239" s="296"/>
      <c r="Q1239" s="296" t="s">
        <v>127</v>
      </c>
      <c r="R1239" s="17"/>
      <c r="S1239" s="17"/>
      <c r="T1239" s="17"/>
      <c r="U1239" s="17"/>
      <c r="V1239" s="289" t="str">
        <f>+CONCATENATE(E1239,".",F1239,"\",G1239,".",H1239,":",I1239)</f>
        <v>1.12\0.1:5</v>
      </c>
      <c r="W1239" s="18" t="s">
        <v>1602</v>
      </c>
      <c r="X1239" s="17">
        <v>0</v>
      </c>
      <c r="Y1239" s="17"/>
      <c r="Z1239" s="17"/>
      <c r="AA1239" s="17"/>
      <c r="AB1239" s="17"/>
      <c r="AC1239" s="17"/>
      <c r="AD1239" s="17"/>
      <c r="AE1239" s="17"/>
      <c r="AF1239" s="17"/>
      <c r="AG1239" s="64"/>
      <c r="AH1239" s="64"/>
      <c r="AI1239" s="64"/>
      <c r="AJ1239" s="64"/>
      <c r="AK1239" s="64"/>
      <c r="AL1239" s="264"/>
      <c r="AM1239" s="84"/>
      <c r="AN1239" s="18"/>
      <c r="AO1239" s="18"/>
      <c r="AP1239" s="18"/>
      <c r="AQ1239" s="18"/>
      <c r="AR1239" s="18"/>
      <c r="AS1239" s="18"/>
      <c r="AT1239" s="18"/>
      <c r="AU1239" s="18"/>
      <c r="AV1239" s="18"/>
      <c r="AW1239" s="18"/>
      <c r="AX1239" s="18"/>
      <c r="AY1239" s="18"/>
    </row>
    <row r="1240" spans="1:51" s="33" customFormat="1" x14ac:dyDescent="0.3">
      <c r="A1240" s="63" t="str">
        <f>+A1239</f>
        <v>BCV131</v>
      </c>
      <c r="B1240" s="18" t="str">
        <f>+B1239</f>
        <v>AX23</v>
      </c>
      <c r="C1240" s="85" t="str">
        <f>+C1239</f>
        <v>SIO1</v>
      </c>
      <c r="D1240" s="85" t="str">
        <f>+D1239</f>
        <v>SLC01</v>
      </c>
      <c r="E1240" s="290">
        <f>+E1239</f>
        <v>1</v>
      </c>
      <c r="F1240" s="290">
        <f>+F1239</f>
        <v>12</v>
      </c>
      <c r="G1240" s="290">
        <f>+G1239</f>
        <v>0</v>
      </c>
      <c r="H1240" s="72">
        <f>+H1239</f>
        <v>1</v>
      </c>
      <c r="I1240" s="75">
        <v>6</v>
      </c>
      <c r="J1240" s="74" t="s">
        <v>1323</v>
      </c>
      <c r="K1240" s="85"/>
      <c r="L1240" s="79" t="s">
        <v>244</v>
      </c>
      <c r="M1240" s="17">
        <v>3</v>
      </c>
      <c r="N1240" s="17"/>
      <c r="O1240" s="296"/>
      <c r="P1240" s="296"/>
      <c r="Q1240" s="296" t="s">
        <v>127</v>
      </c>
      <c r="R1240" s="17"/>
      <c r="S1240" s="17"/>
      <c r="T1240" s="17"/>
      <c r="U1240" s="17"/>
      <c r="V1240" s="289" t="str">
        <f>+CONCATENATE(E1240,".",F1240,"\",G1240,".",H1240,":",I1240)</f>
        <v>1.12\0.1:6</v>
      </c>
      <c r="W1240" s="18" t="s">
        <v>1602</v>
      </c>
      <c r="X1240" s="17">
        <v>0</v>
      </c>
      <c r="Y1240" s="17"/>
      <c r="Z1240" s="17"/>
      <c r="AA1240" s="17"/>
      <c r="AB1240" s="17"/>
      <c r="AC1240" s="17"/>
      <c r="AD1240" s="17"/>
      <c r="AE1240" s="17"/>
      <c r="AF1240" s="17"/>
      <c r="AG1240" s="64"/>
      <c r="AH1240" s="64"/>
      <c r="AI1240" s="64"/>
      <c r="AJ1240" s="64"/>
      <c r="AK1240" s="64"/>
      <c r="AL1240" s="264"/>
      <c r="AM1240" s="84"/>
      <c r="AN1240" s="18"/>
      <c r="AO1240" s="18"/>
      <c r="AP1240" s="18"/>
      <c r="AQ1240" s="18"/>
      <c r="AR1240" s="18"/>
      <c r="AS1240" s="18"/>
      <c r="AT1240" s="18"/>
      <c r="AU1240" s="18"/>
      <c r="AV1240" s="18"/>
      <c r="AW1240" s="18"/>
      <c r="AX1240" s="18"/>
      <c r="AY1240" s="18"/>
    </row>
    <row r="1241" spans="1:51" s="33" customFormat="1" x14ac:dyDescent="0.3">
      <c r="A1241" s="63" t="str">
        <f>+A1240</f>
        <v>BCV131</v>
      </c>
      <c r="B1241" s="18" t="str">
        <f>+B1240</f>
        <v>AX23</v>
      </c>
      <c r="C1241" s="85" t="str">
        <f>+C1240</f>
        <v>SIO1</v>
      </c>
      <c r="D1241" s="85" t="str">
        <f>+D1240</f>
        <v>SLC01</v>
      </c>
      <c r="E1241" s="290">
        <f>+E1240</f>
        <v>1</v>
      </c>
      <c r="F1241" s="290">
        <f>+F1240</f>
        <v>12</v>
      </c>
      <c r="G1241" s="290">
        <f>+G1240</f>
        <v>0</v>
      </c>
      <c r="H1241" s="72">
        <f>+H1240</f>
        <v>1</v>
      </c>
      <c r="I1241" s="75">
        <v>7</v>
      </c>
      <c r="J1241" s="74" t="s">
        <v>246</v>
      </c>
      <c r="K1241" s="85"/>
      <c r="L1241" s="79" t="s">
        <v>244</v>
      </c>
      <c r="M1241" s="17">
        <v>3</v>
      </c>
      <c r="N1241" s="17"/>
      <c r="O1241" s="296"/>
      <c r="P1241" s="296"/>
      <c r="Q1241" s="296" t="s">
        <v>127</v>
      </c>
      <c r="R1241" s="17"/>
      <c r="S1241" s="17"/>
      <c r="T1241" s="17"/>
      <c r="U1241" s="17"/>
      <c r="V1241" s="289" t="str">
        <f>+CONCATENATE(E1241,".",F1241,"\",G1241,".",H1241,":",I1241)</f>
        <v>1.12\0.1:7</v>
      </c>
      <c r="W1241" s="18" t="s">
        <v>1602</v>
      </c>
      <c r="X1241" s="17">
        <v>0</v>
      </c>
      <c r="Y1241" s="17"/>
      <c r="Z1241" s="17"/>
      <c r="AA1241" s="17"/>
      <c r="AB1241" s="17"/>
      <c r="AC1241" s="17"/>
      <c r="AD1241" s="17"/>
      <c r="AE1241" s="17"/>
      <c r="AF1241" s="17"/>
      <c r="AG1241" s="64"/>
      <c r="AH1241" s="64"/>
      <c r="AI1241" s="64"/>
      <c r="AJ1241" s="64"/>
      <c r="AK1241" s="64"/>
      <c r="AL1241" s="264"/>
      <c r="AM1241" s="84"/>
      <c r="AN1241" s="18"/>
      <c r="AO1241" s="18"/>
      <c r="AP1241" s="18"/>
      <c r="AQ1241" s="18"/>
      <c r="AR1241" s="18"/>
      <c r="AS1241" s="18"/>
      <c r="AT1241" s="18"/>
      <c r="AU1241" s="18"/>
      <c r="AV1241" s="18"/>
      <c r="AW1241" s="18"/>
      <c r="AX1241" s="18"/>
      <c r="AY1241" s="18"/>
    </row>
    <row r="1242" spans="1:51" s="33" customFormat="1" x14ac:dyDescent="0.3">
      <c r="A1242" s="63" t="str">
        <f>+A1241</f>
        <v>BCV131</v>
      </c>
      <c r="B1242" s="18" t="str">
        <f>+B1241</f>
        <v>AX23</v>
      </c>
      <c r="C1242" s="85" t="str">
        <f>+C1241</f>
        <v>SIO1</v>
      </c>
      <c r="D1242" s="85" t="str">
        <f>+D1241</f>
        <v>SLC01</v>
      </c>
      <c r="E1242" s="290">
        <f>+E1241</f>
        <v>1</v>
      </c>
      <c r="F1242" s="290">
        <f>+F1241</f>
        <v>12</v>
      </c>
      <c r="G1242" s="290">
        <f>+G1241</f>
        <v>0</v>
      </c>
      <c r="H1242" s="72">
        <f>+H1241</f>
        <v>1</v>
      </c>
      <c r="I1242" s="75">
        <v>8</v>
      </c>
      <c r="J1242" s="74" t="s">
        <v>245</v>
      </c>
      <c r="K1242" s="85"/>
      <c r="L1242" s="79" t="s">
        <v>244</v>
      </c>
      <c r="M1242" s="17">
        <v>3</v>
      </c>
      <c r="N1242" s="17"/>
      <c r="O1242" s="296"/>
      <c r="P1242" s="296"/>
      <c r="Q1242" s="296" t="s">
        <v>127</v>
      </c>
      <c r="R1242" s="17"/>
      <c r="S1242" s="17"/>
      <c r="T1242" s="17"/>
      <c r="U1242" s="17"/>
      <c r="V1242" s="289" t="str">
        <f>+CONCATENATE(E1242,".",F1242,"\",G1242,".",H1242,":",I1242)</f>
        <v>1.12\0.1:8</v>
      </c>
      <c r="W1242" s="18" t="s">
        <v>1602</v>
      </c>
      <c r="X1242" s="17">
        <v>0</v>
      </c>
      <c r="Y1242" s="17"/>
      <c r="Z1242" s="17"/>
      <c r="AA1242" s="17"/>
      <c r="AB1242" s="17"/>
      <c r="AC1242" s="17"/>
      <c r="AD1242" s="17"/>
      <c r="AE1242" s="17"/>
      <c r="AF1242" s="17"/>
      <c r="AG1242" s="64"/>
      <c r="AH1242" s="64"/>
      <c r="AI1242" s="64"/>
      <c r="AJ1242" s="64"/>
      <c r="AK1242" s="64"/>
      <c r="AL1242" s="264"/>
      <c r="AM1242" s="84"/>
      <c r="AN1242" s="18"/>
      <c r="AO1242" s="18"/>
      <c r="AP1242" s="18"/>
      <c r="AQ1242" s="18"/>
      <c r="AR1242" s="18"/>
      <c r="AS1242" s="18"/>
      <c r="AT1242" s="18"/>
      <c r="AU1242" s="18"/>
      <c r="AV1242" s="18"/>
      <c r="AW1242" s="18"/>
      <c r="AX1242" s="18"/>
      <c r="AY1242" s="18"/>
    </row>
    <row r="1243" spans="1:51" s="33" customFormat="1" x14ac:dyDescent="0.3">
      <c r="A1243" s="63" t="str">
        <f>+A1242</f>
        <v>BCV131</v>
      </c>
      <c r="B1243" s="18" t="str">
        <f>+B1242</f>
        <v>AX23</v>
      </c>
      <c r="C1243" s="85" t="str">
        <f>+C1242</f>
        <v>SIO1</v>
      </c>
      <c r="D1243" s="85" t="str">
        <f>+D1242</f>
        <v>SLC01</v>
      </c>
      <c r="E1243" s="290">
        <f>+E1242</f>
        <v>1</v>
      </c>
      <c r="F1243" s="290">
        <f>+F1242</f>
        <v>12</v>
      </c>
      <c r="G1243" s="290">
        <f>+G1242</f>
        <v>0</v>
      </c>
      <c r="H1243" s="72">
        <f>+H1242</f>
        <v>1</v>
      </c>
      <c r="I1243" s="75">
        <v>1</v>
      </c>
      <c r="J1243" s="81" t="s">
        <v>1321</v>
      </c>
      <c r="K1243" s="85" t="s">
        <v>1366</v>
      </c>
      <c r="L1243" s="79" t="s">
        <v>235</v>
      </c>
      <c r="M1243" s="17">
        <v>3</v>
      </c>
      <c r="N1243" s="18" t="s">
        <v>1606</v>
      </c>
      <c r="O1243" s="17" t="s">
        <v>1607</v>
      </c>
      <c r="P1243" s="17"/>
      <c r="Q1243" s="17" t="s">
        <v>1335</v>
      </c>
      <c r="R1243" s="17" t="s">
        <v>922</v>
      </c>
      <c r="S1243" s="17"/>
      <c r="T1243" s="17" t="str">
        <f>+T1235</f>
        <v>BCV131</v>
      </c>
      <c r="U1243" s="17"/>
      <c r="V1243" s="289" t="str">
        <f>+CONCATENATE(E1243,".",F1243,"\",G1243,".",H1243,":",I1243)</f>
        <v>1.12\0.1:1</v>
      </c>
      <c r="W1243" s="18" t="s">
        <v>1602</v>
      </c>
      <c r="X1243" s="17">
        <v>0</v>
      </c>
      <c r="Y1243" s="17"/>
      <c r="Z1243" s="17"/>
      <c r="AA1243" s="17"/>
      <c r="AB1243" s="17"/>
      <c r="AC1243" s="17"/>
      <c r="AD1243" s="17"/>
      <c r="AE1243" s="17"/>
      <c r="AF1243" s="17"/>
      <c r="AG1243" s="64"/>
      <c r="AH1243" s="64"/>
      <c r="AI1243" s="64"/>
      <c r="AJ1243" s="64"/>
      <c r="AK1243" s="64"/>
      <c r="AL1243" s="264"/>
      <c r="AM1243" s="84"/>
      <c r="AN1243" s="18"/>
      <c r="AO1243" s="18"/>
      <c r="AP1243" s="18"/>
      <c r="AQ1243" s="18"/>
      <c r="AR1243" s="18"/>
      <c r="AS1243" s="18"/>
      <c r="AT1243" s="18"/>
      <c r="AU1243" s="18"/>
      <c r="AV1243" s="18"/>
      <c r="AW1243" s="18"/>
      <c r="AX1243" s="18"/>
      <c r="AY1243" s="18"/>
    </row>
    <row r="1244" spans="1:51" s="33" customFormat="1" x14ac:dyDescent="0.3">
      <c r="A1244" s="63" t="str">
        <f>+A1243</f>
        <v>BCV131</v>
      </c>
      <c r="B1244" s="18" t="str">
        <f>+B1243</f>
        <v>AX23</v>
      </c>
      <c r="C1244" s="85" t="str">
        <f>+C1243</f>
        <v>SIO1</v>
      </c>
      <c r="D1244" s="85" t="str">
        <f>+D1243</f>
        <v>SLC01</v>
      </c>
      <c r="E1244" s="290">
        <f>+E1243</f>
        <v>1</v>
      </c>
      <c r="F1244" s="290">
        <f>+F1243</f>
        <v>12</v>
      </c>
      <c r="G1244" s="290">
        <f>+G1243</f>
        <v>0</v>
      </c>
      <c r="H1244" s="72">
        <f>+H1243</f>
        <v>1</v>
      </c>
      <c r="I1244" s="75">
        <v>2</v>
      </c>
      <c r="J1244" s="74" t="s">
        <v>1320</v>
      </c>
      <c r="K1244" s="85"/>
      <c r="L1244" s="79" t="s">
        <v>235</v>
      </c>
      <c r="M1244" s="17">
        <v>3</v>
      </c>
      <c r="N1244" s="18" t="s">
        <v>1606</v>
      </c>
      <c r="O1244" s="17" t="s">
        <v>1605</v>
      </c>
      <c r="P1244" s="17"/>
      <c r="Q1244" s="17" t="s">
        <v>1330</v>
      </c>
      <c r="R1244" s="17" t="s">
        <v>922</v>
      </c>
      <c r="S1244" s="17"/>
      <c r="T1244" s="17" t="str">
        <f>+T1243</f>
        <v>BCV131</v>
      </c>
      <c r="U1244" s="17"/>
      <c r="V1244" s="289" t="str">
        <f>+CONCATENATE(E1244,".",F1244,"\",G1244,".",H1244,":",I1244)</f>
        <v>1.12\0.1:2</v>
      </c>
      <c r="W1244" s="18" t="s">
        <v>1602</v>
      </c>
      <c r="X1244" s="17">
        <v>0</v>
      </c>
      <c r="Y1244" s="17"/>
      <c r="Z1244" s="17"/>
      <c r="AA1244" s="17"/>
      <c r="AB1244" s="17"/>
      <c r="AC1244" s="17"/>
      <c r="AD1244" s="17"/>
      <c r="AE1244" s="17"/>
      <c r="AF1244" s="17"/>
      <c r="AG1244" s="64"/>
      <c r="AH1244" s="64"/>
      <c r="AI1244" s="64"/>
      <c r="AJ1244" s="64"/>
      <c r="AK1244" s="64"/>
      <c r="AL1244" s="264"/>
      <c r="AM1244" s="84"/>
      <c r="AN1244" s="18"/>
      <c r="AO1244" s="18"/>
      <c r="AP1244" s="18"/>
      <c r="AQ1244" s="18"/>
      <c r="AR1244" s="18"/>
      <c r="AS1244" s="18"/>
      <c r="AT1244" s="18"/>
      <c r="AU1244" s="18"/>
      <c r="AV1244" s="18"/>
      <c r="AW1244" s="18"/>
      <c r="AX1244" s="18"/>
      <c r="AY1244" s="18"/>
    </row>
    <row r="1245" spans="1:51" s="33" customFormat="1" x14ac:dyDescent="0.3">
      <c r="A1245" s="63" t="str">
        <f>+A1244</f>
        <v>BCV131</v>
      </c>
      <c r="B1245" s="18" t="str">
        <f>+B1244</f>
        <v>AX23</v>
      </c>
      <c r="C1245" s="85" t="str">
        <f>+C1244</f>
        <v>SIO1</v>
      </c>
      <c r="D1245" s="85" t="str">
        <f>+D1244</f>
        <v>SLC01</v>
      </c>
      <c r="E1245" s="290">
        <f>+E1244</f>
        <v>1</v>
      </c>
      <c r="F1245" s="290">
        <f>+F1244</f>
        <v>12</v>
      </c>
      <c r="G1245" s="290">
        <f>+G1244</f>
        <v>0</v>
      </c>
      <c r="H1245" s="72">
        <f>+H1244</f>
        <v>1</v>
      </c>
      <c r="I1245" s="75">
        <v>3</v>
      </c>
      <c r="J1245" s="74" t="s">
        <v>1319</v>
      </c>
      <c r="K1245" s="85"/>
      <c r="L1245" s="79" t="s">
        <v>235</v>
      </c>
      <c r="M1245" s="17">
        <v>3</v>
      </c>
      <c r="N1245" s="18" t="s">
        <v>1604</v>
      </c>
      <c r="O1245" s="17" t="s">
        <v>1603</v>
      </c>
      <c r="P1245" s="17"/>
      <c r="Q1245" s="17" t="s">
        <v>1330</v>
      </c>
      <c r="R1245" s="17" t="s">
        <v>922</v>
      </c>
      <c r="S1245" s="17"/>
      <c r="T1245" s="17" t="str">
        <f>+T1244</f>
        <v>BCV131</v>
      </c>
      <c r="U1245" s="17"/>
      <c r="V1245" s="289" t="str">
        <f>+CONCATENATE(E1245,".",F1245,"\",G1245,".",H1245,":",I1245)</f>
        <v>1.12\0.1:3</v>
      </c>
      <c r="W1245" s="18" t="s">
        <v>1602</v>
      </c>
      <c r="X1245" s="17">
        <v>0</v>
      </c>
      <c r="Y1245" s="17"/>
      <c r="Z1245" s="17"/>
      <c r="AA1245" s="17"/>
      <c r="AB1245" s="17"/>
      <c r="AC1245" s="17"/>
      <c r="AD1245" s="17"/>
      <c r="AE1245" s="17"/>
      <c r="AF1245" s="17"/>
      <c r="AG1245" s="64"/>
      <c r="AH1245" s="64"/>
      <c r="AI1245" s="64"/>
      <c r="AJ1245" s="64"/>
      <c r="AK1245" s="64"/>
      <c r="AL1245" s="264"/>
      <c r="AM1245" s="84"/>
      <c r="AN1245" s="18"/>
      <c r="AO1245" s="18"/>
      <c r="AP1245" s="18"/>
      <c r="AQ1245" s="18"/>
      <c r="AR1245" s="18"/>
      <c r="AS1245" s="18"/>
      <c r="AT1245" s="18"/>
      <c r="AU1245" s="18"/>
      <c r="AV1245" s="18"/>
      <c r="AW1245" s="18"/>
      <c r="AX1245" s="18"/>
      <c r="AY1245" s="18"/>
    </row>
    <row r="1246" spans="1:51" s="33" customFormat="1" ht="13.5" thickBot="1" x14ac:dyDescent="0.35">
      <c r="A1246" s="63" t="str">
        <f>+A1245</f>
        <v>BCV131</v>
      </c>
      <c r="B1246" s="18" t="str">
        <f>+B1245</f>
        <v>AX23</v>
      </c>
      <c r="C1246" s="85" t="str">
        <f>+C1245</f>
        <v>SIO1</v>
      </c>
      <c r="D1246" s="85" t="str">
        <f>+D1245</f>
        <v>SLC01</v>
      </c>
      <c r="E1246" s="290">
        <f>+E1245</f>
        <v>1</v>
      </c>
      <c r="F1246" s="290">
        <f>+F1245</f>
        <v>12</v>
      </c>
      <c r="G1246" s="290">
        <f>+G1245</f>
        <v>0</v>
      </c>
      <c r="H1246" s="72">
        <f>+H1245</f>
        <v>1</v>
      </c>
      <c r="I1246" s="71">
        <v>4</v>
      </c>
      <c r="J1246" s="70" t="s">
        <v>1318</v>
      </c>
      <c r="K1246" s="85"/>
      <c r="L1246" s="79" t="s">
        <v>235</v>
      </c>
      <c r="M1246" s="17">
        <v>3</v>
      </c>
      <c r="N1246" s="17"/>
      <c r="O1246" s="17"/>
      <c r="P1246" s="17"/>
      <c r="Q1246" s="68"/>
      <c r="R1246" s="68"/>
      <c r="S1246" s="68"/>
      <c r="T1246" s="68"/>
      <c r="U1246" s="17"/>
      <c r="V1246" s="289" t="str">
        <f>+CONCATENATE(E1246,".",F1246,"\",G1246,".",H1246,":",I1246)</f>
        <v>1.12\0.1:4</v>
      </c>
      <c r="W1246" s="18" t="s">
        <v>1602</v>
      </c>
      <c r="X1246" s="17">
        <v>0</v>
      </c>
      <c r="Y1246" s="17"/>
      <c r="Z1246" s="17"/>
      <c r="AA1246" s="17"/>
      <c r="AB1246" s="17"/>
      <c r="AC1246" s="17"/>
      <c r="AD1246" s="17"/>
      <c r="AE1246" s="17"/>
      <c r="AF1246" s="17"/>
      <c r="AG1246" s="64"/>
      <c r="AH1246" s="64"/>
      <c r="AI1246" s="64"/>
      <c r="AJ1246" s="64"/>
      <c r="AK1246" s="64"/>
      <c r="AL1246" s="264"/>
      <c r="AM1246" s="84"/>
      <c r="AN1246" s="18"/>
      <c r="AO1246" s="18"/>
      <c r="AP1246" s="18"/>
      <c r="AQ1246" s="18"/>
      <c r="AR1246" s="18"/>
      <c r="AS1246" s="18"/>
      <c r="AT1246" s="18"/>
      <c r="AU1246" s="18"/>
      <c r="AV1246" s="18"/>
      <c r="AW1246" s="18"/>
      <c r="AX1246" s="18"/>
      <c r="AY1246" s="18"/>
    </row>
    <row r="1247" spans="1:51" s="33" customFormat="1" x14ac:dyDescent="0.3">
      <c r="A1247" s="63"/>
      <c r="B1247" s="63"/>
      <c r="C1247" s="63"/>
      <c r="D1247" s="63"/>
      <c r="E1247" s="288"/>
      <c r="F1247" s="288"/>
      <c r="G1247" s="288"/>
      <c r="H1247" s="63"/>
      <c r="I1247" s="63"/>
      <c r="J1247" s="63"/>
      <c r="K1247" s="17"/>
      <c r="L1247" s="17"/>
      <c r="M1247" s="17"/>
      <c r="N1247" s="17"/>
      <c r="O1247" s="68"/>
      <c r="P1247" s="68"/>
      <c r="Q1247" s="68"/>
      <c r="R1247" s="68"/>
      <c r="S1247" s="68"/>
      <c r="T1247" s="68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64"/>
      <c r="AH1247" s="64"/>
      <c r="AI1247" s="64"/>
      <c r="AJ1247" s="64"/>
      <c r="AK1247" s="64"/>
      <c r="AL1247" s="264"/>
      <c r="AM1247" s="84"/>
      <c r="AN1247" s="18"/>
      <c r="AO1247" s="18"/>
      <c r="AP1247" s="18"/>
      <c r="AQ1247" s="18"/>
      <c r="AR1247" s="18"/>
      <c r="AS1247" s="18"/>
      <c r="AT1247" s="18"/>
      <c r="AU1247" s="18"/>
      <c r="AV1247" s="18"/>
      <c r="AW1247" s="18"/>
      <c r="AX1247" s="18"/>
      <c r="AY1247" s="18"/>
    </row>
    <row r="1248" spans="1:51" s="33" customFormat="1" x14ac:dyDescent="0.3">
      <c r="A1248" s="63"/>
      <c r="B1248" s="63"/>
      <c r="C1248" s="63"/>
      <c r="D1248" s="63"/>
      <c r="E1248" s="288"/>
      <c r="F1248" s="288"/>
      <c r="G1248" s="288"/>
      <c r="H1248" s="63"/>
      <c r="I1248" s="63"/>
      <c r="J1248" s="63"/>
      <c r="K1248" s="17"/>
      <c r="L1248" s="17"/>
      <c r="M1248" s="17"/>
      <c r="N1248" s="17"/>
      <c r="O1248" s="68"/>
      <c r="P1248" s="68"/>
      <c r="Q1248" s="68"/>
      <c r="R1248" s="68"/>
      <c r="S1248" s="68"/>
      <c r="T1248" s="68"/>
      <c r="U1248" s="17"/>
      <c r="V1248" s="17"/>
      <c r="W1248" s="17"/>
      <c r="X1248" s="17"/>
      <c r="Y1248" s="17"/>
      <c r="Z1248" s="17"/>
      <c r="AA1248" s="17"/>
      <c r="AB1248" s="20"/>
      <c r="AC1248" s="17"/>
      <c r="AD1248" s="17"/>
      <c r="AE1248" s="17"/>
      <c r="AF1248" s="17"/>
      <c r="AG1248" s="64"/>
      <c r="AH1248" s="64"/>
      <c r="AI1248" s="64"/>
      <c r="AJ1248" s="64"/>
      <c r="AK1248" s="64"/>
      <c r="AL1248" s="264"/>
      <c r="AM1248" s="84"/>
      <c r="AN1248" s="18"/>
      <c r="AO1248" s="18"/>
      <c r="AP1248" s="18"/>
      <c r="AQ1248" s="18"/>
      <c r="AR1248" s="18"/>
      <c r="AS1248" s="18"/>
      <c r="AT1248" s="18"/>
      <c r="AU1248" s="18"/>
      <c r="AV1248" s="18"/>
      <c r="AW1248" s="18"/>
      <c r="AX1248" s="18"/>
      <c r="AY1248" s="18"/>
    </row>
    <row r="1249" spans="1:51" s="33" customFormat="1" x14ac:dyDescent="0.3">
      <c r="A1249" s="63"/>
      <c r="B1249" s="63"/>
      <c r="C1249" s="63"/>
      <c r="D1249" s="63"/>
      <c r="E1249" s="288"/>
      <c r="F1249" s="288"/>
      <c r="G1249" s="288"/>
      <c r="H1249" s="63"/>
      <c r="I1249" s="63"/>
      <c r="J1249" s="63"/>
      <c r="K1249" s="17"/>
      <c r="L1249" s="17"/>
      <c r="M1249" s="17"/>
      <c r="N1249" s="17"/>
      <c r="O1249" s="68"/>
      <c r="P1249" s="68"/>
      <c r="Q1249" s="68"/>
      <c r="R1249" s="68"/>
      <c r="S1249" s="68"/>
      <c r="T1249" s="68"/>
      <c r="U1249" s="17"/>
      <c r="V1249" s="17"/>
      <c r="W1249" s="17"/>
      <c r="X1249" s="17"/>
      <c r="Y1249" s="17"/>
      <c r="Z1249" s="17"/>
      <c r="AA1249" s="17"/>
      <c r="AB1249" s="20"/>
      <c r="AC1249" s="17"/>
      <c r="AD1249" s="17"/>
      <c r="AE1249" s="17"/>
      <c r="AF1249" s="17"/>
      <c r="AG1249" s="64"/>
      <c r="AH1249" s="64"/>
      <c r="AI1249" s="64"/>
      <c r="AJ1249" s="64"/>
      <c r="AK1249" s="64"/>
      <c r="AL1249" s="264"/>
      <c r="AM1249" s="84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  <c r="AY1249" s="18"/>
    </row>
    <row r="1250" spans="1:51" s="33" customFormat="1" ht="15.5" x14ac:dyDescent="0.35">
      <c r="A1250" s="297"/>
      <c r="B1250" s="96" t="s">
        <v>1601</v>
      </c>
      <c r="C1250" s="256"/>
      <c r="D1250" s="256"/>
      <c r="E1250" s="256"/>
      <c r="F1250" s="256"/>
      <c r="G1250" s="256"/>
      <c r="H1250" s="256"/>
      <c r="I1250" s="256"/>
      <c r="J1250" s="256"/>
      <c r="K1250" s="256"/>
      <c r="L1250" s="256"/>
      <c r="M1250" s="256"/>
      <c r="N1250" s="287"/>
      <c r="O1250" s="256"/>
      <c r="P1250" s="287"/>
      <c r="Q1250" s="256"/>
      <c r="R1250" s="256"/>
      <c r="S1250" s="256"/>
      <c r="T1250" s="256"/>
      <c r="U1250" s="256"/>
      <c r="V1250" s="256"/>
      <c r="W1250" s="287"/>
      <c r="X1250" s="256"/>
      <c r="Y1250" s="256"/>
      <c r="Z1250" s="46"/>
      <c r="AA1250" s="46"/>
      <c r="AB1250" s="20"/>
      <c r="AC1250" s="46"/>
      <c r="AD1250" s="46"/>
      <c r="AE1250" s="46"/>
      <c r="AF1250" s="46"/>
      <c r="AG1250" s="92"/>
      <c r="AH1250" s="92"/>
      <c r="AI1250" s="92"/>
      <c r="AJ1250" s="92"/>
      <c r="AK1250" s="92"/>
      <c r="AL1250" s="284"/>
      <c r="AM1250" s="94"/>
      <c r="AN1250" s="18"/>
      <c r="AO1250" s="18"/>
      <c r="AP1250" s="18"/>
      <c r="AQ1250" s="18"/>
      <c r="AR1250" s="18"/>
      <c r="AS1250" s="18"/>
      <c r="AT1250" s="18"/>
      <c r="AU1250" s="18"/>
      <c r="AV1250" s="18"/>
      <c r="AW1250" s="18"/>
      <c r="AX1250" s="18"/>
      <c r="AY1250" s="18"/>
    </row>
    <row r="1251" spans="1:51" s="18" customFormat="1" thickBot="1" x14ac:dyDescent="0.3"/>
    <row r="1252" spans="1:51" s="33" customFormat="1" ht="13.5" thickBot="1" x14ac:dyDescent="0.35">
      <c r="A1252" s="162" t="s">
        <v>1600</v>
      </c>
      <c r="B1252" s="17" t="s">
        <v>1583</v>
      </c>
      <c r="C1252" s="18" t="s">
        <v>723</v>
      </c>
      <c r="D1252" s="18">
        <v>132</v>
      </c>
      <c r="E1252" s="84">
        <v>2</v>
      </c>
      <c r="F1252" s="84">
        <v>9</v>
      </c>
      <c r="G1252" s="84">
        <v>0</v>
      </c>
      <c r="H1252" s="214"/>
      <c r="I1252" s="245"/>
      <c r="J1252" s="244"/>
      <c r="K1252" s="18"/>
      <c r="L1252" s="83"/>
      <c r="M1252" s="83"/>
      <c r="N1252" s="83"/>
      <c r="O1252" s="83"/>
      <c r="P1252" s="83"/>
      <c r="Q1252" s="83"/>
      <c r="R1252" s="83"/>
      <c r="S1252" s="83"/>
      <c r="T1252" s="83"/>
      <c r="U1252" s="83"/>
      <c r="V1252" s="83"/>
      <c r="W1252" s="83"/>
      <c r="X1252" s="83"/>
      <c r="Y1252" s="20"/>
      <c r="Z1252" s="20"/>
      <c r="AA1252" s="20"/>
      <c r="AB1252" s="20"/>
      <c r="AC1252" s="20"/>
      <c r="AD1252" s="20"/>
      <c r="AE1252" s="20"/>
      <c r="AF1252" s="20"/>
      <c r="AG1252" s="92"/>
      <c r="AH1252" s="92"/>
      <c r="AI1252" s="92"/>
      <c r="AJ1252" s="92"/>
      <c r="AK1252" s="92"/>
      <c r="AL1252" s="284"/>
      <c r="AM1252" s="17"/>
      <c r="AN1252" s="18"/>
      <c r="AO1252" s="18"/>
      <c r="AP1252" s="18"/>
      <c r="AQ1252" s="18"/>
      <c r="AR1252" s="18"/>
      <c r="AS1252" s="18"/>
      <c r="AT1252" s="18"/>
      <c r="AU1252" s="18"/>
      <c r="AV1252" s="18"/>
      <c r="AW1252" s="18"/>
      <c r="AX1252" s="18"/>
      <c r="AY1252" s="18"/>
    </row>
    <row r="1253" spans="1:51" s="33" customFormat="1" ht="13.5" thickBot="1" x14ac:dyDescent="0.35">
      <c r="A1253" s="268" t="s">
        <v>194</v>
      </c>
      <c r="B1253" s="17" t="s">
        <v>1583</v>
      </c>
      <c r="C1253" s="18" t="str">
        <f>+C1252</f>
        <v>DIO1</v>
      </c>
      <c r="D1253" s="18">
        <v>132</v>
      </c>
      <c r="E1253" s="84">
        <f>+E1252</f>
        <v>2</v>
      </c>
      <c r="F1253" s="84">
        <f>+F1252</f>
        <v>9</v>
      </c>
      <c r="G1253" s="84">
        <v>0</v>
      </c>
      <c r="H1253" s="83"/>
      <c r="I1253" s="245" t="s">
        <v>1090</v>
      </c>
      <c r="J1253" s="246"/>
      <c r="K1253" s="165" t="s">
        <v>1471</v>
      </c>
      <c r="L1253" s="83"/>
      <c r="M1253" s="83"/>
      <c r="N1253" s="83"/>
      <c r="O1253" s="83"/>
      <c r="P1253" s="83"/>
      <c r="Q1253" s="83"/>
      <c r="R1253" s="83"/>
      <c r="S1253" s="83"/>
      <c r="T1253" s="83"/>
      <c r="U1253" s="83"/>
      <c r="V1253" s="83"/>
      <c r="W1253" s="83"/>
      <c r="X1253" s="83"/>
      <c r="Y1253" s="20"/>
      <c r="Z1253" s="20"/>
      <c r="AA1253" s="20"/>
      <c r="AB1253" s="20"/>
      <c r="AC1253" s="20"/>
      <c r="AD1253" s="20"/>
      <c r="AE1253" s="20"/>
      <c r="AF1253" s="20"/>
      <c r="AG1253" s="92"/>
      <c r="AH1253" s="92"/>
      <c r="AI1253" s="92"/>
      <c r="AJ1253" s="92"/>
      <c r="AK1253" s="92"/>
      <c r="AL1253" s="284"/>
      <c r="AM1253" s="17"/>
      <c r="AN1253" s="18"/>
      <c r="AO1253" s="18"/>
      <c r="AP1253" s="18"/>
      <c r="AQ1253" s="18"/>
      <c r="AR1253" s="18"/>
      <c r="AS1253" s="18"/>
      <c r="AT1253" s="18"/>
      <c r="AU1253" s="18"/>
      <c r="AV1253" s="18"/>
      <c r="AW1253" s="18"/>
      <c r="AX1253" s="18"/>
      <c r="AY1253" s="18"/>
    </row>
    <row r="1254" spans="1:51" s="33" customFormat="1" ht="13.5" thickBot="1" x14ac:dyDescent="0.35">
      <c r="A1254" s="268" t="s">
        <v>194</v>
      </c>
      <c r="B1254" s="17" t="s">
        <v>1583</v>
      </c>
      <c r="C1254" s="18" t="str">
        <f>+C1253</f>
        <v>DIO1</v>
      </c>
      <c r="D1254" s="18">
        <v>132</v>
      </c>
      <c r="E1254" s="84">
        <f>+E1253</f>
        <v>2</v>
      </c>
      <c r="F1254" s="84">
        <f>+F1253</f>
        <v>9</v>
      </c>
      <c r="G1254" s="84">
        <v>0</v>
      </c>
      <c r="H1254" s="83"/>
      <c r="I1254" s="245" t="s">
        <v>1088</v>
      </c>
      <c r="J1254" s="246"/>
      <c r="K1254" s="18" t="s">
        <v>1470</v>
      </c>
      <c r="L1254" s="83"/>
      <c r="M1254" s="242" t="s">
        <v>1086</v>
      </c>
      <c r="N1254" s="84"/>
      <c r="O1254" s="242" t="s">
        <v>1085</v>
      </c>
      <c r="P1254" s="84"/>
      <c r="Q1254" s="242" t="s">
        <v>1084</v>
      </c>
      <c r="R1254" s="83"/>
      <c r="S1254" s="83"/>
      <c r="T1254" s="83"/>
      <c r="U1254" s="83"/>
      <c r="V1254" s="83"/>
      <c r="W1254" s="83"/>
      <c r="X1254" s="83"/>
      <c r="Y1254" s="20"/>
      <c r="Z1254" s="20"/>
      <c r="AA1254" s="20"/>
      <c r="AB1254" s="20"/>
      <c r="AC1254" s="20"/>
      <c r="AD1254" s="20"/>
      <c r="AE1254" s="20"/>
      <c r="AF1254" s="20"/>
      <c r="AG1254" s="92"/>
      <c r="AH1254" s="92"/>
      <c r="AI1254" s="92"/>
      <c r="AJ1254" s="92"/>
      <c r="AK1254" s="92"/>
      <c r="AL1254" s="284"/>
      <c r="AM1254" s="17"/>
      <c r="AN1254" s="18"/>
      <c r="AO1254" s="18"/>
      <c r="AP1254" s="18"/>
      <c r="AQ1254" s="18"/>
      <c r="AR1254" s="18"/>
      <c r="AS1254" s="18"/>
      <c r="AT1254" s="18"/>
      <c r="AU1254" s="18"/>
      <c r="AV1254" s="18"/>
      <c r="AW1254" s="18"/>
      <c r="AX1254" s="18"/>
      <c r="AY1254" s="18"/>
    </row>
    <row r="1255" spans="1:51" s="33" customFormat="1" ht="13.5" thickBot="1" x14ac:dyDescent="0.35">
      <c r="A1255" s="268" t="s">
        <v>194</v>
      </c>
      <c r="B1255" s="17" t="s">
        <v>1583</v>
      </c>
      <c r="C1255" s="18" t="str">
        <f>+C1254</f>
        <v>DIO1</v>
      </c>
      <c r="D1255" s="18">
        <v>132</v>
      </c>
      <c r="E1255" s="84">
        <f>+E1254</f>
        <v>2</v>
      </c>
      <c r="F1255" s="84">
        <f>+F1254</f>
        <v>9</v>
      </c>
      <c r="G1255" s="84">
        <v>0</v>
      </c>
      <c r="H1255" s="65">
        <v>0</v>
      </c>
      <c r="I1255" s="245" t="s">
        <v>1083</v>
      </c>
      <c r="J1255" s="244"/>
      <c r="K1255" s="17" t="s">
        <v>1082</v>
      </c>
      <c r="L1255" s="99" t="s">
        <v>1314</v>
      </c>
      <c r="M1255" s="242">
        <f>+COUNTA(L1256:L1295)</f>
        <v>32</v>
      </c>
      <c r="N1255" s="84"/>
      <c r="O1255" s="242">
        <f>+COUNTBLANK(O1256:O1295)</f>
        <v>35</v>
      </c>
      <c r="P1255" s="84"/>
      <c r="Q1255" s="241">
        <f>+O1255/M1255</f>
        <v>1.09375</v>
      </c>
      <c r="R1255" s="17"/>
      <c r="S1255" s="17"/>
      <c r="T1255" s="17"/>
      <c r="U1255" s="17"/>
      <c r="V1255" s="17"/>
      <c r="W1255" s="17"/>
      <c r="X1255" s="17"/>
      <c r="Y1255" s="20"/>
      <c r="Z1255" s="20"/>
      <c r="AA1255" s="20"/>
      <c r="AB1255" s="20"/>
      <c r="AC1255" s="20"/>
      <c r="AD1255" s="20"/>
      <c r="AE1255" s="20"/>
      <c r="AF1255" s="20"/>
      <c r="AG1255" s="64"/>
      <c r="AH1255" s="64"/>
      <c r="AI1255" s="64"/>
      <c r="AJ1255" s="64"/>
      <c r="AK1255" s="64"/>
      <c r="AL1255" s="264"/>
      <c r="AM1255" s="17"/>
      <c r="AN1255" s="18"/>
      <c r="AO1255" s="18"/>
      <c r="AP1255" s="18"/>
      <c r="AQ1255" s="18"/>
      <c r="AR1255" s="18"/>
      <c r="AS1255" s="18"/>
      <c r="AT1255" s="18"/>
      <c r="AU1255" s="18"/>
      <c r="AV1255" s="18"/>
      <c r="AW1255" s="18"/>
      <c r="AX1255" s="18"/>
      <c r="AY1255" s="18"/>
    </row>
    <row r="1256" spans="1:51" s="33" customFormat="1" x14ac:dyDescent="0.3">
      <c r="A1256" s="268" t="s">
        <v>194</v>
      </c>
      <c r="B1256" s="17" t="s">
        <v>1583</v>
      </c>
      <c r="C1256" s="18" t="str">
        <f>+C1255</f>
        <v>DIO1</v>
      </c>
      <c r="D1256" s="18">
        <v>132</v>
      </c>
      <c r="E1256" s="84">
        <f>+E1255</f>
        <v>2</v>
      </c>
      <c r="F1256" s="84">
        <f>+F1255</f>
        <v>9</v>
      </c>
      <c r="G1256" s="84">
        <v>0</v>
      </c>
      <c r="H1256" s="202">
        <v>1</v>
      </c>
      <c r="I1256" s="188">
        <v>0</v>
      </c>
      <c r="J1256" s="279" t="s">
        <v>767</v>
      </c>
      <c r="K1256" s="18" t="s">
        <v>766</v>
      </c>
      <c r="L1256" s="17" t="s">
        <v>323</v>
      </c>
      <c r="M1256" s="18">
        <v>4</v>
      </c>
      <c r="N1256" s="18" t="s">
        <v>1598</v>
      </c>
      <c r="O1256" s="17" t="s">
        <v>770</v>
      </c>
      <c r="P1256" s="17"/>
      <c r="Q1256" s="17" t="s">
        <v>1599</v>
      </c>
      <c r="R1256" s="17" t="s">
        <v>211</v>
      </c>
      <c r="S1256" s="17" t="s">
        <v>1302</v>
      </c>
      <c r="T1256" s="18" t="s">
        <v>1598</v>
      </c>
      <c r="U1256" s="17"/>
      <c r="V1256" s="17" t="str">
        <f>+CONCATENATE(E1256,".",F1256,"\",G1256,".",H1256,":",I1256)</f>
        <v>2.9\0.1:0</v>
      </c>
      <c r="W1256" s="17" t="s">
        <v>1597</v>
      </c>
      <c r="X1256" s="17">
        <v>0</v>
      </c>
      <c r="Y1256" s="20"/>
      <c r="Z1256" s="20" t="s">
        <v>1200</v>
      </c>
      <c r="AA1256" s="20"/>
      <c r="AB1256" s="17"/>
      <c r="AC1256" s="20"/>
      <c r="AD1256" s="20"/>
      <c r="AE1256" s="20"/>
      <c r="AF1256" s="17"/>
      <c r="AG1256" s="64" t="s">
        <v>1079</v>
      </c>
      <c r="AH1256" s="64">
        <v>1</v>
      </c>
      <c r="AI1256" s="64"/>
      <c r="AJ1256" s="64"/>
      <c r="AK1256" s="64"/>
      <c r="AL1256" s="264"/>
      <c r="AM1256" s="84"/>
      <c r="AN1256" s="18"/>
      <c r="AO1256" s="18"/>
      <c r="AP1256" s="18"/>
      <c r="AQ1256" s="18"/>
      <c r="AR1256" s="18"/>
      <c r="AS1256" s="18"/>
      <c r="AT1256" s="18"/>
      <c r="AU1256" s="18"/>
      <c r="AV1256" s="18"/>
      <c r="AW1256" s="18"/>
      <c r="AX1256" s="18"/>
      <c r="AY1256" s="18"/>
    </row>
    <row r="1257" spans="1:51" s="33" customFormat="1" x14ac:dyDescent="0.3">
      <c r="A1257" s="63" t="str">
        <f>A1256</f>
        <v>BCV131</v>
      </c>
      <c r="B1257" s="17" t="s">
        <v>1583</v>
      </c>
      <c r="C1257" s="18" t="str">
        <f>+C1256</f>
        <v>DIO1</v>
      </c>
      <c r="D1257" s="18">
        <v>132</v>
      </c>
      <c r="E1257" s="84">
        <f>+E1256</f>
        <v>2</v>
      </c>
      <c r="F1257" s="84">
        <f>+F1256</f>
        <v>9</v>
      </c>
      <c r="G1257" s="84">
        <v>0</v>
      </c>
      <c r="H1257" s="200">
        <f>H1256</f>
        <v>1</v>
      </c>
      <c r="I1257" s="187">
        <f>+I1256+1</f>
        <v>1</v>
      </c>
      <c r="J1257" s="205"/>
      <c r="K1257" s="17"/>
      <c r="L1257" s="17" t="s">
        <v>323</v>
      </c>
      <c r="M1257" s="18"/>
      <c r="N1257" s="18"/>
      <c r="O1257" s="17"/>
      <c r="P1257" s="17"/>
      <c r="Q1257" s="17" t="s">
        <v>127</v>
      </c>
      <c r="R1257" s="17" t="s">
        <v>127</v>
      </c>
      <c r="S1257" s="17"/>
      <c r="T1257" s="18"/>
      <c r="U1257" s="17"/>
      <c r="V1257" s="17" t="str">
        <f>+CONCATENATE(E1257,".",F1257,"\",G1257,".",H1257,":",I1257)</f>
        <v>2.9\0.1:1</v>
      </c>
      <c r="W1257" s="17"/>
      <c r="X1257" s="17"/>
      <c r="Y1257" s="20"/>
      <c r="Z1257" s="20" t="s">
        <v>1159</v>
      </c>
      <c r="AA1257" s="20"/>
      <c r="AB1257" s="17"/>
      <c r="AC1257" s="20"/>
      <c r="AD1257" s="20"/>
      <c r="AE1257" s="20"/>
      <c r="AF1257" s="17"/>
      <c r="AG1257" s="64" t="s">
        <v>1079</v>
      </c>
      <c r="AH1257" s="64">
        <v>2</v>
      </c>
      <c r="AI1257" s="64"/>
      <c r="AJ1257" s="64"/>
      <c r="AK1257" s="64"/>
      <c r="AL1257" s="264"/>
      <c r="AM1257" s="84"/>
      <c r="AN1257" s="18"/>
      <c r="AO1257" s="18"/>
      <c r="AP1257" s="18"/>
      <c r="AQ1257" s="18"/>
      <c r="AR1257" s="18"/>
      <c r="AS1257" s="18"/>
      <c r="AT1257" s="18"/>
      <c r="AU1257" s="18"/>
      <c r="AV1257" s="18"/>
      <c r="AW1257" s="18"/>
      <c r="AX1257" s="18"/>
      <c r="AY1257" s="18"/>
    </row>
    <row r="1258" spans="1:51" s="33" customFormat="1" x14ac:dyDescent="0.3">
      <c r="A1258" s="63" t="str">
        <f>A1257</f>
        <v>BCV131</v>
      </c>
      <c r="B1258" s="17" t="s">
        <v>1583</v>
      </c>
      <c r="C1258" s="18" t="str">
        <f>+C1257</f>
        <v>DIO1</v>
      </c>
      <c r="D1258" s="18">
        <v>132</v>
      </c>
      <c r="E1258" s="84">
        <f>+E1257</f>
        <v>2</v>
      </c>
      <c r="F1258" s="84">
        <f>+F1257</f>
        <v>9</v>
      </c>
      <c r="G1258" s="84">
        <v>0</v>
      </c>
      <c r="H1258" s="200">
        <f>H1256</f>
        <v>1</v>
      </c>
      <c r="I1258" s="187">
        <f>+I1257+1</f>
        <v>2</v>
      </c>
      <c r="J1258" s="205"/>
      <c r="K1258" s="79"/>
      <c r="L1258" s="17" t="s">
        <v>323</v>
      </c>
      <c r="M1258" s="18"/>
      <c r="N1258" s="18"/>
      <c r="O1258" s="17"/>
      <c r="P1258" s="17"/>
      <c r="Q1258" s="17" t="s">
        <v>127</v>
      </c>
      <c r="R1258" s="17" t="s">
        <v>127</v>
      </c>
      <c r="S1258" s="17"/>
      <c r="T1258" s="17"/>
      <c r="U1258" s="17"/>
      <c r="V1258" s="17" t="str">
        <f>+CONCATENATE(E1258,".",F1258,"\",G1258,".",H1258,":",I1258)</f>
        <v>2.9\0.1:2</v>
      </c>
      <c r="W1258" s="17"/>
      <c r="X1258" s="17"/>
      <c r="Y1258" s="20"/>
      <c r="Z1258" s="20" t="s">
        <v>1159</v>
      </c>
      <c r="AA1258" s="20"/>
      <c r="AB1258" s="17"/>
      <c r="AC1258" s="20"/>
      <c r="AD1258" s="20"/>
      <c r="AE1258" s="20"/>
      <c r="AF1258" s="17"/>
      <c r="AG1258" s="64" t="s">
        <v>1079</v>
      </c>
      <c r="AH1258" s="64">
        <v>3</v>
      </c>
      <c r="AI1258" s="64"/>
      <c r="AJ1258" s="64"/>
      <c r="AK1258" s="64"/>
      <c r="AL1258" s="264"/>
      <c r="AM1258" s="84"/>
      <c r="AN1258" s="18"/>
      <c r="AO1258" s="18"/>
      <c r="AP1258" s="18"/>
      <c r="AQ1258" s="18"/>
      <c r="AR1258" s="18"/>
      <c r="AS1258" s="18"/>
      <c r="AT1258" s="18"/>
      <c r="AU1258" s="18"/>
      <c r="AV1258" s="18"/>
      <c r="AW1258" s="18"/>
      <c r="AX1258" s="18"/>
      <c r="AY1258" s="18"/>
    </row>
    <row r="1259" spans="1:51" s="33" customFormat="1" x14ac:dyDescent="0.3">
      <c r="A1259" s="63" t="str">
        <f>A1258</f>
        <v>BCV131</v>
      </c>
      <c r="B1259" s="17" t="s">
        <v>1583</v>
      </c>
      <c r="C1259" s="18" t="str">
        <f>+C1258</f>
        <v>DIO1</v>
      </c>
      <c r="D1259" s="18">
        <v>132</v>
      </c>
      <c r="E1259" s="84">
        <f>+E1258</f>
        <v>2</v>
      </c>
      <c r="F1259" s="84">
        <f>+F1258</f>
        <v>9</v>
      </c>
      <c r="G1259" s="84">
        <v>0</v>
      </c>
      <c r="H1259" s="200">
        <f>H1256</f>
        <v>1</v>
      </c>
      <c r="I1259" s="187">
        <f>+I1258+1</f>
        <v>3</v>
      </c>
      <c r="J1259" s="205"/>
      <c r="K1259" s="79"/>
      <c r="L1259" s="17" t="s">
        <v>323</v>
      </c>
      <c r="M1259" s="18"/>
      <c r="N1259" s="18"/>
      <c r="O1259" s="17"/>
      <c r="P1259" s="17"/>
      <c r="Q1259" s="17" t="s">
        <v>127</v>
      </c>
      <c r="R1259" s="17" t="s">
        <v>127</v>
      </c>
      <c r="S1259" s="17"/>
      <c r="T1259" s="17"/>
      <c r="U1259" s="17"/>
      <c r="V1259" s="17" t="str">
        <f>+CONCATENATE(E1259,".",F1259,"\",G1259,".",H1259,":",I1259)</f>
        <v>2.9\0.1:3</v>
      </c>
      <c r="W1259" s="17"/>
      <c r="X1259" s="17"/>
      <c r="Y1259" s="20"/>
      <c r="Z1259" s="20" t="s">
        <v>1159</v>
      </c>
      <c r="AA1259" s="20"/>
      <c r="AB1259" s="17"/>
      <c r="AC1259" s="20"/>
      <c r="AD1259" s="20"/>
      <c r="AE1259" s="20"/>
      <c r="AF1259" s="17"/>
      <c r="AG1259" s="64" t="s">
        <v>1079</v>
      </c>
      <c r="AH1259" s="64">
        <v>4</v>
      </c>
      <c r="AI1259" s="64"/>
      <c r="AJ1259" s="64"/>
      <c r="AK1259" s="64"/>
      <c r="AL1259" s="264"/>
      <c r="AM1259" s="84"/>
      <c r="AN1259" s="18"/>
      <c r="AO1259" s="18"/>
      <c r="AP1259" s="18"/>
      <c r="AQ1259" s="18"/>
      <c r="AR1259" s="18"/>
      <c r="AS1259" s="18"/>
      <c r="AT1259" s="18"/>
      <c r="AU1259" s="18"/>
      <c r="AV1259" s="18"/>
      <c r="AW1259" s="18"/>
      <c r="AX1259" s="18"/>
      <c r="AY1259" s="18"/>
    </row>
    <row r="1260" spans="1:51" s="33" customFormat="1" x14ac:dyDescent="0.3">
      <c r="A1260" s="63" t="str">
        <f>A1259</f>
        <v>BCV131</v>
      </c>
      <c r="B1260" s="17" t="s">
        <v>1583</v>
      </c>
      <c r="C1260" s="18" t="str">
        <f>+C1259</f>
        <v>DIO1</v>
      </c>
      <c r="D1260" s="18">
        <v>132</v>
      </c>
      <c r="E1260" s="84">
        <f>+E1259</f>
        <v>2</v>
      </c>
      <c r="F1260" s="84">
        <f>+F1259</f>
        <v>9</v>
      </c>
      <c r="G1260" s="84">
        <v>0</v>
      </c>
      <c r="H1260" s="200">
        <f>H1257</f>
        <v>1</v>
      </c>
      <c r="I1260" s="187">
        <f>+I1259+1</f>
        <v>4</v>
      </c>
      <c r="J1260" s="205"/>
      <c r="K1260" s="79"/>
      <c r="L1260" s="17" t="s">
        <v>323</v>
      </c>
      <c r="M1260" s="18"/>
      <c r="N1260" s="18"/>
      <c r="O1260" s="17"/>
      <c r="P1260" s="17"/>
      <c r="Q1260" s="17" t="s">
        <v>127</v>
      </c>
      <c r="R1260" s="17" t="s">
        <v>127</v>
      </c>
      <c r="S1260" s="17"/>
      <c r="T1260" s="18"/>
      <c r="U1260" s="17"/>
      <c r="V1260" s="17" t="str">
        <f>+CONCATENATE(E1260,".",F1260,"\",G1260,".",H1260,":",I1260)</f>
        <v>2.9\0.1:4</v>
      </c>
      <c r="W1260" s="17"/>
      <c r="X1260" s="17"/>
      <c r="Y1260" s="20"/>
      <c r="Z1260" s="20" t="s">
        <v>1159</v>
      </c>
      <c r="AA1260" s="20"/>
      <c r="AB1260" s="17"/>
      <c r="AC1260" s="20"/>
      <c r="AD1260" s="20"/>
      <c r="AE1260" s="20"/>
      <c r="AF1260" s="17"/>
      <c r="AG1260" s="64" t="s">
        <v>1079</v>
      </c>
      <c r="AH1260" s="64">
        <v>5</v>
      </c>
      <c r="AI1260" s="64"/>
      <c r="AJ1260" s="64"/>
      <c r="AK1260" s="64"/>
      <c r="AL1260" s="264"/>
      <c r="AM1260" s="84"/>
      <c r="AN1260" s="18"/>
      <c r="AO1260" s="18"/>
      <c r="AP1260" s="18"/>
      <c r="AQ1260" s="18"/>
      <c r="AR1260" s="18"/>
      <c r="AS1260" s="18"/>
      <c r="AT1260" s="18"/>
      <c r="AU1260" s="18"/>
      <c r="AV1260" s="18"/>
      <c r="AW1260" s="18"/>
      <c r="AX1260" s="18"/>
      <c r="AY1260" s="18"/>
    </row>
    <row r="1261" spans="1:51" s="33" customFormat="1" x14ac:dyDescent="0.3">
      <c r="A1261" s="63" t="str">
        <f>A1260</f>
        <v>BCV131</v>
      </c>
      <c r="B1261" s="17" t="s">
        <v>1583</v>
      </c>
      <c r="C1261" s="18" t="str">
        <f>+C1260</f>
        <v>DIO1</v>
      </c>
      <c r="D1261" s="18">
        <v>132</v>
      </c>
      <c r="E1261" s="84">
        <f>+E1260</f>
        <v>2</v>
      </c>
      <c r="F1261" s="84">
        <f>+F1260</f>
        <v>9</v>
      </c>
      <c r="G1261" s="84">
        <v>0</v>
      </c>
      <c r="H1261" s="200">
        <f>H1258</f>
        <v>1</v>
      </c>
      <c r="I1261" s="187">
        <f>+I1260+1</f>
        <v>5</v>
      </c>
      <c r="J1261" s="205"/>
      <c r="K1261" s="79"/>
      <c r="L1261" s="17" t="s">
        <v>323</v>
      </c>
      <c r="M1261" s="18"/>
      <c r="N1261" s="18"/>
      <c r="O1261" s="17"/>
      <c r="P1261" s="17"/>
      <c r="Q1261" s="17" t="s">
        <v>127</v>
      </c>
      <c r="R1261" s="17" t="s">
        <v>127</v>
      </c>
      <c r="S1261" s="17"/>
      <c r="T1261" s="18"/>
      <c r="U1261" s="17"/>
      <c r="V1261" s="17" t="str">
        <f>+CONCATENATE(E1261,".",F1261,"\",G1261,".",H1261,":",I1261)</f>
        <v>2.9\0.1:5</v>
      </c>
      <c r="W1261" s="17"/>
      <c r="X1261" s="17"/>
      <c r="Y1261" s="20"/>
      <c r="Z1261" s="20" t="s">
        <v>1159</v>
      </c>
      <c r="AA1261" s="20"/>
      <c r="AB1261" s="17"/>
      <c r="AC1261" s="20"/>
      <c r="AD1261" s="20"/>
      <c r="AE1261" s="20"/>
      <c r="AF1261" s="17"/>
      <c r="AG1261" s="64" t="s">
        <v>1079</v>
      </c>
      <c r="AH1261" s="64">
        <v>6</v>
      </c>
      <c r="AI1261" s="64"/>
      <c r="AJ1261" s="64"/>
      <c r="AK1261" s="64"/>
      <c r="AL1261" s="264"/>
      <c r="AM1261" s="84"/>
      <c r="AN1261" s="18"/>
      <c r="AO1261" s="18"/>
      <c r="AP1261" s="18"/>
      <c r="AQ1261" s="18"/>
      <c r="AR1261" s="18"/>
      <c r="AS1261" s="18"/>
      <c r="AT1261" s="18"/>
      <c r="AU1261" s="18"/>
      <c r="AV1261" s="18"/>
      <c r="AW1261" s="18"/>
      <c r="AX1261" s="18"/>
      <c r="AY1261" s="18"/>
    </row>
    <row r="1262" spans="1:51" s="33" customFormat="1" x14ac:dyDescent="0.3">
      <c r="A1262" s="63" t="str">
        <f>A1261</f>
        <v>BCV131</v>
      </c>
      <c r="B1262" s="17" t="s">
        <v>1583</v>
      </c>
      <c r="C1262" s="18" t="str">
        <f>+C1261</f>
        <v>DIO1</v>
      </c>
      <c r="D1262" s="18">
        <v>132</v>
      </c>
      <c r="E1262" s="84">
        <f>+E1261</f>
        <v>2</v>
      </c>
      <c r="F1262" s="84">
        <f>+F1261</f>
        <v>9</v>
      </c>
      <c r="G1262" s="84">
        <v>0</v>
      </c>
      <c r="H1262" s="200">
        <f>H1259</f>
        <v>1</v>
      </c>
      <c r="I1262" s="187">
        <f>+I1261+1</f>
        <v>6</v>
      </c>
      <c r="J1262" s="205"/>
      <c r="K1262" s="79"/>
      <c r="L1262" s="17" t="s">
        <v>323</v>
      </c>
      <c r="M1262" s="18"/>
      <c r="N1262" s="18"/>
      <c r="O1262" s="280"/>
      <c r="P1262" s="280"/>
      <c r="Q1262" s="17" t="s">
        <v>127</v>
      </c>
      <c r="R1262" s="17" t="s">
        <v>127</v>
      </c>
      <c r="S1262" s="17"/>
      <c r="T1262" s="18"/>
      <c r="U1262" s="17"/>
      <c r="V1262" s="17" t="str">
        <f>+CONCATENATE(E1262,".",F1262,"\",G1262,".",H1262,":",I1262)</f>
        <v>2.9\0.1:6</v>
      </c>
      <c r="W1262" s="17"/>
      <c r="X1262" s="17"/>
      <c r="Y1262" s="20"/>
      <c r="Z1262" s="20" t="s">
        <v>1159</v>
      </c>
      <c r="AA1262" s="20"/>
      <c r="AB1262" s="17"/>
      <c r="AC1262" s="20"/>
      <c r="AD1262" s="20"/>
      <c r="AE1262" s="20"/>
      <c r="AF1262" s="17"/>
      <c r="AG1262" s="64" t="s">
        <v>1079</v>
      </c>
      <c r="AH1262" s="64">
        <v>7</v>
      </c>
      <c r="AI1262" s="64"/>
      <c r="AJ1262" s="64"/>
      <c r="AK1262" s="64"/>
      <c r="AL1262" s="264"/>
      <c r="AM1262" s="84"/>
      <c r="AN1262" s="18"/>
      <c r="AO1262" s="18"/>
      <c r="AP1262" s="18"/>
      <c r="AQ1262" s="18"/>
      <c r="AR1262" s="18"/>
      <c r="AS1262" s="18"/>
      <c r="AT1262" s="18"/>
      <c r="AU1262" s="18"/>
      <c r="AV1262" s="18"/>
      <c r="AW1262" s="18"/>
      <c r="AX1262" s="18"/>
      <c r="AY1262" s="18"/>
    </row>
    <row r="1263" spans="1:51" s="33" customFormat="1" x14ac:dyDescent="0.3">
      <c r="A1263" s="63" t="str">
        <f>A1262</f>
        <v>BCV131</v>
      </c>
      <c r="B1263" s="17" t="s">
        <v>1583</v>
      </c>
      <c r="C1263" s="18" t="str">
        <f>+C1262</f>
        <v>DIO1</v>
      </c>
      <c r="D1263" s="18">
        <v>132</v>
      </c>
      <c r="E1263" s="84">
        <f>+E1262</f>
        <v>2</v>
      </c>
      <c r="F1263" s="84">
        <f>+F1262</f>
        <v>9</v>
      </c>
      <c r="G1263" s="84">
        <v>0</v>
      </c>
      <c r="H1263" s="200">
        <f>H1260</f>
        <v>1</v>
      </c>
      <c r="I1263" s="187">
        <f>+I1262+1</f>
        <v>7</v>
      </c>
      <c r="J1263" s="205"/>
      <c r="K1263" s="79"/>
      <c r="L1263" s="17" t="s">
        <v>323</v>
      </c>
      <c r="M1263" s="18"/>
      <c r="N1263" s="18"/>
      <c r="O1263" s="280"/>
      <c r="P1263" s="280"/>
      <c r="Q1263" s="17" t="s">
        <v>127</v>
      </c>
      <c r="R1263" s="17" t="s">
        <v>127</v>
      </c>
      <c r="S1263" s="17"/>
      <c r="T1263" s="18"/>
      <c r="U1263" s="17"/>
      <c r="V1263" s="17" t="str">
        <f>+CONCATENATE(E1263,".",F1263,"\",G1263,".",H1263,":",I1263)</f>
        <v>2.9\0.1:7</v>
      </c>
      <c r="W1263" s="17"/>
      <c r="X1263" s="17"/>
      <c r="Y1263" s="20"/>
      <c r="Z1263" s="20" t="s">
        <v>1159</v>
      </c>
      <c r="AA1263" s="20"/>
      <c r="AB1263" s="17"/>
      <c r="AC1263" s="20"/>
      <c r="AD1263" s="20"/>
      <c r="AE1263" s="20"/>
      <c r="AF1263" s="17"/>
      <c r="AG1263" s="64" t="s">
        <v>1079</v>
      </c>
      <c r="AH1263" s="64">
        <v>8</v>
      </c>
      <c r="AI1263" s="64"/>
      <c r="AJ1263" s="64"/>
      <c r="AK1263" s="64"/>
      <c r="AL1263" s="264"/>
      <c r="AM1263" s="84"/>
      <c r="AN1263" s="18"/>
      <c r="AO1263" s="18"/>
      <c r="AP1263" s="18"/>
      <c r="AQ1263" s="18"/>
      <c r="AR1263" s="18"/>
      <c r="AS1263" s="18"/>
      <c r="AT1263" s="18"/>
      <c r="AU1263" s="18"/>
      <c r="AV1263" s="18"/>
      <c r="AW1263" s="18"/>
      <c r="AX1263" s="18"/>
      <c r="AY1263" s="18"/>
    </row>
    <row r="1264" spans="1:51" s="33" customFormat="1" x14ac:dyDescent="0.3">
      <c r="A1264" s="63" t="str">
        <f>A1263</f>
        <v>BCV131</v>
      </c>
      <c r="B1264" s="17" t="s">
        <v>1583</v>
      </c>
      <c r="C1264" s="18" t="str">
        <f>+C1263</f>
        <v>DIO1</v>
      </c>
      <c r="D1264" s="18">
        <v>132</v>
      </c>
      <c r="E1264" s="84">
        <f>+E1263</f>
        <v>2</v>
      </c>
      <c r="F1264" s="84">
        <f>+F1263</f>
        <v>9</v>
      </c>
      <c r="G1264" s="84">
        <v>0</v>
      </c>
      <c r="H1264" s="200">
        <f>H1261</f>
        <v>1</v>
      </c>
      <c r="I1264" s="187">
        <f>+I1263+1</f>
        <v>8</v>
      </c>
      <c r="J1264" s="205"/>
      <c r="K1264" s="79"/>
      <c r="L1264" s="17" t="s">
        <v>323</v>
      </c>
      <c r="M1264" s="18">
        <v>4</v>
      </c>
      <c r="N1264" s="18" t="s">
        <v>1596</v>
      </c>
      <c r="O1264" s="17" t="s">
        <v>1595</v>
      </c>
      <c r="P1264" s="17"/>
      <c r="Q1264" s="17" t="s">
        <v>1594</v>
      </c>
      <c r="R1264" s="17" t="s">
        <v>211</v>
      </c>
      <c r="S1264" s="17"/>
      <c r="T1264" s="17" t="s">
        <v>194</v>
      </c>
      <c r="U1264" s="17"/>
      <c r="V1264" s="17" t="str">
        <f>+CONCATENATE(E1264,".",F1264,"\",G1264,".",H1264,":",I1264)</f>
        <v>2.9\0.1:8</v>
      </c>
      <c r="W1264" s="17" t="s">
        <v>1584</v>
      </c>
      <c r="X1264" s="17">
        <v>0</v>
      </c>
      <c r="Y1264" s="20"/>
      <c r="Z1264" s="20" t="s">
        <v>1159</v>
      </c>
      <c r="AA1264" s="20"/>
      <c r="AB1264" s="17"/>
      <c r="AC1264" s="20"/>
      <c r="AD1264" s="20"/>
      <c r="AE1264" s="20"/>
      <c r="AF1264" s="17"/>
      <c r="AG1264" s="64" t="s">
        <v>1079</v>
      </c>
      <c r="AH1264" s="64">
        <v>9</v>
      </c>
      <c r="AI1264" s="64">
        <v>10</v>
      </c>
      <c r="AJ1264" s="64"/>
      <c r="AK1264" s="64"/>
      <c r="AL1264" s="264"/>
      <c r="AM1264" s="84"/>
      <c r="AN1264" s="18"/>
      <c r="AO1264" s="18"/>
      <c r="AP1264" s="18"/>
      <c r="AQ1264" s="18"/>
      <c r="AR1264" s="18"/>
      <c r="AS1264" s="18"/>
      <c r="AT1264" s="18"/>
      <c r="AU1264" s="18"/>
      <c r="AV1264" s="18"/>
      <c r="AW1264" s="18"/>
      <c r="AX1264" s="18"/>
      <c r="AY1264" s="18"/>
    </row>
    <row r="1265" spans="1:51" s="33" customFormat="1" x14ac:dyDescent="0.3">
      <c r="A1265" s="63" t="str">
        <f>A1264</f>
        <v>BCV131</v>
      </c>
      <c r="B1265" s="17" t="s">
        <v>1583</v>
      </c>
      <c r="C1265" s="18" t="str">
        <f>+C1264</f>
        <v>DIO1</v>
      </c>
      <c r="D1265" s="18">
        <v>132</v>
      </c>
      <c r="E1265" s="84">
        <f>+E1264</f>
        <v>2</v>
      </c>
      <c r="F1265" s="84">
        <f>+F1264</f>
        <v>9</v>
      </c>
      <c r="G1265" s="84">
        <v>0</v>
      </c>
      <c r="H1265" s="200">
        <f>H1262</f>
        <v>1</v>
      </c>
      <c r="I1265" s="187">
        <f>+I1264+1</f>
        <v>9</v>
      </c>
      <c r="J1265" s="205"/>
      <c r="K1265" s="79"/>
      <c r="L1265" s="17" t="s">
        <v>323</v>
      </c>
      <c r="M1265" s="18">
        <v>4</v>
      </c>
      <c r="N1265" s="18" t="s">
        <v>1593</v>
      </c>
      <c r="O1265" s="17" t="s">
        <v>1592</v>
      </c>
      <c r="P1265" s="17"/>
      <c r="Q1265" s="17" t="s">
        <v>1591</v>
      </c>
      <c r="R1265" s="17" t="s">
        <v>211</v>
      </c>
      <c r="S1265" s="17"/>
      <c r="T1265" s="17" t="s">
        <v>194</v>
      </c>
      <c r="U1265" s="17"/>
      <c r="V1265" s="17" t="str">
        <f>+CONCATENATE(E1265,".",F1265,"\",G1265,".",H1265,":",I1265)</f>
        <v>2.9\0.1:9</v>
      </c>
      <c r="W1265" s="17" t="s">
        <v>1584</v>
      </c>
      <c r="X1265" s="17">
        <v>0</v>
      </c>
      <c r="Y1265" s="20"/>
      <c r="Z1265" s="20" t="s">
        <v>1159</v>
      </c>
      <c r="AA1265" s="20"/>
      <c r="AB1265" s="17"/>
      <c r="AC1265" s="20"/>
      <c r="AD1265" s="20"/>
      <c r="AE1265" s="20"/>
      <c r="AF1265" s="17"/>
      <c r="AG1265" s="64" t="s">
        <v>1079</v>
      </c>
      <c r="AH1265" s="64">
        <v>11</v>
      </c>
      <c r="AI1265" s="64">
        <v>12</v>
      </c>
      <c r="AJ1265" s="64"/>
      <c r="AK1265" s="64"/>
      <c r="AL1265" s="264"/>
      <c r="AM1265" s="84"/>
      <c r="AN1265" s="18"/>
      <c r="AO1265" s="18"/>
      <c r="AP1265" s="18"/>
      <c r="AQ1265" s="18"/>
      <c r="AR1265" s="18"/>
      <c r="AS1265" s="18"/>
      <c r="AT1265" s="18"/>
      <c r="AU1265" s="18"/>
      <c r="AV1265" s="18"/>
      <c r="AW1265" s="18"/>
      <c r="AX1265" s="18"/>
      <c r="AY1265" s="18"/>
    </row>
    <row r="1266" spans="1:51" s="33" customFormat="1" x14ac:dyDescent="0.3">
      <c r="A1266" s="63" t="str">
        <f>A1265</f>
        <v>BCV131</v>
      </c>
      <c r="B1266" s="17" t="s">
        <v>1583</v>
      </c>
      <c r="C1266" s="18" t="str">
        <f>+C1265</f>
        <v>DIO1</v>
      </c>
      <c r="D1266" s="18">
        <v>132</v>
      </c>
      <c r="E1266" s="84">
        <f>+E1265</f>
        <v>2</v>
      </c>
      <c r="F1266" s="84">
        <f>+F1265</f>
        <v>9</v>
      </c>
      <c r="G1266" s="84">
        <v>0</v>
      </c>
      <c r="H1266" s="200">
        <f>H1263</f>
        <v>1</v>
      </c>
      <c r="I1266" s="187">
        <f>+I1265+1</f>
        <v>10</v>
      </c>
      <c r="J1266" s="205"/>
      <c r="K1266" s="79"/>
      <c r="L1266" s="17" t="s">
        <v>323</v>
      </c>
      <c r="M1266" s="18">
        <v>4</v>
      </c>
      <c r="N1266" s="18" t="s">
        <v>1590</v>
      </c>
      <c r="O1266" s="280" t="s">
        <v>1589</v>
      </c>
      <c r="P1266" s="280"/>
      <c r="Q1266" s="17" t="s">
        <v>1588</v>
      </c>
      <c r="R1266" s="17" t="s">
        <v>211</v>
      </c>
      <c r="S1266" s="17"/>
      <c r="T1266" s="17" t="s">
        <v>194</v>
      </c>
      <c r="U1266" s="17"/>
      <c r="V1266" s="17" t="str">
        <f>+CONCATENATE(E1266,".",F1266,"\",G1266,".",H1266,":",I1266)</f>
        <v>2.9\0.1:10</v>
      </c>
      <c r="W1266" s="17" t="s">
        <v>1584</v>
      </c>
      <c r="X1266" s="17">
        <v>0</v>
      </c>
      <c r="Y1266" s="17"/>
      <c r="Z1266" s="20" t="s">
        <v>1159</v>
      </c>
      <c r="AA1266" s="17"/>
      <c r="AB1266" s="17"/>
      <c r="AC1266" s="20"/>
      <c r="AD1266" s="20"/>
      <c r="AE1266" s="20"/>
      <c r="AF1266" s="17"/>
      <c r="AG1266" s="64" t="s">
        <v>1079</v>
      </c>
      <c r="AH1266" s="64">
        <v>13</v>
      </c>
      <c r="AI1266" s="64">
        <v>14</v>
      </c>
      <c r="AJ1266" s="64"/>
      <c r="AK1266" s="64"/>
      <c r="AL1266" s="264"/>
      <c r="AM1266" s="84"/>
      <c r="AN1266" s="18"/>
      <c r="AO1266" s="18"/>
      <c r="AP1266" s="18"/>
      <c r="AQ1266" s="18"/>
      <c r="AR1266" s="18"/>
      <c r="AS1266" s="18"/>
      <c r="AT1266" s="18"/>
      <c r="AU1266" s="18"/>
      <c r="AV1266" s="18"/>
      <c r="AW1266" s="18"/>
      <c r="AX1266" s="18"/>
      <c r="AY1266" s="18"/>
    </row>
    <row r="1267" spans="1:51" s="33" customFormat="1" x14ac:dyDescent="0.3">
      <c r="A1267" s="63" t="str">
        <f>A1266</f>
        <v>BCV131</v>
      </c>
      <c r="B1267" s="17" t="s">
        <v>1583</v>
      </c>
      <c r="C1267" s="18" t="str">
        <f>+C1266</f>
        <v>DIO1</v>
      </c>
      <c r="D1267" s="18">
        <v>132</v>
      </c>
      <c r="E1267" s="84">
        <f>+E1266</f>
        <v>2</v>
      </c>
      <c r="F1267" s="84">
        <f>+F1266</f>
        <v>9</v>
      </c>
      <c r="G1267" s="84">
        <v>0</v>
      </c>
      <c r="H1267" s="200">
        <f>H1264</f>
        <v>1</v>
      </c>
      <c r="I1267" s="187">
        <f>+I1266+1</f>
        <v>11</v>
      </c>
      <c r="J1267" s="205"/>
      <c r="K1267" s="79"/>
      <c r="L1267" s="17" t="s">
        <v>323</v>
      </c>
      <c r="M1267" s="18">
        <v>4</v>
      </c>
      <c r="N1267" s="18" t="s">
        <v>1587</v>
      </c>
      <c r="O1267" s="280" t="s">
        <v>1586</v>
      </c>
      <c r="P1267" s="280"/>
      <c r="Q1267" s="17" t="s">
        <v>1585</v>
      </c>
      <c r="R1267" s="17" t="s">
        <v>211</v>
      </c>
      <c r="S1267" s="17"/>
      <c r="T1267" s="17" t="s">
        <v>194</v>
      </c>
      <c r="U1267" s="17"/>
      <c r="V1267" s="17" t="str">
        <f>+CONCATENATE(E1267,".",F1267,"\",G1267,".",H1267,":",I1267)</f>
        <v>2.9\0.1:11</v>
      </c>
      <c r="W1267" s="17" t="s">
        <v>1584</v>
      </c>
      <c r="X1267" s="17">
        <v>0</v>
      </c>
      <c r="Y1267" s="17"/>
      <c r="Z1267" s="20" t="s">
        <v>1159</v>
      </c>
      <c r="AA1267" s="17"/>
      <c r="AB1267" s="17"/>
      <c r="AC1267" s="20"/>
      <c r="AD1267" s="20"/>
      <c r="AE1267" s="20"/>
      <c r="AF1267" s="17"/>
      <c r="AG1267" s="64" t="s">
        <v>1079</v>
      </c>
      <c r="AH1267" s="64">
        <v>15</v>
      </c>
      <c r="AI1267" s="64">
        <v>16</v>
      </c>
      <c r="AJ1267" s="64"/>
      <c r="AK1267" s="64"/>
      <c r="AL1267" s="264"/>
      <c r="AM1267" s="84"/>
      <c r="AN1267" s="18"/>
      <c r="AO1267" s="18"/>
      <c r="AP1267" s="18"/>
      <c r="AQ1267" s="18"/>
      <c r="AR1267" s="18"/>
      <c r="AS1267" s="18"/>
      <c r="AT1267" s="18"/>
      <c r="AU1267" s="18"/>
      <c r="AV1267" s="18"/>
      <c r="AW1267" s="18"/>
      <c r="AX1267" s="18"/>
      <c r="AY1267" s="18"/>
    </row>
    <row r="1268" spans="1:51" s="33" customFormat="1" x14ac:dyDescent="0.3">
      <c r="A1268" s="63" t="str">
        <f>A1267</f>
        <v>BCV131</v>
      </c>
      <c r="B1268" s="17" t="s">
        <v>1583</v>
      </c>
      <c r="C1268" s="18" t="str">
        <f>+C1267</f>
        <v>DIO1</v>
      </c>
      <c r="D1268" s="18">
        <v>132</v>
      </c>
      <c r="E1268" s="84">
        <f>+E1267</f>
        <v>2</v>
      </c>
      <c r="F1268" s="84">
        <f>+F1267</f>
        <v>9</v>
      </c>
      <c r="G1268" s="84">
        <v>0</v>
      </c>
      <c r="H1268" s="200">
        <f>H1265</f>
        <v>1</v>
      </c>
      <c r="I1268" s="187">
        <f>+I1267+1</f>
        <v>12</v>
      </c>
      <c r="J1268" s="205"/>
      <c r="K1268" s="79"/>
      <c r="L1268" s="17" t="s">
        <v>323</v>
      </c>
      <c r="M1268" s="18"/>
      <c r="N1268" s="165"/>
      <c r="O1268" s="97"/>
      <c r="P1268" s="97"/>
      <c r="Q1268" s="97" t="s">
        <v>127</v>
      </c>
      <c r="R1268" s="97" t="s">
        <v>127</v>
      </c>
      <c r="S1268" s="17"/>
      <c r="T1268" s="17"/>
      <c r="U1268" s="17"/>
      <c r="V1268" s="17" t="str">
        <f>+CONCATENATE(E1268,".",F1268,"\",G1268,".",H1268,":",I1268)</f>
        <v>2.9\0.1:12</v>
      </c>
      <c r="W1268" s="17"/>
      <c r="X1268" s="17"/>
      <c r="Y1268" s="20"/>
      <c r="Z1268" s="20" t="s">
        <v>1159</v>
      </c>
      <c r="AA1268" s="20"/>
      <c r="AB1268" s="17"/>
      <c r="AC1268" s="20"/>
      <c r="AD1268" s="20"/>
      <c r="AE1268" s="20"/>
      <c r="AF1268" s="17"/>
      <c r="AG1268" s="64" t="s">
        <v>1079</v>
      </c>
      <c r="AH1268" s="64">
        <v>17</v>
      </c>
      <c r="AI1268" s="64">
        <v>18</v>
      </c>
      <c r="AJ1268" s="64"/>
      <c r="AK1268" s="64"/>
      <c r="AL1268" s="264"/>
      <c r="AM1268" s="84"/>
      <c r="AN1268" s="18"/>
      <c r="AO1268" s="18"/>
      <c r="AP1268" s="18"/>
      <c r="AQ1268" s="18"/>
      <c r="AR1268" s="18"/>
      <c r="AS1268" s="18"/>
      <c r="AT1268" s="18"/>
      <c r="AU1268" s="18"/>
      <c r="AV1268" s="18"/>
      <c r="AW1268" s="18"/>
      <c r="AX1268" s="18"/>
      <c r="AY1268" s="18"/>
    </row>
    <row r="1269" spans="1:51" s="33" customFormat="1" x14ac:dyDescent="0.3">
      <c r="A1269" s="63" t="str">
        <f>A1268</f>
        <v>BCV131</v>
      </c>
      <c r="B1269" s="17" t="s">
        <v>1583</v>
      </c>
      <c r="C1269" s="18" t="str">
        <f>+C1268</f>
        <v>DIO1</v>
      </c>
      <c r="D1269" s="18">
        <v>132</v>
      </c>
      <c r="E1269" s="84">
        <f>+E1268</f>
        <v>2</v>
      </c>
      <c r="F1269" s="84">
        <f>+F1268</f>
        <v>9</v>
      </c>
      <c r="G1269" s="84">
        <v>0</v>
      </c>
      <c r="H1269" s="200">
        <f>H1266</f>
        <v>1</v>
      </c>
      <c r="I1269" s="187">
        <f>+I1268+1</f>
        <v>13</v>
      </c>
      <c r="J1269" s="205"/>
      <c r="K1269" s="79"/>
      <c r="L1269" s="17" t="s">
        <v>323</v>
      </c>
      <c r="M1269" s="18"/>
      <c r="N1269" s="165"/>
      <c r="O1269" s="17"/>
      <c r="P1269" s="17"/>
      <c r="Q1269" s="17" t="s">
        <v>127</v>
      </c>
      <c r="R1269" s="17" t="s">
        <v>127</v>
      </c>
      <c r="S1269" s="17"/>
      <c r="T1269" s="17"/>
      <c r="U1269" s="17"/>
      <c r="V1269" s="17" t="str">
        <f>+CONCATENATE(E1269,".",F1269,"\",G1269,".",H1269,":",I1269)</f>
        <v>2.9\0.1:13</v>
      </c>
      <c r="W1269" s="17"/>
      <c r="X1269" s="17"/>
      <c r="Y1269" s="20"/>
      <c r="Z1269" s="20" t="s">
        <v>1159</v>
      </c>
      <c r="AA1269" s="20"/>
      <c r="AB1269" s="17"/>
      <c r="AC1269" s="20"/>
      <c r="AD1269" s="20"/>
      <c r="AE1269" s="20"/>
      <c r="AF1269" s="17"/>
      <c r="AG1269" s="64" t="s">
        <v>1079</v>
      </c>
      <c r="AH1269" s="64">
        <v>19</v>
      </c>
      <c r="AI1269" s="64">
        <v>20</v>
      </c>
      <c r="AJ1269" s="64"/>
      <c r="AK1269" s="64"/>
      <c r="AL1269" s="264"/>
      <c r="AM1269" s="84"/>
      <c r="AN1269" s="18"/>
      <c r="AO1269" s="18"/>
      <c r="AP1269" s="18"/>
      <c r="AQ1269" s="18"/>
      <c r="AR1269" s="18"/>
      <c r="AS1269" s="18"/>
      <c r="AT1269" s="18"/>
      <c r="AU1269" s="18"/>
      <c r="AV1269" s="18"/>
      <c r="AW1269" s="18"/>
      <c r="AX1269" s="18"/>
      <c r="AY1269" s="18"/>
    </row>
    <row r="1270" spans="1:51" s="33" customFormat="1" x14ac:dyDescent="0.3">
      <c r="A1270" s="63" t="str">
        <f>A1269</f>
        <v>BCV131</v>
      </c>
      <c r="B1270" s="17" t="s">
        <v>1583</v>
      </c>
      <c r="C1270" s="18" t="str">
        <f>+C1269</f>
        <v>DIO1</v>
      </c>
      <c r="D1270" s="18">
        <v>132</v>
      </c>
      <c r="E1270" s="84">
        <f>+E1269</f>
        <v>2</v>
      </c>
      <c r="F1270" s="84">
        <f>+F1269</f>
        <v>9</v>
      </c>
      <c r="G1270" s="84">
        <v>0</v>
      </c>
      <c r="H1270" s="200">
        <f>H1267</f>
        <v>1</v>
      </c>
      <c r="I1270" s="187">
        <f>+I1269+1</f>
        <v>14</v>
      </c>
      <c r="J1270" s="205"/>
      <c r="K1270" s="79"/>
      <c r="L1270" s="17" t="s">
        <v>323</v>
      </c>
      <c r="M1270" s="18"/>
      <c r="N1270" s="165"/>
      <c r="O1270" s="17"/>
      <c r="P1270" s="17"/>
      <c r="Q1270" s="17" t="s">
        <v>127</v>
      </c>
      <c r="R1270" s="17" t="s">
        <v>127</v>
      </c>
      <c r="S1270" s="17"/>
      <c r="T1270" s="17"/>
      <c r="U1270" s="17"/>
      <c r="V1270" s="17" t="str">
        <f>+CONCATENATE(E1270,".",F1270,"\",G1270,".",H1270,":",I1270)</f>
        <v>2.9\0.1:14</v>
      </c>
      <c r="W1270" s="17"/>
      <c r="X1270" s="17"/>
      <c r="Y1270" s="20"/>
      <c r="Z1270" s="20" t="s">
        <v>1159</v>
      </c>
      <c r="AA1270" s="20"/>
      <c r="AB1270" s="17"/>
      <c r="AC1270" s="20"/>
      <c r="AD1270" s="20"/>
      <c r="AE1270" s="20"/>
      <c r="AF1270" s="17"/>
      <c r="AG1270" s="64" t="s">
        <v>1079</v>
      </c>
      <c r="AH1270" s="64">
        <v>21</v>
      </c>
      <c r="AI1270" s="64">
        <v>22</v>
      </c>
      <c r="AJ1270" s="64"/>
      <c r="AK1270" s="64"/>
      <c r="AL1270" s="264"/>
      <c r="AM1270" s="84"/>
      <c r="AN1270" s="18"/>
      <c r="AO1270" s="18"/>
      <c r="AP1270" s="18"/>
      <c r="AQ1270" s="18"/>
      <c r="AR1270" s="18"/>
      <c r="AS1270" s="18"/>
      <c r="AT1270" s="18"/>
      <c r="AU1270" s="18"/>
      <c r="AV1270" s="18"/>
      <c r="AW1270" s="18"/>
      <c r="AX1270" s="18"/>
      <c r="AY1270" s="18"/>
    </row>
    <row r="1271" spans="1:51" s="33" customFormat="1" x14ac:dyDescent="0.3">
      <c r="A1271" s="63" t="str">
        <f>A1270</f>
        <v>BCV131</v>
      </c>
      <c r="B1271" s="17" t="s">
        <v>1583</v>
      </c>
      <c r="C1271" s="18" t="str">
        <f>+C1270</f>
        <v>DIO1</v>
      </c>
      <c r="D1271" s="18">
        <v>132</v>
      </c>
      <c r="E1271" s="84">
        <f>+E1270</f>
        <v>2</v>
      </c>
      <c r="F1271" s="84">
        <f>+F1270</f>
        <v>9</v>
      </c>
      <c r="G1271" s="84">
        <v>0</v>
      </c>
      <c r="H1271" s="200">
        <f>H1267</f>
        <v>1</v>
      </c>
      <c r="I1271" s="187">
        <f>+I1270+1</f>
        <v>15</v>
      </c>
      <c r="J1271" s="205"/>
      <c r="K1271" s="79"/>
      <c r="L1271" s="17" t="s">
        <v>323</v>
      </c>
      <c r="M1271" s="18"/>
      <c r="N1271" s="165"/>
      <c r="O1271" s="17"/>
      <c r="P1271" s="17"/>
      <c r="Q1271" s="17"/>
      <c r="R1271" s="17"/>
      <c r="S1271" s="17"/>
      <c r="T1271" s="17"/>
      <c r="U1271" s="17"/>
      <c r="V1271" s="17" t="str">
        <f>+CONCATENATE(E1271,".",F1271,"\",G1271,".",H1271,":",I1271)</f>
        <v>2.9\0.1:15</v>
      </c>
      <c r="W1271" s="17"/>
      <c r="X1271" s="17"/>
      <c r="Y1271" s="20"/>
      <c r="Z1271" s="20" t="s">
        <v>1159</v>
      </c>
      <c r="AA1271" s="20"/>
      <c r="AB1271" s="17"/>
      <c r="AC1271" s="20"/>
      <c r="AD1271" s="20"/>
      <c r="AE1271" s="20"/>
      <c r="AF1271" s="17"/>
      <c r="AG1271" s="64" t="s">
        <v>1079</v>
      </c>
      <c r="AH1271" s="64">
        <v>23</v>
      </c>
      <c r="AI1271" s="64">
        <v>24</v>
      </c>
      <c r="AJ1271" s="64"/>
      <c r="AK1271" s="64"/>
      <c r="AL1271" s="264"/>
      <c r="AM1271" s="84"/>
      <c r="AN1271" s="18"/>
      <c r="AO1271" s="18"/>
      <c r="AP1271" s="18"/>
      <c r="AQ1271" s="18"/>
      <c r="AR1271" s="18"/>
      <c r="AS1271" s="18"/>
      <c r="AT1271" s="18"/>
      <c r="AU1271" s="18"/>
      <c r="AV1271" s="18"/>
      <c r="AW1271" s="18"/>
      <c r="AX1271" s="18"/>
      <c r="AY1271" s="18"/>
    </row>
    <row r="1272" spans="1:51" s="33" customFormat="1" x14ac:dyDescent="0.3">
      <c r="A1272" s="63" t="str">
        <f>A1271</f>
        <v>BCV131</v>
      </c>
      <c r="B1272" s="17" t="s">
        <v>1583</v>
      </c>
      <c r="C1272" s="18" t="str">
        <f>+C1271</f>
        <v>DIO1</v>
      </c>
      <c r="D1272" s="18">
        <v>132</v>
      </c>
      <c r="E1272" s="84">
        <f>+E1271</f>
        <v>2</v>
      </c>
      <c r="F1272" s="84">
        <f>+F1271</f>
        <v>9</v>
      </c>
      <c r="G1272" s="84">
        <v>0</v>
      </c>
      <c r="H1272" s="200">
        <f>H1268</f>
        <v>1</v>
      </c>
      <c r="I1272" s="187">
        <f>+I1271+1</f>
        <v>16</v>
      </c>
      <c r="J1272" s="205"/>
      <c r="K1272" s="18"/>
      <c r="L1272" s="17" t="s">
        <v>323</v>
      </c>
      <c r="M1272" s="18"/>
      <c r="N1272" s="18"/>
      <c r="O1272" s="17"/>
      <c r="P1272" s="17"/>
      <c r="Q1272" s="17"/>
      <c r="R1272" s="17"/>
      <c r="S1272" s="78"/>
      <c r="T1272" s="17"/>
      <c r="U1272" s="17"/>
      <c r="V1272" s="17" t="str">
        <f>+CONCATENATE(E1272,".",F1272,"\",G1272,".",H1272,":",I1272)</f>
        <v>2.9\0.1:16</v>
      </c>
      <c r="W1272" s="17"/>
      <c r="X1272" s="17"/>
      <c r="Y1272" s="20"/>
      <c r="Z1272" s="20" t="s">
        <v>1159</v>
      </c>
      <c r="AA1272" s="20"/>
      <c r="AB1272" s="17"/>
      <c r="AC1272" s="20"/>
      <c r="AD1272" s="20"/>
      <c r="AE1272" s="20"/>
      <c r="AF1272" s="17"/>
      <c r="AG1272" s="64" t="s">
        <v>1079</v>
      </c>
      <c r="AH1272" s="64">
        <v>25</v>
      </c>
      <c r="AI1272" s="64">
        <v>26</v>
      </c>
      <c r="AJ1272" s="64"/>
      <c r="AK1272" s="64"/>
      <c r="AL1272" s="264"/>
      <c r="AM1272" s="84"/>
      <c r="AN1272" s="18"/>
      <c r="AO1272" s="18"/>
      <c r="AP1272" s="18"/>
      <c r="AQ1272" s="18"/>
      <c r="AR1272" s="18"/>
      <c r="AS1272" s="18"/>
      <c r="AT1272" s="18"/>
      <c r="AU1272" s="18"/>
      <c r="AV1272" s="18"/>
      <c r="AW1272" s="18"/>
      <c r="AX1272" s="18"/>
      <c r="AY1272" s="18"/>
    </row>
    <row r="1273" spans="1:51" s="33" customFormat="1" x14ac:dyDescent="0.3">
      <c r="A1273" s="63" t="str">
        <f>A1272</f>
        <v>BCV131</v>
      </c>
      <c r="B1273" s="17" t="s">
        <v>1583</v>
      </c>
      <c r="C1273" s="18" t="str">
        <f>+C1272</f>
        <v>DIO1</v>
      </c>
      <c r="D1273" s="18">
        <v>132</v>
      </c>
      <c r="E1273" s="84">
        <f>+E1272</f>
        <v>2</v>
      </c>
      <c r="F1273" s="84">
        <f>+F1272</f>
        <v>9</v>
      </c>
      <c r="G1273" s="84">
        <v>0</v>
      </c>
      <c r="H1273" s="200">
        <f>H1269</f>
        <v>1</v>
      </c>
      <c r="I1273" s="187">
        <f>+I1272+1</f>
        <v>17</v>
      </c>
      <c r="J1273" s="205"/>
      <c r="K1273" s="79"/>
      <c r="L1273" s="17" t="s">
        <v>323</v>
      </c>
      <c r="M1273" s="18"/>
      <c r="N1273" s="18"/>
      <c r="O1273" s="17"/>
      <c r="P1273" s="17"/>
      <c r="Q1273" s="68"/>
      <c r="R1273" s="17"/>
      <c r="S1273" s="78"/>
      <c r="T1273" s="17"/>
      <c r="U1273" s="17"/>
      <c r="V1273" s="17" t="str">
        <f>+CONCATENATE(E1273,".",F1273,"\",G1273,".",H1273,":",I1273)</f>
        <v>2.9\0.1:17</v>
      </c>
      <c r="W1273" s="17"/>
      <c r="X1273" s="17"/>
      <c r="Y1273" s="20"/>
      <c r="Z1273" s="20" t="s">
        <v>1159</v>
      </c>
      <c r="AA1273" s="20"/>
      <c r="AB1273" s="17"/>
      <c r="AC1273" s="20"/>
      <c r="AD1273" s="20"/>
      <c r="AE1273" s="20"/>
      <c r="AF1273" s="17"/>
      <c r="AG1273" s="64" t="s">
        <v>1079</v>
      </c>
      <c r="AH1273" s="64">
        <v>27</v>
      </c>
      <c r="AI1273" s="64">
        <v>28</v>
      </c>
      <c r="AJ1273" s="64"/>
      <c r="AK1273" s="64"/>
      <c r="AL1273" s="264"/>
      <c r="AM1273" s="84"/>
      <c r="AN1273" s="18"/>
      <c r="AO1273" s="18"/>
      <c r="AP1273" s="18"/>
      <c r="AQ1273" s="18"/>
      <c r="AR1273" s="18"/>
      <c r="AS1273" s="18"/>
      <c r="AT1273" s="18"/>
      <c r="AU1273" s="18"/>
      <c r="AV1273" s="18"/>
      <c r="AW1273" s="18"/>
      <c r="AX1273" s="18"/>
      <c r="AY1273" s="18"/>
    </row>
    <row r="1274" spans="1:51" s="33" customFormat="1" x14ac:dyDescent="0.3">
      <c r="A1274" s="63" t="str">
        <f>A1273</f>
        <v>BCV131</v>
      </c>
      <c r="B1274" s="17" t="s">
        <v>1583</v>
      </c>
      <c r="C1274" s="18" t="str">
        <f>+C1273</f>
        <v>DIO1</v>
      </c>
      <c r="D1274" s="18">
        <v>132</v>
      </c>
      <c r="E1274" s="84">
        <f>+E1273</f>
        <v>2</v>
      </c>
      <c r="F1274" s="84">
        <f>+F1273</f>
        <v>9</v>
      </c>
      <c r="G1274" s="84">
        <v>0</v>
      </c>
      <c r="H1274" s="200">
        <f>H1270</f>
        <v>1</v>
      </c>
      <c r="I1274" s="187">
        <f>+I1273+1</f>
        <v>18</v>
      </c>
      <c r="J1274" s="205"/>
      <c r="K1274" s="79"/>
      <c r="L1274" s="17" t="s">
        <v>323</v>
      </c>
      <c r="M1274" s="18"/>
      <c r="N1274" s="18"/>
      <c r="O1274" s="17"/>
      <c r="P1274" s="17"/>
      <c r="Q1274" s="68"/>
      <c r="R1274" s="17"/>
      <c r="S1274" s="17"/>
      <c r="T1274" s="17"/>
      <c r="U1274" s="17"/>
      <c r="V1274" s="17" t="str">
        <f>+CONCATENATE(E1274,".",F1274,"\",G1274,".",H1274,":",I1274)</f>
        <v>2.9\0.1:18</v>
      </c>
      <c r="W1274" s="17"/>
      <c r="X1274" s="17"/>
      <c r="Y1274" s="20"/>
      <c r="Z1274" s="20" t="s">
        <v>1159</v>
      </c>
      <c r="AA1274" s="20"/>
      <c r="AB1274" s="17"/>
      <c r="AC1274" s="20"/>
      <c r="AD1274" s="20"/>
      <c r="AE1274" s="20"/>
      <c r="AF1274" s="17"/>
      <c r="AG1274" s="64" t="s">
        <v>1079</v>
      </c>
      <c r="AH1274" s="64">
        <v>29</v>
      </c>
      <c r="AI1274" s="64">
        <v>30</v>
      </c>
      <c r="AJ1274" s="64"/>
      <c r="AK1274" s="64"/>
      <c r="AL1274" s="264"/>
      <c r="AM1274" s="84"/>
      <c r="AN1274" s="18"/>
      <c r="AO1274" s="18"/>
      <c r="AP1274" s="18"/>
      <c r="AQ1274" s="18"/>
      <c r="AR1274" s="18"/>
      <c r="AS1274" s="18"/>
      <c r="AT1274" s="18"/>
      <c r="AU1274" s="18"/>
      <c r="AV1274" s="18"/>
      <c r="AW1274" s="18"/>
      <c r="AX1274" s="18"/>
      <c r="AY1274" s="18"/>
    </row>
    <row r="1275" spans="1:51" s="33" customFormat="1" x14ac:dyDescent="0.3">
      <c r="A1275" s="63" t="str">
        <f>A1274</f>
        <v>BCV131</v>
      </c>
      <c r="B1275" s="17" t="s">
        <v>1583</v>
      </c>
      <c r="C1275" s="18" t="str">
        <f>+C1274</f>
        <v>DIO1</v>
      </c>
      <c r="D1275" s="18">
        <v>132</v>
      </c>
      <c r="E1275" s="84">
        <f>+E1274</f>
        <v>2</v>
      </c>
      <c r="F1275" s="84">
        <f>+F1274</f>
        <v>9</v>
      </c>
      <c r="G1275" s="84">
        <v>0</v>
      </c>
      <c r="H1275" s="200">
        <f>H1271</f>
        <v>1</v>
      </c>
      <c r="I1275" s="187">
        <f>+I1274+1</f>
        <v>19</v>
      </c>
      <c r="J1275" s="205"/>
      <c r="K1275" s="79"/>
      <c r="L1275" s="17" t="s">
        <v>323</v>
      </c>
      <c r="M1275" s="18"/>
      <c r="N1275" s="18"/>
      <c r="O1275" s="280"/>
      <c r="P1275" s="280"/>
      <c r="Q1275" s="206"/>
      <c r="R1275" s="280"/>
      <c r="S1275" s="17"/>
      <c r="T1275" s="17"/>
      <c r="U1275" s="17"/>
      <c r="V1275" s="17" t="str">
        <f>+CONCATENATE(E1275,".",F1275,"\",G1275,".",H1275,":",I1275)</f>
        <v>2.9\0.1:19</v>
      </c>
      <c r="W1275" s="17"/>
      <c r="X1275" s="17"/>
      <c r="Y1275" s="20"/>
      <c r="Z1275" s="20" t="s">
        <v>1159</v>
      </c>
      <c r="AA1275" s="20"/>
      <c r="AB1275" s="17"/>
      <c r="AC1275" s="20"/>
      <c r="AD1275" s="20"/>
      <c r="AE1275" s="20"/>
      <c r="AF1275" s="17"/>
      <c r="AG1275" s="64" t="s">
        <v>1079</v>
      </c>
      <c r="AH1275" s="64">
        <v>31</v>
      </c>
      <c r="AI1275" s="64">
        <v>32</v>
      </c>
      <c r="AJ1275" s="64"/>
      <c r="AK1275" s="64"/>
      <c r="AL1275" s="264"/>
      <c r="AM1275" s="84"/>
      <c r="AN1275" s="18"/>
      <c r="AO1275" s="18"/>
      <c r="AP1275" s="18"/>
      <c r="AQ1275" s="18"/>
      <c r="AR1275" s="18"/>
      <c r="AS1275" s="18"/>
      <c r="AT1275" s="18"/>
      <c r="AU1275" s="18"/>
      <c r="AV1275" s="18"/>
      <c r="AW1275" s="18"/>
      <c r="AX1275" s="18"/>
      <c r="AY1275" s="18"/>
    </row>
    <row r="1276" spans="1:51" s="33" customFormat="1" x14ac:dyDescent="0.3">
      <c r="A1276" s="63" t="str">
        <f>A1275</f>
        <v>BCV131</v>
      </c>
      <c r="B1276" s="17" t="s">
        <v>1583</v>
      </c>
      <c r="C1276" s="18" t="str">
        <f>+C1275</f>
        <v>DIO1</v>
      </c>
      <c r="D1276" s="18">
        <v>132</v>
      </c>
      <c r="E1276" s="84">
        <f>+E1275</f>
        <v>2</v>
      </c>
      <c r="F1276" s="84">
        <f>+F1275</f>
        <v>9</v>
      </c>
      <c r="G1276" s="84">
        <v>0</v>
      </c>
      <c r="H1276" s="200">
        <f>H1272</f>
        <v>1</v>
      </c>
      <c r="I1276" s="187">
        <f>+I1275+1</f>
        <v>20</v>
      </c>
      <c r="J1276" s="205"/>
      <c r="K1276" s="79"/>
      <c r="L1276" s="17" t="s">
        <v>323</v>
      </c>
      <c r="M1276" s="18"/>
      <c r="N1276" s="18"/>
      <c r="O1276" s="18"/>
      <c r="P1276" s="18"/>
      <c r="Q1276" s="18"/>
      <c r="R1276" s="18"/>
      <c r="S1276" s="17"/>
      <c r="T1276" s="17"/>
      <c r="U1276" s="17"/>
      <c r="V1276" s="17" t="str">
        <f>+CONCATENATE(E1276,".",F1276,"\",G1276,".",H1276,":",I1276)</f>
        <v>2.9\0.1:20</v>
      </c>
      <c r="W1276" s="17"/>
      <c r="X1276" s="17"/>
      <c r="Y1276" s="20"/>
      <c r="Z1276" s="20" t="s">
        <v>1159</v>
      </c>
      <c r="AA1276" s="20"/>
      <c r="AB1276" s="17"/>
      <c r="AC1276" s="20"/>
      <c r="AD1276" s="20"/>
      <c r="AE1276" s="20"/>
      <c r="AF1276" s="17"/>
      <c r="AG1276" s="64" t="s">
        <v>1079</v>
      </c>
      <c r="AH1276" s="64">
        <v>33</v>
      </c>
      <c r="AI1276" s="64">
        <v>34</v>
      </c>
      <c r="AJ1276" s="64"/>
      <c r="AK1276" s="64"/>
      <c r="AL1276" s="264"/>
      <c r="AM1276" s="84"/>
      <c r="AN1276" s="18"/>
      <c r="AO1276" s="18"/>
      <c r="AP1276" s="18"/>
      <c r="AQ1276" s="18"/>
      <c r="AR1276" s="18"/>
      <c r="AS1276" s="18"/>
      <c r="AT1276" s="18"/>
      <c r="AU1276" s="18"/>
      <c r="AV1276" s="18"/>
      <c r="AW1276" s="18"/>
      <c r="AX1276" s="18"/>
      <c r="AY1276" s="18"/>
    </row>
    <row r="1277" spans="1:51" s="33" customFormat="1" x14ac:dyDescent="0.3">
      <c r="A1277" s="63" t="str">
        <f>A1276</f>
        <v>BCV131</v>
      </c>
      <c r="B1277" s="17" t="s">
        <v>1583</v>
      </c>
      <c r="C1277" s="18" t="str">
        <f>+C1276</f>
        <v>DIO1</v>
      </c>
      <c r="D1277" s="18">
        <v>132</v>
      </c>
      <c r="E1277" s="84">
        <f>+E1276</f>
        <v>2</v>
      </c>
      <c r="F1277" s="84">
        <f>+F1276</f>
        <v>9</v>
      </c>
      <c r="G1277" s="84">
        <v>0</v>
      </c>
      <c r="H1277" s="200">
        <f>H1273</f>
        <v>1</v>
      </c>
      <c r="I1277" s="187">
        <f>+I1276+1</f>
        <v>21</v>
      </c>
      <c r="J1277" s="205"/>
      <c r="K1277" s="79"/>
      <c r="L1277" s="17" t="s">
        <v>323</v>
      </c>
      <c r="M1277" s="18"/>
      <c r="N1277" s="18"/>
      <c r="O1277" s="18"/>
      <c r="P1277" s="18"/>
      <c r="Q1277" s="18"/>
      <c r="R1277" s="18"/>
      <c r="S1277" s="17"/>
      <c r="T1277" s="17"/>
      <c r="U1277" s="17"/>
      <c r="V1277" s="17" t="str">
        <f>+CONCATENATE(E1277,".",F1277,"\",G1277,".",H1277,":",I1277)</f>
        <v>2.9\0.1:21</v>
      </c>
      <c r="W1277" s="17"/>
      <c r="X1277" s="17"/>
      <c r="Y1277" s="20"/>
      <c r="Z1277" s="20" t="s">
        <v>1159</v>
      </c>
      <c r="AA1277" s="20"/>
      <c r="AB1277" s="17"/>
      <c r="AC1277" s="20"/>
      <c r="AD1277" s="20"/>
      <c r="AE1277" s="20"/>
      <c r="AF1277" s="17"/>
      <c r="AG1277" s="64" t="s">
        <v>1079</v>
      </c>
      <c r="AH1277" s="64">
        <v>35</v>
      </c>
      <c r="AI1277" s="64">
        <v>36</v>
      </c>
      <c r="AJ1277" s="64"/>
      <c r="AK1277" s="64"/>
      <c r="AL1277" s="264"/>
      <c r="AM1277" s="84"/>
      <c r="AN1277" s="18"/>
      <c r="AO1277" s="18"/>
      <c r="AP1277" s="18"/>
      <c r="AQ1277" s="18"/>
      <c r="AR1277" s="18"/>
      <c r="AS1277" s="18"/>
      <c r="AT1277" s="18"/>
      <c r="AU1277" s="18"/>
      <c r="AV1277" s="18"/>
      <c r="AW1277" s="18"/>
      <c r="AX1277" s="18"/>
      <c r="AY1277" s="18"/>
    </row>
    <row r="1278" spans="1:51" s="33" customFormat="1" x14ac:dyDescent="0.3">
      <c r="A1278" s="63" t="str">
        <f>A1277</f>
        <v>BCV131</v>
      </c>
      <c r="B1278" s="17" t="s">
        <v>1583</v>
      </c>
      <c r="C1278" s="18" t="str">
        <f>+C1277</f>
        <v>DIO1</v>
      </c>
      <c r="D1278" s="18">
        <v>132</v>
      </c>
      <c r="E1278" s="84">
        <f>+E1277</f>
        <v>2</v>
      </c>
      <c r="F1278" s="84">
        <f>+F1277</f>
        <v>9</v>
      </c>
      <c r="G1278" s="84">
        <v>0</v>
      </c>
      <c r="H1278" s="200">
        <f>H1274</f>
        <v>1</v>
      </c>
      <c r="I1278" s="187">
        <f>+I1277+1</f>
        <v>22</v>
      </c>
      <c r="J1278" s="205"/>
      <c r="K1278" s="79"/>
      <c r="L1278" s="17" t="s">
        <v>323</v>
      </c>
      <c r="M1278" s="18"/>
      <c r="N1278" s="18"/>
      <c r="O1278" s="18"/>
      <c r="P1278" s="18"/>
      <c r="Q1278" s="18"/>
      <c r="R1278" s="18"/>
      <c r="S1278" s="17"/>
      <c r="T1278" s="17"/>
      <c r="U1278" s="17"/>
      <c r="V1278" s="17" t="str">
        <f>+CONCATENATE(E1278,".",F1278,"\",G1278,".",H1278,":",I1278)</f>
        <v>2.9\0.1:22</v>
      </c>
      <c r="W1278" s="17"/>
      <c r="X1278" s="17"/>
      <c r="Y1278" s="17"/>
      <c r="Z1278" s="20" t="s">
        <v>1159</v>
      </c>
      <c r="AA1278" s="17"/>
      <c r="AB1278" s="17"/>
      <c r="AC1278" s="17"/>
      <c r="AD1278" s="17"/>
      <c r="AE1278" s="17"/>
      <c r="AF1278" s="17"/>
      <c r="AG1278" s="64" t="s">
        <v>1079</v>
      </c>
      <c r="AH1278" s="64">
        <v>37</v>
      </c>
      <c r="AI1278" s="64">
        <v>38</v>
      </c>
      <c r="AJ1278" s="64"/>
      <c r="AK1278" s="64"/>
      <c r="AL1278" s="264"/>
      <c r="AM1278" s="84"/>
      <c r="AN1278" s="18"/>
      <c r="AO1278" s="18"/>
      <c r="AP1278" s="18"/>
      <c r="AQ1278" s="18"/>
      <c r="AR1278" s="18"/>
      <c r="AS1278" s="18"/>
      <c r="AT1278" s="18"/>
      <c r="AU1278" s="18"/>
      <c r="AV1278" s="18"/>
      <c r="AW1278" s="18"/>
      <c r="AX1278" s="18"/>
      <c r="AY1278" s="18"/>
    </row>
    <row r="1279" spans="1:51" s="33" customFormat="1" x14ac:dyDescent="0.3">
      <c r="A1279" s="63" t="str">
        <f>A1278</f>
        <v>BCV131</v>
      </c>
      <c r="B1279" s="17" t="s">
        <v>1583</v>
      </c>
      <c r="C1279" s="18" t="str">
        <f>+C1278</f>
        <v>DIO1</v>
      </c>
      <c r="D1279" s="18">
        <v>132</v>
      </c>
      <c r="E1279" s="84">
        <f>+E1278</f>
        <v>2</v>
      </c>
      <c r="F1279" s="84">
        <f>+F1278</f>
        <v>9</v>
      </c>
      <c r="G1279" s="84">
        <v>0</v>
      </c>
      <c r="H1279" s="200">
        <f>H1275</f>
        <v>1</v>
      </c>
      <c r="I1279" s="187">
        <f>+I1278+1</f>
        <v>23</v>
      </c>
      <c r="J1279" s="205"/>
      <c r="K1279" s="79"/>
      <c r="L1279" s="17" t="s">
        <v>323</v>
      </c>
      <c r="M1279" s="18"/>
      <c r="N1279" s="18"/>
      <c r="O1279" s="18"/>
      <c r="P1279" s="18"/>
      <c r="Q1279" s="18"/>
      <c r="R1279" s="18"/>
      <c r="S1279" s="17"/>
      <c r="T1279" s="17"/>
      <c r="U1279" s="17"/>
      <c r="V1279" s="17" t="str">
        <f>+CONCATENATE(E1279,".",F1279,"\",G1279,".",H1279,":",I1279)</f>
        <v>2.9\0.1:23</v>
      </c>
      <c r="W1279" s="17"/>
      <c r="X1279" s="17"/>
      <c r="Y1279" s="17"/>
      <c r="Z1279" s="20" t="s">
        <v>1159</v>
      </c>
      <c r="AA1279" s="17"/>
      <c r="AB1279" s="17"/>
      <c r="AC1279" s="17"/>
      <c r="AD1279" s="17"/>
      <c r="AE1279" s="17"/>
      <c r="AF1279" s="17"/>
      <c r="AG1279" s="64" t="s">
        <v>1079</v>
      </c>
      <c r="AH1279" s="64">
        <v>39</v>
      </c>
      <c r="AI1279" s="64">
        <v>40</v>
      </c>
      <c r="AJ1279" s="64"/>
      <c r="AK1279" s="64"/>
      <c r="AL1279" s="264"/>
      <c r="AM1279" s="84"/>
      <c r="AN1279" s="18"/>
      <c r="AO1279" s="18"/>
      <c r="AP1279" s="18"/>
      <c r="AQ1279" s="18"/>
      <c r="AR1279" s="18"/>
      <c r="AS1279" s="18"/>
      <c r="AT1279" s="18"/>
      <c r="AU1279" s="18"/>
      <c r="AV1279" s="18"/>
      <c r="AW1279" s="18"/>
      <c r="AX1279" s="18"/>
      <c r="AY1279" s="18"/>
    </row>
    <row r="1280" spans="1:51" s="33" customFormat="1" x14ac:dyDescent="0.3">
      <c r="A1280" s="63" t="str">
        <f>A1279</f>
        <v>BCV131</v>
      </c>
      <c r="B1280" s="17" t="s">
        <v>1583</v>
      </c>
      <c r="C1280" s="18" t="str">
        <f>+C1279</f>
        <v>DIO1</v>
      </c>
      <c r="D1280" s="18">
        <v>132</v>
      </c>
      <c r="E1280" s="84">
        <f>+E1279</f>
        <v>2</v>
      </c>
      <c r="F1280" s="84">
        <f>+F1279</f>
        <v>9</v>
      </c>
      <c r="G1280" s="84">
        <v>0</v>
      </c>
      <c r="H1280" s="200">
        <f>H1276</f>
        <v>1</v>
      </c>
      <c r="I1280" s="187">
        <f>+I1279+1</f>
        <v>24</v>
      </c>
      <c r="J1280" s="205"/>
      <c r="K1280" s="79"/>
      <c r="L1280" s="17" t="s">
        <v>323</v>
      </c>
      <c r="M1280" s="18"/>
      <c r="N1280" s="18"/>
      <c r="O1280" s="18"/>
      <c r="P1280" s="18"/>
      <c r="Q1280" s="18"/>
      <c r="R1280" s="18"/>
      <c r="S1280" s="17"/>
      <c r="T1280" s="17"/>
      <c r="U1280" s="17"/>
      <c r="V1280" s="17" t="str">
        <f>+CONCATENATE(E1280,".",F1280,"\",G1280,".",H1280,":",I1280)</f>
        <v>2.9\0.1:24</v>
      </c>
      <c r="W1280" s="17"/>
      <c r="X1280" s="17"/>
      <c r="Y1280" s="17"/>
      <c r="Z1280" s="20" t="s">
        <v>1159</v>
      </c>
      <c r="AA1280" s="17"/>
      <c r="AB1280" s="17"/>
      <c r="AC1280" s="17"/>
      <c r="AD1280" s="17"/>
      <c r="AE1280" s="17"/>
      <c r="AF1280" s="17"/>
      <c r="AG1280" s="64" t="s">
        <v>1079</v>
      </c>
      <c r="AH1280" s="64">
        <v>41</v>
      </c>
      <c r="AI1280" s="64">
        <v>42</v>
      </c>
      <c r="AJ1280" s="64"/>
      <c r="AK1280" s="64"/>
      <c r="AL1280" s="264"/>
      <c r="AM1280" s="84"/>
      <c r="AN1280" s="18"/>
      <c r="AO1280" s="18"/>
      <c r="AP1280" s="18"/>
      <c r="AQ1280" s="18"/>
      <c r="AR1280" s="18"/>
      <c r="AS1280" s="18"/>
      <c r="AT1280" s="18"/>
      <c r="AU1280" s="18"/>
      <c r="AV1280" s="18"/>
      <c r="AW1280" s="18"/>
      <c r="AX1280" s="18"/>
      <c r="AY1280" s="18"/>
    </row>
    <row r="1281" spans="1:51" s="33" customFormat="1" x14ac:dyDescent="0.3">
      <c r="A1281" s="63" t="str">
        <f>A1280</f>
        <v>BCV131</v>
      </c>
      <c r="B1281" s="17" t="s">
        <v>1583</v>
      </c>
      <c r="C1281" s="18" t="str">
        <f>+C1280</f>
        <v>DIO1</v>
      </c>
      <c r="D1281" s="18">
        <v>132</v>
      </c>
      <c r="E1281" s="84">
        <f>+E1280</f>
        <v>2</v>
      </c>
      <c r="F1281" s="84">
        <f>+F1280</f>
        <v>9</v>
      </c>
      <c r="G1281" s="84">
        <v>0</v>
      </c>
      <c r="H1281" s="200">
        <f>H1277</f>
        <v>1</v>
      </c>
      <c r="I1281" s="187">
        <f>+I1280+1</f>
        <v>25</v>
      </c>
      <c r="J1281" s="205"/>
      <c r="K1281" s="79"/>
      <c r="L1281" s="17" t="s">
        <v>323</v>
      </c>
      <c r="M1281" s="18"/>
      <c r="N1281" s="18"/>
      <c r="O1281" s="17"/>
      <c r="P1281" s="17"/>
      <c r="Q1281" s="17"/>
      <c r="R1281" s="17"/>
      <c r="S1281" s="17"/>
      <c r="T1281" s="17"/>
      <c r="U1281" s="17"/>
      <c r="V1281" s="17" t="str">
        <f>+CONCATENATE(E1281,".",F1281,"\",G1281,".",H1281,":",I1281)</f>
        <v>2.9\0.1:25</v>
      </c>
      <c r="W1281" s="17"/>
      <c r="X1281" s="17"/>
      <c r="Y1281" s="17"/>
      <c r="Z1281" s="20" t="s">
        <v>1159</v>
      </c>
      <c r="AA1281" s="17"/>
      <c r="AB1281" s="17"/>
      <c r="AC1281" s="17"/>
      <c r="AD1281" s="17"/>
      <c r="AE1281" s="17"/>
      <c r="AF1281" s="17"/>
      <c r="AG1281" s="64" t="s">
        <v>1079</v>
      </c>
      <c r="AH1281" s="64">
        <v>43</v>
      </c>
      <c r="AI1281" s="64">
        <v>44</v>
      </c>
      <c r="AJ1281" s="64"/>
      <c r="AK1281" s="64"/>
      <c r="AL1281" s="264"/>
      <c r="AM1281" s="84"/>
      <c r="AN1281" s="18"/>
      <c r="AO1281" s="18"/>
      <c r="AP1281" s="18"/>
      <c r="AQ1281" s="18"/>
      <c r="AR1281" s="18"/>
      <c r="AS1281" s="18"/>
      <c r="AT1281" s="18"/>
      <c r="AU1281" s="18"/>
      <c r="AV1281" s="18"/>
      <c r="AW1281" s="18"/>
      <c r="AX1281" s="18"/>
      <c r="AY1281" s="18"/>
    </row>
    <row r="1282" spans="1:51" s="33" customFormat="1" x14ac:dyDescent="0.3">
      <c r="A1282" s="63" t="str">
        <f>A1281</f>
        <v>BCV131</v>
      </c>
      <c r="B1282" s="17" t="s">
        <v>1583</v>
      </c>
      <c r="C1282" s="18" t="str">
        <f>+C1281</f>
        <v>DIO1</v>
      </c>
      <c r="D1282" s="18">
        <v>132</v>
      </c>
      <c r="E1282" s="84">
        <f>+E1281</f>
        <v>2</v>
      </c>
      <c r="F1282" s="84">
        <f>+F1281</f>
        <v>9</v>
      </c>
      <c r="G1282" s="84">
        <v>0</v>
      </c>
      <c r="H1282" s="200">
        <f>H1278</f>
        <v>1</v>
      </c>
      <c r="I1282" s="187">
        <f>+I1281+1</f>
        <v>26</v>
      </c>
      <c r="J1282" s="205"/>
      <c r="K1282" s="79"/>
      <c r="L1282" s="17" t="s">
        <v>323</v>
      </c>
      <c r="M1282" s="18"/>
      <c r="N1282" s="18"/>
      <c r="O1282" s="17"/>
      <c r="P1282" s="17"/>
      <c r="Q1282" s="17"/>
      <c r="R1282" s="17"/>
      <c r="S1282" s="17"/>
      <c r="T1282" s="17"/>
      <c r="U1282" s="17"/>
      <c r="V1282" s="17" t="str">
        <f>+CONCATENATE(E1282,".",F1282,"\",G1282,".",H1282,":",I1282)</f>
        <v>2.9\0.1:26</v>
      </c>
      <c r="W1282" s="17"/>
      <c r="X1282" s="17"/>
      <c r="Y1282" s="17"/>
      <c r="Z1282" s="20" t="s">
        <v>1159</v>
      </c>
      <c r="AA1282" s="17"/>
      <c r="AB1282" s="17"/>
      <c r="AC1282" s="17"/>
      <c r="AD1282" s="17"/>
      <c r="AE1282" s="17"/>
      <c r="AF1282" s="17"/>
      <c r="AG1282" s="64" t="s">
        <v>1079</v>
      </c>
      <c r="AH1282" s="64">
        <v>45</v>
      </c>
      <c r="AI1282" s="64">
        <v>46</v>
      </c>
      <c r="AJ1282" s="64"/>
      <c r="AK1282" s="64"/>
      <c r="AL1282" s="264"/>
      <c r="AM1282" s="84"/>
      <c r="AN1282" s="18"/>
      <c r="AO1282" s="18"/>
      <c r="AP1282" s="18"/>
      <c r="AQ1282" s="18"/>
      <c r="AR1282" s="18"/>
      <c r="AS1282" s="18"/>
      <c r="AT1282" s="18"/>
      <c r="AU1282" s="18"/>
      <c r="AV1282" s="18"/>
      <c r="AW1282" s="18"/>
      <c r="AX1282" s="18"/>
      <c r="AY1282" s="18"/>
    </row>
    <row r="1283" spans="1:51" s="33" customFormat="1" x14ac:dyDescent="0.3">
      <c r="A1283" s="63" t="str">
        <f>A1282</f>
        <v>BCV131</v>
      </c>
      <c r="B1283" s="17" t="s">
        <v>1583</v>
      </c>
      <c r="C1283" s="18" t="str">
        <f>+C1282</f>
        <v>DIO1</v>
      </c>
      <c r="D1283" s="18">
        <v>132</v>
      </c>
      <c r="E1283" s="84">
        <f>+E1282</f>
        <v>2</v>
      </c>
      <c r="F1283" s="84">
        <f>+F1282</f>
        <v>9</v>
      </c>
      <c r="G1283" s="84">
        <v>0</v>
      </c>
      <c r="H1283" s="200">
        <f>H1279</f>
        <v>1</v>
      </c>
      <c r="I1283" s="187">
        <f>+I1282+1</f>
        <v>27</v>
      </c>
      <c r="J1283" s="205"/>
      <c r="K1283" s="79"/>
      <c r="L1283" s="17" t="s">
        <v>323</v>
      </c>
      <c r="M1283" s="18"/>
      <c r="N1283" s="18"/>
      <c r="O1283" s="17"/>
      <c r="P1283" s="17"/>
      <c r="Q1283" s="17"/>
      <c r="R1283" s="17"/>
      <c r="S1283" s="17"/>
      <c r="T1283" s="17"/>
      <c r="U1283" s="17"/>
      <c r="V1283" s="17" t="str">
        <f>+CONCATENATE(E1283,".",F1283,"\",G1283,".",H1283,":",I1283)</f>
        <v>2.9\0.1:27</v>
      </c>
      <c r="W1283" s="17"/>
      <c r="X1283" s="17"/>
      <c r="Y1283" s="17"/>
      <c r="Z1283" s="20" t="s">
        <v>1159</v>
      </c>
      <c r="AA1283" s="17"/>
      <c r="AB1283" s="17"/>
      <c r="AC1283" s="17"/>
      <c r="AD1283" s="17"/>
      <c r="AE1283" s="17"/>
      <c r="AF1283" s="17"/>
      <c r="AG1283" s="64" t="s">
        <v>1079</v>
      </c>
      <c r="AH1283" s="64">
        <v>47</v>
      </c>
      <c r="AI1283" s="64">
        <v>48</v>
      </c>
      <c r="AJ1283" s="64"/>
      <c r="AK1283" s="64"/>
      <c r="AL1283" s="264"/>
      <c r="AM1283" s="84"/>
      <c r="AN1283" s="18"/>
      <c r="AO1283" s="18"/>
      <c r="AP1283" s="18"/>
      <c r="AQ1283" s="18"/>
      <c r="AR1283" s="18"/>
      <c r="AS1283" s="18"/>
      <c r="AT1283" s="18"/>
      <c r="AU1283" s="18"/>
      <c r="AV1283" s="18"/>
      <c r="AW1283" s="18"/>
      <c r="AX1283" s="18"/>
      <c r="AY1283" s="18"/>
    </row>
    <row r="1284" spans="1:51" s="33" customFormat="1" x14ac:dyDescent="0.3">
      <c r="A1284" s="63" t="str">
        <f>A1283</f>
        <v>BCV131</v>
      </c>
      <c r="B1284" s="17" t="s">
        <v>1583</v>
      </c>
      <c r="C1284" s="18" t="str">
        <f>+C1283</f>
        <v>DIO1</v>
      </c>
      <c r="D1284" s="18">
        <v>132</v>
      </c>
      <c r="E1284" s="84">
        <f>+E1283</f>
        <v>2</v>
      </c>
      <c r="F1284" s="84">
        <f>+F1283</f>
        <v>9</v>
      </c>
      <c r="G1284" s="84">
        <v>0</v>
      </c>
      <c r="H1284" s="200">
        <f>H1280</f>
        <v>1</v>
      </c>
      <c r="I1284" s="187">
        <f>+I1283+1</f>
        <v>28</v>
      </c>
      <c r="J1284" s="205"/>
      <c r="K1284" s="79"/>
      <c r="L1284" s="17" t="s">
        <v>323</v>
      </c>
      <c r="M1284" s="18"/>
      <c r="N1284" s="18"/>
      <c r="O1284" s="17"/>
      <c r="P1284" s="17"/>
      <c r="Q1284" s="17"/>
      <c r="R1284" s="17"/>
      <c r="S1284" s="17"/>
      <c r="T1284" s="17"/>
      <c r="U1284" s="17"/>
      <c r="V1284" s="17" t="str">
        <f>+CONCATENATE(E1284,".",F1284,"\",G1284,".",H1284,":",I1284)</f>
        <v>2.9\0.1:28</v>
      </c>
      <c r="W1284" s="17"/>
      <c r="X1284" s="17"/>
      <c r="Y1284" s="17"/>
      <c r="Z1284" s="20" t="s">
        <v>1159</v>
      </c>
      <c r="AA1284" s="17"/>
      <c r="AB1284" s="17"/>
      <c r="AC1284" s="17"/>
      <c r="AD1284" s="17"/>
      <c r="AE1284" s="17"/>
      <c r="AF1284" s="17"/>
      <c r="AG1284" s="64" t="s">
        <v>1079</v>
      </c>
      <c r="AH1284" s="64">
        <v>49</v>
      </c>
      <c r="AI1284" s="64">
        <v>50</v>
      </c>
      <c r="AJ1284" s="64"/>
      <c r="AK1284" s="64"/>
      <c r="AL1284" s="264"/>
      <c r="AM1284" s="84"/>
      <c r="AN1284" s="18"/>
      <c r="AO1284" s="18"/>
      <c r="AP1284" s="18"/>
      <c r="AQ1284" s="18"/>
      <c r="AR1284" s="18"/>
      <c r="AS1284" s="18"/>
      <c r="AT1284" s="18"/>
      <c r="AU1284" s="18"/>
      <c r="AV1284" s="18"/>
      <c r="AW1284" s="18"/>
      <c r="AX1284" s="18"/>
      <c r="AY1284" s="18"/>
    </row>
    <row r="1285" spans="1:51" s="33" customFormat="1" x14ac:dyDescent="0.3">
      <c r="A1285" s="63" t="str">
        <f>A1284</f>
        <v>BCV131</v>
      </c>
      <c r="B1285" s="17" t="s">
        <v>1583</v>
      </c>
      <c r="C1285" s="18" t="str">
        <f>+C1284</f>
        <v>DIO1</v>
      </c>
      <c r="D1285" s="18">
        <v>132</v>
      </c>
      <c r="E1285" s="84">
        <f>+E1284</f>
        <v>2</v>
      </c>
      <c r="F1285" s="84">
        <f>+F1284</f>
        <v>9</v>
      </c>
      <c r="G1285" s="84">
        <v>0</v>
      </c>
      <c r="H1285" s="200">
        <f>H1281</f>
        <v>1</v>
      </c>
      <c r="I1285" s="187">
        <f>+I1284+1</f>
        <v>29</v>
      </c>
      <c r="J1285" s="205"/>
      <c r="K1285" s="79"/>
      <c r="L1285" s="17" t="s">
        <v>323</v>
      </c>
      <c r="M1285" s="18"/>
      <c r="N1285" s="18"/>
      <c r="O1285" s="17"/>
      <c r="P1285" s="17"/>
      <c r="Q1285" s="17"/>
      <c r="R1285" s="17"/>
      <c r="S1285" s="17"/>
      <c r="T1285" s="17"/>
      <c r="U1285" s="17"/>
      <c r="V1285" s="17" t="str">
        <f>+CONCATENATE(E1285,".",F1285,"\",G1285,".",H1285,":",I1285)</f>
        <v>2.9\0.1:29</v>
      </c>
      <c r="W1285" s="17"/>
      <c r="X1285" s="17"/>
      <c r="Y1285" s="17"/>
      <c r="Z1285" s="20" t="s">
        <v>1159</v>
      </c>
      <c r="AA1285" s="17"/>
      <c r="AB1285" s="17"/>
      <c r="AC1285" s="17"/>
      <c r="AD1285" s="17"/>
      <c r="AE1285" s="17"/>
      <c r="AF1285" s="17"/>
      <c r="AG1285" s="64" t="s">
        <v>1079</v>
      </c>
      <c r="AH1285" s="64">
        <v>51</v>
      </c>
      <c r="AI1285" s="64">
        <v>52</v>
      </c>
      <c r="AJ1285" s="64"/>
      <c r="AK1285" s="64"/>
      <c r="AL1285" s="264"/>
      <c r="AM1285" s="84"/>
      <c r="AN1285" s="18"/>
      <c r="AO1285" s="18"/>
      <c r="AP1285" s="18"/>
      <c r="AQ1285" s="18"/>
      <c r="AR1285" s="18"/>
      <c r="AS1285" s="18"/>
      <c r="AT1285" s="18"/>
      <c r="AU1285" s="18"/>
      <c r="AV1285" s="18"/>
      <c r="AW1285" s="18"/>
      <c r="AX1285" s="18"/>
      <c r="AY1285" s="18"/>
    </row>
    <row r="1286" spans="1:51" s="33" customFormat="1" x14ac:dyDescent="0.3">
      <c r="A1286" s="63" t="str">
        <f>A1285</f>
        <v>BCV131</v>
      </c>
      <c r="B1286" s="17" t="s">
        <v>1583</v>
      </c>
      <c r="C1286" s="18" t="str">
        <f>+C1285</f>
        <v>DIO1</v>
      </c>
      <c r="D1286" s="18">
        <v>132</v>
      </c>
      <c r="E1286" s="84">
        <f>+E1285</f>
        <v>2</v>
      </c>
      <c r="F1286" s="84">
        <f>+F1285</f>
        <v>9</v>
      </c>
      <c r="G1286" s="84">
        <v>0</v>
      </c>
      <c r="H1286" s="200">
        <f>H1282</f>
        <v>1</v>
      </c>
      <c r="I1286" s="187">
        <f>+I1285+1</f>
        <v>30</v>
      </c>
      <c r="J1286" s="205"/>
      <c r="K1286" s="79"/>
      <c r="L1286" s="17" t="s">
        <v>323</v>
      </c>
      <c r="M1286" s="18"/>
      <c r="N1286" s="18"/>
      <c r="O1286" s="17"/>
      <c r="P1286" s="17"/>
      <c r="Q1286" s="17"/>
      <c r="R1286" s="17"/>
      <c r="S1286" s="17"/>
      <c r="T1286" s="17"/>
      <c r="U1286" s="17"/>
      <c r="V1286" s="17" t="str">
        <f>+CONCATENATE(E1286,".",F1286,"\",G1286,".",H1286,":",I1286)</f>
        <v>2.9\0.1:30</v>
      </c>
      <c r="W1286" s="17"/>
      <c r="X1286" s="17"/>
      <c r="Y1286" s="17"/>
      <c r="Z1286" s="20" t="s">
        <v>1159</v>
      </c>
      <c r="AA1286" s="17"/>
      <c r="AB1286" s="17"/>
      <c r="AC1286" s="17"/>
      <c r="AD1286" s="17"/>
      <c r="AE1286" s="17"/>
      <c r="AF1286" s="17"/>
      <c r="AG1286" s="64" t="s">
        <v>1079</v>
      </c>
      <c r="AH1286" s="64">
        <v>53</v>
      </c>
      <c r="AI1286" s="64">
        <v>54</v>
      </c>
      <c r="AJ1286" s="64"/>
      <c r="AK1286" s="64"/>
      <c r="AL1286" s="264"/>
      <c r="AM1286" s="84"/>
      <c r="AN1286" s="18"/>
      <c r="AO1286" s="18"/>
      <c r="AP1286" s="18"/>
      <c r="AQ1286" s="18"/>
      <c r="AR1286" s="18"/>
      <c r="AS1286" s="18"/>
      <c r="AT1286" s="18"/>
      <c r="AU1286" s="18"/>
      <c r="AV1286" s="18"/>
      <c r="AW1286" s="18"/>
      <c r="AX1286" s="18"/>
      <c r="AY1286" s="18"/>
    </row>
    <row r="1287" spans="1:51" s="33" customFormat="1" ht="13.5" thickBot="1" x14ac:dyDescent="0.35">
      <c r="A1287" s="63" t="str">
        <f>A1286</f>
        <v>BCV131</v>
      </c>
      <c r="B1287" s="17" t="s">
        <v>1583</v>
      </c>
      <c r="C1287" s="18" t="str">
        <f>+C1286</f>
        <v>DIO1</v>
      </c>
      <c r="D1287" s="18">
        <v>132</v>
      </c>
      <c r="E1287" s="84">
        <f>+E1286</f>
        <v>2</v>
      </c>
      <c r="F1287" s="84">
        <f>+F1286</f>
        <v>9</v>
      </c>
      <c r="G1287" s="84">
        <v>0</v>
      </c>
      <c r="H1287" s="200">
        <f>H1283</f>
        <v>1</v>
      </c>
      <c r="I1287" s="191">
        <f>+I1286+1</f>
        <v>31</v>
      </c>
      <c r="J1287" s="203"/>
      <c r="K1287" s="79"/>
      <c r="L1287" s="17" t="s">
        <v>323</v>
      </c>
      <c r="M1287" s="18"/>
      <c r="N1287" s="18"/>
      <c r="O1287" s="17"/>
      <c r="P1287" s="17"/>
      <c r="Q1287" s="17"/>
      <c r="R1287" s="17"/>
      <c r="S1287" s="17"/>
      <c r="T1287" s="17"/>
      <c r="U1287" s="17"/>
      <c r="V1287" s="17" t="str">
        <f>+CONCATENATE(E1287,".",F1287,"\",G1287,".",H1287,":",I1287)</f>
        <v>2.9\0.1:31</v>
      </c>
      <c r="W1287" s="17"/>
      <c r="X1287" s="17"/>
      <c r="Y1287" s="17"/>
      <c r="Z1287" s="20" t="s">
        <v>1159</v>
      </c>
      <c r="AA1287" s="17"/>
      <c r="AB1287" s="17"/>
      <c r="AC1287" s="17"/>
      <c r="AD1287" s="17"/>
      <c r="AE1287" s="17"/>
      <c r="AF1287" s="17"/>
      <c r="AG1287" s="64" t="s">
        <v>1079</v>
      </c>
      <c r="AH1287" s="64">
        <v>55</v>
      </c>
      <c r="AI1287" s="64">
        <v>56</v>
      </c>
      <c r="AJ1287" s="64"/>
      <c r="AK1287" s="64"/>
      <c r="AL1287" s="264"/>
      <c r="AM1287" s="84"/>
      <c r="AN1287" s="18"/>
      <c r="AO1287" s="18"/>
      <c r="AP1287" s="18"/>
      <c r="AQ1287" s="18"/>
      <c r="AR1287" s="18"/>
      <c r="AS1287" s="18"/>
      <c r="AT1287" s="18"/>
      <c r="AU1287" s="18"/>
      <c r="AV1287" s="18"/>
      <c r="AW1287" s="18"/>
      <c r="AX1287" s="18"/>
      <c r="AY1287" s="18"/>
    </row>
    <row r="1288" spans="1:51" s="33" customFormat="1" x14ac:dyDescent="0.3">
      <c r="A1288" s="268" t="s">
        <v>194</v>
      </c>
      <c r="B1288" s="17" t="s">
        <v>1583</v>
      </c>
      <c r="C1288" s="18" t="str">
        <f>+C1287</f>
        <v>DIO1</v>
      </c>
      <c r="D1288" s="18">
        <v>132</v>
      </c>
      <c r="E1288" s="84">
        <f>+E1287</f>
        <v>2</v>
      </c>
      <c r="F1288" s="84">
        <f>+F1287</f>
        <v>9</v>
      </c>
      <c r="G1288" s="84">
        <v>0</v>
      </c>
      <c r="H1288" s="214">
        <v>2</v>
      </c>
      <c r="I1288" s="188"/>
      <c r="J1288" s="267"/>
      <c r="K1288" s="68" t="s">
        <v>698</v>
      </c>
      <c r="L1288" s="17"/>
      <c r="M1288" s="18">
        <v>0</v>
      </c>
      <c r="N1288" s="18"/>
      <c r="O1288" s="17"/>
      <c r="P1288" s="17"/>
      <c r="Q1288" s="17"/>
      <c r="R1288" s="17"/>
      <c r="S1288" s="17"/>
      <c r="T1288" s="17"/>
      <c r="U1288" s="17"/>
      <c r="V1288" s="17" t="str">
        <f>+CONCATENATE(E1288,".",F1288,"\",G1288,".",H1288,":",I1288)</f>
        <v>2.9\0.2:</v>
      </c>
      <c r="W1288" s="17"/>
      <c r="X1288" s="17"/>
      <c r="Y1288" s="20"/>
      <c r="Z1288" s="20"/>
      <c r="AA1288" s="20"/>
      <c r="AB1288" s="20"/>
      <c r="AC1288" s="20"/>
      <c r="AD1288" s="20"/>
      <c r="AE1288" s="20"/>
      <c r="AF1288" s="17"/>
      <c r="AG1288" s="64"/>
      <c r="AH1288" s="64"/>
      <c r="AI1288" s="64"/>
      <c r="AJ1288" s="64"/>
      <c r="AK1288" s="64"/>
      <c r="AL1288" s="264"/>
      <c r="AM1288" s="84"/>
      <c r="AN1288" s="18"/>
      <c r="AO1288" s="18"/>
      <c r="AP1288" s="18"/>
      <c r="AQ1288" s="18"/>
      <c r="AR1288" s="18"/>
      <c r="AS1288" s="18"/>
      <c r="AT1288" s="18"/>
      <c r="AU1288" s="18"/>
      <c r="AV1288" s="18"/>
      <c r="AW1288" s="18"/>
      <c r="AX1288" s="18"/>
      <c r="AY1288" s="18"/>
    </row>
    <row r="1289" spans="1:51" s="33" customFormat="1" x14ac:dyDescent="0.3">
      <c r="A1289" s="63" t="str">
        <f>A1288</f>
        <v>BCV131</v>
      </c>
      <c r="B1289" s="17" t="s">
        <v>1583</v>
      </c>
      <c r="C1289" s="18" t="str">
        <f>+C1288</f>
        <v>DIO1</v>
      </c>
      <c r="D1289" s="18">
        <v>132</v>
      </c>
      <c r="E1289" s="84">
        <f>+E1288</f>
        <v>2</v>
      </c>
      <c r="F1289" s="84">
        <f>+F1288</f>
        <v>9</v>
      </c>
      <c r="G1289" s="84">
        <v>0</v>
      </c>
      <c r="H1289" s="186">
        <f>+H1288</f>
        <v>2</v>
      </c>
      <c r="I1289" s="187"/>
      <c r="J1289" s="266"/>
      <c r="K1289" s="18"/>
      <c r="L1289" s="17"/>
      <c r="M1289" s="18">
        <v>0</v>
      </c>
      <c r="N1289" s="18"/>
      <c r="O1289" s="17"/>
      <c r="P1289" s="17"/>
      <c r="Q1289" s="17"/>
      <c r="R1289" s="17"/>
      <c r="S1289" s="17"/>
      <c r="T1289" s="17"/>
      <c r="U1289" s="17"/>
      <c r="V1289" s="17" t="str">
        <f>+CONCATENATE(E1289,".",F1289,"\",G1289,".",H1289,":",I1289)</f>
        <v>2.9\0.2:</v>
      </c>
      <c r="W1289" s="17"/>
      <c r="X1289" s="17"/>
      <c r="Y1289" s="20"/>
      <c r="Z1289" s="20"/>
      <c r="AA1289" s="20"/>
      <c r="AB1289" s="20"/>
      <c r="AC1289" s="20"/>
      <c r="AD1289" s="20"/>
      <c r="AE1289" s="20"/>
      <c r="AF1289" s="17"/>
      <c r="AG1289" s="64"/>
      <c r="AH1289" s="64"/>
      <c r="AI1289" s="64"/>
      <c r="AJ1289" s="64"/>
      <c r="AK1289" s="64"/>
      <c r="AL1289" s="264"/>
      <c r="AM1289" s="84"/>
      <c r="AN1289" s="18"/>
      <c r="AO1289" s="18"/>
      <c r="AP1289" s="18"/>
      <c r="AQ1289" s="18"/>
      <c r="AR1289" s="18"/>
      <c r="AS1289" s="18"/>
      <c r="AT1289" s="18"/>
      <c r="AU1289" s="18"/>
      <c r="AV1289" s="18"/>
      <c r="AW1289" s="18"/>
      <c r="AX1289" s="18"/>
      <c r="AY1289" s="18"/>
    </row>
    <row r="1290" spans="1:51" s="33" customFormat="1" x14ac:dyDescent="0.3">
      <c r="A1290" s="63" t="str">
        <f>A1289</f>
        <v>BCV131</v>
      </c>
      <c r="B1290" s="17" t="s">
        <v>1583</v>
      </c>
      <c r="C1290" s="18" t="str">
        <f>+C1289</f>
        <v>DIO1</v>
      </c>
      <c r="D1290" s="18">
        <v>132</v>
      </c>
      <c r="E1290" s="84">
        <f>+E1289</f>
        <v>2</v>
      </c>
      <c r="F1290" s="84">
        <f>+F1289</f>
        <v>9</v>
      </c>
      <c r="G1290" s="84">
        <v>0</v>
      </c>
      <c r="H1290" s="186">
        <f>+H1289</f>
        <v>2</v>
      </c>
      <c r="I1290" s="187"/>
      <c r="J1290" s="266"/>
      <c r="K1290" s="18"/>
      <c r="L1290" s="17"/>
      <c r="M1290" s="18">
        <v>0</v>
      </c>
      <c r="N1290" s="18"/>
      <c r="O1290" s="17"/>
      <c r="P1290" s="17"/>
      <c r="Q1290" s="17"/>
      <c r="R1290" s="17"/>
      <c r="S1290" s="17"/>
      <c r="T1290" s="17"/>
      <c r="U1290" s="17"/>
      <c r="V1290" s="17" t="str">
        <f>+CONCATENATE(E1290,".",F1290,"\",G1290,".",H1290,":",I1290)</f>
        <v>2.9\0.2:</v>
      </c>
      <c r="W1290" s="17"/>
      <c r="X1290" s="17"/>
      <c r="Y1290" s="20"/>
      <c r="Z1290" s="20"/>
      <c r="AA1290" s="20"/>
      <c r="AB1290" s="20"/>
      <c r="AC1290" s="20"/>
      <c r="AD1290" s="20"/>
      <c r="AE1290" s="20"/>
      <c r="AF1290" s="17"/>
      <c r="AG1290" s="64"/>
      <c r="AH1290" s="64"/>
      <c r="AI1290" s="64"/>
      <c r="AJ1290" s="64"/>
      <c r="AK1290" s="64"/>
      <c r="AL1290" s="264"/>
      <c r="AM1290" s="84"/>
      <c r="AN1290" s="18"/>
      <c r="AO1290" s="18"/>
      <c r="AP1290" s="18"/>
      <c r="AQ1290" s="18"/>
      <c r="AR1290" s="18"/>
      <c r="AS1290" s="18"/>
      <c r="AT1290" s="18"/>
      <c r="AU1290" s="18"/>
      <c r="AV1290" s="18"/>
      <c r="AW1290" s="18"/>
      <c r="AX1290" s="18"/>
      <c r="AY1290" s="18"/>
    </row>
    <row r="1291" spans="1:51" s="33" customFormat="1" ht="13.5" thickBot="1" x14ac:dyDescent="0.35">
      <c r="A1291" s="63" t="str">
        <f>A1290</f>
        <v>BCV131</v>
      </c>
      <c r="B1291" s="17" t="s">
        <v>1583</v>
      </c>
      <c r="C1291" s="18" t="str">
        <f>+C1290</f>
        <v>DIO1</v>
      </c>
      <c r="D1291" s="18">
        <v>132</v>
      </c>
      <c r="E1291" s="84">
        <f>+E1290</f>
        <v>2</v>
      </c>
      <c r="F1291" s="84">
        <f>+F1290</f>
        <v>9</v>
      </c>
      <c r="G1291" s="84">
        <v>0</v>
      </c>
      <c r="H1291" s="186">
        <f>+H1290</f>
        <v>2</v>
      </c>
      <c r="I1291" s="191"/>
      <c r="J1291" s="265"/>
      <c r="K1291" s="18"/>
      <c r="L1291" s="17"/>
      <c r="M1291" s="18">
        <v>0</v>
      </c>
      <c r="N1291" s="18"/>
      <c r="O1291" s="17"/>
      <c r="P1291" s="17"/>
      <c r="Q1291" s="17"/>
      <c r="R1291" s="17"/>
      <c r="S1291" s="17"/>
      <c r="T1291" s="17"/>
      <c r="U1291" s="17"/>
      <c r="V1291" s="17" t="str">
        <f>+CONCATENATE(E1291,".",F1291,"\",G1291,".",H1291,":",I1291)</f>
        <v>2.9\0.2:</v>
      </c>
      <c r="W1291" s="17"/>
      <c r="X1291" s="17"/>
      <c r="Y1291" s="20"/>
      <c r="Z1291" s="20"/>
      <c r="AA1291" s="20"/>
      <c r="AB1291" s="20"/>
      <c r="AC1291" s="20"/>
      <c r="AD1291" s="20"/>
      <c r="AE1291" s="20"/>
      <c r="AF1291" s="17"/>
      <c r="AG1291" s="64"/>
      <c r="AH1291" s="64"/>
      <c r="AI1291" s="64"/>
      <c r="AJ1291" s="64"/>
      <c r="AK1291" s="64"/>
      <c r="AL1291" s="264"/>
      <c r="AM1291" s="84"/>
      <c r="AN1291" s="18"/>
      <c r="AO1291" s="18"/>
      <c r="AP1291" s="18"/>
      <c r="AQ1291" s="18"/>
      <c r="AR1291" s="18"/>
      <c r="AS1291" s="18"/>
      <c r="AT1291" s="18"/>
      <c r="AU1291" s="18"/>
      <c r="AV1291" s="18"/>
      <c r="AW1291" s="18"/>
      <c r="AX1291" s="18"/>
      <c r="AY1291" s="18"/>
    </row>
    <row r="1292" spans="1:51" s="33" customFormat="1" x14ac:dyDescent="0.3">
      <c r="A1292" s="63" t="str">
        <f>A1291</f>
        <v>BCV131</v>
      </c>
      <c r="B1292" s="17" t="s">
        <v>1583</v>
      </c>
      <c r="C1292" s="18" t="str">
        <f>+C1291</f>
        <v>DIO1</v>
      </c>
      <c r="D1292" s="18">
        <v>132</v>
      </c>
      <c r="E1292" s="84">
        <f>+E1291</f>
        <v>2</v>
      </c>
      <c r="F1292" s="84">
        <f>+F1291</f>
        <v>9</v>
      </c>
      <c r="G1292" s="84">
        <v>0</v>
      </c>
      <c r="H1292" s="214">
        <v>3</v>
      </c>
      <c r="I1292" s="188"/>
      <c r="J1292" s="267"/>
      <c r="K1292" s="68" t="s">
        <v>698</v>
      </c>
      <c r="L1292" s="17"/>
      <c r="M1292" s="18">
        <v>0</v>
      </c>
      <c r="N1292" s="18"/>
      <c r="O1292" s="17"/>
      <c r="P1292" s="17"/>
      <c r="Q1292" s="17"/>
      <c r="R1292" s="17"/>
      <c r="S1292" s="17"/>
      <c r="T1292" s="17"/>
      <c r="U1292" s="17"/>
      <c r="V1292" s="17" t="str">
        <f>+CONCATENATE(E1292,".",F1292,"\",G1292,".",H1292,":",I1292)</f>
        <v>2.9\0.3:</v>
      </c>
      <c r="W1292" s="17"/>
      <c r="X1292" s="17"/>
      <c r="Y1292" s="20"/>
      <c r="Z1292" s="20"/>
      <c r="AA1292" s="20"/>
      <c r="AB1292" s="20"/>
      <c r="AC1292" s="20"/>
      <c r="AD1292" s="20"/>
      <c r="AE1292" s="20"/>
      <c r="AF1292" s="17"/>
      <c r="AG1292" s="64"/>
      <c r="AH1292" s="64"/>
      <c r="AI1292" s="64"/>
      <c r="AJ1292" s="64"/>
      <c r="AK1292" s="64"/>
      <c r="AL1292" s="264"/>
      <c r="AM1292" s="84"/>
      <c r="AN1292" s="18"/>
      <c r="AO1292" s="18"/>
      <c r="AP1292" s="18"/>
      <c r="AQ1292" s="18"/>
      <c r="AR1292" s="18"/>
      <c r="AS1292" s="18"/>
      <c r="AT1292" s="18"/>
      <c r="AU1292" s="18"/>
      <c r="AV1292" s="18"/>
      <c r="AW1292" s="18"/>
      <c r="AX1292" s="18"/>
      <c r="AY1292" s="18"/>
    </row>
    <row r="1293" spans="1:51" s="33" customFormat="1" x14ac:dyDescent="0.3">
      <c r="A1293" s="63" t="str">
        <f>A1292</f>
        <v>BCV131</v>
      </c>
      <c r="B1293" s="17" t="s">
        <v>1583</v>
      </c>
      <c r="C1293" s="18" t="str">
        <f>+C1292</f>
        <v>DIO1</v>
      </c>
      <c r="D1293" s="18">
        <v>132</v>
      </c>
      <c r="E1293" s="84">
        <f>+E1292</f>
        <v>2</v>
      </c>
      <c r="F1293" s="84">
        <f>+F1292</f>
        <v>9</v>
      </c>
      <c r="G1293" s="84">
        <v>0</v>
      </c>
      <c r="H1293" s="186">
        <f>+H1292</f>
        <v>3</v>
      </c>
      <c r="I1293" s="187"/>
      <c r="J1293" s="266"/>
      <c r="K1293" s="18"/>
      <c r="L1293" s="17"/>
      <c r="M1293" s="18">
        <v>0</v>
      </c>
      <c r="N1293" s="18"/>
      <c r="O1293" s="17"/>
      <c r="P1293" s="17"/>
      <c r="Q1293" s="17"/>
      <c r="R1293" s="17"/>
      <c r="S1293" s="17"/>
      <c r="T1293" s="17"/>
      <c r="U1293" s="17"/>
      <c r="V1293" s="17" t="str">
        <f>+CONCATENATE(E1293,".",F1293,"\",G1293,".",H1293,":",I1293)</f>
        <v>2.9\0.3:</v>
      </c>
      <c r="W1293" s="17"/>
      <c r="X1293" s="17"/>
      <c r="Y1293" s="20"/>
      <c r="Z1293" s="20"/>
      <c r="AA1293" s="20"/>
      <c r="AB1293" s="20"/>
      <c r="AC1293" s="20"/>
      <c r="AD1293" s="20"/>
      <c r="AE1293" s="20"/>
      <c r="AF1293" s="17"/>
      <c r="AG1293" s="64"/>
      <c r="AH1293" s="64"/>
      <c r="AI1293" s="64"/>
      <c r="AJ1293" s="64"/>
      <c r="AK1293" s="64"/>
      <c r="AL1293" s="264"/>
      <c r="AM1293" s="84"/>
      <c r="AN1293" s="18"/>
      <c r="AO1293" s="18"/>
      <c r="AP1293" s="18"/>
      <c r="AQ1293" s="18"/>
      <c r="AR1293" s="18"/>
      <c r="AS1293" s="18"/>
      <c r="AT1293" s="18"/>
      <c r="AU1293" s="18"/>
      <c r="AV1293" s="18"/>
      <c r="AW1293" s="18"/>
      <c r="AX1293" s="18"/>
      <c r="AY1293" s="18"/>
    </row>
    <row r="1294" spans="1:51" s="33" customFormat="1" x14ac:dyDescent="0.3">
      <c r="A1294" s="63" t="str">
        <f>A1293</f>
        <v>BCV131</v>
      </c>
      <c r="B1294" s="17" t="s">
        <v>1583</v>
      </c>
      <c r="C1294" s="18" t="str">
        <f>+C1293</f>
        <v>DIO1</v>
      </c>
      <c r="D1294" s="18">
        <v>132</v>
      </c>
      <c r="E1294" s="84">
        <f>+E1293</f>
        <v>2</v>
      </c>
      <c r="F1294" s="84">
        <f>+F1293</f>
        <v>9</v>
      </c>
      <c r="G1294" s="84">
        <v>0</v>
      </c>
      <c r="H1294" s="186">
        <f>+H1293</f>
        <v>3</v>
      </c>
      <c r="I1294" s="187"/>
      <c r="J1294" s="266"/>
      <c r="K1294" s="18"/>
      <c r="L1294" s="17"/>
      <c r="M1294" s="18">
        <v>0</v>
      </c>
      <c r="N1294" s="18"/>
      <c r="O1294" s="17"/>
      <c r="P1294" s="17"/>
      <c r="Q1294" s="17"/>
      <c r="R1294" s="17"/>
      <c r="S1294" s="17"/>
      <c r="T1294" s="17"/>
      <c r="U1294" s="17"/>
      <c r="V1294" s="17" t="str">
        <f>+CONCATENATE(E1294,".",F1294,"\",G1294,".",H1294,":",I1294)</f>
        <v>2.9\0.3:</v>
      </c>
      <c r="W1294" s="17"/>
      <c r="X1294" s="17"/>
      <c r="Y1294" s="20"/>
      <c r="Z1294" s="20"/>
      <c r="AA1294" s="20"/>
      <c r="AB1294" s="20"/>
      <c r="AC1294" s="20"/>
      <c r="AD1294" s="20"/>
      <c r="AE1294" s="20"/>
      <c r="AF1294" s="17"/>
      <c r="AG1294" s="64"/>
      <c r="AH1294" s="64"/>
      <c r="AI1294" s="64"/>
      <c r="AJ1294" s="64"/>
      <c r="AK1294" s="64"/>
      <c r="AL1294" s="264"/>
      <c r="AM1294" s="84"/>
      <c r="AN1294" s="18"/>
      <c r="AO1294" s="18"/>
      <c r="AP1294" s="18"/>
      <c r="AQ1294" s="18"/>
      <c r="AR1294" s="18"/>
      <c r="AS1294" s="18"/>
      <c r="AT1294" s="18"/>
      <c r="AU1294" s="18"/>
      <c r="AV1294" s="18"/>
      <c r="AW1294" s="18"/>
      <c r="AX1294" s="18"/>
      <c r="AY1294" s="18"/>
    </row>
    <row r="1295" spans="1:51" s="33" customFormat="1" ht="13.5" thickBot="1" x14ac:dyDescent="0.35">
      <c r="A1295" s="63" t="str">
        <f>A1294</f>
        <v>BCV131</v>
      </c>
      <c r="B1295" s="17" t="s">
        <v>1583</v>
      </c>
      <c r="C1295" s="18" t="str">
        <f>+C1294</f>
        <v>DIO1</v>
      </c>
      <c r="D1295" s="18">
        <v>132</v>
      </c>
      <c r="E1295" s="84">
        <f>+E1294</f>
        <v>2</v>
      </c>
      <c r="F1295" s="84">
        <f>+F1294</f>
        <v>9</v>
      </c>
      <c r="G1295" s="84">
        <v>0</v>
      </c>
      <c r="H1295" s="186">
        <f>+H1294</f>
        <v>3</v>
      </c>
      <c r="I1295" s="191"/>
      <c r="J1295" s="265"/>
      <c r="K1295" s="18"/>
      <c r="L1295" s="17"/>
      <c r="M1295" s="18">
        <v>0</v>
      </c>
      <c r="N1295" s="18"/>
      <c r="O1295" s="17"/>
      <c r="P1295" s="17"/>
      <c r="Q1295" s="17"/>
      <c r="R1295" s="17"/>
      <c r="S1295" s="17"/>
      <c r="T1295" s="17"/>
      <c r="U1295" s="17"/>
      <c r="V1295" s="17" t="str">
        <f>+CONCATENATE(E1295,".",F1295,"\",G1295,".",H1295,":",I1295)</f>
        <v>2.9\0.3:</v>
      </c>
      <c r="W1295" s="17"/>
      <c r="X1295" s="17"/>
      <c r="Y1295" s="20"/>
      <c r="Z1295" s="20"/>
      <c r="AA1295" s="20"/>
      <c r="AB1295" s="20"/>
      <c r="AC1295" s="20"/>
      <c r="AD1295" s="20"/>
      <c r="AE1295" s="20"/>
      <c r="AF1295" s="17"/>
      <c r="AG1295" s="64"/>
      <c r="AH1295" s="64"/>
      <c r="AI1295" s="64"/>
      <c r="AJ1295" s="64"/>
      <c r="AK1295" s="64"/>
      <c r="AL1295" s="264" t="s">
        <v>1452</v>
      </c>
      <c r="AM1295" s="84"/>
      <c r="AN1295" s="18"/>
      <c r="AO1295" s="18"/>
      <c r="AP1295" s="18"/>
      <c r="AQ1295" s="18"/>
      <c r="AR1295" s="18"/>
      <c r="AS1295" s="18"/>
      <c r="AT1295" s="18"/>
      <c r="AU1295" s="18"/>
      <c r="AV1295" s="18"/>
      <c r="AW1295" s="18"/>
      <c r="AX1295" s="18"/>
      <c r="AY1295" s="18"/>
    </row>
    <row r="1296" spans="1:51" s="33" customFormat="1" x14ac:dyDescent="0.3">
      <c r="A1296" s="63"/>
      <c r="B1296" s="63"/>
      <c r="C1296" s="63"/>
      <c r="D1296" s="63"/>
      <c r="E1296" s="288"/>
      <c r="F1296" s="288"/>
      <c r="G1296" s="288"/>
      <c r="H1296" s="63"/>
      <c r="I1296" s="63"/>
      <c r="J1296" s="63"/>
      <c r="K1296" s="17"/>
      <c r="L1296" s="17"/>
      <c r="M1296" s="17"/>
      <c r="N1296" s="17"/>
      <c r="O1296" s="68"/>
      <c r="P1296" s="68"/>
      <c r="Q1296" s="68"/>
      <c r="R1296" s="68"/>
      <c r="S1296" s="68"/>
      <c r="T1296" s="68"/>
      <c r="U1296" s="17"/>
      <c r="V1296" s="17"/>
      <c r="W1296" s="17"/>
      <c r="X1296" s="17"/>
      <c r="Y1296" s="17"/>
      <c r="Z1296" s="17"/>
      <c r="AA1296" s="17"/>
      <c r="AB1296" s="20"/>
      <c r="AC1296" s="17"/>
      <c r="AD1296" s="17"/>
      <c r="AE1296" s="17"/>
      <c r="AF1296" s="17"/>
      <c r="AG1296" s="64"/>
      <c r="AH1296" s="64"/>
      <c r="AI1296" s="64"/>
      <c r="AJ1296" s="64"/>
      <c r="AK1296" s="64"/>
      <c r="AL1296" s="264" t="s">
        <v>1452</v>
      </c>
      <c r="AM1296" s="84"/>
      <c r="AN1296" s="18"/>
      <c r="AO1296" s="18"/>
      <c r="AP1296" s="18"/>
      <c r="AQ1296" s="18"/>
      <c r="AR1296" s="18"/>
      <c r="AS1296" s="18"/>
      <c r="AT1296" s="18"/>
      <c r="AU1296" s="18"/>
      <c r="AV1296" s="18"/>
      <c r="AW1296" s="18"/>
      <c r="AX1296" s="18"/>
      <c r="AY1296" s="18"/>
    </row>
    <row r="1297" spans="1:51" s="33" customFormat="1" x14ac:dyDescent="0.3">
      <c r="A1297" s="63"/>
      <c r="B1297" s="63"/>
      <c r="C1297" s="63"/>
      <c r="D1297" s="63"/>
      <c r="E1297" s="288"/>
      <c r="F1297" s="288"/>
      <c r="G1297" s="288"/>
      <c r="H1297" s="63"/>
      <c r="I1297" s="63"/>
      <c r="J1297" s="63"/>
      <c r="K1297" s="17"/>
      <c r="L1297" s="17"/>
      <c r="M1297" s="17"/>
      <c r="N1297" s="17"/>
      <c r="O1297" s="68"/>
      <c r="P1297" s="68"/>
      <c r="Q1297" s="68"/>
      <c r="R1297" s="68"/>
      <c r="S1297" s="68"/>
      <c r="T1297" s="68"/>
      <c r="U1297" s="17"/>
      <c r="V1297" s="17"/>
      <c r="W1297" s="17"/>
      <c r="X1297" s="17"/>
      <c r="Y1297" s="17"/>
      <c r="Z1297" s="17"/>
      <c r="AA1297" s="17"/>
      <c r="AB1297" s="20"/>
      <c r="AC1297" s="17"/>
      <c r="AD1297" s="17"/>
      <c r="AE1297" s="17"/>
      <c r="AF1297" s="17"/>
      <c r="AG1297" s="64"/>
      <c r="AH1297" s="64"/>
      <c r="AI1297" s="64"/>
      <c r="AJ1297" s="64"/>
      <c r="AK1297" s="64"/>
      <c r="AL1297" s="264"/>
      <c r="AM1297" s="84"/>
      <c r="AN1297" s="18"/>
      <c r="AO1297" s="18"/>
      <c r="AP1297" s="18"/>
      <c r="AQ1297" s="18"/>
      <c r="AR1297" s="18"/>
      <c r="AS1297" s="18"/>
      <c r="AT1297" s="18"/>
      <c r="AU1297" s="18"/>
      <c r="AV1297" s="18"/>
      <c r="AW1297" s="18"/>
      <c r="AX1297" s="18"/>
      <c r="AY1297" s="18"/>
    </row>
    <row r="1298" spans="1:51" s="33" customFormat="1" x14ac:dyDescent="0.3">
      <c r="A1298" s="63"/>
      <c r="B1298" s="63"/>
      <c r="C1298" s="63"/>
      <c r="D1298" s="63"/>
      <c r="E1298" s="288"/>
      <c r="F1298" s="288"/>
      <c r="G1298" s="288"/>
      <c r="H1298" s="63"/>
      <c r="I1298" s="63"/>
      <c r="J1298" s="63"/>
      <c r="K1298" s="17"/>
      <c r="L1298" s="17"/>
      <c r="M1298" s="17"/>
      <c r="N1298" s="17"/>
      <c r="O1298" s="68"/>
      <c r="P1298" s="68"/>
      <c r="Q1298" s="68"/>
      <c r="R1298" s="68"/>
      <c r="S1298" s="68"/>
      <c r="T1298" s="68"/>
      <c r="U1298" s="17"/>
      <c r="V1298" s="17"/>
      <c r="W1298" s="17"/>
      <c r="X1298" s="17"/>
      <c r="Y1298" s="17"/>
      <c r="Z1298" s="17"/>
      <c r="AA1298" s="17"/>
      <c r="AB1298" s="20"/>
      <c r="AC1298" s="17"/>
      <c r="AD1298" s="17"/>
      <c r="AE1298" s="17"/>
      <c r="AF1298" s="17"/>
      <c r="AG1298" s="64"/>
      <c r="AH1298" s="64"/>
      <c r="AI1298" s="64"/>
      <c r="AJ1298" s="64"/>
      <c r="AK1298" s="64"/>
      <c r="AL1298" s="264"/>
      <c r="AM1298" s="84"/>
      <c r="AN1298" s="18"/>
      <c r="AO1298" s="18"/>
      <c r="AP1298" s="18"/>
      <c r="AQ1298" s="18"/>
      <c r="AR1298" s="18"/>
      <c r="AS1298" s="18"/>
      <c r="AT1298" s="18"/>
      <c r="AU1298" s="18"/>
      <c r="AV1298" s="18"/>
      <c r="AW1298" s="18"/>
      <c r="AX1298" s="18"/>
      <c r="AY1298" s="18"/>
    </row>
    <row r="1299" spans="1:51" s="33" customFormat="1" ht="15.5" x14ac:dyDescent="0.35">
      <c r="A1299" s="297"/>
      <c r="B1299" s="96" t="s">
        <v>1582</v>
      </c>
      <c r="C1299" s="256"/>
      <c r="D1299" s="256"/>
      <c r="E1299" s="256"/>
      <c r="F1299" s="256"/>
      <c r="G1299" s="256"/>
      <c r="H1299" s="256"/>
      <c r="I1299" s="256"/>
      <c r="J1299" s="256"/>
      <c r="K1299" s="256"/>
      <c r="L1299" s="256"/>
      <c r="M1299" s="256"/>
      <c r="N1299" s="287"/>
      <c r="O1299" s="256"/>
      <c r="P1299" s="287"/>
      <c r="Q1299" s="256"/>
      <c r="R1299" s="256"/>
      <c r="S1299" s="256"/>
      <c r="T1299" s="256"/>
      <c r="U1299" s="256"/>
      <c r="V1299" s="256"/>
      <c r="W1299" s="287"/>
      <c r="X1299" s="256"/>
      <c r="Y1299" s="256"/>
      <c r="Z1299" s="17"/>
      <c r="AA1299" s="17"/>
      <c r="AB1299" s="17"/>
      <c r="AC1299" s="17"/>
      <c r="AD1299" s="17"/>
      <c r="AE1299" s="17"/>
      <c r="AF1299" s="17"/>
      <c r="AG1299" s="64"/>
      <c r="AH1299" s="64"/>
      <c r="AI1299" s="64"/>
      <c r="AJ1299" s="64"/>
      <c r="AK1299" s="64"/>
      <c r="AL1299" s="264"/>
      <c r="AM1299" s="84"/>
      <c r="AN1299" s="18"/>
      <c r="AO1299" s="18"/>
      <c r="AP1299" s="18"/>
      <c r="AQ1299" s="18"/>
      <c r="AR1299" s="18"/>
      <c r="AS1299" s="18"/>
      <c r="AT1299" s="18"/>
      <c r="AU1299" s="18"/>
      <c r="AV1299" s="18"/>
      <c r="AW1299" s="18"/>
      <c r="AX1299" s="18"/>
      <c r="AY1299" s="18"/>
    </row>
    <row r="1300" spans="1:51" s="33" customFormat="1" ht="13.5" thickBot="1" x14ac:dyDescent="0.35">
      <c r="A1300" s="63"/>
      <c r="B1300" s="63"/>
      <c r="C1300" s="63"/>
      <c r="D1300" s="63"/>
      <c r="E1300" s="288"/>
      <c r="F1300" s="288"/>
      <c r="G1300" s="288"/>
      <c r="H1300" s="63"/>
      <c r="I1300" s="63"/>
      <c r="J1300" s="63"/>
      <c r="K1300" s="17"/>
      <c r="L1300" s="17"/>
      <c r="M1300" s="17"/>
      <c r="N1300" s="17"/>
      <c r="O1300" s="68"/>
      <c r="P1300" s="68"/>
      <c r="Q1300" s="68"/>
      <c r="R1300" s="68"/>
      <c r="S1300" s="68"/>
      <c r="T1300" s="68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64"/>
      <c r="AH1300" s="64"/>
      <c r="AI1300" s="64"/>
      <c r="AJ1300" s="64"/>
      <c r="AK1300" s="64"/>
      <c r="AL1300" s="264"/>
      <c r="AM1300" s="84"/>
      <c r="AN1300" s="18"/>
      <c r="AO1300" s="18"/>
      <c r="AP1300" s="18"/>
      <c r="AQ1300" s="18"/>
      <c r="AR1300" s="18"/>
      <c r="AS1300" s="18"/>
      <c r="AT1300" s="18"/>
      <c r="AU1300" s="18"/>
      <c r="AV1300" s="18"/>
      <c r="AW1300" s="18"/>
      <c r="AX1300" s="18"/>
      <c r="AY1300" s="18"/>
    </row>
    <row r="1301" spans="1:51" s="33" customFormat="1" ht="13.5" thickBot="1" x14ac:dyDescent="0.35">
      <c r="A1301" s="63" t="s">
        <v>194</v>
      </c>
      <c r="B1301" s="17" t="s">
        <v>1581</v>
      </c>
      <c r="C1301" s="295" t="s">
        <v>271</v>
      </c>
      <c r="D1301" s="290" t="s">
        <v>270</v>
      </c>
      <c r="E1301" s="290">
        <v>2</v>
      </c>
      <c r="F1301" s="290">
        <v>12</v>
      </c>
      <c r="G1301" s="290">
        <v>0</v>
      </c>
      <c r="H1301" s="89">
        <v>0</v>
      </c>
      <c r="I1301" s="88" t="s">
        <v>1106</v>
      </c>
      <c r="J1301" s="87"/>
      <c r="K1301" s="84">
        <v>1059305</v>
      </c>
      <c r="L1301" s="91" t="s">
        <v>1377</v>
      </c>
      <c r="M1301" s="17">
        <v>3</v>
      </c>
      <c r="N1301" s="17"/>
      <c r="O1301" s="83"/>
      <c r="P1301" s="83"/>
      <c r="Q1301" s="68"/>
      <c r="R1301" s="68"/>
      <c r="S1301" s="68"/>
      <c r="T1301" s="68"/>
      <c r="U1301" s="17"/>
      <c r="V1301" s="17"/>
      <c r="W1301" s="18" t="s">
        <v>1565</v>
      </c>
      <c r="X1301" s="17">
        <v>0</v>
      </c>
      <c r="Y1301" s="17"/>
      <c r="Z1301" s="17"/>
      <c r="AA1301" s="17"/>
      <c r="AB1301" s="17"/>
      <c r="AC1301" s="17"/>
      <c r="AD1301" s="17"/>
      <c r="AE1301" s="17"/>
      <c r="AF1301" s="17"/>
      <c r="AG1301" s="64"/>
      <c r="AH1301" s="64"/>
      <c r="AI1301" s="64"/>
      <c r="AJ1301" s="64"/>
      <c r="AK1301" s="64"/>
      <c r="AL1301" s="264"/>
      <c r="AM1301" s="84"/>
      <c r="AN1301" s="18"/>
      <c r="AO1301" s="18"/>
      <c r="AP1301" s="18"/>
      <c r="AQ1301" s="18"/>
      <c r="AR1301" s="18"/>
      <c r="AS1301" s="18"/>
      <c r="AT1301" s="18"/>
      <c r="AU1301" s="18"/>
      <c r="AV1301" s="18"/>
      <c r="AW1301" s="18"/>
      <c r="AX1301" s="18"/>
      <c r="AY1301" s="18"/>
    </row>
    <row r="1302" spans="1:51" s="33" customFormat="1" x14ac:dyDescent="0.3">
      <c r="A1302" s="63" t="str">
        <f>+A1301</f>
        <v>BCV131</v>
      </c>
      <c r="B1302" s="18" t="str">
        <f>+B1301</f>
        <v>AX24</v>
      </c>
      <c r="C1302" s="85" t="str">
        <f>+C1301</f>
        <v>SIO1</v>
      </c>
      <c r="D1302" s="85" t="str">
        <f>+D1301</f>
        <v>SLC02</v>
      </c>
      <c r="E1302" s="290">
        <f>+E1301</f>
        <v>2</v>
      </c>
      <c r="F1302" s="290">
        <f>+F1301</f>
        <v>12</v>
      </c>
      <c r="G1302" s="290">
        <f>+G1301</f>
        <v>0</v>
      </c>
      <c r="H1302" s="72">
        <v>1</v>
      </c>
      <c r="I1302" s="77">
        <v>1</v>
      </c>
      <c r="J1302" s="76" t="s">
        <v>269</v>
      </c>
      <c r="K1302" s="65">
        <v>1044125</v>
      </c>
      <c r="L1302" s="79" t="s">
        <v>244</v>
      </c>
      <c r="M1302" s="17">
        <v>3</v>
      </c>
      <c r="N1302" s="18" t="s">
        <v>1578</v>
      </c>
      <c r="O1302" s="296" t="s">
        <v>1580</v>
      </c>
      <c r="P1302" s="296"/>
      <c r="Q1302" s="296" t="s">
        <v>1579</v>
      </c>
      <c r="R1302" s="17" t="s">
        <v>211</v>
      </c>
      <c r="S1302" s="17"/>
      <c r="T1302" s="17" t="s">
        <v>194</v>
      </c>
      <c r="U1302" s="17"/>
      <c r="V1302" s="289" t="str">
        <f>+CONCATENATE(E1302,".",F1302,"\",G1302,".",H1302,":",I1302)</f>
        <v>2.12\0.1:1</v>
      </c>
      <c r="W1302" s="18" t="s">
        <v>1565</v>
      </c>
      <c r="X1302" s="17">
        <v>0</v>
      </c>
      <c r="Y1302" s="17"/>
      <c r="Z1302" s="17"/>
      <c r="AA1302" s="17"/>
      <c r="AB1302" s="17"/>
      <c r="AC1302" s="17"/>
      <c r="AD1302" s="17"/>
      <c r="AE1302" s="17"/>
      <c r="AF1302" s="17"/>
      <c r="AG1302" s="64"/>
      <c r="AH1302" s="64"/>
      <c r="AI1302" s="64"/>
      <c r="AJ1302" s="64"/>
      <c r="AK1302" s="64"/>
      <c r="AL1302" s="264"/>
      <c r="AM1302" s="84"/>
      <c r="AN1302" s="18"/>
      <c r="AO1302" s="18"/>
      <c r="AP1302" s="18"/>
      <c r="AQ1302" s="18"/>
      <c r="AR1302" s="18"/>
      <c r="AS1302" s="18"/>
      <c r="AT1302" s="18"/>
      <c r="AU1302" s="18"/>
      <c r="AV1302" s="18"/>
      <c r="AW1302" s="18"/>
      <c r="AX1302" s="18"/>
      <c r="AY1302" s="18"/>
    </row>
    <row r="1303" spans="1:51" s="33" customFormat="1" x14ac:dyDescent="0.3">
      <c r="A1303" s="63" t="str">
        <f>+A1302</f>
        <v>BCV131</v>
      </c>
      <c r="B1303" s="18" t="str">
        <f>+B1302</f>
        <v>AX24</v>
      </c>
      <c r="C1303" s="85" t="str">
        <f>+C1302</f>
        <v>SIO1</v>
      </c>
      <c r="D1303" s="85" t="str">
        <f>+D1302</f>
        <v>SLC02</v>
      </c>
      <c r="E1303" s="290">
        <f>+E1302</f>
        <v>2</v>
      </c>
      <c r="F1303" s="290">
        <f>+F1302</f>
        <v>12</v>
      </c>
      <c r="G1303" s="290">
        <f>+G1302</f>
        <v>0</v>
      </c>
      <c r="H1303" s="72">
        <f>+H1302</f>
        <v>1</v>
      </c>
      <c r="I1303" s="75">
        <v>2</v>
      </c>
      <c r="J1303" s="74" t="s">
        <v>265</v>
      </c>
      <c r="K1303" s="84">
        <v>1047162</v>
      </c>
      <c r="L1303" s="79" t="s">
        <v>244</v>
      </c>
      <c r="M1303" s="17">
        <v>3</v>
      </c>
      <c r="N1303" s="18" t="s">
        <v>1578</v>
      </c>
      <c r="O1303" s="296" t="s">
        <v>1577</v>
      </c>
      <c r="P1303" s="296"/>
      <c r="Q1303" s="296" t="s">
        <v>1576</v>
      </c>
      <c r="R1303" s="17" t="s">
        <v>211</v>
      </c>
      <c r="S1303" s="17"/>
      <c r="T1303" s="17" t="str">
        <f>+T1302</f>
        <v>BCV131</v>
      </c>
      <c r="U1303" s="17"/>
      <c r="V1303" s="289" t="str">
        <f>+CONCATENATE(E1303,".",F1303,"\",G1303,".",H1303,":",I1303)</f>
        <v>2.12\0.1:2</v>
      </c>
      <c r="W1303" s="18" t="s">
        <v>1565</v>
      </c>
      <c r="X1303" s="17">
        <v>0</v>
      </c>
      <c r="Y1303" s="17"/>
      <c r="Z1303" s="17"/>
      <c r="AA1303" s="17"/>
      <c r="AB1303" s="17"/>
      <c r="AC1303" s="17"/>
      <c r="AD1303" s="17"/>
      <c r="AE1303" s="17"/>
      <c r="AF1303" s="17"/>
      <c r="AG1303" s="64"/>
      <c r="AH1303" s="64"/>
      <c r="AI1303" s="64"/>
      <c r="AJ1303" s="64"/>
      <c r="AK1303" s="64"/>
      <c r="AL1303" s="264"/>
      <c r="AM1303" s="84"/>
      <c r="AN1303" s="18"/>
      <c r="AO1303" s="18"/>
      <c r="AP1303" s="18"/>
      <c r="AQ1303" s="18"/>
      <c r="AR1303" s="18"/>
      <c r="AS1303" s="18"/>
      <c r="AT1303" s="18"/>
      <c r="AU1303" s="18"/>
      <c r="AV1303" s="18"/>
      <c r="AW1303" s="18"/>
      <c r="AX1303" s="18"/>
      <c r="AY1303" s="18"/>
    </row>
    <row r="1304" spans="1:51" s="33" customFormat="1" x14ac:dyDescent="0.3">
      <c r="A1304" s="63" t="str">
        <f>+A1303</f>
        <v>BCV131</v>
      </c>
      <c r="B1304" s="18" t="str">
        <f>+B1303</f>
        <v>AX24</v>
      </c>
      <c r="C1304" s="85" t="str">
        <f>+C1303</f>
        <v>SIO1</v>
      </c>
      <c r="D1304" s="85" t="str">
        <f>+D1303</f>
        <v>SLC02</v>
      </c>
      <c r="E1304" s="290">
        <f>+E1303</f>
        <v>2</v>
      </c>
      <c r="F1304" s="290">
        <f>+F1303</f>
        <v>12</v>
      </c>
      <c r="G1304" s="290">
        <f>+G1303</f>
        <v>0</v>
      </c>
      <c r="H1304" s="72">
        <f>+H1303</f>
        <v>1</v>
      </c>
      <c r="I1304" s="75">
        <v>3</v>
      </c>
      <c r="J1304" s="74" t="s">
        <v>261</v>
      </c>
      <c r="K1304" s="85"/>
      <c r="L1304" s="79" t="s">
        <v>244</v>
      </c>
      <c r="M1304" s="17">
        <v>3</v>
      </c>
      <c r="N1304" s="18" t="s">
        <v>1573</v>
      </c>
      <c r="O1304" s="296" t="s">
        <v>1575</v>
      </c>
      <c r="P1304" s="296"/>
      <c r="Q1304" s="296" t="s">
        <v>1574</v>
      </c>
      <c r="R1304" s="17" t="s">
        <v>211</v>
      </c>
      <c r="S1304" s="17"/>
      <c r="T1304" s="17" t="str">
        <f>+T1303</f>
        <v>BCV131</v>
      </c>
      <c r="U1304" s="17"/>
      <c r="V1304" s="289" t="str">
        <f>+CONCATENATE(E1304,".",F1304,"\",G1304,".",H1304,":",I1304)</f>
        <v>2.12\0.1:3</v>
      </c>
      <c r="W1304" s="18" t="s">
        <v>1565</v>
      </c>
      <c r="X1304" s="17">
        <v>0</v>
      </c>
      <c r="Y1304" s="17"/>
      <c r="Z1304" s="17"/>
      <c r="AA1304" s="17"/>
      <c r="AB1304" s="17"/>
      <c r="AC1304" s="17"/>
      <c r="AD1304" s="17"/>
      <c r="AE1304" s="17"/>
      <c r="AF1304" s="17"/>
      <c r="AG1304" s="64"/>
      <c r="AH1304" s="64"/>
      <c r="AI1304" s="64"/>
      <c r="AJ1304" s="64"/>
      <c r="AK1304" s="64"/>
      <c r="AL1304" s="264"/>
      <c r="AM1304" s="84"/>
      <c r="AN1304" s="18"/>
      <c r="AO1304" s="18"/>
      <c r="AP1304" s="18"/>
      <c r="AQ1304" s="18"/>
      <c r="AR1304" s="18"/>
      <c r="AS1304" s="18"/>
      <c r="AT1304" s="18"/>
      <c r="AU1304" s="18"/>
      <c r="AV1304" s="18"/>
      <c r="AW1304" s="18"/>
      <c r="AX1304" s="18"/>
      <c r="AY1304" s="18"/>
    </row>
    <row r="1305" spans="1:51" s="33" customFormat="1" x14ac:dyDescent="0.3">
      <c r="A1305" s="63" t="str">
        <f>+A1304</f>
        <v>BCV131</v>
      </c>
      <c r="B1305" s="18" t="str">
        <f>+B1304</f>
        <v>AX24</v>
      </c>
      <c r="C1305" s="85" t="str">
        <f>+C1304</f>
        <v>SIO1</v>
      </c>
      <c r="D1305" s="85" t="str">
        <f>+D1304</f>
        <v>SLC02</v>
      </c>
      <c r="E1305" s="290">
        <f>+E1304</f>
        <v>2</v>
      </c>
      <c r="F1305" s="290">
        <f>+F1304</f>
        <v>12</v>
      </c>
      <c r="G1305" s="290">
        <f>+G1304</f>
        <v>0</v>
      </c>
      <c r="H1305" s="72">
        <f>+H1304</f>
        <v>1</v>
      </c>
      <c r="I1305" s="75">
        <v>4</v>
      </c>
      <c r="J1305" s="74" t="s">
        <v>257</v>
      </c>
      <c r="K1305" s="85"/>
      <c r="L1305" s="79" t="s">
        <v>244</v>
      </c>
      <c r="M1305" s="17">
        <v>3</v>
      </c>
      <c r="N1305" s="18" t="s">
        <v>1573</v>
      </c>
      <c r="O1305" s="296" t="s">
        <v>1572</v>
      </c>
      <c r="P1305" s="296"/>
      <c r="Q1305" s="296" t="s">
        <v>1571</v>
      </c>
      <c r="R1305" s="17" t="s">
        <v>211</v>
      </c>
      <c r="S1305" s="17"/>
      <c r="T1305" s="17" t="str">
        <f>+T1304</f>
        <v>BCV131</v>
      </c>
      <c r="U1305" s="17"/>
      <c r="V1305" s="289" t="str">
        <f>+CONCATENATE(E1305,".",F1305,"\",G1305,".",H1305,":",I1305)</f>
        <v>2.12\0.1:4</v>
      </c>
      <c r="W1305" s="18" t="s">
        <v>1565</v>
      </c>
      <c r="X1305" s="17">
        <v>0</v>
      </c>
      <c r="Y1305" s="17"/>
      <c r="Z1305" s="17"/>
      <c r="AA1305" s="17"/>
      <c r="AB1305" s="17"/>
      <c r="AC1305" s="17"/>
      <c r="AD1305" s="17"/>
      <c r="AE1305" s="17"/>
      <c r="AF1305" s="17"/>
      <c r="AG1305" s="64"/>
      <c r="AH1305" s="64"/>
      <c r="AI1305" s="64"/>
      <c r="AJ1305" s="64"/>
      <c r="AK1305" s="64"/>
      <c r="AL1305" s="264"/>
      <c r="AM1305" s="84"/>
      <c r="AN1305" s="18"/>
      <c r="AO1305" s="18"/>
      <c r="AP1305" s="18"/>
      <c r="AQ1305" s="18"/>
      <c r="AR1305" s="18"/>
      <c r="AS1305" s="18"/>
      <c r="AT1305" s="18"/>
      <c r="AU1305" s="18"/>
      <c r="AV1305" s="18"/>
      <c r="AW1305" s="18"/>
      <c r="AX1305" s="18"/>
      <c r="AY1305" s="18"/>
    </row>
    <row r="1306" spans="1:51" s="33" customFormat="1" x14ac:dyDescent="0.3">
      <c r="A1306" s="63" t="str">
        <f>+A1305</f>
        <v>BCV131</v>
      </c>
      <c r="B1306" s="18" t="str">
        <f>+B1305</f>
        <v>AX24</v>
      </c>
      <c r="C1306" s="85" t="str">
        <f>+C1305</f>
        <v>SIO1</v>
      </c>
      <c r="D1306" s="85" t="str">
        <f>+D1305</f>
        <v>SLC02</v>
      </c>
      <c r="E1306" s="290">
        <f>+E1305</f>
        <v>2</v>
      </c>
      <c r="F1306" s="290">
        <f>+F1305</f>
        <v>12</v>
      </c>
      <c r="G1306" s="290">
        <f>+G1305</f>
        <v>0</v>
      </c>
      <c r="H1306" s="72">
        <f>+H1305</f>
        <v>1</v>
      </c>
      <c r="I1306" s="75">
        <v>5</v>
      </c>
      <c r="J1306" s="74" t="s">
        <v>1325</v>
      </c>
      <c r="K1306" s="85"/>
      <c r="L1306" s="79" t="s">
        <v>244</v>
      </c>
      <c r="M1306" s="17">
        <v>3</v>
      </c>
      <c r="N1306" s="17"/>
      <c r="O1306" s="296"/>
      <c r="P1306" s="296"/>
      <c r="Q1306" s="296" t="s">
        <v>127</v>
      </c>
      <c r="R1306" s="17"/>
      <c r="S1306" s="17"/>
      <c r="T1306" s="17"/>
      <c r="U1306" s="17"/>
      <c r="V1306" s="289" t="str">
        <f>+CONCATENATE(E1306,".",F1306,"\",G1306,".",H1306,":",I1306)</f>
        <v>2.12\0.1:5</v>
      </c>
      <c r="W1306" s="18" t="s">
        <v>1565</v>
      </c>
      <c r="X1306" s="17">
        <v>0</v>
      </c>
      <c r="Y1306" s="17"/>
      <c r="Z1306" s="17"/>
      <c r="AA1306" s="17"/>
      <c r="AB1306" s="17"/>
      <c r="AC1306" s="17"/>
      <c r="AD1306" s="17"/>
      <c r="AE1306" s="17"/>
      <c r="AF1306" s="17"/>
      <c r="AG1306" s="64"/>
      <c r="AH1306" s="64"/>
      <c r="AI1306" s="64"/>
      <c r="AJ1306" s="64"/>
      <c r="AK1306" s="64"/>
      <c r="AL1306" s="264"/>
      <c r="AM1306" s="84"/>
      <c r="AN1306" s="18"/>
      <c r="AO1306" s="18"/>
      <c r="AP1306" s="18"/>
      <c r="AQ1306" s="18"/>
      <c r="AR1306" s="18"/>
      <c r="AS1306" s="18"/>
      <c r="AT1306" s="18"/>
      <c r="AU1306" s="18"/>
      <c r="AV1306" s="18"/>
      <c r="AW1306" s="18"/>
      <c r="AX1306" s="18"/>
      <c r="AY1306" s="18"/>
    </row>
    <row r="1307" spans="1:51" s="33" customFormat="1" x14ac:dyDescent="0.3">
      <c r="A1307" s="63" t="str">
        <f>+A1306</f>
        <v>BCV131</v>
      </c>
      <c r="B1307" s="18" t="str">
        <f>+B1306</f>
        <v>AX24</v>
      </c>
      <c r="C1307" s="85" t="str">
        <f>+C1306</f>
        <v>SIO1</v>
      </c>
      <c r="D1307" s="85" t="str">
        <f>+D1306</f>
        <v>SLC02</v>
      </c>
      <c r="E1307" s="290">
        <f>+E1306</f>
        <v>2</v>
      </c>
      <c r="F1307" s="290">
        <f>+F1306</f>
        <v>12</v>
      </c>
      <c r="G1307" s="290">
        <f>+G1306</f>
        <v>0</v>
      </c>
      <c r="H1307" s="72">
        <f>+H1306</f>
        <v>1</v>
      </c>
      <c r="I1307" s="75">
        <v>6</v>
      </c>
      <c r="J1307" s="74" t="s">
        <v>1323</v>
      </c>
      <c r="K1307" s="85"/>
      <c r="L1307" s="79" t="s">
        <v>244</v>
      </c>
      <c r="M1307" s="17">
        <v>3</v>
      </c>
      <c r="N1307" s="17"/>
      <c r="O1307" s="296"/>
      <c r="P1307" s="296"/>
      <c r="Q1307" s="296" t="s">
        <v>127</v>
      </c>
      <c r="R1307" s="17"/>
      <c r="S1307" s="17"/>
      <c r="T1307" s="17"/>
      <c r="U1307" s="17"/>
      <c r="V1307" s="289" t="str">
        <f>+CONCATENATE(E1307,".",F1307,"\",G1307,".",H1307,":",I1307)</f>
        <v>2.12\0.1:6</v>
      </c>
      <c r="W1307" s="18" t="s">
        <v>1565</v>
      </c>
      <c r="X1307" s="17">
        <v>0</v>
      </c>
      <c r="Y1307" s="17"/>
      <c r="Z1307" s="17"/>
      <c r="AA1307" s="17"/>
      <c r="AB1307" s="17"/>
      <c r="AC1307" s="17"/>
      <c r="AD1307" s="17"/>
      <c r="AE1307" s="17"/>
      <c r="AF1307" s="17"/>
      <c r="AG1307" s="64"/>
      <c r="AH1307" s="64"/>
      <c r="AI1307" s="64"/>
      <c r="AJ1307" s="64"/>
      <c r="AK1307" s="64"/>
      <c r="AL1307" s="264"/>
      <c r="AM1307" s="84"/>
      <c r="AN1307" s="18"/>
      <c r="AO1307" s="18"/>
      <c r="AP1307" s="18"/>
      <c r="AQ1307" s="18"/>
      <c r="AR1307" s="18"/>
      <c r="AS1307" s="18"/>
      <c r="AT1307" s="18"/>
      <c r="AU1307" s="18"/>
      <c r="AV1307" s="18"/>
      <c r="AW1307" s="18"/>
      <c r="AX1307" s="18"/>
      <c r="AY1307" s="18"/>
    </row>
    <row r="1308" spans="1:51" s="33" customFormat="1" x14ac:dyDescent="0.3">
      <c r="A1308" s="63" t="str">
        <f>+A1307</f>
        <v>BCV131</v>
      </c>
      <c r="B1308" s="18" t="str">
        <f>+B1307</f>
        <v>AX24</v>
      </c>
      <c r="C1308" s="85" t="str">
        <f>+C1307</f>
        <v>SIO1</v>
      </c>
      <c r="D1308" s="85" t="str">
        <f>+D1307</f>
        <v>SLC02</v>
      </c>
      <c r="E1308" s="290">
        <f>+E1307</f>
        <v>2</v>
      </c>
      <c r="F1308" s="290">
        <f>+F1307</f>
        <v>12</v>
      </c>
      <c r="G1308" s="290">
        <f>+G1307</f>
        <v>0</v>
      </c>
      <c r="H1308" s="72">
        <f>+H1307</f>
        <v>1</v>
      </c>
      <c r="I1308" s="75">
        <v>7</v>
      </c>
      <c r="J1308" s="74" t="s">
        <v>246</v>
      </c>
      <c r="K1308" s="85"/>
      <c r="L1308" s="79" t="s">
        <v>244</v>
      </c>
      <c r="M1308" s="17">
        <v>3</v>
      </c>
      <c r="N1308" s="17"/>
      <c r="O1308" s="296"/>
      <c r="P1308" s="296"/>
      <c r="Q1308" s="296" t="s">
        <v>127</v>
      </c>
      <c r="R1308" s="17"/>
      <c r="S1308" s="17"/>
      <c r="T1308" s="17"/>
      <c r="U1308" s="17"/>
      <c r="V1308" s="289" t="str">
        <f>+CONCATENATE(E1308,".",F1308,"\",G1308,".",H1308,":",I1308)</f>
        <v>2.12\0.1:7</v>
      </c>
      <c r="W1308" s="18" t="s">
        <v>1565</v>
      </c>
      <c r="X1308" s="17">
        <v>0</v>
      </c>
      <c r="Y1308" s="17"/>
      <c r="Z1308" s="17"/>
      <c r="AA1308" s="17"/>
      <c r="AB1308" s="17"/>
      <c r="AC1308" s="17"/>
      <c r="AD1308" s="17"/>
      <c r="AE1308" s="17"/>
      <c r="AF1308" s="17"/>
      <c r="AG1308" s="64"/>
      <c r="AH1308" s="64"/>
      <c r="AI1308" s="64"/>
      <c r="AJ1308" s="64"/>
      <c r="AK1308" s="64"/>
      <c r="AL1308" s="264"/>
      <c r="AM1308" s="84"/>
      <c r="AN1308" s="18"/>
      <c r="AO1308" s="18"/>
      <c r="AP1308" s="18"/>
      <c r="AQ1308" s="18"/>
      <c r="AR1308" s="18"/>
      <c r="AS1308" s="18"/>
      <c r="AT1308" s="18"/>
      <c r="AU1308" s="18"/>
      <c r="AV1308" s="18"/>
      <c r="AW1308" s="18"/>
      <c r="AX1308" s="18"/>
      <c r="AY1308" s="18"/>
    </row>
    <row r="1309" spans="1:51" s="33" customFormat="1" x14ac:dyDescent="0.3">
      <c r="A1309" s="63" t="str">
        <f>+A1308</f>
        <v>BCV131</v>
      </c>
      <c r="B1309" s="18" t="str">
        <f>+B1308</f>
        <v>AX24</v>
      </c>
      <c r="C1309" s="85" t="str">
        <f>+C1308</f>
        <v>SIO1</v>
      </c>
      <c r="D1309" s="85" t="str">
        <f>+D1308</f>
        <v>SLC02</v>
      </c>
      <c r="E1309" s="290">
        <f>+E1308</f>
        <v>2</v>
      </c>
      <c r="F1309" s="290">
        <f>+F1308</f>
        <v>12</v>
      </c>
      <c r="G1309" s="290">
        <f>+G1308</f>
        <v>0</v>
      </c>
      <c r="H1309" s="72">
        <f>+H1308</f>
        <v>1</v>
      </c>
      <c r="I1309" s="75">
        <v>8</v>
      </c>
      <c r="J1309" s="74" t="s">
        <v>245</v>
      </c>
      <c r="K1309" s="85"/>
      <c r="L1309" s="79" t="s">
        <v>244</v>
      </c>
      <c r="M1309" s="17">
        <v>3</v>
      </c>
      <c r="N1309" s="17"/>
      <c r="O1309" s="296"/>
      <c r="P1309" s="296"/>
      <c r="Q1309" s="296" t="s">
        <v>127</v>
      </c>
      <c r="R1309" s="17"/>
      <c r="S1309" s="17"/>
      <c r="T1309" s="17"/>
      <c r="U1309" s="17"/>
      <c r="V1309" s="289" t="str">
        <f>+CONCATENATE(E1309,".",F1309,"\",G1309,".",H1309,":",I1309)</f>
        <v>2.12\0.1:8</v>
      </c>
      <c r="W1309" s="18" t="s">
        <v>1565</v>
      </c>
      <c r="X1309" s="17">
        <v>0</v>
      </c>
      <c r="Y1309" s="17"/>
      <c r="Z1309" s="17"/>
      <c r="AA1309" s="17"/>
      <c r="AB1309" s="17"/>
      <c r="AC1309" s="17"/>
      <c r="AD1309" s="17"/>
      <c r="AE1309" s="17"/>
      <c r="AF1309" s="17"/>
      <c r="AG1309" s="64"/>
      <c r="AH1309" s="64"/>
      <c r="AI1309" s="64"/>
      <c r="AJ1309" s="64"/>
      <c r="AK1309" s="64"/>
      <c r="AL1309" s="264"/>
      <c r="AM1309" s="84"/>
      <c r="AN1309" s="18"/>
      <c r="AO1309" s="18"/>
      <c r="AP1309" s="18"/>
      <c r="AQ1309" s="18"/>
      <c r="AR1309" s="18"/>
      <c r="AS1309" s="18"/>
      <c r="AT1309" s="18"/>
      <c r="AU1309" s="18"/>
      <c r="AV1309" s="18"/>
      <c r="AW1309" s="18"/>
      <c r="AX1309" s="18"/>
      <c r="AY1309" s="18"/>
    </row>
    <row r="1310" spans="1:51" s="33" customFormat="1" x14ac:dyDescent="0.3">
      <c r="A1310" s="63" t="str">
        <f>+A1309</f>
        <v>BCV131</v>
      </c>
      <c r="B1310" s="18" t="str">
        <f>+B1309</f>
        <v>AX24</v>
      </c>
      <c r="C1310" s="85" t="str">
        <f>+C1309</f>
        <v>SIO1</v>
      </c>
      <c r="D1310" s="85" t="str">
        <f>+D1309</f>
        <v>SLC02</v>
      </c>
      <c r="E1310" s="290">
        <f>+E1309</f>
        <v>2</v>
      </c>
      <c r="F1310" s="290">
        <f>+F1309</f>
        <v>12</v>
      </c>
      <c r="G1310" s="290">
        <f>+G1309</f>
        <v>0</v>
      </c>
      <c r="H1310" s="72">
        <f>+H1309</f>
        <v>1</v>
      </c>
      <c r="I1310" s="75">
        <v>1</v>
      </c>
      <c r="J1310" s="81" t="s">
        <v>1321</v>
      </c>
      <c r="K1310" s="85" t="s">
        <v>1366</v>
      </c>
      <c r="L1310" s="79" t="s">
        <v>235</v>
      </c>
      <c r="M1310" s="17">
        <v>3</v>
      </c>
      <c r="N1310" s="18" t="s">
        <v>1569</v>
      </c>
      <c r="O1310" s="17" t="s">
        <v>1570</v>
      </c>
      <c r="P1310" s="17"/>
      <c r="Q1310" s="17" t="s">
        <v>1335</v>
      </c>
      <c r="R1310" s="17" t="s">
        <v>922</v>
      </c>
      <c r="S1310" s="17"/>
      <c r="T1310" s="17" t="str">
        <f>+T1302</f>
        <v>BCV131</v>
      </c>
      <c r="U1310" s="17"/>
      <c r="V1310" s="289" t="str">
        <f>+CONCATENATE(E1310,".",F1310,"\",G1310,".",H1310,":",I1310)</f>
        <v>2.12\0.1:1</v>
      </c>
      <c r="W1310" s="18" t="s">
        <v>1565</v>
      </c>
      <c r="X1310" s="17">
        <v>0</v>
      </c>
      <c r="Y1310" s="17"/>
      <c r="Z1310" s="17"/>
      <c r="AA1310" s="17"/>
      <c r="AB1310" s="17"/>
      <c r="AC1310" s="17"/>
      <c r="AD1310" s="17"/>
      <c r="AE1310" s="17"/>
      <c r="AF1310" s="17"/>
      <c r="AG1310" s="64"/>
      <c r="AH1310" s="64"/>
      <c r="AI1310" s="64"/>
      <c r="AJ1310" s="64"/>
      <c r="AK1310" s="64"/>
      <c r="AL1310" s="264"/>
      <c r="AM1310" s="84"/>
      <c r="AN1310" s="18"/>
      <c r="AO1310" s="18"/>
      <c r="AP1310" s="18"/>
      <c r="AQ1310" s="18"/>
      <c r="AR1310" s="18"/>
      <c r="AS1310" s="18"/>
      <c r="AT1310" s="18"/>
      <c r="AU1310" s="18"/>
      <c r="AV1310" s="18"/>
      <c r="AW1310" s="18"/>
      <c r="AX1310" s="18"/>
      <c r="AY1310" s="18"/>
    </row>
    <row r="1311" spans="1:51" s="33" customFormat="1" x14ac:dyDescent="0.3">
      <c r="A1311" s="63" t="str">
        <f>+A1310</f>
        <v>BCV131</v>
      </c>
      <c r="B1311" s="18" t="str">
        <f>+B1310</f>
        <v>AX24</v>
      </c>
      <c r="C1311" s="85" t="str">
        <f>+C1310</f>
        <v>SIO1</v>
      </c>
      <c r="D1311" s="85" t="str">
        <f>+D1310</f>
        <v>SLC02</v>
      </c>
      <c r="E1311" s="290">
        <f>+E1310</f>
        <v>2</v>
      </c>
      <c r="F1311" s="290">
        <f>+F1310</f>
        <v>12</v>
      </c>
      <c r="G1311" s="290">
        <f>+G1310</f>
        <v>0</v>
      </c>
      <c r="H1311" s="72">
        <f>+H1310</f>
        <v>1</v>
      </c>
      <c r="I1311" s="75">
        <v>2</v>
      </c>
      <c r="J1311" s="74" t="s">
        <v>1320</v>
      </c>
      <c r="K1311" s="85"/>
      <c r="L1311" s="79" t="s">
        <v>235</v>
      </c>
      <c r="M1311" s="17">
        <v>3</v>
      </c>
      <c r="N1311" s="18" t="s">
        <v>1569</v>
      </c>
      <c r="O1311" s="17" t="s">
        <v>1568</v>
      </c>
      <c r="P1311" s="17"/>
      <c r="Q1311" s="17" t="s">
        <v>1330</v>
      </c>
      <c r="R1311" s="17" t="s">
        <v>922</v>
      </c>
      <c r="S1311" s="17"/>
      <c r="T1311" s="17" t="str">
        <f>+T1310</f>
        <v>BCV131</v>
      </c>
      <c r="U1311" s="17"/>
      <c r="V1311" s="289" t="str">
        <f>+CONCATENATE(E1311,".",F1311,"\",G1311,".",H1311,":",I1311)</f>
        <v>2.12\0.1:2</v>
      </c>
      <c r="W1311" s="18" t="s">
        <v>1565</v>
      </c>
      <c r="X1311" s="17">
        <v>0</v>
      </c>
      <c r="Y1311" s="17"/>
      <c r="Z1311" s="17"/>
      <c r="AA1311" s="17"/>
      <c r="AB1311" s="17"/>
      <c r="AC1311" s="17"/>
      <c r="AD1311" s="17"/>
      <c r="AE1311" s="17"/>
      <c r="AF1311" s="17"/>
      <c r="AG1311" s="64"/>
      <c r="AH1311" s="64"/>
      <c r="AI1311" s="64"/>
      <c r="AJ1311" s="64"/>
      <c r="AK1311" s="64"/>
      <c r="AL1311" s="264"/>
      <c r="AM1311" s="84"/>
      <c r="AN1311" s="18"/>
      <c r="AO1311" s="18"/>
      <c r="AP1311" s="18"/>
      <c r="AQ1311" s="18"/>
      <c r="AR1311" s="18"/>
      <c r="AS1311" s="18"/>
      <c r="AT1311" s="18"/>
      <c r="AU1311" s="18"/>
      <c r="AV1311" s="18"/>
      <c r="AW1311" s="18"/>
      <c r="AX1311" s="18"/>
      <c r="AY1311" s="18"/>
    </row>
    <row r="1312" spans="1:51" s="33" customFormat="1" x14ac:dyDescent="0.3">
      <c r="A1312" s="63" t="str">
        <f>+A1311</f>
        <v>BCV131</v>
      </c>
      <c r="B1312" s="18" t="str">
        <f>+B1311</f>
        <v>AX24</v>
      </c>
      <c r="C1312" s="85" t="str">
        <f>+C1311</f>
        <v>SIO1</v>
      </c>
      <c r="D1312" s="85" t="str">
        <f>+D1311</f>
        <v>SLC02</v>
      </c>
      <c r="E1312" s="290">
        <f>+E1311</f>
        <v>2</v>
      </c>
      <c r="F1312" s="290">
        <f>+F1311</f>
        <v>12</v>
      </c>
      <c r="G1312" s="290">
        <f>+G1311</f>
        <v>0</v>
      </c>
      <c r="H1312" s="72">
        <f>+H1311</f>
        <v>1</v>
      </c>
      <c r="I1312" s="75">
        <v>3</v>
      </c>
      <c r="J1312" s="74" t="s">
        <v>1319</v>
      </c>
      <c r="K1312" s="85"/>
      <c r="L1312" s="79" t="s">
        <v>235</v>
      </c>
      <c r="M1312" s="17">
        <v>3</v>
      </c>
      <c r="N1312" s="18" t="s">
        <v>1567</v>
      </c>
      <c r="O1312" s="17" t="s">
        <v>1566</v>
      </c>
      <c r="P1312" s="17"/>
      <c r="Q1312" s="17" t="s">
        <v>1330</v>
      </c>
      <c r="R1312" s="17" t="s">
        <v>922</v>
      </c>
      <c r="S1312" s="17"/>
      <c r="T1312" s="17" t="str">
        <f>+T1311</f>
        <v>BCV131</v>
      </c>
      <c r="U1312" s="17"/>
      <c r="V1312" s="289" t="str">
        <f>+CONCATENATE(E1312,".",F1312,"\",G1312,".",H1312,":",I1312)</f>
        <v>2.12\0.1:3</v>
      </c>
      <c r="W1312" s="18" t="s">
        <v>1565</v>
      </c>
      <c r="X1312" s="17">
        <v>0</v>
      </c>
      <c r="Y1312" s="17"/>
      <c r="Z1312" s="17"/>
      <c r="AA1312" s="17"/>
      <c r="AB1312" s="17"/>
      <c r="AC1312" s="17"/>
      <c r="AD1312" s="17"/>
      <c r="AE1312" s="17"/>
      <c r="AF1312" s="17"/>
      <c r="AG1312" s="64"/>
      <c r="AH1312" s="64"/>
      <c r="AI1312" s="64"/>
      <c r="AJ1312" s="64"/>
      <c r="AK1312" s="64"/>
      <c r="AL1312" s="264"/>
      <c r="AM1312" s="84"/>
      <c r="AN1312" s="18"/>
      <c r="AO1312" s="18"/>
      <c r="AP1312" s="18"/>
      <c r="AQ1312" s="18"/>
      <c r="AR1312" s="18"/>
      <c r="AS1312" s="18"/>
      <c r="AT1312" s="18"/>
      <c r="AU1312" s="18"/>
      <c r="AV1312" s="18"/>
      <c r="AW1312" s="18"/>
      <c r="AX1312" s="18"/>
      <c r="AY1312" s="18"/>
    </row>
    <row r="1313" spans="1:51" s="33" customFormat="1" ht="13.5" thickBot="1" x14ac:dyDescent="0.35">
      <c r="A1313" s="63" t="str">
        <f>+A1312</f>
        <v>BCV131</v>
      </c>
      <c r="B1313" s="18" t="str">
        <f>+B1312</f>
        <v>AX24</v>
      </c>
      <c r="C1313" s="85" t="str">
        <f>+C1312</f>
        <v>SIO1</v>
      </c>
      <c r="D1313" s="85" t="str">
        <f>+D1312</f>
        <v>SLC02</v>
      </c>
      <c r="E1313" s="290">
        <f>+E1312</f>
        <v>2</v>
      </c>
      <c r="F1313" s="290">
        <f>+F1312</f>
        <v>12</v>
      </c>
      <c r="G1313" s="290">
        <f>+G1312</f>
        <v>0</v>
      </c>
      <c r="H1313" s="72">
        <f>+H1312</f>
        <v>1</v>
      </c>
      <c r="I1313" s="71">
        <v>4</v>
      </c>
      <c r="J1313" s="70" t="s">
        <v>1318</v>
      </c>
      <c r="K1313" s="85"/>
      <c r="L1313" s="79" t="s">
        <v>235</v>
      </c>
      <c r="M1313" s="17">
        <v>3</v>
      </c>
      <c r="N1313" s="17"/>
      <c r="O1313" s="17"/>
      <c r="P1313" s="17"/>
      <c r="Q1313" s="68"/>
      <c r="R1313" s="68"/>
      <c r="S1313" s="68"/>
      <c r="T1313" s="68"/>
      <c r="U1313" s="17"/>
      <c r="V1313" s="289" t="str">
        <f>+CONCATENATE(E1313,".",F1313,"\",G1313,".",H1313,":",I1313)</f>
        <v>2.12\0.1:4</v>
      </c>
      <c r="W1313" s="18" t="s">
        <v>1565</v>
      </c>
      <c r="X1313" s="17">
        <v>0</v>
      </c>
      <c r="Y1313" s="17"/>
      <c r="Z1313" s="17"/>
      <c r="AA1313" s="17"/>
      <c r="AB1313" s="17"/>
      <c r="AC1313" s="17"/>
      <c r="AD1313" s="17"/>
      <c r="AE1313" s="17"/>
      <c r="AF1313" s="17"/>
      <c r="AG1313" s="64"/>
      <c r="AH1313" s="64"/>
      <c r="AI1313" s="64"/>
      <c r="AJ1313" s="64"/>
      <c r="AK1313" s="64"/>
      <c r="AL1313" s="264"/>
      <c r="AM1313" s="84"/>
      <c r="AN1313" s="18"/>
      <c r="AO1313" s="18"/>
      <c r="AP1313" s="18"/>
      <c r="AQ1313" s="18"/>
      <c r="AR1313" s="18"/>
      <c r="AS1313" s="18"/>
      <c r="AT1313" s="18"/>
      <c r="AU1313" s="18"/>
      <c r="AV1313" s="18"/>
      <c r="AW1313" s="18"/>
      <c r="AX1313" s="18"/>
      <c r="AY1313" s="18"/>
    </row>
    <row r="1314" spans="1:51" s="33" customFormat="1" x14ac:dyDescent="0.3">
      <c r="A1314" s="63"/>
      <c r="B1314" s="63"/>
      <c r="C1314" s="63"/>
      <c r="D1314" s="63"/>
      <c r="E1314" s="288"/>
      <c r="F1314" s="288"/>
      <c r="G1314" s="288"/>
      <c r="H1314" s="63"/>
      <c r="I1314" s="63"/>
      <c r="J1314" s="63"/>
      <c r="K1314" s="17"/>
      <c r="L1314" s="17"/>
      <c r="M1314" s="17"/>
      <c r="N1314" s="17"/>
      <c r="O1314" s="68"/>
      <c r="P1314" s="68"/>
      <c r="Q1314" s="68"/>
      <c r="R1314" s="68"/>
      <c r="S1314" s="68"/>
      <c r="T1314" s="68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64"/>
      <c r="AH1314" s="64"/>
      <c r="AI1314" s="64"/>
      <c r="AJ1314" s="64"/>
      <c r="AK1314" s="64"/>
      <c r="AL1314" s="264"/>
      <c r="AM1314" s="84"/>
      <c r="AN1314" s="18"/>
      <c r="AO1314" s="18"/>
      <c r="AP1314" s="18"/>
      <c r="AQ1314" s="18"/>
      <c r="AR1314" s="18"/>
      <c r="AS1314" s="18"/>
      <c r="AT1314" s="18"/>
      <c r="AU1314" s="18"/>
      <c r="AV1314" s="18"/>
      <c r="AW1314" s="18"/>
      <c r="AX1314" s="18"/>
      <c r="AY1314" s="18"/>
    </row>
    <row r="1315" spans="1:51" s="33" customFormat="1" x14ac:dyDescent="0.3">
      <c r="A1315" s="63"/>
      <c r="B1315" s="63"/>
      <c r="C1315" s="63"/>
      <c r="D1315" s="63"/>
      <c r="E1315" s="288"/>
      <c r="F1315" s="288"/>
      <c r="G1315" s="288"/>
      <c r="H1315" s="63"/>
      <c r="I1315" s="63"/>
      <c r="J1315" s="63"/>
      <c r="K1315" s="17"/>
      <c r="L1315" s="17"/>
      <c r="M1315" s="17"/>
      <c r="N1315" s="17"/>
      <c r="O1315" s="68"/>
      <c r="P1315" s="68"/>
      <c r="Q1315" s="68"/>
      <c r="R1315" s="68"/>
      <c r="S1315" s="68"/>
      <c r="T1315" s="68"/>
      <c r="U1315" s="17"/>
      <c r="V1315" s="17"/>
      <c r="W1315" s="17"/>
      <c r="X1315" s="17"/>
      <c r="Y1315" s="17"/>
      <c r="Z1315" s="17"/>
      <c r="AA1315" s="17"/>
      <c r="AB1315" s="20"/>
      <c r="AC1315" s="17"/>
      <c r="AD1315" s="17"/>
      <c r="AE1315" s="17"/>
      <c r="AF1315" s="17"/>
      <c r="AG1315" s="64"/>
      <c r="AH1315" s="64"/>
      <c r="AI1315" s="64"/>
      <c r="AJ1315" s="64"/>
      <c r="AK1315" s="64"/>
      <c r="AL1315" s="264"/>
      <c r="AM1315" s="84"/>
      <c r="AN1315" s="18"/>
      <c r="AO1315" s="18"/>
      <c r="AP1315" s="18"/>
      <c r="AQ1315" s="18"/>
      <c r="AR1315" s="18"/>
      <c r="AS1315" s="18"/>
      <c r="AT1315" s="18"/>
      <c r="AU1315" s="18"/>
      <c r="AV1315" s="18"/>
      <c r="AW1315" s="18"/>
      <c r="AX1315" s="18"/>
      <c r="AY1315" s="18"/>
    </row>
    <row r="1316" spans="1:51" s="33" customFormat="1" x14ac:dyDescent="0.3">
      <c r="A1316" s="63"/>
      <c r="B1316" s="63"/>
      <c r="C1316" s="63"/>
      <c r="D1316" s="63"/>
      <c r="E1316" s="288"/>
      <c r="F1316" s="288"/>
      <c r="G1316" s="288"/>
      <c r="H1316" s="63"/>
      <c r="I1316" s="63"/>
      <c r="J1316" s="63"/>
      <c r="K1316" s="17"/>
      <c r="L1316" s="17"/>
      <c r="M1316" s="17"/>
      <c r="N1316" s="17"/>
      <c r="O1316" s="68"/>
      <c r="P1316" s="68"/>
      <c r="Q1316" s="68"/>
      <c r="R1316" s="68"/>
      <c r="S1316" s="68"/>
      <c r="T1316" s="68"/>
      <c r="U1316" s="17"/>
      <c r="V1316" s="17"/>
      <c r="W1316" s="17"/>
      <c r="X1316" s="17"/>
      <c r="Y1316" s="17"/>
      <c r="Z1316" s="17"/>
      <c r="AA1316" s="17"/>
      <c r="AB1316" s="20"/>
      <c r="AC1316" s="17"/>
      <c r="AD1316" s="17"/>
      <c r="AE1316" s="17"/>
      <c r="AF1316" s="17"/>
      <c r="AG1316" s="64"/>
      <c r="AH1316" s="64"/>
      <c r="AI1316" s="64"/>
      <c r="AJ1316" s="64"/>
      <c r="AK1316" s="64"/>
      <c r="AL1316" s="264"/>
      <c r="AM1316" s="84"/>
      <c r="AN1316" s="18"/>
      <c r="AO1316" s="18"/>
      <c r="AP1316" s="18"/>
      <c r="AQ1316" s="18"/>
      <c r="AR1316" s="18"/>
      <c r="AS1316" s="18"/>
      <c r="AT1316" s="18"/>
      <c r="AU1316" s="18"/>
      <c r="AV1316" s="18"/>
      <c r="AW1316" s="18"/>
      <c r="AX1316" s="18"/>
      <c r="AY1316" s="18"/>
    </row>
    <row r="1317" spans="1:51" s="33" customFormat="1" ht="15.5" x14ac:dyDescent="0.35">
      <c r="A1317" s="297"/>
      <c r="B1317" s="96" t="s">
        <v>1564</v>
      </c>
      <c r="C1317" s="256"/>
      <c r="D1317" s="256"/>
      <c r="E1317" s="256"/>
      <c r="F1317" s="256"/>
      <c r="G1317" s="256"/>
      <c r="H1317" s="256"/>
      <c r="I1317" s="256"/>
      <c r="J1317" s="256"/>
      <c r="K1317" s="256"/>
      <c r="L1317" s="256"/>
      <c r="M1317" s="256"/>
      <c r="N1317" s="287"/>
      <c r="O1317" s="256"/>
      <c r="P1317" s="287"/>
      <c r="Q1317" s="256"/>
      <c r="R1317" s="256"/>
      <c r="S1317" s="256"/>
      <c r="T1317" s="256"/>
      <c r="U1317" s="256"/>
      <c r="V1317" s="256"/>
      <c r="W1317" s="287"/>
      <c r="X1317" s="256"/>
      <c r="Y1317" s="256"/>
      <c r="Z1317" s="17"/>
      <c r="AA1317" s="17"/>
      <c r="AB1317" s="17"/>
      <c r="AC1317" s="17"/>
      <c r="AD1317" s="17"/>
      <c r="AE1317" s="17"/>
      <c r="AF1317" s="17"/>
      <c r="AG1317" s="64"/>
      <c r="AH1317" s="64"/>
      <c r="AI1317" s="64"/>
      <c r="AJ1317" s="64"/>
      <c r="AK1317" s="64"/>
      <c r="AL1317" s="264"/>
      <c r="AM1317" s="84"/>
      <c r="AN1317" s="18"/>
      <c r="AO1317" s="18"/>
      <c r="AP1317" s="18"/>
      <c r="AQ1317" s="18"/>
      <c r="AR1317" s="18"/>
      <c r="AS1317" s="18"/>
      <c r="AT1317" s="18"/>
      <c r="AU1317" s="18"/>
      <c r="AV1317" s="18"/>
      <c r="AW1317" s="18"/>
      <c r="AX1317" s="18"/>
      <c r="AY1317" s="18"/>
    </row>
    <row r="1318" spans="1:51" s="33" customFormat="1" ht="13.5" thickBot="1" x14ac:dyDescent="0.35">
      <c r="A1318" s="63"/>
      <c r="B1318" s="63"/>
      <c r="C1318" s="63"/>
      <c r="D1318" s="63"/>
      <c r="E1318" s="288"/>
      <c r="F1318" s="288"/>
      <c r="G1318" s="288"/>
      <c r="H1318" s="63"/>
      <c r="I1318" s="63"/>
      <c r="J1318" s="63"/>
      <c r="K1318" s="17"/>
      <c r="L1318" s="17"/>
      <c r="M1318" s="17"/>
      <c r="N1318" s="17"/>
      <c r="O1318" s="68"/>
      <c r="P1318" s="68"/>
      <c r="Q1318" s="68"/>
      <c r="R1318" s="68"/>
      <c r="S1318" s="68"/>
      <c r="T1318" s="68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64"/>
      <c r="AH1318" s="64"/>
      <c r="AI1318" s="64"/>
      <c r="AJ1318" s="64"/>
      <c r="AK1318" s="64"/>
      <c r="AL1318" s="264"/>
      <c r="AM1318" s="84"/>
      <c r="AN1318" s="18"/>
      <c r="AO1318" s="18"/>
      <c r="AP1318" s="18"/>
      <c r="AQ1318" s="18"/>
      <c r="AR1318" s="18"/>
      <c r="AS1318" s="18"/>
      <c r="AT1318" s="18"/>
      <c r="AU1318" s="18"/>
      <c r="AV1318" s="18"/>
      <c r="AW1318" s="18"/>
      <c r="AX1318" s="18"/>
      <c r="AY1318" s="18"/>
    </row>
    <row r="1319" spans="1:51" s="33" customFormat="1" ht="13.5" thickBot="1" x14ac:dyDescent="0.35">
      <c r="A1319" s="63" t="s">
        <v>194</v>
      </c>
      <c r="B1319" s="17" t="s">
        <v>1563</v>
      </c>
      <c r="C1319" s="295" t="s">
        <v>271</v>
      </c>
      <c r="D1319" s="290" t="s">
        <v>285</v>
      </c>
      <c r="E1319" s="290">
        <v>1</v>
      </c>
      <c r="F1319" s="290">
        <v>13</v>
      </c>
      <c r="G1319" s="290">
        <v>0</v>
      </c>
      <c r="H1319" s="89">
        <v>0</v>
      </c>
      <c r="I1319" s="88" t="s">
        <v>1106</v>
      </c>
      <c r="J1319" s="87"/>
      <c r="K1319" s="84">
        <v>1059305</v>
      </c>
      <c r="L1319" s="91" t="s">
        <v>1377</v>
      </c>
      <c r="M1319" s="17">
        <v>3</v>
      </c>
      <c r="N1319" s="17"/>
      <c r="O1319" s="83"/>
      <c r="P1319" s="83"/>
      <c r="Q1319" s="68"/>
      <c r="R1319" s="68"/>
      <c r="S1319" s="68"/>
      <c r="T1319" s="68"/>
      <c r="U1319" s="17"/>
      <c r="V1319" s="17"/>
      <c r="W1319" s="18" t="s">
        <v>1547</v>
      </c>
      <c r="X1319" s="17">
        <v>0</v>
      </c>
      <c r="Y1319" s="17"/>
      <c r="Z1319" s="17"/>
      <c r="AA1319" s="17"/>
      <c r="AB1319" s="17"/>
      <c r="AC1319" s="17"/>
      <c r="AD1319" s="17"/>
      <c r="AE1319" s="17"/>
      <c r="AF1319" s="17"/>
      <c r="AG1319" s="64"/>
      <c r="AH1319" s="64"/>
      <c r="AI1319" s="64"/>
      <c r="AJ1319" s="64"/>
      <c r="AK1319" s="64"/>
      <c r="AL1319" s="264"/>
      <c r="AM1319" s="84"/>
      <c r="AN1319" s="18"/>
      <c r="AO1319" s="18"/>
      <c r="AP1319" s="18"/>
      <c r="AQ1319" s="18"/>
      <c r="AR1319" s="18"/>
      <c r="AS1319" s="18"/>
      <c r="AT1319" s="18"/>
      <c r="AU1319" s="18"/>
      <c r="AV1319" s="18"/>
      <c r="AW1319" s="18"/>
      <c r="AX1319" s="18"/>
      <c r="AY1319" s="18"/>
    </row>
    <row r="1320" spans="1:51" s="33" customFormat="1" x14ac:dyDescent="0.3">
      <c r="A1320" s="63" t="str">
        <f>+A1319</f>
        <v>BCV131</v>
      </c>
      <c r="B1320" s="18" t="str">
        <f>+B1319</f>
        <v>AX25</v>
      </c>
      <c r="C1320" s="85" t="str">
        <f>+C1319</f>
        <v>SIO1</v>
      </c>
      <c r="D1320" s="85" t="str">
        <f>+D1319</f>
        <v>SLC01</v>
      </c>
      <c r="E1320" s="290">
        <f>+E1319</f>
        <v>1</v>
      </c>
      <c r="F1320" s="290">
        <f>+F1319</f>
        <v>13</v>
      </c>
      <c r="G1320" s="290">
        <f>+G1319</f>
        <v>0</v>
      </c>
      <c r="H1320" s="72">
        <v>1</v>
      </c>
      <c r="I1320" s="77">
        <v>1</v>
      </c>
      <c r="J1320" s="76" t="s">
        <v>269</v>
      </c>
      <c r="K1320" s="65">
        <v>1044125</v>
      </c>
      <c r="L1320" s="79" t="s">
        <v>244</v>
      </c>
      <c r="M1320" s="17">
        <v>3</v>
      </c>
      <c r="N1320" s="18" t="s">
        <v>1560</v>
      </c>
      <c r="O1320" s="296" t="s">
        <v>1562</v>
      </c>
      <c r="P1320" s="296"/>
      <c r="Q1320" s="296" t="s">
        <v>1561</v>
      </c>
      <c r="R1320" s="17" t="s">
        <v>211</v>
      </c>
      <c r="S1320" s="17"/>
      <c r="T1320" s="17" t="s">
        <v>194</v>
      </c>
      <c r="U1320" s="17"/>
      <c r="V1320" s="289" t="str">
        <f>+CONCATENATE(E1320,".",F1320,"\",G1320,".",H1320,":",I1320)</f>
        <v>1.13\0.1:1</v>
      </c>
      <c r="W1320" s="18" t="s">
        <v>1547</v>
      </c>
      <c r="X1320" s="17">
        <v>0</v>
      </c>
      <c r="Y1320" s="17"/>
      <c r="Z1320" s="17"/>
      <c r="AA1320" s="17"/>
      <c r="AB1320" s="17"/>
      <c r="AC1320" s="17"/>
      <c r="AD1320" s="17"/>
      <c r="AE1320" s="17"/>
      <c r="AF1320" s="17"/>
      <c r="AG1320" s="64"/>
      <c r="AH1320" s="64"/>
      <c r="AI1320" s="64"/>
      <c r="AJ1320" s="64"/>
      <c r="AK1320" s="64"/>
      <c r="AL1320" s="264"/>
      <c r="AM1320" s="84"/>
      <c r="AN1320" s="18"/>
      <c r="AO1320" s="18"/>
      <c r="AP1320" s="18"/>
      <c r="AQ1320" s="18"/>
      <c r="AR1320" s="18"/>
      <c r="AS1320" s="18"/>
      <c r="AT1320" s="18"/>
      <c r="AU1320" s="18"/>
      <c r="AV1320" s="18"/>
      <c r="AW1320" s="18"/>
      <c r="AX1320" s="18"/>
      <c r="AY1320" s="18"/>
    </row>
    <row r="1321" spans="1:51" s="33" customFormat="1" x14ac:dyDescent="0.3">
      <c r="A1321" s="63" t="str">
        <f>+A1320</f>
        <v>BCV131</v>
      </c>
      <c r="B1321" s="18" t="str">
        <f>+B1320</f>
        <v>AX25</v>
      </c>
      <c r="C1321" s="85" t="str">
        <f>+C1320</f>
        <v>SIO1</v>
      </c>
      <c r="D1321" s="85" t="str">
        <f>+D1320</f>
        <v>SLC01</v>
      </c>
      <c r="E1321" s="290">
        <f>+E1320</f>
        <v>1</v>
      </c>
      <c r="F1321" s="290">
        <f>+F1320</f>
        <v>13</v>
      </c>
      <c r="G1321" s="290">
        <f>+G1320</f>
        <v>0</v>
      </c>
      <c r="H1321" s="72">
        <f>+H1320</f>
        <v>1</v>
      </c>
      <c r="I1321" s="75">
        <v>2</v>
      </c>
      <c r="J1321" s="74" t="s">
        <v>265</v>
      </c>
      <c r="K1321" s="84">
        <v>1047162</v>
      </c>
      <c r="L1321" s="79" t="s">
        <v>244</v>
      </c>
      <c r="M1321" s="17">
        <v>3</v>
      </c>
      <c r="N1321" s="18" t="s">
        <v>1560</v>
      </c>
      <c r="O1321" s="296" t="s">
        <v>1559</v>
      </c>
      <c r="P1321" s="296"/>
      <c r="Q1321" s="296" t="s">
        <v>1558</v>
      </c>
      <c r="R1321" s="17" t="s">
        <v>211</v>
      </c>
      <c r="S1321" s="17"/>
      <c r="T1321" s="17" t="str">
        <f>+T1320</f>
        <v>BCV131</v>
      </c>
      <c r="U1321" s="17"/>
      <c r="V1321" s="289" t="str">
        <f>+CONCATENATE(E1321,".",F1321,"\",G1321,".",H1321,":",I1321)</f>
        <v>1.13\0.1:2</v>
      </c>
      <c r="W1321" s="18" t="s">
        <v>1547</v>
      </c>
      <c r="X1321" s="17">
        <v>0</v>
      </c>
      <c r="Y1321" s="17"/>
      <c r="Z1321" s="17"/>
      <c r="AA1321" s="17"/>
      <c r="AB1321" s="17"/>
      <c r="AC1321" s="17"/>
      <c r="AD1321" s="17"/>
      <c r="AE1321" s="17"/>
      <c r="AF1321" s="17"/>
      <c r="AG1321" s="64"/>
      <c r="AH1321" s="64"/>
      <c r="AI1321" s="64"/>
      <c r="AJ1321" s="64"/>
      <c r="AK1321" s="64"/>
      <c r="AL1321" s="264"/>
      <c r="AM1321" s="84"/>
      <c r="AN1321" s="18"/>
      <c r="AO1321" s="18"/>
      <c r="AP1321" s="18"/>
      <c r="AQ1321" s="18"/>
      <c r="AR1321" s="18"/>
      <c r="AS1321" s="18"/>
      <c r="AT1321" s="18"/>
      <c r="AU1321" s="18"/>
      <c r="AV1321" s="18"/>
      <c r="AW1321" s="18"/>
      <c r="AX1321" s="18"/>
      <c r="AY1321" s="18"/>
    </row>
    <row r="1322" spans="1:51" s="33" customFormat="1" x14ac:dyDescent="0.3">
      <c r="A1322" s="63" t="str">
        <f>+A1321</f>
        <v>BCV131</v>
      </c>
      <c r="B1322" s="18" t="str">
        <f>+B1321</f>
        <v>AX25</v>
      </c>
      <c r="C1322" s="85" t="str">
        <f>+C1321</f>
        <v>SIO1</v>
      </c>
      <c r="D1322" s="85" t="str">
        <f>+D1321</f>
        <v>SLC01</v>
      </c>
      <c r="E1322" s="290">
        <f>+E1321</f>
        <v>1</v>
      </c>
      <c r="F1322" s="290">
        <f>+F1321</f>
        <v>13</v>
      </c>
      <c r="G1322" s="290">
        <f>+G1321</f>
        <v>0</v>
      </c>
      <c r="H1322" s="72">
        <f>+H1321</f>
        <v>1</v>
      </c>
      <c r="I1322" s="75">
        <v>3</v>
      </c>
      <c r="J1322" s="74" t="s">
        <v>261</v>
      </c>
      <c r="K1322" s="85"/>
      <c r="L1322" s="79" t="s">
        <v>244</v>
      </c>
      <c r="M1322" s="17">
        <v>3</v>
      </c>
      <c r="N1322" s="18" t="s">
        <v>1555</v>
      </c>
      <c r="O1322" s="296" t="s">
        <v>1557</v>
      </c>
      <c r="P1322" s="296"/>
      <c r="Q1322" s="296" t="s">
        <v>1556</v>
      </c>
      <c r="R1322" s="17" t="s">
        <v>211</v>
      </c>
      <c r="S1322" s="17"/>
      <c r="T1322" s="17" t="str">
        <f>+T1321</f>
        <v>BCV131</v>
      </c>
      <c r="U1322" s="17"/>
      <c r="V1322" s="289" t="str">
        <f>+CONCATENATE(E1322,".",F1322,"\",G1322,".",H1322,":",I1322)</f>
        <v>1.13\0.1:3</v>
      </c>
      <c r="W1322" s="18" t="s">
        <v>1547</v>
      </c>
      <c r="X1322" s="17">
        <v>0</v>
      </c>
      <c r="Y1322" s="17"/>
      <c r="Z1322" s="17"/>
      <c r="AA1322" s="17"/>
      <c r="AB1322" s="17"/>
      <c r="AC1322" s="17"/>
      <c r="AD1322" s="17"/>
      <c r="AE1322" s="17"/>
      <c r="AF1322" s="17"/>
      <c r="AG1322" s="64"/>
      <c r="AH1322" s="64"/>
      <c r="AI1322" s="64"/>
      <c r="AJ1322" s="64"/>
      <c r="AK1322" s="64"/>
      <c r="AL1322" s="264"/>
      <c r="AM1322" s="84"/>
      <c r="AN1322" s="18"/>
      <c r="AO1322" s="18"/>
      <c r="AP1322" s="18"/>
      <c r="AQ1322" s="18"/>
      <c r="AR1322" s="18"/>
      <c r="AS1322" s="18"/>
      <c r="AT1322" s="18"/>
      <c r="AU1322" s="18"/>
      <c r="AV1322" s="18"/>
      <c r="AW1322" s="18"/>
      <c r="AX1322" s="18"/>
      <c r="AY1322" s="18"/>
    </row>
    <row r="1323" spans="1:51" s="33" customFormat="1" x14ac:dyDescent="0.3">
      <c r="A1323" s="63" t="str">
        <f>+A1322</f>
        <v>BCV131</v>
      </c>
      <c r="B1323" s="18" t="str">
        <f>+B1322</f>
        <v>AX25</v>
      </c>
      <c r="C1323" s="85" t="str">
        <f>+C1322</f>
        <v>SIO1</v>
      </c>
      <c r="D1323" s="85" t="str">
        <f>+D1322</f>
        <v>SLC01</v>
      </c>
      <c r="E1323" s="290">
        <f>+E1322</f>
        <v>1</v>
      </c>
      <c r="F1323" s="290">
        <f>+F1322</f>
        <v>13</v>
      </c>
      <c r="G1323" s="290">
        <f>+G1322</f>
        <v>0</v>
      </c>
      <c r="H1323" s="72">
        <f>+H1322</f>
        <v>1</v>
      </c>
      <c r="I1323" s="75">
        <v>4</v>
      </c>
      <c r="J1323" s="74" t="s">
        <v>257</v>
      </c>
      <c r="K1323" s="85"/>
      <c r="L1323" s="79" t="s">
        <v>244</v>
      </c>
      <c r="M1323" s="17">
        <v>3</v>
      </c>
      <c r="N1323" s="18" t="s">
        <v>1555</v>
      </c>
      <c r="O1323" s="296" t="s">
        <v>1554</v>
      </c>
      <c r="P1323" s="296"/>
      <c r="Q1323" s="296" t="s">
        <v>1553</v>
      </c>
      <c r="R1323" s="17" t="s">
        <v>211</v>
      </c>
      <c r="S1323" s="17"/>
      <c r="T1323" s="17" t="str">
        <f>+T1322</f>
        <v>BCV131</v>
      </c>
      <c r="U1323" s="17"/>
      <c r="V1323" s="289" t="str">
        <f>+CONCATENATE(E1323,".",F1323,"\",G1323,".",H1323,":",I1323)</f>
        <v>1.13\0.1:4</v>
      </c>
      <c r="W1323" s="18" t="s">
        <v>1547</v>
      </c>
      <c r="X1323" s="17">
        <v>0</v>
      </c>
      <c r="Y1323" s="17"/>
      <c r="Z1323" s="17"/>
      <c r="AA1323" s="17"/>
      <c r="AB1323" s="17"/>
      <c r="AC1323" s="17"/>
      <c r="AD1323" s="17"/>
      <c r="AE1323" s="17"/>
      <c r="AF1323" s="17"/>
      <c r="AG1323" s="64"/>
      <c r="AH1323" s="64"/>
      <c r="AI1323" s="64"/>
      <c r="AJ1323" s="64"/>
      <c r="AK1323" s="64"/>
      <c r="AL1323" s="264"/>
      <c r="AM1323" s="84"/>
      <c r="AN1323" s="18"/>
      <c r="AO1323" s="18"/>
      <c r="AP1323" s="18"/>
      <c r="AQ1323" s="18"/>
      <c r="AR1323" s="18"/>
      <c r="AS1323" s="18"/>
      <c r="AT1323" s="18"/>
      <c r="AU1323" s="18"/>
      <c r="AV1323" s="18"/>
      <c r="AW1323" s="18"/>
      <c r="AX1323" s="18"/>
      <c r="AY1323" s="18"/>
    </row>
    <row r="1324" spans="1:51" s="33" customFormat="1" x14ac:dyDescent="0.3">
      <c r="A1324" s="63" t="str">
        <f>+A1323</f>
        <v>BCV131</v>
      </c>
      <c r="B1324" s="18" t="str">
        <f>+B1323</f>
        <v>AX25</v>
      </c>
      <c r="C1324" s="85" t="str">
        <f>+C1323</f>
        <v>SIO1</v>
      </c>
      <c r="D1324" s="85" t="str">
        <f>+D1323</f>
        <v>SLC01</v>
      </c>
      <c r="E1324" s="290">
        <f>+E1323</f>
        <v>1</v>
      </c>
      <c r="F1324" s="290">
        <f>+F1323</f>
        <v>13</v>
      </c>
      <c r="G1324" s="290">
        <f>+G1323</f>
        <v>0</v>
      </c>
      <c r="H1324" s="72">
        <f>+H1323</f>
        <v>1</v>
      </c>
      <c r="I1324" s="75">
        <v>5</v>
      </c>
      <c r="J1324" s="74" t="s">
        <v>1325</v>
      </c>
      <c r="K1324" s="85"/>
      <c r="L1324" s="79" t="s">
        <v>244</v>
      </c>
      <c r="M1324" s="17">
        <v>3</v>
      </c>
      <c r="N1324" s="17"/>
      <c r="O1324" s="296"/>
      <c r="P1324" s="296"/>
      <c r="Q1324" s="296" t="s">
        <v>127</v>
      </c>
      <c r="R1324" s="17"/>
      <c r="S1324" s="17"/>
      <c r="T1324" s="17"/>
      <c r="U1324" s="17"/>
      <c r="V1324" s="289" t="str">
        <f>+CONCATENATE(E1324,".",F1324,"\",G1324,".",H1324,":",I1324)</f>
        <v>1.13\0.1:5</v>
      </c>
      <c r="W1324" s="18" t="s">
        <v>1547</v>
      </c>
      <c r="X1324" s="17">
        <v>0</v>
      </c>
      <c r="Y1324" s="17"/>
      <c r="Z1324" s="17"/>
      <c r="AA1324" s="17"/>
      <c r="AB1324" s="17"/>
      <c r="AC1324" s="17"/>
      <c r="AD1324" s="17"/>
      <c r="AE1324" s="17"/>
      <c r="AF1324" s="17"/>
      <c r="AG1324" s="64"/>
      <c r="AH1324" s="64"/>
      <c r="AI1324" s="64"/>
      <c r="AJ1324" s="64"/>
      <c r="AK1324" s="64"/>
      <c r="AL1324" s="264"/>
      <c r="AM1324" s="84"/>
      <c r="AN1324" s="18"/>
      <c r="AO1324" s="18"/>
      <c r="AP1324" s="18"/>
      <c r="AQ1324" s="18"/>
      <c r="AR1324" s="18"/>
      <c r="AS1324" s="18"/>
      <c r="AT1324" s="18"/>
      <c r="AU1324" s="18"/>
      <c r="AV1324" s="18"/>
      <c r="AW1324" s="18"/>
      <c r="AX1324" s="18"/>
      <c r="AY1324" s="18"/>
    </row>
    <row r="1325" spans="1:51" s="33" customFormat="1" x14ac:dyDescent="0.3">
      <c r="A1325" s="63" t="str">
        <f>+A1324</f>
        <v>BCV131</v>
      </c>
      <c r="B1325" s="18" t="str">
        <f>+B1324</f>
        <v>AX25</v>
      </c>
      <c r="C1325" s="85" t="str">
        <f>+C1324</f>
        <v>SIO1</v>
      </c>
      <c r="D1325" s="85" t="str">
        <f>+D1324</f>
        <v>SLC01</v>
      </c>
      <c r="E1325" s="290">
        <f>+E1324</f>
        <v>1</v>
      </c>
      <c r="F1325" s="290">
        <f>+F1324</f>
        <v>13</v>
      </c>
      <c r="G1325" s="290">
        <f>+G1324</f>
        <v>0</v>
      </c>
      <c r="H1325" s="72">
        <f>+H1324</f>
        <v>1</v>
      </c>
      <c r="I1325" s="75">
        <v>6</v>
      </c>
      <c r="J1325" s="74" t="s">
        <v>1323</v>
      </c>
      <c r="K1325" s="85"/>
      <c r="L1325" s="79" t="s">
        <v>244</v>
      </c>
      <c r="M1325" s="17">
        <v>3</v>
      </c>
      <c r="N1325" s="17"/>
      <c r="O1325" s="296"/>
      <c r="P1325" s="296"/>
      <c r="Q1325" s="296" t="s">
        <v>127</v>
      </c>
      <c r="R1325" s="17"/>
      <c r="S1325" s="17"/>
      <c r="T1325" s="17"/>
      <c r="U1325" s="17"/>
      <c r="V1325" s="289" t="str">
        <f>+CONCATENATE(E1325,".",F1325,"\",G1325,".",H1325,":",I1325)</f>
        <v>1.13\0.1:6</v>
      </c>
      <c r="W1325" s="18" t="s">
        <v>1547</v>
      </c>
      <c r="X1325" s="17">
        <v>0</v>
      </c>
      <c r="Y1325" s="17"/>
      <c r="Z1325" s="17"/>
      <c r="AA1325" s="17"/>
      <c r="AB1325" s="17"/>
      <c r="AC1325" s="17"/>
      <c r="AD1325" s="17"/>
      <c r="AE1325" s="17"/>
      <c r="AF1325" s="17"/>
      <c r="AG1325" s="64"/>
      <c r="AH1325" s="64"/>
      <c r="AI1325" s="64"/>
      <c r="AJ1325" s="64"/>
      <c r="AK1325" s="64"/>
      <c r="AL1325" s="264"/>
      <c r="AM1325" s="84"/>
      <c r="AN1325" s="18"/>
      <c r="AO1325" s="18"/>
      <c r="AP1325" s="18"/>
      <c r="AQ1325" s="18"/>
      <c r="AR1325" s="18"/>
      <c r="AS1325" s="18"/>
      <c r="AT1325" s="18"/>
      <c r="AU1325" s="18"/>
      <c r="AV1325" s="18"/>
      <c r="AW1325" s="18"/>
      <c r="AX1325" s="18"/>
      <c r="AY1325" s="18"/>
    </row>
    <row r="1326" spans="1:51" s="33" customFormat="1" x14ac:dyDescent="0.3">
      <c r="A1326" s="63" t="str">
        <f>+A1325</f>
        <v>BCV131</v>
      </c>
      <c r="B1326" s="18" t="str">
        <f>+B1325</f>
        <v>AX25</v>
      </c>
      <c r="C1326" s="85" t="str">
        <f>+C1325</f>
        <v>SIO1</v>
      </c>
      <c r="D1326" s="85" t="str">
        <f>+D1325</f>
        <v>SLC01</v>
      </c>
      <c r="E1326" s="290">
        <f>+E1325</f>
        <v>1</v>
      </c>
      <c r="F1326" s="290">
        <f>+F1325</f>
        <v>13</v>
      </c>
      <c r="G1326" s="290">
        <f>+G1325</f>
        <v>0</v>
      </c>
      <c r="H1326" s="72">
        <f>+H1325</f>
        <v>1</v>
      </c>
      <c r="I1326" s="75">
        <v>7</v>
      </c>
      <c r="J1326" s="74" t="s">
        <v>246</v>
      </c>
      <c r="K1326" s="85"/>
      <c r="L1326" s="79" t="s">
        <v>244</v>
      </c>
      <c r="M1326" s="17">
        <v>3</v>
      </c>
      <c r="N1326" s="17"/>
      <c r="O1326" s="296"/>
      <c r="P1326" s="296"/>
      <c r="Q1326" s="296" t="s">
        <v>127</v>
      </c>
      <c r="R1326" s="17"/>
      <c r="S1326" s="17"/>
      <c r="T1326" s="17"/>
      <c r="U1326" s="17"/>
      <c r="V1326" s="289" t="str">
        <f>+CONCATENATE(E1326,".",F1326,"\",G1326,".",H1326,":",I1326)</f>
        <v>1.13\0.1:7</v>
      </c>
      <c r="W1326" s="18" t="s">
        <v>1547</v>
      </c>
      <c r="X1326" s="17">
        <v>0</v>
      </c>
      <c r="Y1326" s="17"/>
      <c r="Z1326" s="17"/>
      <c r="AA1326" s="17"/>
      <c r="AB1326" s="17"/>
      <c r="AC1326" s="17"/>
      <c r="AD1326" s="17"/>
      <c r="AE1326" s="17"/>
      <c r="AF1326" s="17"/>
      <c r="AG1326" s="64"/>
      <c r="AH1326" s="64"/>
      <c r="AI1326" s="64"/>
      <c r="AJ1326" s="64"/>
      <c r="AK1326" s="64"/>
      <c r="AL1326" s="264"/>
      <c r="AM1326" s="84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  <c r="AY1326" s="18"/>
    </row>
    <row r="1327" spans="1:51" s="33" customFormat="1" x14ac:dyDescent="0.3">
      <c r="A1327" s="63" t="str">
        <f>+A1326</f>
        <v>BCV131</v>
      </c>
      <c r="B1327" s="18" t="str">
        <f>+B1326</f>
        <v>AX25</v>
      </c>
      <c r="C1327" s="85" t="str">
        <f>+C1326</f>
        <v>SIO1</v>
      </c>
      <c r="D1327" s="85" t="str">
        <f>+D1326</f>
        <v>SLC01</v>
      </c>
      <c r="E1327" s="290">
        <f>+E1326</f>
        <v>1</v>
      </c>
      <c r="F1327" s="290">
        <f>+F1326</f>
        <v>13</v>
      </c>
      <c r="G1327" s="290">
        <f>+G1326</f>
        <v>0</v>
      </c>
      <c r="H1327" s="72">
        <f>+H1326</f>
        <v>1</v>
      </c>
      <c r="I1327" s="75">
        <v>8</v>
      </c>
      <c r="J1327" s="74" t="s">
        <v>245</v>
      </c>
      <c r="K1327" s="85"/>
      <c r="L1327" s="79" t="s">
        <v>244</v>
      </c>
      <c r="M1327" s="17">
        <v>3</v>
      </c>
      <c r="N1327" s="17"/>
      <c r="O1327" s="296"/>
      <c r="P1327" s="296"/>
      <c r="Q1327" s="296" t="s">
        <v>127</v>
      </c>
      <c r="R1327" s="17"/>
      <c r="S1327" s="17"/>
      <c r="T1327" s="17"/>
      <c r="U1327" s="17"/>
      <c r="V1327" s="289" t="str">
        <f>+CONCATENATE(E1327,".",F1327,"\",G1327,".",H1327,":",I1327)</f>
        <v>1.13\0.1:8</v>
      </c>
      <c r="W1327" s="18" t="s">
        <v>1547</v>
      </c>
      <c r="X1327" s="17">
        <v>0</v>
      </c>
      <c r="Y1327" s="17"/>
      <c r="Z1327" s="17"/>
      <c r="AA1327" s="17"/>
      <c r="AB1327" s="17"/>
      <c r="AC1327" s="17"/>
      <c r="AD1327" s="17"/>
      <c r="AE1327" s="17"/>
      <c r="AF1327" s="17"/>
      <c r="AG1327" s="64"/>
      <c r="AH1327" s="64"/>
      <c r="AI1327" s="64"/>
      <c r="AJ1327" s="64"/>
      <c r="AK1327" s="64"/>
      <c r="AL1327" s="264"/>
      <c r="AM1327" s="84"/>
      <c r="AN1327" s="18"/>
      <c r="AO1327" s="18"/>
      <c r="AP1327" s="18"/>
      <c r="AQ1327" s="18"/>
      <c r="AR1327" s="18"/>
      <c r="AS1327" s="18"/>
      <c r="AT1327" s="18"/>
      <c r="AU1327" s="18"/>
      <c r="AV1327" s="18"/>
      <c r="AW1327" s="18"/>
      <c r="AX1327" s="18"/>
      <c r="AY1327" s="18"/>
    </row>
    <row r="1328" spans="1:51" s="33" customFormat="1" x14ac:dyDescent="0.3">
      <c r="A1328" s="63" t="str">
        <f>+A1327</f>
        <v>BCV131</v>
      </c>
      <c r="B1328" s="18" t="str">
        <f>+B1327</f>
        <v>AX25</v>
      </c>
      <c r="C1328" s="85" t="str">
        <f>+C1327</f>
        <v>SIO1</v>
      </c>
      <c r="D1328" s="85" t="str">
        <f>+D1327</f>
        <v>SLC01</v>
      </c>
      <c r="E1328" s="290">
        <f>+E1327</f>
        <v>1</v>
      </c>
      <c r="F1328" s="290">
        <f>+F1327</f>
        <v>13</v>
      </c>
      <c r="G1328" s="290">
        <f>+G1327</f>
        <v>0</v>
      </c>
      <c r="H1328" s="72">
        <f>+H1327</f>
        <v>1</v>
      </c>
      <c r="I1328" s="75">
        <v>1</v>
      </c>
      <c r="J1328" s="81" t="s">
        <v>1321</v>
      </c>
      <c r="K1328" s="85" t="s">
        <v>1366</v>
      </c>
      <c r="L1328" s="79" t="s">
        <v>235</v>
      </c>
      <c r="M1328" s="17">
        <v>3</v>
      </c>
      <c r="N1328" s="18" t="s">
        <v>1551</v>
      </c>
      <c r="O1328" s="17" t="s">
        <v>1552</v>
      </c>
      <c r="P1328" s="17"/>
      <c r="Q1328" s="17" t="s">
        <v>1335</v>
      </c>
      <c r="R1328" s="17" t="s">
        <v>922</v>
      </c>
      <c r="S1328" s="17"/>
      <c r="T1328" s="17" t="str">
        <f>+T1320</f>
        <v>BCV131</v>
      </c>
      <c r="U1328" s="17"/>
      <c r="V1328" s="289" t="str">
        <f>+CONCATENATE(E1328,".",F1328,"\",G1328,".",H1328,":",I1328)</f>
        <v>1.13\0.1:1</v>
      </c>
      <c r="W1328" s="18" t="s">
        <v>1547</v>
      </c>
      <c r="X1328" s="17">
        <v>0</v>
      </c>
      <c r="Y1328" s="17"/>
      <c r="Z1328" s="17"/>
      <c r="AA1328" s="17"/>
      <c r="AB1328" s="17"/>
      <c r="AC1328" s="17"/>
      <c r="AD1328" s="17"/>
      <c r="AE1328" s="17"/>
      <c r="AF1328" s="17"/>
      <c r="AG1328" s="64"/>
      <c r="AH1328" s="64"/>
      <c r="AI1328" s="64"/>
      <c r="AJ1328" s="64"/>
      <c r="AK1328" s="64"/>
      <c r="AL1328" s="264"/>
      <c r="AM1328" s="84"/>
      <c r="AN1328" s="18"/>
      <c r="AO1328" s="18"/>
      <c r="AP1328" s="18"/>
      <c r="AQ1328" s="18"/>
      <c r="AR1328" s="18"/>
      <c r="AS1328" s="18"/>
      <c r="AT1328" s="18"/>
      <c r="AU1328" s="18"/>
      <c r="AV1328" s="18"/>
      <c r="AW1328" s="18"/>
      <c r="AX1328" s="18"/>
      <c r="AY1328" s="18"/>
    </row>
    <row r="1329" spans="1:51" s="33" customFormat="1" x14ac:dyDescent="0.3">
      <c r="A1329" s="63" t="str">
        <f>+A1328</f>
        <v>BCV131</v>
      </c>
      <c r="B1329" s="18" t="str">
        <f>+B1328</f>
        <v>AX25</v>
      </c>
      <c r="C1329" s="85" t="str">
        <f>+C1328</f>
        <v>SIO1</v>
      </c>
      <c r="D1329" s="85" t="str">
        <f>+D1328</f>
        <v>SLC01</v>
      </c>
      <c r="E1329" s="290">
        <f>+E1328</f>
        <v>1</v>
      </c>
      <c r="F1329" s="290">
        <f>+F1328</f>
        <v>13</v>
      </c>
      <c r="G1329" s="290">
        <f>+G1328</f>
        <v>0</v>
      </c>
      <c r="H1329" s="72">
        <f>+H1328</f>
        <v>1</v>
      </c>
      <c r="I1329" s="75">
        <v>2</v>
      </c>
      <c r="J1329" s="74" t="s">
        <v>1320</v>
      </c>
      <c r="K1329" s="85"/>
      <c r="L1329" s="79" t="s">
        <v>235</v>
      </c>
      <c r="M1329" s="17">
        <v>3</v>
      </c>
      <c r="N1329" s="18" t="s">
        <v>1551</v>
      </c>
      <c r="O1329" s="17" t="s">
        <v>1550</v>
      </c>
      <c r="P1329" s="17"/>
      <c r="Q1329" s="17" t="s">
        <v>1330</v>
      </c>
      <c r="R1329" s="17" t="s">
        <v>922</v>
      </c>
      <c r="S1329" s="17"/>
      <c r="T1329" s="17" t="str">
        <f>+T1328</f>
        <v>BCV131</v>
      </c>
      <c r="U1329" s="17"/>
      <c r="V1329" s="289" t="str">
        <f>+CONCATENATE(E1329,".",F1329,"\",G1329,".",H1329,":",I1329)</f>
        <v>1.13\0.1:2</v>
      </c>
      <c r="W1329" s="18" t="s">
        <v>1547</v>
      </c>
      <c r="X1329" s="17">
        <v>0</v>
      </c>
      <c r="Y1329" s="17"/>
      <c r="Z1329" s="17"/>
      <c r="AA1329" s="17"/>
      <c r="AB1329" s="17"/>
      <c r="AC1329" s="17"/>
      <c r="AD1329" s="17"/>
      <c r="AE1329" s="17"/>
      <c r="AF1329" s="17"/>
      <c r="AG1329" s="64"/>
      <c r="AH1329" s="64"/>
      <c r="AI1329" s="64"/>
      <c r="AJ1329" s="64"/>
      <c r="AK1329" s="64"/>
      <c r="AL1329" s="264"/>
      <c r="AM1329" s="84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</row>
    <row r="1330" spans="1:51" s="33" customFormat="1" x14ac:dyDescent="0.3">
      <c r="A1330" s="63" t="str">
        <f>+A1329</f>
        <v>BCV131</v>
      </c>
      <c r="B1330" s="18" t="str">
        <f>+B1329</f>
        <v>AX25</v>
      </c>
      <c r="C1330" s="85" t="str">
        <f>+C1329</f>
        <v>SIO1</v>
      </c>
      <c r="D1330" s="85" t="str">
        <f>+D1329</f>
        <v>SLC01</v>
      </c>
      <c r="E1330" s="290">
        <f>+E1329</f>
        <v>1</v>
      </c>
      <c r="F1330" s="290">
        <f>+F1329</f>
        <v>13</v>
      </c>
      <c r="G1330" s="290">
        <f>+G1329</f>
        <v>0</v>
      </c>
      <c r="H1330" s="72">
        <f>+H1329</f>
        <v>1</v>
      </c>
      <c r="I1330" s="75">
        <v>3</v>
      </c>
      <c r="J1330" s="74" t="s">
        <v>1319</v>
      </c>
      <c r="K1330" s="85"/>
      <c r="L1330" s="79" t="s">
        <v>235</v>
      </c>
      <c r="M1330" s="17">
        <v>3</v>
      </c>
      <c r="N1330" s="18" t="s">
        <v>1549</v>
      </c>
      <c r="O1330" s="17" t="s">
        <v>1548</v>
      </c>
      <c r="P1330" s="17"/>
      <c r="Q1330" s="17" t="s">
        <v>1330</v>
      </c>
      <c r="R1330" s="17" t="s">
        <v>922</v>
      </c>
      <c r="S1330" s="17"/>
      <c r="T1330" s="17" t="str">
        <f>+T1329</f>
        <v>BCV131</v>
      </c>
      <c r="U1330" s="17"/>
      <c r="V1330" s="289" t="str">
        <f>+CONCATENATE(E1330,".",F1330,"\",G1330,".",H1330,":",I1330)</f>
        <v>1.13\0.1:3</v>
      </c>
      <c r="W1330" s="18" t="s">
        <v>1547</v>
      </c>
      <c r="X1330" s="17">
        <v>0</v>
      </c>
      <c r="Y1330" s="17"/>
      <c r="Z1330" s="17"/>
      <c r="AA1330" s="17"/>
      <c r="AB1330" s="17"/>
      <c r="AC1330" s="17"/>
      <c r="AD1330" s="17"/>
      <c r="AE1330" s="17"/>
      <c r="AF1330" s="17"/>
      <c r="AG1330" s="64"/>
      <c r="AH1330" s="64"/>
      <c r="AI1330" s="64"/>
      <c r="AJ1330" s="64"/>
      <c r="AK1330" s="64"/>
      <c r="AL1330" s="264"/>
      <c r="AM1330" s="84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  <c r="AY1330" s="18"/>
    </row>
    <row r="1331" spans="1:51" s="33" customFormat="1" ht="13.5" thickBot="1" x14ac:dyDescent="0.35">
      <c r="A1331" s="63" t="str">
        <f>+A1330</f>
        <v>BCV131</v>
      </c>
      <c r="B1331" s="18" t="str">
        <f>+B1330</f>
        <v>AX25</v>
      </c>
      <c r="C1331" s="85" t="str">
        <f>+C1330</f>
        <v>SIO1</v>
      </c>
      <c r="D1331" s="85" t="str">
        <f>+D1330</f>
        <v>SLC01</v>
      </c>
      <c r="E1331" s="290">
        <f>+E1330</f>
        <v>1</v>
      </c>
      <c r="F1331" s="290">
        <f>+F1330</f>
        <v>13</v>
      </c>
      <c r="G1331" s="290">
        <f>+G1330</f>
        <v>0</v>
      </c>
      <c r="H1331" s="72">
        <f>+H1330</f>
        <v>1</v>
      </c>
      <c r="I1331" s="71">
        <v>4</v>
      </c>
      <c r="J1331" s="70" t="s">
        <v>1318</v>
      </c>
      <c r="K1331" s="85"/>
      <c r="L1331" s="79" t="s">
        <v>235</v>
      </c>
      <c r="M1331" s="17">
        <v>3</v>
      </c>
      <c r="N1331" s="17"/>
      <c r="O1331" s="17"/>
      <c r="P1331" s="17"/>
      <c r="Q1331" s="68"/>
      <c r="R1331" s="68"/>
      <c r="S1331" s="68"/>
      <c r="T1331" s="68"/>
      <c r="U1331" s="17"/>
      <c r="V1331" s="289" t="str">
        <f>+CONCATENATE(E1331,".",F1331,"\",G1331,".",H1331,":",I1331)</f>
        <v>1.13\0.1:4</v>
      </c>
      <c r="W1331" s="18" t="s">
        <v>1547</v>
      </c>
      <c r="X1331" s="17">
        <v>0</v>
      </c>
      <c r="Y1331" s="17"/>
      <c r="Z1331" s="17"/>
      <c r="AA1331" s="17"/>
      <c r="AB1331" s="17"/>
      <c r="AC1331" s="17"/>
      <c r="AD1331" s="17"/>
      <c r="AE1331" s="17"/>
      <c r="AF1331" s="17"/>
      <c r="AG1331" s="64"/>
      <c r="AH1331" s="64"/>
      <c r="AI1331" s="64"/>
      <c r="AJ1331" s="64"/>
      <c r="AK1331" s="64"/>
      <c r="AL1331" s="264"/>
      <c r="AM1331" s="84"/>
      <c r="AN1331" s="18"/>
      <c r="AO1331" s="18"/>
      <c r="AP1331" s="18"/>
      <c r="AQ1331" s="18"/>
      <c r="AR1331" s="18"/>
      <c r="AS1331" s="18"/>
      <c r="AT1331" s="18"/>
      <c r="AU1331" s="18"/>
      <c r="AV1331" s="18"/>
      <c r="AW1331" s="18"/>
      <c r="AX1331" s="18"/>
      <c r="AY1331" s="18"/>
    </row>
    <row r="1332" spans="1:51" s="33" customFormat="1" x14ac:dyDescent="0.3">
      <c r="A1332" s="63"/>
      <c r="B1332" s="63"/>
      <c r="C1332" s="63"/>
      <c r="D1332" s="63"/>
      <c r="E1332" s="288"/>
      <c r="F1332" s="288"/>
      <c r="G1332" s="288"/>
      <c r="H1332" s="63"/>
      <c r="I1332" s="63"/>
      <c r="J1332" s="63"/>
      <c r="K1332" s="17"/>
      <c r="L1332" s="17"/>
      <c r="M1332" s="17"/>
      <c r="N1332" s="17"/>
      <c r="O1332" s="68"/>
      <c r="P1332" s="68"/>
      <c r="Q1332" s="68"/>
      <c r="R1332" s="68"/>
      <c r="S1332" s="68"/>
      <c r="T1332" s="68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64"/>
      <c r="AH1332" s="64"/>
      <c r="AI1332" s="64"/>
      <c r="AJ1332" s="64"/>
      <c r="AK1332" s="64"/>
      <c r="AL1332" s="264"/>
      <c r="AM1332" s="84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  <c r="AY1332" s="18"/>
    </row>
    <row r="1333" spans="1:51" s="33" customFormat="1" x14ac:dyDescent="0.3">
      <c r="A1333" s="63"/>
      <c r="B1333" s="63"/>
      <c r="C1333" s="63"/>
      <c r="D1333" s="63"/>
      <c r="E1333" s="288"/>
      <c r="F1333" s="288"/>
      <c r="G1333" s="288"/>
      <c r="H1333" s="63"/>
      <c r="I1333" s="63"/>
      <c r="J1333" s="63"/>
      <c r="K1333" s="17"/>
      <c r="L1333" s="17"/>
      <c r="M1333" s="17"/>
      <c r="N1333" s="17"/>
      <c r="O1333" s="68"/>
      <c r="P1333" s="68"/>
      <c r="Q1333" s="68"/>
      <c r="R1333" s="68"/>
      <c r="S1333" s="68"/>
      <c r="T1333" s="68"/>
      <c r="U1333" s="17"/>
      <c r="V1333" s="17"/>
      <c r="W1333" s="17"/>
      <c r="X1333" s="17"/>
      <c r="Y1333" s="17"/>
      <c r="Z1333" s="17"/>
      <c r="AA1333" s="17"/>
      <c r="AB1333" s="20"/>
      <c r="AC1333" s="17"/>
      <c r="AD1333" s="17"/>
      <c r="AE1333" s="17"/>
      <c r="AF1333" s="17"/>
      <c r="AG1333" s="64"/>
      <c r="AH1333" s="64"/>
      <c r="AI1333" s="64"/>
      <c r="AJ1333" s="64"/>
      <c r="AK1333" s="64"/>
      <c r="AL1333" s="264"/>
      <c r="AM1333" s="84"/>
      <c r="AN1333" s="18"/>
      <c r="AO1333" s="18"/>
      <c r="AP1333" s="18"/>
      <c r="AQ1333" s="18"/>
      <c r="AR1333" s="18"/>
      <c r="AS1333" s="18"/>
      <c r="AT1333" s="18"/>
      <c r="AU1333" s="18"/>
      <c r="AV1333" s="18"/>
      <c r="AW1333" s="18"/>
      <c r="AX1333" s="18"/>
      <c r="AY1333" s="18"/>
    </row>
    <row r="1334" spans="1:51" s="33" customFormat="1" x14ac:dyDescent="0.3">
      <c r="A1334" s="63"/>
      <c r="B1334" s="63"/>
      <c r="C1334" s="63"/>
      <c r="D1334" s="63"/>
      <c r="E1334" s="288"/>
      <c r="F1334" s="288"/>
      <c r="G1334" s="288"/>
      <c r="H1334" s="63"/>
      <c r="I1334" s="63"/>
      <c r="J1334" s="63"/>
      <c r="K1334" s="17"/>
      <c r="L1334" s="17"/>
      <c r="M1334" s="17"/>
      <c r="N1334" s="17"/>
      <c r="O1334" s="68"/>
      <c r="P1334" s="68"/>
      <c r="Q1334" s="68"/>
      <c r="R1334" s="68"/>
      <c r="S1334" s="68"/>
      <c r="T1334" s="68"/>
      <c r="U1334" s="17"/>
      <c r="V1334" s="17"/>
      <c r="W1334" s="17"/>
      <c r="X1334" s="17"/>
      <c r="Y1334" s="17"/>
      <c r="Z1334" s="17"/>
      <c r="AA1334" s="17"/>
      <c r="AB1334" s="20"/>
      <c r="AC1334" s="17"/>
      <c r="AD1334" s="17"/>
      <c r="AE1334" s="17"/>
      <c r="AF1334" s="17"/>
      <c r="AG1334" s="64"/>
      <c r="AH1334" s="64"/>
      <c r="AI1334" s="64"/>
      <c r="AJ1334" s="64"/>
      <c r="AK1334" s="64"/>
      <c r="AL1334" s="264"/>
      <c r="AM1334" s="84"/>
      <c r="AN1334" s="18"/>
      <c r="AO1334" s="18"/>
      <c r="AP1334" s="18"/>
      <c r="AQ1334" s="18"/>
      <c r="AR1334" s="18"/>
      <c r="AS1334" s="18"/>
      <c r="AT1334" s="18"/>
      <c r="AU1334" s="18"/>
      <c r="AV1334" s="18"/>
      <c r="AW1334" s="18"/>
      <c r="AX1334" s="18"/>
      <c r="AY1334" s="18"/>
    </row>
    <row r="1335" spans="1:51" s="33" customFormat="1" ht="15.5" x14ac:dyDescent="0.35">
      <c r="A1335" s="297"/>
      <c r="B1335" s="96" t="s">
        <v>1546</v>
      </c>
      <c r="C1335" s="256"/>
      <c r="D1335" s="256"/>
      <c r="E1335" s="256"/>
      <c r="F1335" s="256"/>
      <c r="G1335" s="256"/>
      <c r="H1335" s="256"/>
      <c r="I1335" s="256"/>
      <c r="J1335" s="256"/>
      <c r="K1335" s="256"/>
      <c r="L1335" s="256"/>
      <c r="M1335" s="256"/>
      <c r="N1335" s="287"/>
      <c r="O1335" s="256"/>
      <c r="P1335" s="287"/>
      <c r="Q1335" s="256"/>
      <c r="R1335" s="256"/>
      <c r="S1335" s="256"/>
      <c r="T1335" s="256"/>
      <c r="U1335" s="256"/>
      <c r="V1335" s="256"/>
      <c r="W1335" s="287"/>
      <c r="X1335" s="256"/>
      <c r="Y1335" s="256"/>
      <c r="Z1335" s="17"/>
      <c r="AA1335" s="17"/>
      <c r="AB1335" s="17"/>
      <c r="AC1335" s="17"/>
      <c r="AD1335" s="17"/>
      <c r="AE1335" s="17"/>
      <c r="AF1335" s="17"/>
      <c r="AG1335" s="64"/>
      <c r="AH1335" s="64"/>
      <c r="AI1335" s="64"/>
      <c r="AJ1335" s="64"/>
      <c r="AK1335" s="64"/>
      <c r="AL1335" s="264"/>
      <c r="AM1335" s="84"/>
      <c r="AN1335" s="18"/>
      <c r="AO1335" s="18"/>
      <c r="AP1335" s="18"/>
      <c r="AQ1335" s="18"/>
      <c r="AR1335" s="18"/>
      <c r="AS1335" s="18"/>
      <c r="AT1335" s="18"/>
      <c r="AU1335" s="18"/>
      <c r="AV1335" s="18"/>
      <c r="AW1335" s="18"/>
      <c r="AX1335" s="18"/>
      <c r="AY1335" s="18"/>
    </row>
    <row r="1336" spans="1:51" s="33" customFormat="1" ht="13.5" thickBot="1" x14ac:dyDescent="0.35">
      <c r="A1336" s="63"/>
      <c r="B1336" s="63"/>
      <c r="C1336" s="63"/>
      <c r="D1336" s="63"/>
      <c r="E1336" s="288"/>
      <c r="F1336" s="288"/>
      <c r="G1336" s="288"/>
      <c r="H1336" s="63"/>
      <c r="I1336" s="63"/>
      <c r="J1336" s="63"/>
      <c r="K1336" s="17"/>
      <c r="L1336" s="17"/>
      <c r="M1336" s="17"/>
      <c r="N1336" s="17"/>
      <c r="O1336" s="68"/>
      <c r="P1336" s="68"/>
      <c r="Q1336" s="68"/>
      <c r="R1336" s="68"/>
      <c r="S1336" s="68"/>
      <c r="T1336" s="68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64"/>
      <c r="AH1336" s="64"/>
      <c r="AI1336" s="64"/>
      <c r="AJ1336" s="64"/>
      <c r="AK1336" s="64"/>
      <c r="AL1336" s="264"/>
      <c r="AM1336" s="84"/>
      <c r="AN1336" s="18"/>
      <c r="AO1336" s="18"/>
      <c r="AP1336" s="18"/>
      <c r="AQ1336" s="18"/>
      <c r="AR1336" s="18"/>
      <c r="AS1336" s="18"/>
      <c r="AT1336" s="18"/>
      <c r="AU1336" s="18"/>
      <c r="AV1336" s="18"/>
      <c r="AW1336" s="18"/>
      <c r="AX1336" s="18"/>
      <c r="AY1336" s="18"/>
    </row>
    <row r="1337" spans="1:51" s="33" customFormat="1" ht="13.5" thickBot="1" x14ac:dyDescent="0.35">
      <c r="A1337" s="63" t="s">
        <v>194</v>
      </c>
      <c r="B1337" s="17" t="s">
        <v>1545</v>
      </c>
      <c r="C1337" s="295" t="s">
        <v>271</v>
      </c>
      <c r="D1337" s="290" t="s">
        <v>270</v>
      </c>
      <c r="E1337" s="290">
        <v>2</v>
      </c>
      <c r="F1337" s="290">
        <v>13</v>
      </c>
      <c r="G1337" s="290">
        <v>0</v>
      </c>
      <c r="H1337" s="89">
        <v>0</v>
      </c>
      <c r="I1337" s="88" t="s">
        <v>1106</v>
      </c>
      <c r="J1337" s="87"/>
      <c r="K1337" s="84">
        <v>1059305</v>
      </c>
      <c r="L1337" s="91" t="s">
        <v>1377</v>
      </c>
      <c r="M1337" s="17">
        <v>3</v>
      </c>
      <c r="N1337" s="17"/>
      <c r="O1337" s="83"/>
      <c r="P1337" s="83"/>
      <c r="Q1337" s="68"/>
      <c r="R1337" s="68"/>
      <c r="S1337" s="68"/>
      <c r="T1337" s="68"/>
      <c r="U1337" s="17"/>
      <c r="V1337" s="17"/>
      <c r="W1337" s="18" t="s">
        <v>1529</v>
      </c>
      <c r="X1337" s="17">
        <v>0</v>
      </c>
      <c r="Y1337" s="17"/>
      <c r="Z1337" s="17"/>
      <c r="AA1337" s="17"/>
      <c r="AB1337" s="17"/>
      <c r="AC1337" s="17"/>
      <c r="AD1337" s="17"/>
      <c r="AE1337" s="17"/>
      <c r="AF1337" s="17"/>
      <c r="AG1337" s="64"/>
      <c r="AH1337" s="64"/>
      <c r="AI1337" s="64"/>
      <c r="AJ1337" s="64"/>
      <c r="AK1337" s="64"/>
      <c r="AL1337" s="264"/>
      <c r="AM1337" s="84"/>
      <c r="AN1337" s="18"/>
      <c r="AO1337" s="18"/>
      <c r="AP1337" s="18"/>
      <c r="AQ1337" s="18"/>
      <c r="AR1337" s="18"/>
      <c r="AS1337" s="18"/>
      <c r="AT1337" s="18"/>
      <c r="AU1337" s="18"/>
      <c r="AV1337" s="18"/>
      <c r="AW1337" s="18"/>
      <c r="AX1337" s="18"/>
      <c r="AY1337" s="18"/>
    </row>
    <row r="1338" spans="1:51" s="33" customFormat="1" x14ac:dyDescent="0.3">
      <c r="A1338" s="63" t="str">
        <f>+A1337</f>
        <v>BCV131</v>
      </c>
      <c r="B1338" s="18" t="str">
        <f>+B1337</f>
        <v>AX26</v>
      </c>
      <c r="C1338" s="85" t="str">
        <f>+C1337</f>
        <v>SIO1</v>
      </c>
      <c r="D1338" s="85" t="str">
        <f>+D1337</f>
        <v>SLC02</v>
      </c>
      <c r="E1338" s="290">
        <f>+E1337</f>
        <v>2</v>
      </c>
      <c r="F1338" s="290">
        <f>+F1337</f>
        <v>13</v>
      </c>
      <c r="G1338" s="290">
        <f>+G1337</f>
        <v>0</v>
      </c>
      <c r="H1338" s="72">
        <v>1</v>
      </c>
      <c r="I1338" s="77">
        <v>1</v>
      </c>
      <c r="J1338" s="76" t="s">
        <v>269</v>
      </c>
      <c r="K1338" s="65">
        <v>1044125</v>
      </c>
      <c r="L1338" s="79" t="s">
        <v>244</v>
      </c>
      <c r="M1338" s="17">
        <v>3</v>
      </c>
      <c r="N1338" s="18" t="s">
        <v>1542</v>
      </c>
      <c r="O1338" s="296" t="s">
        <v>1544</v>
      </c>
      <c r="P1338" s="296"/>
      <c r="Q1338" s="296" t="s">
        <v>1543</v>
      </c>
      <c r="R1338" s="17" t="s">
        <v>211</v>
      </c>
      <c r="S1338" s="17"/>
      <c r="T1338" s="17" t="s">
        <v>194</v>
      </c>
      <c r="U1338" s="17"/>
      <c r="V1338" s="289" t="str">
        <f>+CONCATENATE(E1338,".",F1338,"\",G1338,".",H1338,":",I1338)</f>
        <v>2.13\0.1:1</v>
      </c>
      <c r="W1338" s="18" t="s">
        <v>1529</v>
      </c>
      <c r="X1338" s="17">
        <v>0</v>
      </c>
      <c r="Y1338" s="17"/>
      <c r="Z1338" s="17"/>
      <c r="AA1338" s="17"/>
      <c r="AB1338" s="17"/>
      <c r="AC1338" s="17"/>
      <c r="AD1338" s="17"/>
      <c r="AE1338" s="17"/>
      <c r="AF1338" s="17"/>
      <c r="AG1338" s="64"/>
      <c r="AH1338" s="64"/>
      <c r="AI1338" s="64"/>
      <c r="AJ1338" s="64"/>
      <c r="AK1338" s="64"/>
      <c r="AL1338" s="264"/>
      <c r="AM1338" s="84"/>
      <c r="AN1338" s="18"/>
      <c r="AO1338" s="18"/>
      <c r="AP1338" s="18"/>
      <c r="AQ1338" s="18"/>
      <c r="AR1338" s="18"/>
      <c r="AS1338" s="18"/>
      <c r="AT1338" s="18"/>
      <c r="AU1338" s="18"/>
      <c r="AV1338" s="18"/>
      <c r="AW1338" s="18"/>
      <c r="AX1338" s="18"/>
      <c r="AY1338" s="18"/>
    </row>
    <row r="1339" spans="1:51" s="33" customFormat="1" x14ac:dyDescent="0.3">
      <c r="A1339" s="63" t="str">
        <f>+A1338</f>
        <v>BCV131</v>
      </c>
      <c r="B1339" s="18" t="str">
        <f>+B1338</f>
        <v>AX26</v>
      </c>
      <c r="C1339" s="85" t="str">
        <f>+C1338</f>
        <v>SIO1</v>
      </c>
      <c r="D1339" s="85" t="str">
        <f>+D1338</f>
        <v>SLC02</v>
      </c>
      <c r="E1339" s="290">
        <f>+E1338</f>
        <v>2</v>
      </c>
      <c r="F1339" s="290">
        <f>+F1338</f>
        <v>13</v>
      </c>
      <c r="G1339" s="290">
        <f>+G1338</f>
        <v>0</v>
      </c>
      <c r="H1339" s="72">
        <f>+H1338</f>
        <v>1</v>
      </c>
      <c r="I1339" s="75">
        <v>2</v>
      </c>
      <c r="J1339" s="74" t="s">
        <v>265</v>
      </c>
      <c r="K1339" s="84">
        <v>1047162</v>
      </c>
      <c r="L1339" s="79" t="s">
        <v>244</v>
      </c>
      <c r="M1339" s="17">
        <v>3</v>
      </c>
      <c r="N1339" s="18" t="s">
        <v>1542</v>
      </c>
      <c r="O1339" s="296" t="s">
        <v>1541</v>
      </c>
      <c r="P1339" s="296"/>
      <c r="Q1339" s="296" t="s">
        <v>1540</v>
      </c>
      <c r="R1339" s="17" t="s">
        <v>211</v>
      </c>
      <c r="S1339" s="17"/>
      <c r="T1339" s="17" t="str">
        <f>+T1338</f>
        <v>BCV131</v>
      </c>
      <c r="U1339" s="17"/>
      <c r="V1339" s="289" t="str">
        <f>+CONCATENATE(E1339,".",F1339,"\",G1339,".",H1339,":",I1339)</f>
        <v>2.13\0.1:2</v>
      </c>
      <c r="W1339" s="18" t="s">
        <v>1529</v>
      </c>
      <c r="X1339" s="17">
        <v>0</v>
      </c>
      <c r="Y1339" s="17"/>
      <c r="Z1339" s="17"/>
      <c r="AA1339" s="17"/>
      <c r="AB1339" s="17"/>
      <c r="AC1339" s="17"/>
      <c r="AD1339" s="17"/>
      <c r="AE1339" s="17"/>
      <c r="AF1339" s="17"/>
      <c r="AG1339" s="64"/>
      <c r="AH1339" s="64"/>
      <c r="AI1339" s="64"/>
      <c r="AJ1339" s="64"/>
      <c r="AK1339" s="64"/>
      <c r="AL1339" s="264"/>
      <c r="AM1339" s="84"/>
      <c r="AN1339" s="18"/>
      <c r="AO1339" s="18"/>
      <c r="AP1339" s="18"/>
      <c r="AQ1339" s="18"/>
      <c r="AR1339" s="18"/>
      <c r="AS1339" s="18"/>
      <c r="AT1339" s="18"/>
      <c r="AU1339" s="18"/>
      <c r="AV1339" s="18"/>
      <c r="AW1339" s="18"/>
      <c r="AX1339" s="18"/>
      <c r="AY1339" s="18"/>
    </row>
    <row r="1340" spans="1:51" s="33" customFormat="1" x14ac:dyDescent="0.3">
      <c r="A1340" s="63" t="str">
        <f>+A1339</f>
        <v>BCV131</v>
      </c>
      <c r="B1340" s="18" t="str">
        <f>+B1339</f>
        <v>AX26</v>
      </c>
      <c r="C1340" s="85" t="str">
        <f>+C1339</f>
        <v>SIO1</v>
      </c>
      <c r="D1340" s="85" t="str">
        <f>+D1339</f>
        <v>SLC02</v>
      </c>
      <c r="E1340" s="290">
        <f>+E1339</f>
        <v>2</v>
      </c>
      <c r="F1340" s="290">
        <f>+F1339</f>
        <v>13</v>
      </c>
      <c r="G1340" s="290">
        <f>+G1339</f>
        <v>0</v>
      </c>
      <c r="H1340" s="72">
        <f>+H1339</f>
        <v>1</v>
      </c>
      <c r="I1340" s="75">
        <v>3</v>
      </c>
      <c r="J1340" s="74" t="s">
        <v>261</v>
      </c>
      <c r="K1340" s="85"/>
      <c r="L1340" s="79" t="s">
        <v>244</v>
      </c>
      <c r="M1340" s="17">
        <v>3</v>
      </c>
      <c r="N1340" s="18" t="s">
        <v>1537</v>
      </c>
      <c r="O1340" s="296" t="s">
        <v>1539</v>
      </c>
      <c r="P1340" s="296"/>
      <c r="Q1340" s="296" t="s">
        <v>1538</v>
      </c>
      <c r="R1340" s="17" t="s">
        <v>211</v>
      </c>
      <c r="S1340" s="17"/>
      <c r="T1340" s="17" t="str">
        <f>+T1339</f>
        <v>BCV131</v>
      </c>
      <c r="U1340" s="17"/>
      <c r="V1340" s="289" t="str">
        <f>+CONCATENATE(E1340,".",F1340,"\",G1340,".",H1340,":",I1340)</f>
        <v>2.13\0.1:3</v>
      </c>
      <c r="W1340" s="18" t="s">
        <v>1529</v>
      </c>
      <c r="X1340" s="17">
        <v>0</v>
      </c>
      <c r="Y1340" s="17"/>
      <c r="Z1340" s="17"/>
      <c r="AA1340" s="17"/>
      <c r="AB1340" s="17"/>
      <c r="AC1340" s="17"/>
      <c r="AD1340" s="17"/>
      <c r="AE1340" s="17"/>
      <c r="AF1340" s="17"/>
      <c r="AG1340" s="64"/>
      <c r="AH1340" s="64"/>
      <c r="AI1340" s="64"/>
      <c r="AJ1340" s="64"/>
      <c r="AK1340" s="64"/>
      <c r="AL1340" s="264"/>
      <c r="AM1340" s="84"/>
      <c r="AN1340" s="18"/>
      <c r="AO1340" s="18"/>
      <c r="AP1340" s="18"/>
      <c r="AQ1340" s="18"/>
      <c r="AR1340" s="18"/>
      <c r="AS1340" s="18"/>
      <c r="AT1340" s="18"/>
      <c r="AU1340" s="18"/>
      <c r="AV1340" s="18"/>
      <c r="AW1340" s="18"/>
      <c r="AX1340" s="18"/>
      <c r="AY1340" s="18"/>
    </row>
    <row r="1341" spans="1:51" s="33" customFormat="1" x14ac:dyDescent="0.3">
      <c r="A1341" s="63" t="str">
        <f>+A1340</f>
        <v>BCV131</v>
      </c>
      <c r="B1341" s="18" t="str">
        <f>+B1340</f>
        <v>AX26</v>
      </c>
      <c r="C1341" s="85" t="str">
        <f>+C1340</f>
        <v>SIO1</v>
      </c>
      <c r="D1341" s="85" t="str">
        <f>+D1340</f>
        <v>SLC02</v>
      </c>
      <c r="E1341" s="290">
        <f>+E1340</f>
        <v>2</v>
      </c>
      <c r="F1341" s="290">
        <f>+F1340</f>
        <v>13</v>
      </c>
      <c r="G1341" s="290">
        <f>+G1340</f>
        <v>0</v>
      </c>
      <c r="H1341" s="72">
        <f>+H1340</f>
        <v>1</v>
      </c>
      <c r="I1341" s="75">
        <v>4</v>
      </c>
      <c r="J1341" s="74" t="s">
        <v>257</v>
      </c>
      <c r="K1341" s="85"/>
      <c r="L1341" s="79" t="s">
        <v>244</v>
      </c>
      <c r="M1341" s="17">
        <v>3</v>
      </c>
      <c r="N1341" s="18" t="s">
        <v>1537</v>
      </c>
      <c r="O1341" s="296" t="s">
        <v>1536</v>
      </c>
      <c r="P1341" s="296"/>
      <c r="Q1341" s="296" t="s">
        <v>1535</v>
      </c>
      <c r="R1341" s="17" t="s">
        <v>211</v>
      </c>
      <c r="S1341" s="17"/>
      <c r="T1341" s="17" t="str">
        <f>+T1340</f>
        <v>BCV131</v>
      </c>
      <c r="U1341" s="17"/>
      <c r="V1341" s="289" t="str">
        <f>+CONCATENATE(E1341,".",F1341,"\",G1341,".",H1341,":",I1341)</f>
        <v>2.13\0.1:4</v>
      </c>
      <c r="W1341" s="18" t="s">
        <v>1529</v>
      </c>
      <c r="X1341" s="17">
        <v>0</v>
      </c>
      <c r="Y1341" s="17"/>
      <c r="Z1341" s="17"/>
      <c r="AA1341" s="17"/>
      <c r="AB1341" s="17"/>
      <c r="AC1341" s="17"/>
      <c r="AD1341" s="17"/>
      <c r="AE1341" s="17"/>
      <c r="AF1341" s="17"/>
      <c r="AG1341" s="64"/>
      <c r="AH1341" s="64"/>
      <c r="AI1341" s="64"/>
      <c r="AJ1341" s="64"/>
      <c r="AK1341" s="64"/>
      <c r="AL1341" s="264"/>
      <c r="AM1341" s="84"/>
      <c r="AN1341" s="18"/>
      <c r="AO1341" s="18"/>
      <c r="AP1341" s="18"/>
      <c r="AQ1341" s="18"/>
      <c r="AR1341" s="18"/>
      <c r="AS1341" s="18"/>
      <c r="AT1341" s="18"/>
      <c r="AU1341" s="18"/>
      <c r="AV1341" s="18"/>
      <c r="AW1341" s="18"/>
      <c r="AX1341" s="18"/>
      <c r="AY1341" s="18"/>
    </row>
    <row r="1342" spans="1:51" s="33" customFormat="1" x14ac:dyDescent="0.3">
      <c r="A1342" s="63" t="str">
        <f>+A1341</f>
        <v>BCV131</v>
      </c>
      <c r="B1342" s="18" t="str">
        <f>+B1341</f>
        <v>AX26</v>
      </c>
      <c r="C1342" s="85" t="str">
        <f>+C1341</f>
        <v>SIO1</v>
      </c>
      <c r="D1342" s="85" t="str">
        <f>+D1341</f>
        <v>SLC02</v>
      </c>
      <c r="E1342" s="290">
        <f>+E1341</f>
        <v>2</v>
      </c>
      <c r="F1342" s="290">
        <f>+F1341</f>
        <v>13</v>
      </c>
      <c r="G1342" s="290">
        <f>+G1341</f>
        <v>0</v>
      </c>
      <c r="H1342" s="72">
        <f>+H1341</f>
        <v>1</v>
      </c>
      <c r="I1342" s="75">
        <v>5</v>
      </c>
      <c r="J1342" s="74" t="s">
        <v>1325</v>
      </c>
      <c r="K1342" s="85"/>
      <c r="L1342" s="79" t="s">
        <v>244</v>
      </c>
      <c r="M1342" s="17">
        <v>3</v>
      </c>
      <c r="N1342" s="17"/>
      <c r="O1342" s="296"/>
      <c r="P1342" s="296"/>
      <c r="Q1342" s="296" t="s">
        <v>127</v>
      </c>
      <c r="R1342" s="17"/>
      <c r="S1342" s="17"/>
      <c r="T1342" s="17"/>
      <c r="U1342" s="17"/>
      <c r="V1342" s="289" t="str">
        <f>+CONCATENATE(E1342,".",F1342,"\",G1342,".",H1342,":",I1342)</f>
        <v>2.13\0.1:5</v>
      </c>
      <c r="W1342" s="18" t="s">
        <v>1529</v>
      </c>
      <c r="X1342" s="17">
        <v>0</v>
      </c>
      <c r="Y1342" s="17"/>
      <c r="Z1342" s="17"/>
      <c r="AA1342" s="17"/>
      <c r="AB1342" s="17"/>
      <c r="AC1342" s="17"/>
      <c r="AD1342" s="17"/>
      <c r="AE1342" s="17"/>
      <c r="AF1342" s="17"/>
      <c r="AG1342" s="64"/>
      <c r="AH1342" s="64"/>
      <c r="AI1342" s="64"/>
      <c r="AJ1342" s="64"/>
      <c r="AK1342" s="64"/>
      <c r="AL1342" s="264"/>
      <c r="AM1342" s="84"/>
      <c r="AN1342" s="18"/>
      <c r="AO1342" s="18"/>
      <c r="AP1342" s="18"/>
      <c r="AQ1342" s="18"/>
      <c r="AR1342" s="18"/>
      <c r="AS1342" s="18"/>
      <c r="AT1342" s="18"/>
      <c r="AU1342" s="18"/>
      <c r="AV1342" s="18"/>
      <c r="AW1342" s="18"/>
      <c r="AX1342" s="18"/>
      <c r="AY1342" s="18"/>
    </row>
    <row r="1343" spans="1:51" s="33" customFormat="1" x14ac:dyDescent="0.3">
      <c r="A1343" s="63" t="str">
        <f>+A1342</f>
        <v>BCV131</v>
      </c>
      <c r="B1343" s="18" t="str">
        <f>+B1342</f>
        <v>AX26</v>
      </c>
      <c r="C1343" s="85" t="str">
        <f>+C1342</f>
        <v>SIO1</v>
      </c>
      <c r="D1343" s="85" t="str">
        <f>+D1342</f>
        <v>SLC02</v>
      </c>
      <c r="E1343" s="290">
        <f>+E1342</f>
        <v>2</v>
      </c>
      <c r="F1343" s="290">
        <f>+F1342</f>
        <v>13</v>
      </c>
      <c r="G1343" s="290">
        <f>+G1342</f>
        <v>0</v>
      </c>
      <c r="H1343" s="72">
        <f>+H1342</f>
        <v>1</v>
      </c>
      <c r="I1343" s="75">
        <v>6</v>
      </c>
      <c r="J1343" s="74" t="s">
        <v>1323</v>
      </c>
      <c r="K1343" s="85"/>
      <c r="L1343" s="79" t="s">
        <v>244</v>
      </c>
      <c r="M1343" s="17">
        <v>3</v>
      </c>
      <c r="N1343" s="17"/>
      <c r="O1343" s="296"/>
      <c r="P1343" s="296"/>
      <c r="Q1343" s="296" t="s">
        <v>127</v>
      </c>
      <c r="R1343" s="17"/>
      <c r="S1343" s="17"/>
      <c r="T1343" s="17"/>
      <c r="U1343" s="17"/>
      <c r="V1343" s="289" t="str">
        <f>+CONCATENATE(E1343,".",F1343,"\",G1343,".",H1343,":",I1343)</f>
        <v>2.13\0.1:6</v>
      </c>
      <c r="W1343" s="18" t="s">
        <v>1529</v>
      </c>
      <c r="X1343" s="17">
        <v>0</v>
      </c>
      <c r="Y1343" s="17"/>
      <c r="Z1343" s="17"/>
      <c r="AA1343" s="17"/>
      <c r="AB1343" s="17"/>
      <c r="AC1343" s="17"/>
      <c r="AD1343" s="17"/>
      <c r="AE1343" s="17"/>
      <c r="AF1343" s="17"/>
      <c r="AG1343" s="64"/>
      <c r="AH1343" s="64"/>
      <c r="AI1343" s="64"/>
      <c r="AJ1343" s="64"/>
      <c r="AK1343" s="64"/>
      <c r="AL1343" s="264"/>
      <c r="AM1343" s="84"/>
      <c r="AN1343" s="18"/>
      <c r="AO1343" s="18"/>
      <c r="AP1343" s="18"/>
      <c r="AQ1343" s="18"/>
      <c r="AR1343" s="18"/>
      <c r="AS1343" s="18"/>
      <c r="AT1343" s="18"/>
      <c r="AU1343" s="18"/>
      <c r="AV1343" s="18"/>
      <c r="AW1343" s="18"/>
      <c r="AX1343" s="18"/>
      <c r="AY1343" s="18"/>
    </row>
    <row r="1344" spans="1:51" s="33" customFormat="1" x14ac:dyDescent="0.3">
      <c r="A1344" s="63" t="str">
        <f>+A1343</f>
        <v>BCV131</v>
      </c>
      <c r="B1344" s="18" t="str">
        <f>+B1343</f>
        <v>AX26</v>
      </c>
      <c r="C1344" s="85" t="str">
        <f>+C1343</f>
        <v>SIO1</v>
      </c>
      <c r="D1344" s="85" t="str">
        <f>+D1343</f>
        <v>SLC02</v>
      </c>
      <c r="E1344" s="290">
        <f>+E1343</f>
        <v>2</v>
      </c>
      <c r="F1344" s="290">
        <f>+F1343</f>
        <v>13</v>
      </c>
      <c r="G1344" s="290">
        <f>+G1343</f>
        <v>0</v>
      </c>
      <c r="H1344" s="72">
        <f>+H1343</f>
        <v>1</v>
      </c>
      <c r="I1344" s="75">
        <v>7</v>
      </c>
      <c r="J1344" s="74" t="s">
        <v>246</v>
      </c>
      <c r="K1344" s="85"/>
      <c r="L1344" s="79" t="s">
        <v>244</v>
      </c>
      <c r="M1344" s="17">
        <v>3</v>
      </c>
      <c r="N1344" s="17"/>
      <c r="O1344" s="296"/>
      <c r="P1344" s="296"/>
      <c r="Q1344" s="296" t="s">
        <v>127</v>
      </c>
      <c r="R1344" s="17"/>
      <c r="S1344" s="17"/>
      <c r="T1344" s="17"/>
      <c r="U1344" s="17"/>
      <c r="V1344" s="289" t="str">
        <f>+CONCATENATE(E1344,".",F1344,"\",G1344,".",H1344,":",I1344)</f>
        <v>2.13\0.1:7</v>
      </c>
      <c r="W1344" s="18" t="s">
        <v>1529</v>
      </c>
      <c r="X1344" s="17">
        <v>0</v>
      </c>
      <c r="Y1344" s="17"/>
      <c r="Z1344" s="17"/>
      <c r="AA1344" s="17"/>
      <c r="AB1344" s="17"/>
      <c r="AC1344" s="17"/>
      <c r="AD1344" s="17"/>
      <c r="AE1344" s="17"/>
      <c r="AF1344" s="17"/>
      <c r="AG1344" s="64"/>
      <c r="AH1344" s="64"/>
      <c r="AI1344" s="64"/>
      <c r="AJ1344" s="64"/>
      <c r="AK1344" s="64"/>
      <c r="AL1344" s="264"/>
      <c r="AM1344" s="84"/>
      <c r="AN1344" s="18"/>
      <c r="AO1344" s="18"/>
      <c r="AP1344" s="18"/>
      <c r="AQ1344" s="18"/>
      <c r="AR1344" s="18"/>
      <c r="AS1344" s="18"/>
      <c r="AT1344" s="18"/>
      <c r="AU1344" s="18"/>
      <c r="AV1344" s="18"/>
      <c r="AW1344" s="18"/>
      <c r="AX1344" s="18"/>
      <c r="AY1344" s="18"/>
    </row>
    <row r="1345" spans="1:51" s="33" customFormat="1" x14ac:dyDescent="0.3">
      <c r="A1345" s="63" t="str">
        <f>+A1344</f>
        <v>BCV131</v>
      </c>
      <c r="B1345" s="18" t="str">
        <f>+B1344</f>
        <v>AX26</v>
      </c>
      <c r="C1345" s="85" t="str">
        <f>+C1344</f>
        <v>SIO1</v>
      </c>
      <c r="D1345" s="85" t="str">
        <f>+D1344</f>
        <v>SLC02</v>
      </c>
      <c r="E1345" s="290">
        <f>+E1344</f>
        <v>2</v>
      </c>
      <c r="F1345" s="290">
        <f>+F1344</f>
        <v>13</v>
      </c>
      <c r="G1345" s="290">
        <f>+G1344</f>
        <v>0</v>
      </c>
      <c r="H1345" s="72">
        <f>+H1344</f>
        <v>1</v>
      </c>
      <c r="I1345" s="75">
        <v>8</v>
      </c>
      <c r="J1345" s="74" t="s">
        <v>245</v>
      </c>
      <c r="K1345" s="85"/>
      <c r="L1345" s="79" t="s">
        <v>244</v>
      </c>
      <c r="M1345" s="17">
        <v>3</v>
      </c>
      <c r="N1345" s="17"/>
      <c r="O1345" s="296"/>
      <c r="P1345" s="296"/>
      <c r="Q1345" s="296" t="s">
        <v>127</v>
      </c>
      <c r="R1345" s="17"/>
      <c r="S1345" s="17"/>
      <c r="T1345" s="17"/>
      <c r="U1345" s="17"/>
      <c r="V1345" s="289" t="str">
        <f>+CONCATENATE(E1345,".",F1345,"\",G1345,".",H1345,":",I1345)</f>
        <v>2.13\0.1:8</v>
      </c>
      <c r="W1345" s="18" t="s">
        <v>1529</v>
      </c>
      <c r="X1345" s="17">
        <v>0</v>
      </c>
      <c r="Y1345" s="17"/>
      <c r="Z1345" s="17"/>
      <c r="AA1345" s="17"/>
      <c r="AB1345" s="17"/>
      <c r="AC1345" s="17"/>
      <c r="AD1345" s="17"/>
      <c r="AE1345" s="17"/>
      <c r="AF1345" s="17"/>
      <c r="AG1345" s="64"/>
      <c r="AH1345" s="64"/>
      <c r="AI1345" s="64"/>
      <c r="AJ1345" s="64"/>
      <c r="AK1345" s="64"/>
      <c r="AL1345" s="264"/>
      <c r="AM1345" s="84"/>
      <c r="AN1345" s="18"/>
      <c r="AO1345" s="18"/>
      <c r="AP1345" s="18"/>
      <c r="AQ1345" s="18"/>
      <c r="AR1345" s="18"/>
      <c r="AS1345" s="18"/>
      <c r="AT1345" s="18"/>
      <c r="AU1345" s="18"/>
      <c r="AV1345" s="18"/>
      <c r="AW1345" s="18"/>
      <c r="AX1345" s="18"/>
      <c r="AY1345" s="18"/>
    </row>
    <row r="1346" spans="1:51" s="33" customFormat="1" x14ac:dyDescent="0.3">
      <c r="A1346" s="63" t="str">
        <f>+A1345</f>
        <v>BCV131</v>
      </c>
      <c r="B1346" s="18" t="str">
        <f>+B1345</f>
        <v>AX26</v>
      </c>
      <c r="C1346" s="85" t="str">
        <f>+C1345</f>
        <v>SIO1</v>
      </c>
      <c r="D1346" s="85" t="str">
        <f>+D1345</f>
        <v>SLC02</v>
      </c>
      <c r="E1346" s="290">
        <f>+E1345</f>
        <v>2</v>
      </c>
      <c r="F1346" s="290">
        <f>+F1345</f>
        <v>13</v>
      </c>
      <c r="G1346" s="290">
        <f>+G1345</f>
        <v>0</v>
      </c>
      <c r="H1346" s="72">
        <f>+H1345</f>
        <v>1</v>
      </c>
      <c r="I1346" s="75">
        <v>1</v>
      </c>
      <c r="J1346" s="81" t="s">
        <v>1321</v>
      </c>
      <c r="K1346" s="85" t="s">
        <v>1366</v>
      </c>
      <c r="L1346" s="79" t="s">
        <v>235</v>
      </c>
      <c r="M1346" s="17">
        <v>3</v>
      </c>
      <c r="N1346" s="18" t="s">
        <v>1533</v>
      </c>
      <c r="O1346" s="17" t="s">
        <v>1534</v>
      </c>
      <c r="P1346" s="17"/>
      <c r="Q1346" s="17" t="s">
        <v>1335</v>
      </c>
      <c r="R1346" s="17" t="s">
        <v>922</v>
      </c>
      <c r="S1346" s="17"/>
      <c r="T1346" s="17" t="str">
        <f>+T1338</f>
        <v>BCV131</v>
      </c>
      <c r="U1346" s="17"/>
      <c r="V1346" s="289" t="str">
        <f>+CONCATENATE(E1346,".",F1346,"\",G1346,".",H1346,":",I1346)</f>
        <v>2.13\0.1:1</v>
      </c>
      <c r="W1346" s="18" t="s">
        <v>1529</v>
      </c>
      <c r="X1346" s="17">
        <v>0</v>
      </c>
      <c r="Y1346" s="17"/>
      <c r="Z1346" s="17"/>
      <c r="AA1346" s="17"/>
      <c r="AB1346" s="17"/>
      <c r="AC1346" s="17"/>
      <c r="AD1346" s="17"/>
      <c r="AE1346" s="17"/>
      <c r="AF1346" s="17"/>
      <c r="AG1346" s="64"/>
      <c r="AH1346" s="64"/>
      <c r="AI1346" s="64"/>
      <c r="AJ1346" s="64"/>
      <c r="AK1346" s="64"/>
      <c r="AL1346" s="264"/>
      <c r="AM1346" s="84"/>
      <c r="AN1346" s="18"/>
      <c r="AO1346" s="18"/>
      <c r="AP1346" s="18"/>
      <c r="AQ1346" s="18"/>
      <c r="AR1346" s="18"/>
      <c r="AS1346" s="18"/>
      <c r="AT1346" s="18"/>
      <c r="AU1346" s="18"/>
      <c r="AV1346" s="18"/>
      <c r="AW1346" s="18"/>
      <c r="AX1346" s="18"/>
      <c r="AY1346" s="18"/>
    </row>
    <row r="1347" spans="1:51" s="33" customFormat="1" x14ac:dyDescent="0.3">
      <c r="A1347" s="63" t="str">
        <f>+A1346</f>
        <v>BCV131</v>
      </c>
      <c r="B1347" s="18" t="str">
        <f>+B1346</f>
        <v>AX26</v>
      </c>
      <c r="C1347" s="85" t="str">
        <f>+C1346</f>
        <v>SIO1</v>
      </c>
      <c r="D1347" s="85" t="str">
        <f>+D1346</f>
        <v>SLC02</v>
      </c>
      <c r="E1347" s="290">
        <f>+E1346</f>
        <v>2</v>
      </c>
      <c r="F1347" s="290">
        <f>+F1346</f>
        <v>13</v>
      </c>
      <c r="G1347" s="290">
        <f>+G1346</f>
        <v>0</v>
      </c>
      <c r="H1347" s="72">
        <f>+H1346</f>
        <v>1</v>
      </c>
      <c r="I1347" s="75">
        <v>2</v>
      </c>
      <c r="J1347" s="74" t="s">
        <v>1320</v>
      </c>
      <c r="K1347" s="85"/>
      <c r="L1347" s="79" t="s">
        <v>235</v>
      </c>
      <c r="M1347" s="17">
        <v>3</v>
      </c>
      <c r="N1347" s="18" t="s">
        <v>1533</v>
      </c>
      <c r="O1347" s="17" t="s">
        <v>1532</v>
      </c>
      <c r="P1347" s="17"/>
      <c r="Q1347" s="17" t="s">
        <v>1330</v>
      </c>
      <c r="R1347" s="17" t="s">
        <v>922</v>
      </c>
      <c r="S1347" s="17"/>
      <c r="T1347" s="17" t="str">
        <f>+T1346</f>
        <v>BCV131</v>
      </c>
      <c r="U1347" s="17"/>
      <c r="V1347" s="289" t="str">
        <f>+CONCATENATE(E1347,".",F1347,"\",G1347,".",H1347,":",I1347)</f>
        <v>2.13\0.1:2</v>
      </c>
      <c r="W1347" s="18" t="s">
        <v>1529</v>
      </c>
      <c r="X1347" s="17">
        <v>0</v>
      </c>
      <c r="Y1347" s="17"/>
      <c r="Z1347" s="17"/>
      <c r="AA1347" s="17"/>
      <c r="AB1347" s="17"/>
      <c r="AC1347" s="17"/>
      <c r="AD1347" s="17"/>
      <c r="AE1347" s="17"/>
      <c r="AF1347" s="17"/>
      <c r="AG1347" s="64"/>
      <c r="AH1347" s="64"/>
      <c r="AI1347" s="64"/>
      <c r="AJ1347" s="64"/>
      <c r="AK1347" s="64"/>
      <c r="AL1347" s="264"/>
      <c r="AM1347" s="84"/>
      <c r="AN1347" s="18"/>
      <c r="AO1347" s="18"/>
      <c r="AP1347" s="18"/>
      <c r="AQ1347" s="18"/>
      <c r="AR1347" s="18"/>
      <c r="AS1347" s="18"/>
      <c r="AT1347" s="18"/>
      <c r="AU1347" s="18"/>
      <c r="AV1347" s="18"/>
      <c r="AW1347" s="18"/>
      <c r="AX1347" s="18"/>
      <c r="AY1347" s="18"/>
    </row>
    <row r="1348" spans="1:51" s="33" customFormat="1" x14ac:dyDescent="0.3">
      <c r="A1348" s="63" t="str">
        <f>+A1347</f>
        <v>BCV131</v>
      </c>
      <c r="B1348" s="18" t="str">
        <f>+B1347</f>
        <v>AX26</v>
      </c>
      <c r="C1348" s="85" t="str">
        <f>+C1347</f>
        <v>SIO1</v>
      </c>
      <c r="D1348" s="85" t="str">
        <f>+D1347</f>
        <v>SLC02</v>
      </c>
      <c r="E1348" s="290">
        <f>+E1347</f>
        <v>2</v>
      </c>
      <c r="F1348" s="290">
        <f>+F1347</f>
        <v>13</v>
      </c>
      <c r="G1348" s="290">
        <f>+G1347</f>
        <v>0</v>
      </c>
      <c r="H1348" s="72">
        <f>+H1347</f>
        <v>1</v>
      </c>
      <c r="I1348" s="75">
        <v>3</v>
      </c>
      <c r="J1348" s="74" t="s">
        <v>1319</v>
      </c>
      <c r="K1348" s="85"/>
      <c r="L1348" s="79" t="s">
        <v>235</v>
      </c>
      <c r="M1348" s="17">
        <v>3</v>
      </c>
      <c r="N1348" s="18" t="s">
        <v>1531</v>
      </c>
      <c r="O1348" s="17" t="s">
        <v>1530</v>
      </c>
      <c r="P1348" s="17"/>
      <c r="Q1348" s="17" t="s">
        <v>1330</v>
      </c>
      <c r="R1348" s="17" t="s">
        <v>922</v>
      </c>
      <c r="S1348" s="17"/>
      <c r="T1348" s="17" t="str">
        <f>+T1347</f>
        <v>BCV131</v>
      </c>
      <c r="U1348" s="17"/>
      <c r="V1348" s="289" t="str">
        <f>+CONCATENATE(E1348,".",F1348,"\",G1348,".",H1348,":",I1348)</f>
        <v>2.13\0.1:3</v>
      </c>
      <c r="W1348" s="18" t="s">
        <v>1529</v>
      </c>
      <c r="X1348" s="17">
        <v>0</v>
      </c>
      <c r="Y1348" s="17"/>
      <c r="Z1348" s="17"/>
      <c r="AA1348" s="17"/>
      <c r="AB1348" s="17"/>
      <c r="AC1348" s="17"/>
      <c r="AD1348" s="17"/>
      <c r="AE1348" s="17"/>
      <c r="AF1348" s="17"/>
      <c r="AG1348" s="64"/>
      <c r="AH1348" s="64"/>
      <c r="AI1348" s="64"/>
      <c r="AJ1348" s="64"/>
      <c r="AK1348" s="64"/>
      <c r="AL1348" s="264"/>
      <c r="AM1348" s="84"/>
      <c r="AN1348" s="18"/>
      <c r="AO1348" s="18"/>
      <c r="AP1348" s="18"/>
      <c r="AQ1348" s="18"/>
      <c r="AR1348" s="18"/>
      <c r="AS1348" s="18"/>
      <c r="AT1348" s="18"/>
      <c r="AU1348" s="18"/>
      <c r="AV1348" s="18"/>
      <c r="AW1348" s="18"/>
      <c r="AX1348" s="18"/>
      <c r="AY1348" s="18"/>
    </row>
    <row r="1349" spans="1:51" s="33" customFormat="1" ht="13.5" thickBot="1" x14ac:dyDescent="0.35">
      <c r="A1349" s="63" t="str">
        <f>+A1348</f>
        <v>BCV131</v>
      </c>
      <c r="B1349" s="18" t="str">
        <f>+B1348</f>
        <v>AX26</v>
      </c>
      <c r="C1349" s="85" t="str">
        <f>+C1348</f>
        <v>SIO1</v>
      </c>
      <c r="D1349" s="85" t="str">
        <f>+D1348</f>
        <v>SLC02</v>
      </c>
      <c r="E1349" s="290">
        <f>+E1348</f>
        <v>2</v>
      </c>
      <c r="F1349" s="290">
        <f>+F1348</f>
        <v>13</v>
      </c>
      <c r="G1349" s="290">
        <f>+G1348</f>
        <v>0</v>
      </c>
      <c r="H1349" s="72">
        <f>+H1348</f>
        <v>1</v>
      </c>
      <c r="I1349" s="71">
        <v>4</v>
      </c>
      <c r="J1349" s="70" t="s">
        <v>1318</v>
      </c>
      <c r="K1349" s="85"/>
      <c r="L1349" s="79" t="s">
        <v>235</v>
      </c>
      <c r="M1349" s="17">
        <v>3</v>
      </c>
      <c r="N1349" s="17"/>
      <c r="O1349" s="17"/>
      <c r="P1349" s="17"/>
      <c r="Q1349" s="68"/>
      <c r="R1349" s="68"/>
      <c r="S1349" s="68"/>
      <c r="T1349" s="68"/>
      <c r="U1349" s="17"/>
      <c r="V1349" s="289" t="str">
        <f>+CONCATENATE(E1349,".",F1349,"\",G1349,".",H1349,":",I1349)</f>
        <v>2.13\0.1:4</v>
      </c>
      <c r="W1349" s="18" t="s">
        <v>1529</v>
      </c>
      <c r="X1349" s="17">
        <v>0</v>
      </c>
      <c r="Y1349" s="17"/>
      <c r="Z1349" s="17"/>
      <c r="AA1349" s="17"/>
      <c r="AB1349" s="17"/>
      <c r="AC1349" s="17"/>
      <c r="AD1349" s="17"/>
      <c r="AE1349" s="17"/>
      <c r="AF1349" s="17"/>
      <c r="AG1349" s="64"/>
      <c r="AH1349" s="64"/>
      <c r="AI1349" s="64"/>
      <c r="AJ1349" s="64"/>
      <c r="AK1349" s="64"/>
      <c r="AL1349" s="264"/>
      <c r="AM1349" s="84"/>
      <c r="AN1349" s="18"/>
      <c r="AO1349" s="18"/>
      <c r="AP1349" s="18"/>
      <c r="AQ1349" s="18"/>
      <c r="AR1349" s="18"/>
      <c r="AS1349" s="18"/>
      <c r="AT1349" s="18"/>
      <c r="AU1349" s="18"/>
      <c r="AV1349" s="18"/>
      <c r="AW1349" s="18"/>
      <c r="AX1349" s="18"/>
      <c r="AY1349" s="18"/>
    </row>
    <row r="1350" spans="1:51" s="33" customFormat="1" x14ac:dyDescent="0.3">
      <c r="A1350" s="63"/>
      <c r="B1350" s="63"/>
      <c r="C1350" s="63"/>
      <c r="D1350" s="63"/>
      <c r="E1350" s="288"/>
      <c r="F1350" s="288"/>
      <c r="G1350" s="288"/>
      <c r="H1350" s="63"/>
      <c r="I1350" s="63"/>
      <c r="J1350" s="63"/>
      <c r="K1350" s="17"/>
      <c r="L1350" s="17"/>
      <c r="M1350" s="17"/>
      <c r="N1350" s="17"/>
      <c r="O1350" s="68"/>
      <c r="P1350" s="68"/>
      <c r="Q1350" s="68"/>
      <c r="R1350" s="68"/>
      <c r="S1350" s="68"/>
      <c r="T1350" s="68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64"/>
      <c r="AH1350" s="64"/>
      <c r="AI1350" s="64"/>
      <c r="AJ1350" s="64"/>
      <c r="AK1350" s="64"/>
      <c r="AL1350" s="264"/>
      <c r="AM1350" s="84"/>
      <c r="AN1350" s="18"/>
      <c r="AO1350" s="18"/>
      <c r="AP1350" s="18"/>
      <c r="AQ1350" s="18"/>
      <c r="AR1350" s="18"/>
      <c r="AS1350" s="18"/>
      <c r="AT1350" s="18"/>
      <c r="AU1350" s="18"/>
      <c r="AV1350" s="18"/>
      <c r="AW1350" s="18"/>
      <c r="AX1350" s="18"/>
      <c r="AY1350" s="18"/>
    </row>
    <row r="1351" spans="1:51" s="33" customFormat="1" x14ac:dyDescent="0.3">
      <c r="A1351" s="63"/>
      <c r="B1351" s="63"/>
      <c r="C1351" s="63"/>
      <c r="D1351" s="63"/>
      <c r="E1351" s="288"/>
      <c r="F1351" s="288"/>
      <c r="G1351" s="288"/>
      <c r="H1351" s="63"/>
      <c r="I1351" s="63"/>
      <c r="J1351" s="63"/>
      <c r="K1351" s="17"/>
      <c r="L1351" s="17"/>
      <c r="M1351" s="17"/>
      <c r="N1351" s="17"/>
      <c r="O1351" s="68"/>
      <c r="P1351" s="68"/>
      <c r="Q1351" s="68"/>
      <c r="R1351" s="68"/>
      <c r="S1351" s="68"/>
      <c r="T1351" s="68"/>
      <c r="U1351" s="17"/>
      <c r="V1351" s="17"/>
      <c r="W1351" s="17"/>
      <c r="X1351" s="17"/>
      <c r="Y1351" s="17"/>
      <c r="Z1351" s="17"/>
      <c r="AA1351" s="17"/>
      <c r="AB1351" s="20"/>
      <c r="AC1351" s="17"/>
      <c r="AD1351" s="17"/>
      <c r="AE1351" s="17"/>
      <c r="AF1351" s="17"/>
      <c r="AG1351" s="64"/>
      <c r="AH1351" s="64"/>
      <c r="AI1351" s="64"/>
      <c r="AJ1351" s="64"/>
      <c r="AK1351" s="64"/>
      <c r="AL1351" s="264"/>
      <c r="AM1351" s="84"/>
      <c r="AN1351" s="18"/>
      <c r="AO1351" s="18"/>
      <c r="AP1351" s="18"/>
      <c r="AQ1351" s="18"/>
      <c r="AR1351" s="18"/>
      <c r="AS1351" s="18"/>
      <c r="AT1351" s="18"/>
      <c r="AU1351" s="18"/>
      <c r="AV1351" s="18"/>
      <c r="AW1351" s="18"/>
      <c r="AX1351" s="18"/>
      <c r="AY1351" s="18"/>
    </row>
    <row r="1352" spans="1:51" s="33" customFormat="1" x14ac:dyDescent="0.3">
      <c r="A1352" s="63"/>
      <c r="B1352" s="63"/>
      <c r="C1352" s="63"/>
      <c r="D1352" s="63"/>
      <c r="E1352" s="288"/>
      <c r="F1352" s="288"/>
      <c r="G1352" s="288"/>
      <c r="H1352" s="63"/>
      <c r="I1352" s="63"/>
      <c r="J1352" s="63"/>
      <c r="K1352" s="17"/>
      <c r="L1352" s="17"/>
      <c r="M1352" s="17"/>
      <c r="N1352" s="17"/>
      <c r="O1352" s="68"/>
      <c r="P1352" s="68"/>
      <c r="Q1352" s="68"/>
      <c r="R1352" s="68"/>
      <c r="S1352" s="68"/>
      <c r="T1352" s="68"/>
      <c r="U1352" s="17"/>
      <c r="V1352" s="17"/>
      <c r="W1352" s="17"/>
      <c r="X1352" s="17"/>
      <c r="Y1352" s="17"/>
      <c r="Z1352" s="17"/>
      <c r="AA1352" s="17"/>
      <c r="AB1352" s="20"/>
      <c r="AC1352" s="17"/>
      <c r="AD1352" s="17"/>
      <c r="AE1352" s="17"/>
      <c r="AF1352" s="17"/>
      <c r="AG1352" s="64"/>
      <c r="AH1352" s="64"/>
      <c r="AI1352" s="64"/>
      <c r="AJ1352" s="64"/>
      <c r="AK1352" s="64"/>
      <c r="AL1352" s="264"/>
      <c r="AM1352" s="84"/>
      <c r="AN1352" s="18"/>
      <c r="AO1352" s="18"/>
      <c r="AP1352" s="18"/>
      <c r="AQ1352" s="18"/>
      <c r="AR1352" s="18"/>
      <c r="AS1352" s="18"/>
      <c r="AT1352" s="18"/>
      <c r="AU1352" s="18"/>
      <c r="AV1352" s="18"/>
      <c r="AW1352" s="18"/>
      <c r="AX1352" s="18"/>
      <c r="AY1352" s="18"/>
    </row>
    <row r="1353" spans="1:51" s="33" customFormat="1" ht="15.5" x14ac:dyDescent="0.35">
      <c r="A1353" s="297"/>
      <c r="B1353" s="96" t="s">
        <v>1528</v>
      </c>
      <c r="C1353" s="256"/>
      <c r="D1353" s="256"/>
      <c r="E1353" s="256"/>
      <c r="F1353" s="256"/>
      <c r="G1353" s="256"/>
      <c r="H1353" s="256"/>
      <c r="I1353" s="256"/>
      <c r="J1353" s="256"/>
      <c r="K1353" s="256"/>
      <c r="L1353" s="256"/>
      <c r="M1353" s="256"/>
      <c r="N1353" s="287"/>
      <c r="O1353" s="256"/>
      <c r="P1353" s="287"/>
      <c r="Q1353" s="256"/>
      <c r="R1353" s="256"/>
      <c r="S1353" s="256"/>
      <c r="T1353" s="256"/>
      <c r="U1353" s="256"/>
      <c r="V1353" s="256"/>
      <c r="W1353" s="287"/>
      <c r="X1353" s="256"/>
      <c r="Y1353" s="256"/>
      <c r="Z1353" s="46"/>
      <c r="AA1353" s="46"/>
      <c r="AB1353" s="20"/>
      <c r="AC1353" s="46"/>
      <c r="AD1353" s="46"/>
      <c r="AE1353" s="46"/>
      <c r="AF1353" s="46"/>
      <c r="AG1353" s="92"/>
      <c r="AH1353" s="92"/>
      <c r="AI1353" s="92"/>
      <c r="AJ1353" s="92"/>
      <c r="AK1353" s="92"/>
      <c r="AL1353" s="284"/>
      <c r="AM1353" s="94"/>
      <c r="AN1353" s="18"/>
      <c r="AO1353" s="18"/>
      <c r="AP1353" s="18"/>
      <c r="AQ1353" s="18"/>
      <c r="AR1353" s="18"/>
      <c r="AS1353" s="18"/>
      <c r="AT1353" s="18"/>
      <c r="AU1353" s="18"/>
      <c r="AV1353" s="18"/>
      <c r="AW1353" s="18"/>
      <c r="AX1353" s="18"/>
      <c r="AY1353" s="18"/>
    </row>
    <row r="1354" spans="1:51" s="18" customFormat="1" thickBot="1" x14ac:dyDescent="0.3"/>
    <row r="1355" spans="1:51" s="33" customFormat="1" ht="13.5" thickBot="1" x14ac:dyDescent="0.35">
      <c r="A1355" s="162" t="s">
        <v>1527</v>
      </c>
      <c r="B1355" s="17" t="s">
        <v>1510</v>
      </c>
      <c r="C1355" s="18" t="s">
        <v>723</v>
      </c>
      <c r="D1355" s="18">
        <v>132</v>
      </c>
      <c r="E1355" s="84">
        <v>2</v>
      </c>
      <c r="F1355" s="84">
        <v>10</v>
      </c>
      <c r="G1355" s="84">
        <v>0</v>
      </c>
      <c r="H1355" s="214"/>
      <c r="I1355" s="245"/>
      <c r="J1355" s="244"/>
      <c r="K1355" s="18"/>
      <c r="L1355" s="83"/>
      <c r="M1355" s="83"/>
      <c r="N1355" s="83"/>
      <c r="O1355" s="83"/>
      <c r="P1355" s="83"/>
      <c r="Q1355" s="83"/>
      <c r="R1355" s="83"/>
      <c r="S1355" s="83"/>
      <c r="T1355" s="83"/>
      <c r="U1355" s="83"/>
      <c r="V1355" s="83"/>
      <c r="W1355" s="83"/>
      <c r="X1355" s="83"/>
      <c r="Y1355" s="20"/>
      <c r="Z1355" s="20"/>
      <c r="AA1355" s="20"/>
      <c r="AB1355" s="20"/>
      <c r="AC1355" s="20"/>
      <c r="AD1355" s="20"/>
      <c r="AE1355" s="20"/>
      <c r="AF1355" s="20"/>
      <c r="AG1355" s="92"/>
      <c r="AH1355" s="92"/>
      <c r="AI1355" s="92"/>
      <c r="AJ1355" s="92"/>
      <c r="AK1355" s="92"/>
      <c r="AL1355" s="284"/>
      <c r="AM1355" s="17"/>
      <c r="AN1355" s="18"/>
      <c r="AO1355" s="18"/>
      <c r="AP1355" s="18"/>
      <c r="AQ1355" s="18"/>
      <c r="AR1355" s="18"/>
      <c r="AS1355" s="18"/>
      <c r="AT1355" s="18"/>
      <c r="AU1355" s="18"/>
      <c r="AV1355" s="18"/>
      <c r="AW1355" s="18"/>
      <c r="AX1355" s="18"/>
      <c r="AY1355" s="18"/>
    </row>
    <row r="1356" spans="1:51" s="33" customFormat="1" ht="13.5" thickBot="1" x14ac:dyDescent="0.35">
      <c r="A1356" s="268" t="s">
        <v>194</v>
      </c>
      <c r="B1356" s="17" t="s">
        <v>1510</v>
      </c>
      <c r="C1356" s="18" t="str">
        <f>+C1355</f>
        <v>DIO1</v>
      </c>
      <c r="D1356" s="18">
        <v>132</v>
      </c>
      <c r="E1356" s="84">
        <f>+E1355</f>
        <v>2</v>
      </c>
      <c r="F1356" s="84">
        <f>+F1355</f>
        <v>10</v>
      </c>
      <c r="G1356" s="84">
        <v>0</v>
      </c>
      <c r="H1356" s="83"/>
      <c r="I1356" s="245" t="s">
        <v>1090</v>
      </c>
      <c r="J1356" s="246"/>
      <c r="K1356" s="165" t="s">
        <v>1471</v>
      </c>
      <c r="L1356" s="83"/>
      <c r="M1356" s="83"/>
      <c r="N1356" s="83"/>
      <c r="O1356" s="83"/>
      <c r="P1356" s="83"/>
      <c r="Q1356" s="83"/>
      <c r="R1356" s="83"/>
      <c r="S1356" s="83"/>
      <c r="T1356" s="83"/>
      <c r="U1356" s="83"/>
      <c r="V1356" s="83"/>
      <c r="W1356" s="83"/>
      <c r="X1356" s="83"/>
      <c r="Y1356" s="20"/>
      <c r="Z1356" s="20"/>
      <c r="AA1356" s="20"/>
      <c r="AB1356" s="20"/>
      <c r="AC1356" s="20"/>
      <c r="AD1356" s="20"/>
      <c r="AE1356" s="20"/>
      <c r="AF1356" s="20"/>
      <c r="AG1356" s="92"/>
      <c r="AH1356" s="92"/>
      <c r="AI1356" s="92"/>
      <c r="AJ1356" s="92"/>
      <c r="AK1356" s="92"/>
      <c r="AL1356" s="284"/>
      <c r="AM1356" s="17"/>
      <c r="AN1356" s="18"/>
      <c r="AO1356" s="18"/>
      <c r="AP1356" s="18"/>
      <c r="AQ1356" s="18"/>
      <c r="AR1356" s="18"/>
      <c r="AS1356" s="18"/>
      <c r="AT1356" s="18"/>
      <c r="AU1356" s="18"/>
      <c r="AV1356" s="18"/>
      <c r="AW1356" s="18"/>
      <c r="AX1356" s="18"/>
      <c r="AY1356" s="18"/>
    </row>
    <row r="1357" spans="1:51" s="33" customFormat="1" ht="13.5" thickBot="1" x14ac:dyDescent="0.35">
      <c r="A1357" s="268" t="s">
        <v>194</v>
      </c>
      <c r="B1357" s="17" t="s">
        <v>1510</v>
      </c>
      <c r="C1357" s="18" t="str">
        <f>+C1356</f>
        <v>DIO1</v>
      </c>
      <c r="D1357" s="18">
        <v>132</v>
      </c>
      <c r="E1357" s="84">
        <f>+E1356</f>
        <v>2</v>
      </c>
      <c r="F1357" s="84">
        <f>+F1356</f>
        <v>10</v>
      </c>
      <c r="G1357" s="84">
        <v>0</v>
      </c>
      <c r="H1357" s="83"/>
      <c r="I1357" s="245" t="s">
        <v>1088</v>
      </c>
      <c r="J1357" s="246"/>
      <c r="K1357" s="18" t="s">
        <v>1470</v>
      </c>
      <c r="L1357" s="83"/>
      <c r="M1357" s="242" t="s">
        <v>1086</v>
      </c>
      <c r="N1357" s="84"/>
      <c r="O1357" s="242" t="s">
        <v>1085</v>
      </c>
      <c r="P1357" s="84"/>
      <c r="Q1357" s="242" t="s">
        <v>1084</v>
      </c>
      <c r="R1357" s="83"/>
      <c r="S1357" s="83"/>
      <c r="T1357" s="83"/>
      <c r="U1357" s="83"/>
      <c r="V1357" s="83"/>
      <c r="W1357" s="83"/>
      <c r="X1357" s="83"/>
      <c r="Y1357" s="20"/>
      <c r="Z1357" s="20"/>
      <c r="AA1357" s="20"/>
      <c r="AB1357" s="20"/>
      <c r="AC1357" s="20"/>
      <c r="AD1357" s="20"/>
      <c r="AE1357" s="20"/>
      <c r="AF1357" s="20"/>
      <c r="AG1357" s="92"/>
      <c r="AH1357" s="92"/>
      <c r="AI1357" s="92"/>
      <c r="AJ1357" s="92"/>
      <c r="AK1357" s="92"/>
      <c r="AL1357" s="284"/>
      <c r="AM1357" s="17"/>
      <c r="AN1357" s="18"/>
      <c r="AO1357" s="18"/>
      <c r="AP1357" s="18"/>
      <c r="AQ1357" s="18"/>
      <c r="AR1357" s="18"/>
      <c r="AS1357" s="18"/>
      <c r="AT1357" s="18"/>
      <c r="AU1357" s="18"/>
      <c r="AV1357" s="18"/>
      <c r="AW1357" s="18"/>
      <c r="AX1357" s="18"/>
      <c r="AY1357" s="18"/>
    </row>
    <row r="1358" spans="1:51" s="33" customFormat="1" ht="13.5" thickBot="1" x14ac:dyDescent="0.35">
      <c r="A1358" s="268" t="s">
        <v>194</v>
      </c>
      <c r="B1358" s="17" t="s">
        <v>1510</v>
      </c>
      <c r="C1358" s="18" t="str">
        <f>+C1357</f>
        <v>DIO1</v>
      </c>
      <c r="D1358" s="18">
        <v>132</v>
      </c>
      <c r="E1358" s="84">
        <f>+E1357</f>
        <v>2</v>
      </c>
      <c r="F1358" s="84">
        <f>+F1357</f>
        <v>10</v>
      </c>
      <c r="G1358" s="84">
        <v>0</v>
      </c>
      <c r="H1358" s="65">
        <v>0</v>
      </c>
      <c r="I1358" s="245" t="s">
        <v>1083</v>
      </c>
      <c r="J1358" s="244"/>
      <c r="K1358" s="17" t="s">
        <v>1082</v>
      </c>
      <c r="L1358" s="99" t="s">
        <v>1314</v>
      </c>
      <c r="M1358" s="242">
        <f>+COUNTA(L1359:L1398)</f>
        <v>32</v>
      </c>
      <c r="N1358" s="84"/>
      <c r="O1358" s="242">
        <f>+COUNTBLANK(O1359:O1398)</f>
        <v>35</v>
      </c>
      <c r="P1358" s="84"/>
      <c r="Q1358" s="241">
        <f>+O1358/M1358</f>
        <v>1.09375</v>
      </c>
      <c r="R1358" s="17"/>
      <c r="S1358" s="17"/>
      <c r="T1358" s="17"/>
      <c r="U1358" s="17"/>
      <c r="V1358" s="17"/>
      <c r="W1358" s="17"/>
      <c r="X1358" s="17"/>
      <c r="Y1358" s="20"/>
      <c r="Z1358" s="20"/>
      <c r="AA1358" s="20"/>
      <c r="AB1358" s="20"/>
      <c r="AC1358" s="20"/>
      <c r="AD1358" s="20"/>
      <c r="AE1358" s="20"/>
      <c r="AF1358" s="20"/>
      <c r="AG1358" s="64"/>
      <c r="AH1358" s="64"/>
      <c r="AI1358" s="64"/>
      <c r="AJ1358" s="64"/>
      <c r="AK1358" s="64"/>
      <c r="AL1358" s="264"/>
      <c r="AM1358" s="17"/>
      <c r="AN1358" s="18"/>
      <c r="AO1358" s="18"/>
      <c r="AP1358" s="18"/>
      <c r="AQ1358" s="18"/>
      <c r="AR1358" s="18"/>
      <c r="AS1358" s="18"/>
      <c r="AT1358" s="18"/>
      <c r="AU1358" s="18"/>
      <c r="AV1358" s="18"/>
      <c r="AW1358" s="18"/>
      <c r="AX1358" s="18"/>
      <c r="AY1358" s="18"/>
    </row>
    <row r="1359" spans="1:51" s="33" customFormat="1" x14ac:dyDescent="0.3">
      <c r="A1359" s="268" t="s">
        <v>194</v>
      </c>
      <c r="B1359" s="17" t="s">
        <v>1510</v>
      </c>
      <c r="C1359" s="18" t="str">
        <f>+C1358</f>
        <v>DIO1</v>
      </c>
      <c r="D1359" s="18">
        <v>132</v>
      </c>
      <c r="E1359" s="84">
        <f>+E1358</f>
        <v>2</v>
      </c>
      <c r="F1359" s="84">
        <f>+F1358</f>
        <v>10</v>
      </c>
      <c r="G1359" s="84">
        <v>0</v>
      </c>
      <c r="H1359" s="202">
        <v>1</v>
      </c>
      <c r="I1359" s="188">
        <v>0</v>
      </c>
      <c r="J1359" s="279" t="s">
        <v>767</v>
      </c>
      <c r="K1359" s="18" t="s">
        <v>766</v>
      </c>
      <c r="L1359" s="17" t="s">
        <v>323</v>
      </c>
      <c r="M1359" s="18">
        <v>3</v>
      </c>
      <c r="N1359" s="18"/>
      <c r="O1359" s="17" t="s">
        <v>770</v>
      </c>
      <c r="P1359" s="17"/>
      <c r="Q1359" s="17" t="s">
        <v>1526</v>
      </c>
      <c r="R1359" s="17" t="s">
        <v>211</v>
      </c>
      <c r="S1359" s="17"/>
      <c r="T1359" s="18" t="s">
        <v>1525</v>
      </c>
      <c r="U1359" s="17"/>
      <c r="V1359" s="17" t="str">
        <f>+CONCATENATE(E1359,".",F1359,"\",G1359,".",H1359,":",I1359)</f>
        <v>2.10\0.1:0</v>
      </c>
      <c r="W1359" s="17" t="s">
        <v>1524</v>
      </c>
      <c r="X1359" s="17">
        <v>0</v>
      </c>
      <c r="Y1359" s="20"/>
      <c r="Z1359" s="20" t="s">
        <v>1200</v>
      </c>
      <c r="AA1359" s="20"/>
      <c r="AB1359" s="17"/>
      <c r="AC1359" s="20"/>
      <c r="AD1359" s="20"/>
      <c r="AE1359" s="20"/>
      <c r="AF1359" s="17"/>
      <c r="AG1359" s="64" t="s">
        <v>1079</v>
      </c>
      <c r="AH1359" s="64">
        <v>1</v>
      </c>
      <c r="AI1359" s="64"/>
      <c r="AJ1359" s="64"/>
      <c r="AK1359" s="64"/>
      <c r="AL1359" s="264"/>
      <c r="AM1359" s="84"/>
      <c r="AN1359" s="18"/>
      <c r="AO1359" s="18"/>
      <c r="AP1359" s="18"/>
      <c r="AQ1359" s="18"/>
      <c r="AR1359" s="18"/>
      <c r="AS1359" s="18"/>
      <c r="AT1359" s="18"/>
      <c r="AU1359" s="18"/>
      <c r="AV1359" s="18"/>
      <c r="AW1359" s="18"/>
      <c r="AX1359" s="18"/>
      <c r="AY1359" s="18"/>
    </row>
    <row r="1360" spans="1:51" s="33" customFormat="1" x14ac:dyDescent="0.3">
      <c r="A1360" s="63" t="str">
        <f>A1359</f>
        <v>BCV131</v>
      </c>
      <c r="B1360" s="17" t="s">
        <v>1510</v>
      </c>
      <c r="C1360" s="18" t="str">
        <f>+C1359</f>
        <v>DIO1</v>
      </c>
      <c r="D1360" s="18">
        <v>132</v>
      </c>
      <c r="E1360" s="84">
        <f>+E1359</f>
        <v>2</v>
      </c>
      <c r="F1360" s="84">
        <f>+F1359</f>
        <v>10</v>
      </c>
      <c r="G1360" s="84">
        <v>0</v>
      </c>
      <c r="H1360" s="200">
        <f>H1359</f>
        <v>1</v>
      </c>
      <c r="I1360" s="187">
        <f>+I1359+1</f>
        <v>1</v>
      </c>
      <c r="J1360" s="205"/>
      <c r="K1360" s="17"/>
      <c r="L1360" s="17" t="s">
        <v>323</v>
      </c>
      <c r="M1360" s="18"/>
      <c r="N1360" s="18"/>
      <c r="O1360" s="17"/>
      <c r="P1360" s="17"/>
      <c r="Q1360" s="17" t="s">
        <v>127</v>
      </c>
      <c r="R1360" s="17" t="s">
        <v>127</v>
      </c>
      <c r="S1360" s="17"/>
      <c r="T1360" s="18"/>
      <c r="U1360" s="17"/>
      <c r="V1360" s="17" t="str">
        <f>+CONCATENATE(E1360,".",F1360,"\",G1360,".",H1360,":",I1360)</f>
        <v>2.10\0.1:1</v>
      </c>
      <c r="W1360" s="17"/>
      <c r="X1360" s="17"/>
      <c r="Y1360" s="20"/>
      <c r="Z1360" s="20" t="s">
        <v>1159</v>
      </c>
      <c r="AA1360" s="20"/>
      <c r="AB1360" s="17"/>
      <c r="AC1360" s="20"/>
      <c r="AD1360" s="20"/>
      <c r="AE1360" s="20"/>
      <c r="AF1360" s="17"/>
      <c r="AG1360" s="64" t="s">
        <v>1079</v>
      </c>
      <c r="AH1360" s="64">
        <v>2</v>
      </c>
      <c r="AI1360" s="64"/>
      <c r="AJ1360" s="64"/>
      <c r="AK1360" s="64"/>
      <c r="AL1360" s="264"/>
      <c r="AM1360" s="84"/>
      <c r="AN1360" s="18"/>
      <c r="AO1360" s="18"/>
      <c r="AP1360" s="18"/>
      <c r="AQ1360" s="18"/>
      <c r="AR1360" s="18"/>
      <c r="AS1360" s="18"/>
      <c r="AT1360" s="18"/>
      <c r="AU1360" s="18"/>
      <c r="AV1360" s="18"/>
      <c r="AW1360" s="18"/>
      <c r="AX1360" s="18"/>
      <c r="AY1360" s="18"/>
    </row>
    <row r="1361" spans="1:51" s="33" customFormat="1" x14ac:dyDescent="0.3">
      <c r="A1361" s="63" t="str">
        <f>A1360</f>
        <v>BCV131</v>
      </c>
      <c r="B1361" s="17" t="s">
        <v>1510</v>
      </c>
      <c r="C1361" s="18" t="str">
        <f>+C1360</f>
        <v>DIO1</v>
      </c>
      <c r="D1361" s="18">
        <v>132</v>
      </c>
      <c r="E1361" s="84">
        <f>+E1360</f>
        <v>2</v>
      </c>
      <c r="F1361" s="84">
        <f>+F1360</f>
        <v>10</v>
      </c>
      <c r="G1361" s="84">
        <v>0</v>
      </c>
      <c r="H1361" s="200">
        <f>H1359</f>
        <v>1</v>
      </c>
      <c r="I1361" s="187">
        <f>+I1360+1</f>
        <v>2</v>
      </c>
      <c r="J1361" s="205"/>
      <c r="K1361" s="79"/>
      <c r="L1361" s="17" t="s">
        <v>323</v>
      </c>
      <c r="M1361" s="18"/>
      <c r="N1361" s="18"/>
      <c r="O1361" s="17"/>
      <c r="P1361" s="17"/>
      <c r="Q1361" s="17" t="s">
        <v>127</v>
      </c>
      <c r="R1361" s="17" t="s">
        <v>127</v>
      </c>
      <c r="S1361" s="17"/>
      <c r="T1361" s="17"/>
      <c r="U1361" s="17"/>
      <c r="V1361" s="17" t="str">
        <f>+CONCATENATE(E1361,".",F1361,"\",G1361,".",H1361,":",I1361)</f>
        <v>2.10\0.1:2</v>
      </c>
      <c r="W1361" s="17"/>
      <c r="X1361" s="17"/>
      <c r="Y1361" s="20"/>
      <c r="Z1361" s="20" t="s">
        <v>1159</v>
      </c>
      <c r="AA1361" s="20"/>
      <c r="AB1361" s="17"/>
      <c r="AC1361" s="20"/>
      <c r="AD1361" s="20"/>
      <c r="AE1361" s="20"/>
      <c r="AF1361" s="17"/>
      <c r="AG1361" s="64" t="s">
        <v>1079</v>
      </c>
      <c r="AH1361" s="64">
        <v>3</v>
      </c>
      <c r="AI1361" s="64"/>
      <c r="AJ1361" s="64"/>
      <c r="AK1361" s="64"/>
      <c r="AL1361" s="264"/>
      <c r="AM1361" s="84"/>
      <c r="AN1361" s="18"/>
      <c r="AO1361" s="18"/>
      <c r="AP1361" s="18"/>
      <c r="AQ1361" s="18"/>
      <c r="AR1361" s="18"/>
      <c r="AS1361" s="18"/>
      <c r="AT1361" s="18"/>
      <c r="AU1361" s="18"/>
      <c r="AV1361" s="18"/>
      <c r="AW1361" s="18"/>
      <c r="AX1361" s="18"/>
      <c r="AY1361" s="18"/>
    </row>
    <row r="1362" spans="1:51" s="33" customFormat="1" x14ac:dyDescent="0.3">
      <c r="A1362" s="63" t="str">
        <f>A1361</f>
        <v>BCV131</v>
      </c>
      <c r="B1362" s="17" t="s">
        <v>1510</v>
      </c>
      <c r="C1362" s="18" t="str">
        <f>+C1361</f>
        <v>DIO1</v>
      </c>
      <c r="D1362" s="18">
        <v>132</v>
      </c>
      <c r="E1362" s="84">
        <f>+E1361</f>
        <v>2</v>
      </c>
      <c r="F1362" s="84">
        <f>+F1361</f>
        <v>10</v>
      </c>
      <c r="G1362" s="84">
        <v>0</v>
      </c>
      <c r="H1362" s="200">
        <f>H1359</f>
        <v>1</v>
      </c>
      <c r="I1362" s="187">
        <f>+I1361+1</f>
        <v>3</v>
      </c>
      <c r="J1362" s="205"/>
      <c r="K1362" s="79"/>
      <c r="L1362" s="17" t="s">
        <v>323</v>
      </c>
      <c r="M1362" s="18"/>
      <c r="N1362" s="18"/>
      <c r="O1362" s="17"/>
      <c r="P1362" s="17"/>
      <c r="Q1362" s="17" t="s">
        <v>127</v>
      </c>
      <c r="R1362" s="17" t="s">
        <v>127</v>
      </c>
      <c r="S1362" s="17"/>
      <c r="T1362" s="17"/>
      <c r="U1362" s="17"/>
      <c r="V1362" s="17" t="str">
        <f>+CONCATENATE(E1362,".",F1362,"\",G1362,".",H1362,":",I1362)</f>
        <v>2.10\0.1:3</v>
      </c>
      <c r="W1362" s="17"/>
      <c r="X1362" s="17"/>
      <c r="Y1362" s="20"/>
      <c r="Z1362" s="20" t="s">
        <v>1159</v>
      </c>
      <c r="AA1362" s="20"/>
      <c r="AB1362" s="17"/>
      <c r="AC1362" s="20"/>
      <c r="AD1362" s="20"/>
      <c r="AE1362" s="20"/>
      <c r="AF1362" s="17"/>
      <c r="AG1362" s="64" t="s">
        <v>1079</v>
      </c>
      <c r="AH1362" s="64">
        <v>4</v>
      </c>
      <c r="AI1362" s="64"/>
      <c r="AJ1362" s="64"/>
      <c r="AK1362" s="64"/>
      <c r="AL1362" s="264"/>
      <c r="AM1362" s="84"/>
      <c r="AN1362" s="18"/>
      <c r="AO1362" s="18"/>
      <c r="AP1362" s="18"/>
      <c r="AQ1362" s="18"/>
      <c r="AR1362" s="18"/>
      <c r="AS1362" s="18"/>
      <c r="AT1362" s="18"/>
      <c r="AU1362" s="18"/>
      <c r="AV1362" s="18"/>
      <c r="AW1362" s="18"/>
      <c r="AX1362" s="18"/>
      <c r="AY1362" s="18"/>
    </row>
    <row r="1363" spans="1:51" s="33" customFormat="1" x14ac:dyDescent="0.3">
      <c r="A1363" s="63" t="str">
        <f>A1362</f>
        <v>BCV131</v>
      </c>
      <c r="B1363" s="17" t="s">
        <v>1510</v>
      </c>
      <c r="C1363" s="18" t="str">
        <f>+C1362</f>
        <v>DIO1</v>
      </c>
      <c r="D1363" s="18">
        <v>132</v>
      </c>
      <c r="E1363" s="84">
        <f>+E1362</f>
        <v>2</v>
      </c>
      <c r="F1363" s="84">
        <f>+F1362</f>
        <v>10</v>
      </c>
      <c r="G1363" s="84">
        <v>0</v>
      </c>
      <c r="H1363" s="200">
        <f>H1360</f>
        <v>1</v>
      </c>
      <c r="I1363" s="187">
        <f>+I1362+1</f>
        <v>4</v>
      </c>
      <c r="J1363" s="205"/>
      <c r="K1363" s="79"/>
      <c r="L1363" s="17" t="s">
        <v>323</v>
      </c>
      <c r="M1363" s="18"/>
      <c r="N1363" s="18"/>
      <c r="O1363" s="17"/>
      <c r="P1363" s="17"/>
      <c r="Q1363" s="17" t="s">
        <v>127</v>
      </c>
      <c r="R1363" s="17" t="s">
        <v>127</v>
      </c>
      <c r="S1363" s="17"/>
      <c r="T1363" s="18"/>
      <c r="U1363" s="17"/>
      <c r="V1363" s="17" t="str">
        <f>+CONCATENATE(E1363,".",F1363,"\",G1363,".",H1363,":",I1363)</f>
        <v>2.10\0.1:4</v>
      </c>
      <c r="W1363" s="17"/>
      <c r="X1363" s="17"/>
      <c r="Y1363" s="20"/>
      <c r="Z1363" s="20" t="s">
        <v>1159</v>
      </c>
      <c r="AA1363" s="20"/>
      <c r="AB1363" s="17"/>
      <c r="AC1363" s="20"/>
      <c r="AD1363" s="20"/>
      <c r="AE1363" s="20"/>
      <c r="AF1363" s="17"/>
      <c r="AG1363" s="64" t="s">
        <v>1079</v>
      </c>
      <c r="AH1363" s="64">
        <v>5</v>
      </c>
      <c r="AI1363" s="64"/>
      <c r="AJ1363" s="64"/>
      <c r="AK1363" s="64"/>
      <c r="AL1363" s="264"/>
      <c r="AM1363" s="84"/>
      <c r="AN1363" s="18"/>
      <c r="AO1363" s="18"/>
      <c r="AP1363" s="18"/>
      <c r="AQ1363" s="18"/>
      <c r="AR1363" s="18"/>
      <c r="AS1363" s="18"/>
      <c r="AT1363" s="18"/>
      <c r="AU1363" s="18"/>
      <c r="AV1363" s="18"/>
      <c r="AW1363" s="18"/>
      <c r="AX1363" s="18"/>
      <c r="AY1363" s="18"/>
    </row>
    <row r="1364" spans="1:51" s="33" customFormat="1" x14ac:dyDescent="0.3">
      <c r="A1364" s="63" t="str">
        <f>A1363</f>
        <v>BCV131</v>
      </c>
      <c r="B1364" s="17" t="s">
        <v>1510</v>
      </c>
      <c r="C1364" s="18" t="str">
        <f>+C1363</f>
        <v>DIO1</v>
      </c>
      <c r="D1364" s="18">
        <v>132</v>
      </c>
      <c r="E1364" s="84">
        <f>+E1363</f>
        <v>2</v>
      </c>
      <c r="F1364" s="84">
        <f>+F1363</f>
        <v>10</v>
      </c>
      <c r="G1364" s="84">
        <v>0</v>
      </c>
      <c r="H1364" s="200">
        <f>H1361</f>
        <v>1</v>
      </c>
      <c r="I1364" s="187">
        <f>+I1363+1</f>
        <v>5</v>
      </c>
      <c r="J1364" s="205"/>
      <c r="K1364" s="79"/>
      <c r="L1364" s="17" t="s">
        <v>323</v>
      </c>
      <c r="M1364" s="18"/>
      <c r="N1364" s="18"/>
      <c r="O1364" s="17"/>
      <c r="P1364" s="17"/>
      <c r="Q1364" s="17" t="s">
        <v>127</v>
      </c>
      <c r="R1364" s="17" t="s">
        <v>127</v>
      </c>
      <c r="S1364" s="17"/>
      <c r="T1364" s="18"/>
      <c r="U1364" s="17"/>
      <c r="V1364" s="17" t="str">
        <f>+CONCATENATE(E1364,".",F1364,"\",G1364,".",H1364,":",I1364)</f>
        <v>2.10\0.1:5</v>
      </c>
      <c r="W1364" s="17"/>
      <c r="X1364" s="17"/>
      <c r="Y1364" s="20"/>
      <c r="Z1364" s="20" t="s">
        <v>1159</v>
      </c>
      <c r="AA1364" s="20"/>
      <c r="AB1364" s="17"/>
      <c r="AC1364" s="20"/>
      <c r="AD1364" s="20"/>
      <c r="AE1364" s="20"/>
      <c r="AF1364" s="17"/>
      <c r="AG1364" s="64" t="s">
        <v>1079</v>
      </c>
      <c r="AH1364" s="64">
        <v>6</v>
      </c>
      <c r="AI1364" s="64"/>
      <c r="AJ1364" s="64"/>
      <c r="AK1364" s="64"/>
      <c r="AL1364" s="264"/>
      <c r="AM1364" s="84"/>
      <c r="AN1364" s="18"/>
      <c r="AO1364" s="18"/>
      <c r="AP1364" s="18"/>
      <c r="AQ1364" s="18"/>
      <c r="AR1364" s="18"/>
      <c r="AS1364" s="18"/>
      <c r="AT1364" s="18"/>
      <c r="AU1364" s="18"/>
      <c r="AV1364" s="18"/>
      <c r="AW1364" s="18"/>
      <c r="AX1364" s="18"/>
      <c r="AY1364" s="18"/>
    </row>
    <row r="1365" spans="1:51" s="33" customFormat="1" x14ac:dyDescent="0.3">
      <c r="A1365" s="63" t="str">
        <f>A1364</f>
        <v>BCV131</v>
      </c>
      <c r="B1365" s="17" t="s">
        <v>1510</v>
      </c>
      <c r="C1365" s="18" t="str">
        <f>+C1364</f>
        <v>DIO1</v>
      </c>
      <c r="D1365" s="18">
        <v>132</v>
      </c>
      <c r="E1365" s="84">
        <f>+E1364</f>
        <v>2</v>
      </c>
      <c r="F1365" s="84">
        <f>+F1364</f>
        <v>10</v>
      </c>
      <c r="G1365" s="84">
        <v>0</v>
      </c>
      <c r="H1365" s="200">
        <f>H1362</f>
        <v>1</v>
      </c>
      <c r="I1365" s="187">
        <f>+I1364+1</f>
        <v>6</v>
      </c>
      <c r="J1365" s="205"/>
      <c r="K1365" s="79"/>
      <c r="L1365" s="17" t="s">
        <v>323</v>
      </c>
      <c r="M1365" s="18"/>
      <c r="N1365" s="18"/>
      <c r="O1365" s="280"/>
      <c r="P1365" s="280"/>
      <c r="Q1365" s="17" t="s">
        <v>127</v>
      </c>
      <c r="R1365" s="17" t="s">
        <v>127</v>
      </c>
      <c r="S1365" s="17"/>
      <c r="T1365" s="18"/>
      <c r="U1365" s="17"/>
      <c r="V1365" s="17" t="str">
        <f>+CONCATENATE(E1365,".",F1365,"\",G1365,".",H1365,":",I1365)</f>
        <v>2.10\0.1:6</v>
      </c>
      <c r="W1365" s="17"/>
      <c r="X1365" s="17"/>
      <c r="Y1365" s="20"/>
      <c r="Z1365" s="20" t="s">
        <v>1159</v>
      </c>
      <c r="AA1365" s="20"/>
      <c r="AB1365" s="17"/>
      <c r="AC1365" s="20"/>
      <c r="AD1365" s="20"/>
      <c r="AE1365" s="20"/>
      <c r="AF1365" s="17"/>
      <c r="AG1365" s="64" t="s">
        <v>1079</v>
      </c>
      <c r="AH1365" s="64">
        <v>7</v>
      </c>
      <c r="AI1365" s="64"/>
      <c r="AJ1365" s="64"/>
      <c r="AK1365" s="64"/>
      <c r="AL1365" s="264"/>
      <c r="AM1365" s="84"/>
      <c r="AN1365" s="18"/>
      <c r="AO1365" s="18"/>
      <c r="AP1365" s="18"/>
      <c r="AQ1365" s="18"/>
      <c r="AR1365" s="18"/>
      <c r="AS1365" s="18"/>
      <c r="AT1365" s="18"/>
      <c r="AU1365" s="18"/>
      <c r="AV1365" s="18"/>
      <c r="AW1365" s="18"/>
      <c r="AX1365" s="18"/>
      <c r="AY1365" s="18"/>
    </row>
    <row r="1366" spans="1:51" s="33" customFormat="1" x14ac:dyDescent="0.3">
      <c r="A1366" s="63" t="str">
        <f>A1365</f>
        <v>BCV131</v>
      </c>
      <c r="B1366" s="17" t="s">
        <v>1510</v>
      </c>
      <c r="C1366" s="18" t="str">
        <f>+C1365</f>
        <v>DIO1</v>
      </c>
      <c r="D1366" s="18">
        <v>132</v>
      </c>
      <c r="E1366" s="84">
        <f>+E1365</f>
        <v>2</v>
      </c>
      <c r="F1366" s="84">
        <f>+F1365</f>
        <v>10</v>
      </c>
      <c r="G1366" s="84">
        <v>0</v>
      </c>
      <c r="H1366" s="200">
        <f>H1363</f>
        <v>1</v>
      </c>
      <c r="I1366" s="187">
        <f>+I1365+1</f>
        <v>7</v>
      </c>
      <c r="J1366" s="205"/>
      <c r="K1366" s="79"/>
      <c r="L1366" s="17" t="s">
        <v>323</v>
      </c>
      <c r="M1366" s="18"/>
      <c r="N1366" s="18"/>
      <c r="O1366" s="280"/>
      <c r="P1366" s="280"/>
      <c r="Q1366" s="17" t="s">
        <v>127</v>
      </c>
      <c r="R1366" s="17" t="s">
        <v>127</v>
      </c>
      <c r="S1366" s="17"/>
      <c r="T1366" s="18"/>
      <c r="U1366" s="17"/>
      <c r="V1366" s="17" t="str">
        <f>+CONCATENATE(E1366,".",F1366,"\",G1366,".",H1366,":",I1366)</f>
        <v>2.10\0.1:7</v>
      </c>
      <c r="W1366" s="17"/>
      <c r="X1366" s="17"/>
      <c r="Y1366" s="20"/>
      <c r="Z1366" s="20" t="s">
        <v>1159</v>
      </c>
      <c r="AA1366" s="20"/>
      <c r="AB1366" s="17"/>
      <c r="AC1366" s="20"/>
      <c r="AD1366" s="20"/>
      <c r="AE1366" s="20"/>
      <c r="AF1366" s="17"/>
      <c r="AG1366" s="64" t="s">
        <v>1079</v>
      </c>
      <c r="AH1366" s="64">
        <v>8</v>
      </c>
      <c r="AI1366" s="64"/>
      <c r="AJ1366" s="64"/>
      <c r="AK1366" s="64"/>
      <c r="AL1366" s="264"/>
      <c r="AM1366" s="84"/>
      <c r="AN1366" s="18"/>
      <c r="AO1366" s="18"/>
      <c r="AP1366" s="18"/>
      <c r="AQ1366" s="18"/>
      <c r="AR1366" s="18"/>
      <c r="AS1366" s="18"/>
      <c r="AT1366" s="18"/>
      <c r="AU1366" s="18"/>
      <c r="AV1366" s="18"/>
      <c r="AW1366" s="18"/>
      <c r="AX1366" s="18"/>
      <c r="AY1366" s="18"/>
    </row>
    <row r="1367" spans="1:51" s="33" customFormat="1" x14ac:dyDescent="0.3">
      <c r="A1367" s="63" t="str">
        <f>A1366</f>
        <v>BCV131</v>
      </c>
      <c r="B1367" s="17" t="s">
        <v>1510</v>
      </c>
      <c r="C1367" s="18" t="str">
        <f>+C1366</f>
        <v>DIO1</v>
      </c>
      <c r="D1367" s="18">
        <v>132</v>
      </c>
      <c r="E1367" s="84">
        <f>+E1366</f>
        <v>2</v>
      </c>
      <c r="F1367" s="84">
        <f>+F1366</f>
        <v>10</v>
      </c>
      <c r="G1367" s="84">
        <v>0</v>
      </c>
      <c r="H1367" s="200">
        <f>H1364</f>
        <v>1</v>
      </c>
      <c r="I1367" s="187">
        <f>+I1366+1</f>
        <v>8</v>
      </c>
      <c r="J1367" s="205"/>
      <c r="K1367" s="79"/>
      <c r="L1367" s="17" t="s">
        <v>323</v>
      </c>
      <c r="M1367" s="18">
        <v>4</v>
      </c>
      <c r="N1367" s="18" t="s">
        <v>1523</v>
      </c>
      <c r="O1367" s="17" t="s">
        <v>1522</v>
      </c>
      <c r="P1367" s="17"/>
      <c r="Q1367" s="17" t="s">
        <v>1521</v>
      </c>
      <c r="R1367" s="17" t="s">
        <v>211</v>
      </c>
      <c r="S1367" s="17"/>
      <c r="T1367" s="17" t="s">
        <v>194</v>
      </c>
      <c r="U1367" s="17"/>
      <c r="V1367" s="17" t="str">
        <f>+CONCATENATE(E1367,".",F1367,"\",G1367,".",H1367,":",I1367)</f>
        <v>2.10\0.1:8</v>
      </c>
      <c r="W1367" s="17" t="s">
        <v>1511</v>
      </c>
      <c r="X1367" s="17">
        <v>0</v>
      </c>
      <c r="Y1367" s="20"/>
      <c r="Z1367" s="20" t="s">
        <v>1159</v>
      </c>
      <c r="AA1367" s="20"/>
      <c r="AB1367" s="17"/>
      <c r="AC1367" s="20"/>
      <c r="AD1367" s="20"/>
      <c r="AE1367" s="20"/>
      <c r="AF1367" s="17"/>
      <c r="AG1367" s="64" t="s">
        <v>1079</v>
      </c>
      <c r="AH1367" s="64">
        <v>9</v>
      </c>
      <c r="AI1367" s="64">
        <v>10</v>
      </c>
      <c r="AJ1367" s="64"/>
      <c r="AK1367" s="64"/>
      <c r="AL1367" s="264"/>
      <c r="AM1367" s="84"/>
      <c r="AN1367" s="18"/>
      <c r="AO1367" s="18"/>
      <c r="AP1367" s="18"/>
      <c r="AQ1367" s="18"/>
      <c r="AR1367" s="18"/>
      <c r="AS1367" s="18"/>
      <c r="AT1367" s="18"/>
      <c r="AU1367" s="18"/>
      <c r="AV1367" s="18"/>
      <c r="AW1367" s="18"/>
      <c r="AX1367" s="18"/>
      <c r="AY1367" s="18"/>
    </row>
    <row r="1368" spans="1:51" s="33" customFormat="1" x14ac:dyDescent="0.3">
      <c r="A1368" s="63" t="str">
        <f>A1367</f>
        <v>BCV131</v>
      </c>
      <c r="B1368" s="17" t="s">
        <v>1510</v>
      </c>
      <c r="C1368" s="18" t="str">
        <f>+C1367</f>
        <v>DIO1</v>
      </c>
      <c r="D1368" s="18">
        <v>132</v>
      </c>
      <c r="E1368" s="84">
        <f>+E1367</f>
        <v>2</v>
      </c>
      <c r="F1368" s="84">
        <f>+F1367</f>
        <v>10</v>
      </c>
      <c r="G1368" s="84">
        <v>0</v>
      </c>
      <c r="H1368" s="200">
        <f>H1365</f>
        <v>1</v>
      </c>
      <c r="I1368" s="187">
        <f>+I1367+1</f>
        <v>9</v>
      </c>
      <c r="J1368" s="205"/>
      <c r="K1368" s="79"/>
      <c r="L1368" s="17" t="s">
        <v>323</v>
      </c>
      <c r="M1368" s="18">
        <v>4</v>
      </c>
      <c r="N1368" s="18" t="s">
        <v>1520</v>
      </c>
      <c r="O1368" s="17" t="s">
        <v>1519</v>
      </c>
      <c r="P1368" s="17"/>
      <c r="Q1368" s="17" t="s">
        <v>1518</v>
      </c>
      <c r="R1368" s="17" t="s">
        <v>211</v>
      </c>
      <c r="S1368" s="17"/>
      <c r="T1368" s="17" t="s">
        <v>194</v>
      </c>
      <c r="U1368" s="17"/>
      <c r="V1368" s="17" t="str">
        <f>+CONCATENATE(E1368,".",F1368,"\",G1368,".",H1368,":",I1368)</f>
        <v>2.10\0.1:9</v>
      </c>
      <c r="W1368" s="17" t="s">
        <v>1511</v>
      </c>
      <c r="X1368" s="17">
        <v>0</v>
      </c>
      <c r="Y1368" s="20"/>
      <c r="Z1368" s="20" t="s">
        <v>1159</v>
      </c>
      <c r="AA1368" s="20"/>
      <c r="AB1368" s="17"/>
      <c r="AC1368" s="20"/>
      <c r="AD1368" s="20"/>
      <c r="AE1368" s="20"/>
      <c r="AF1368" s="17"/>
      <c r="AG1368" s="64" t="s">
        <v>1079</v>
      </c>
      <c r="AH1368" s="64">
        <v>11</v>
      </c>
      <c r="AI1368" s="64">
        <v>12</v>
      </c>
      <c r="AJ1368" s="64"/>
      <c r="AK1368" s="64"/>
      <c r="AL1368" s="264"/>
      <c r="AM1368" s="84"/>
      <c r="AN1368" s="18"/>
      <c r="AO1368" s="18"/>
      <c r="AP1368" s="18"/>
      <c r="AQ1368" s="18"/>
      <c r="AR1368" s="18"/>
      <c r="AS1368" s="18"/>
      <c r="AT1368" s="18"/>
      <c r="AU1368" s="18"/>
      <c r="AV1368" s="18"/>
      <c r="AW1368" s="18"/>
      <c r="AX1368" s="18"/>
      <c r="AY1368" s="18"/>
    </row>
    <row r="1369" spans="1:51" s="33" customFormat="1" x14ac:dyDescent="0.3">
      <c r="A1369" s="63" t="str">
        <f>A1368</f>
        <v>BCV131</v>
      </c>
      <c r="B1369" s="17" t="s">
        <v>1510</v>
      </c>
      <c r="C1369" s="18" t="str">
        <f>+C1368</f>
        <v>DIO1</v>
      </c>
      <c r="D1369" s="18">
        <v>132</v>
      </c>
      <c r="E1369" s="84">
        <f>+E1368</f>
        <v>2</v>
      </c>
      <c r="F1369" s="84">
        <f>+F1368</f>
        <v>10</v>
      </c>
      <c r="G1369" s="84">
        <v>0</v>
      </c>
      <c r="H1369" s="200">
        <f>H1366</f>
        <v>1</v>
      </c>
      <c r="I1369" s="187">
        <f>+I1368+1</f>
        <v>10</v>
      </c>
      <c r="J1369" s="205"/>
      <c r="K1369" s="79"/>
      <c r="L1369" s="17" t="s">
        <v>323</v>
      </c>
      <c r="M1369" s="18">
        <v>4</v>
      </c>
      <c r="N1369" s="18" t="s">
        <v>1517</v>
      </c>
      <c r="O1369" s="280" t="s">
        <v>1516</v>
      </c>
      <c r="P1369" s="280"/>
      <c r="Q1369" s="17" t="s">
        <v>1515</v>
      </c>
      <c r="R1369" s="17" t="s">
        <v>211</v>
      </c>
      <c r="S1369" s="17"/>
      <c r="T1369" s="17" t="s">
        <v>194</v>
      </c>
      <c r="U1369" s="17"/>
      <c r="V1369" s="17" t="str">
        <f>+CONCATENATE(E1369,".",F1369,"\",G1369,".",H1369,":",I1369)</f>
        <v>2.10\0.1:10</v>
      </c>
      <c r="W1369" s="17" t="s">
        <v>1511</v>
      </c>
      <c r="X1369" s="17">
        <v>0</v>
      </c>
      <c r="Y1369" s="17"/>
      <c r="Z1369" s="20" t="s">
        <v>1159</v>
      </c>
      <c r="AA1369" s="17"/>
      <c r="AB1369" s="17"/>
      <c r="AC1369" s="20"/>
      <c r="AD1369" s="20"/>
      <c r="AE1369" s="20"/>
      <c r="AF1369" s="17"/>
      <c r="AG1369" s="64" t="s">
        <v>1079</v>
      </c>
      <c r="AH1369" s="64">
        <v>13</v>
      </c>
      <c r="AI1369" s="64">
        <v>14</v>
      </c>
      <c r="AJ1369" s="64"/>
      <c r="AK1369" s="64"/>
      <c r="AL1369" s="264"/>
      <c r="AM1369" s="84"/>
      <c r="AN1369" s="18"/>
      <c r="AO1369" s="18"/>
      <c r="AP1369" s="18"/>
      <c r="AQ1369" s="18"/>
      <c r="AR1369" s="18"/>
      <c r="AS1369" s="18"/>
      <c r="AT1369" s="18"/>
      <c r="AU1369" s="18"/>
      <c r="AV1369" s="18"/>
      <c r="AW1369" s="18"/>
      <c r="AX1369" s="18"/>
      <c r="AY1369" s="18"/>
    </row>
    <row r="1370" spans="1:51" s="33" customFormat="1" x14ac:dyDescent="0.3">
      <c r="A1370" s="63" t="str">
        <f>A1369</f>
        <v>BCV131</v>
      </c>
      <c r="B1370" s="17" t="s">
        <v>1510</v>
      </c>
      <c r="C1370" s="18" t="str">
        <f>+C1369</f>
        <v>DIO1</v>
      </c>
      <c r="D1370" s="18">
        <v>132</v>
      </c>
      <c r="E1370" s="84">
        <f>+E1369</f>
        <v>2</v>
      </c>
      <c r="F1370" s="84">
        <f>+F1369</f>
        <v>10</v>
      </c>
      <c r="G1370" s="84">
        <v>0</v>
      </c>
      <c r="H1370" s="200">
        <f>H1367</f>
        <v>1</v>
      </c>
      <c r="I1370" s="187">
        <f>+I1369+1</f>
        <v>11</v>
      </c>
      <c r="J1370" s="205"/>
      <c r="K1370" s="79"/>
      <c r="L1370" s="17" t="s">
        <v>323</v>
      </c>
      <c r="M1370" s="18">
        <v>4</v>
      </c>
      <c r="N1370" s="18" t="s">
        <v>1514</v>
      </c>
      <c r="O1370" s="280" t="s">
        <v>1513</v>
      </c>
      <c r="P1370" s="280"/>
      <c r="Q1370" s="17" t="s">
        <v>1512</v>
      </c>
      <c r="R1370" s="17" t="s">
        <v>211</v>
      </c>
      <c r="S1370" s="17"/>
      <c r="T1370" s="17" t="s">
        <v>194</v>
      </c>
      <c r="U1370" s="17"/>
      <c r="V1370" s="17" t="str">
        <f>+CONCATENATE(E1370,".",F1370,"\",G1370,".",H1370,":",I1370)</f>
        <v>2.10\0.1:11</v>
      </c>
      <c r="W1370" s="17" t="s">
        <v>1511</v>
      </c>
      <c r="X1370" s="17">
        <v>0</v>
      </c>
      <c r="Y1370" s="17"/>
      <c r="Z1370" s="20" t="s">
        <v>1159</v>
      </c>
      <c r="AA1370" s="17"/>
      <c r="AB1370" s="17"/>
      <c r="AC1370" s="20"/>
      <c r="AD1370" s="20"/>
      <c r="AE1370" s="20"/>
      <c r="AF1370" s="17"/>
      <c r="AG1370" s="64" t="s">
        <v>1079</v>
      </c>
      <c r="AH1370" s="64">
        <v>15</v>
      </c>
      <c r="AI1370" s="64">
        <v>16</v>
      </c>
      <c r="AJ1370" s="64"/>
      <c r="AK1370" s="64"/>
      <c r="AL1370" s="264"/>
      <c r="AM1370" s="84"/>
      <c r="AN1370" s="18"/>
      <c r="AO1370" s="18"/>
      <c r="AP1370" s="18"/>
      <c r="AQ1370" s="18"/>
      <c r="AR1370" s="18"/>
      <c r="AS1370" s="18"/>
      <c r="AT1370" s="18"/>
      <c r="AU1370" s="18"/>
      <c r="AV1370" s="18"/>
      <c r="AW1370" s="18"/>
      <c r="AX1370" s="18"/>
      <c r="AY1370" s="18"/>
    </row>
    <row r="1371" spans="1:51" s="33" customFormat="1" x14ac:dyDescent="0.3">
      <c r="A1371" s="63" t="str">
        <f>A1370</f>
        <v>BCV131</v>
      </c>
      <c r="B1371" s="17" t="s">
        <v>1510</v>
      </c>
      <c r="C1371" s="18" t="str">
        <f>+C1370</f>
        <v>DIO1</v>
      </c>
      <c r="D1371" s="18">
        <v>132</v>
      </c>
      <c r="E1371" s="84">
        <f>+E1370</f>
        <v>2</v>
      </c>
      <c r="F1371" s="84">
        <f>+F1370</f>
        <v>10</v>
      </c>
      <c r="G1371" s="84">
        <v>0</v>
      </c>
      <c r="H1371" s="200">
        <f>H1368</f>
        <v>1</v>
      </c>
      <c r="I1371" s="187">
        <f>+I1370+1</f>
        <v>12</v>
      </c>
      <c r="J1371" s="205"/>
      <c r="K1371" s="79"/>
      <c r="L1371" s="17" t="s">
        <v>323</v>
      </c>
      <c r="M1371" s="18"/>
      <c r="N1371" s="165"/>
      <c r="O1371" s="97"/>
      <c r="P1371" s="97"/>
      <c r="Q1371" s="97" t="s">
        <v>127</v>
      </c>
      <c r="R1371" s="97" t="s">
        <v>127</v>
      </c>
      <c r="S1371" s="17"/>
      <c r="T1371" s="17"/>
      <c r="U1371" s="17"/>
      <c r="V1371" s="17" t="str">
        <f>+CONCATENATE(E1371,".",F1371,"\",G1371,".",H1371,":",I1371)</f>
        <v>2.10\0.1:12</v>
      </c>
      <c r="W1371" s="17"/>
      <c r="X1371" s="17"/>
      <c r="Y1371" s="20"/>
      <c r="Z1371" s="20" t="s">
        <v>1159</v>
      </c>
      <c r="AA1371" s="20"/>
      <c r="AB1371" s="17"/>
      <c r="AC1371" s="20"/>
      <c r="AD1371" s="20"/>
      <c r="AE1371" s="20"/>
      <c r="AF1371" s="17"/>
      <c r="AG1371" s="64" t="s">
        <v>1079</v>
      </c>
      <c r="AH1371" s="64">
        <v>17</v>
      </c>
      <c r="AI1371" s="64">
        <v>18</v>
      </c>
      <c r="AJ1371" s="64"/>
      <c r="AK1371" s="64"/>
      <c r="AL1371" s="264"/>
      <c r="AM1371" s="84"/>
      <c r="AN1371" s="18"/>
      <c r="AO1371" s="18"/>
      <c r="AP1371" s="18"/>
      <c r="AQ1371" s="18"/>
      <c r="AR1371" s="18"/>
      <c r="AS1371" s="18"/>
      <c r="AT1371" s="18"/>
      <c r="AU1371" s="18"/>
      <c r="AV1371" s="18"/>
      <c r="AW1371" s="18"/>
      <c r="AX1371" s="18"/>
      <c r="AY1371" s="18"/>
    </row>
    <row r="1372" spans="1:51" s="33" customFormat="1" x14ac:dyDescent="0.3">
      <c r="A1372" s="63" t="str">
        <f>A1371</f>
        <v>BCV131</v>
      </c>
      <c r="B1372" s="17" t="s">
        <v>1510</v>
      </c>
      <c r="C1372" s="18" t="str">
        <f>+C1371</f>
        <v>DIO1</v>
      </c>
      <c r="D1372" s="18">
        <v>132</v>
      </c>
      <c r="E1372" s="84">
        <f>+E1371</f>
        <v>2</v>
      </c>
      <c r="F1372" s="84">
        <f>+F1371</f>
        <v>10</v>
      </c>
      <c r="G1372" s="84">
        <v>0</v>
      </c>
      <c r="H1372" s="200">
        <f>H1369</f>
        <v>1</v>
      </c>
      <c r="I1372" s="187">
        <f>+I1371+1</f>
        <v>13</v>
      </c>
      <c r="J1372" s="205"/>
      <c r="K1372" s="79"/>
      <c r="L1372" s="17" t="s">
        <v>323</v>
      </c>
      <c r="M1372" s="18"/>
      <c r="N1372" s="165"/>
      <c r="O1372" s="17"/>
      <c r="P1372" s="17"/>
      <c r="Q1372" s="17" t="s">
        <v>127</v>
      </c>
      <c r="R1372" s="17" t="s">
        <v>127</v>
      </c>
      <c r="S1372" s="17"/>
      <c r="T1372" s="17"/>
      <c r="U1372" s="17"/>
      <c r="V1372" s="17" t="str">
        <f>+CONCATENATE(E1372,".",F1372,"\",G1372,".",H1372,":",I1372)</f>
        <v>2.10\0.1:13</v>
      </c>
      <c r="W1372" s="17"/>
      <c r="X1372" s="17"/>
      <c r="Y1372" s="20"/>
      <c r="Z1372" s="20" t="s">
        <v>1159</v>
      </c>
      <c r="AA1372" s="20"/>
      <c r="AB1372" s="17"/>
      <c r="AC1372" s="20"/>
      <c r="AD1372" s="20"/>
      <c r="AE1372" s="20"/>
      <c r="AF1372" s="17"/>
      <c r="AG1372" s="64" t="s">
        <v>1079</v>
      </c>
      <c r="AH1372" s="64">
        <v>19</v>
      </c>
      <c r="AI1372" s="64">
        <v>20</v>
      </c>
      <c r="AJ1372" s="64"/>
      <c r="AK1372" s="64"/>
      <c r="AL1372" s="264"/>
      <c r="AM1372" s="84"/>
      <c r="AN1372" s="18"/>
      <c r="AO1372" s="18"/>
      <c r="AP1372" s="18"/>
      <c r="AQ1372" s="18"/>
      <c r="AR1372" s="18"/>
      <c r="AS1372" s="18"/>
      <c r="AT1372" s="18"/>
      <c r="AU1372" s="18"/>
      <c r="AV1372" s="18"/>
      <c r="AW1372" s="18"/>
      <c r="AX1372" s="18"/>
      <c r="AY1372" s="18"/>
    </row>
    <row r="1373" spans="1:51" s="33" customFormat="1" x14ac:dyDescent="0.3">
      <c r="A1373" s="63" t="str">
        <f>A1372</f>
        <v>BCV131</v>
      </c>
      <c r="B1373" s="17" t="s">
        <v>1510</v>
      </c>
      <c r="C1373" s="18" t="str">
        <f>+C1372</f>
        <v>DIO1</v>
      </c>
      <c r="D1373" s="18">
        <v>132</v>
      </c>
      <c r="E1373" s="84">
        <f>+E1372</f>
        <v>2</v>
      </c>
      <c r="F1373" s="84">
        <f>+F1372</f>
        <v>10</v>
      </c>
      <c r="G1373" s="84">
        <v>0</v>
      </c>
      <c r="H1373" s="200">
        <f>H1370</f>
        <v>1</v>
      </c>
      <c r="I1373" s="187">
        <f>+I1372+1</f>
        <v>14</v>
      </c>
      <c r="J1373" s="205"/>
      <c r="K1373" s="79"/>
      <c r="L1373" s="17" t="s">
        <v>323</v>
      </c>
      <c r="M1373" s="18"/>
      <c r="N1373" s="165"/>
      <c r="O1373" s="17"/>
      <c r="P1373" s="17"/>
      <c r="Q1373" s="17" t="s">
        <v>127</v>
      </c>
      <c r="R1373" s="17" t="s">
        <v>127</v>
      </c>
      <c r="S1373" s="17"/>
      <c r="T1373" s="17"/>
      <c r="U1373" s="17"/>
      <c r="V1373" s="17" t="str">
        <f>+CONCATENATE(E1373,".",F1373,"\",G1373,".",H1373,":",I1373)</f>
        <v>2.10\0.1:14</v>
      </c>
      <c r="W1373" s="17"/>
      <c r="X1373" s="17"/>
      <c r="Y1373" s="20"/>
      <c r="Z1373" s="20" t="s">
        <v>1159</v>
      </c>
      <c r="AA1373" s="20"/>
      <c r="AB1373" s="17"/>
      <c r="AC1373" s="20"/>
      <c r="AD1373" s="20"/>
      <c r="AE1373" s="20"/>
      <c r="AF1373" s="17"/>
      <c r="AG1373" s="64" t="s">
        <v>1079</v>
      </c>
      <c r="AH1373" s="64">
        <v>21</v>
      </c>
      <c r="AI1373" s="64">
        <v>22</v>
      </c>
      <c r="AJ1373" s="64"/>
      <c r="AK1373" s="64"/>
      <c r="AL1373" s="264"/>
      <c r="AM1373" s="84"/>
      <c r="AN1373" s="18"/>
      <c r="AO1373" s="18"/>
      <c r="AP1373" s="18"/>
      <c r="AQ1373" s="18"/>
      <c r="AR1373" s="18"/>
      <c r="AS1373" s="18"/>
      <c r="AT1373" s="18"/>
      <c r="AU1373" s="18"/>
      <c r="AV1373" s="18"/>
      <c r="AW1373" s="18"/>
      <c r="AX1373" s="18"/>
      <c r="AY1373" s="18"/>
    </row>
    <row r="1374" spans="1:51" s="33" customFormat="1" x14ac:dyDescent="0.3">
      <c r="A1374" s="63" t="str">
        <f>A1373</f>
        <v>BCV131</v>
      </c>
      <c r="B1374" s="17" t="s">
        <v>1510</v>
      </c>
      <c r="C1374" s="18" t="str">
        <f>+C1373</f>
        <v>DIO1</v>
      </c>
      <c r="D1374" s="18">
        <v>132</v>
      </c>
      <c r="E1374" s="84">
        <f>+E1373</f>
        <v>2</v>
      </c>
      <c r="F1374" s="84">
        <f>+F1373</f>
        <v>10</v>
      </c>
      <c r="G1374" s="84">
        <v>0</v>
      </c>
      <c r="H1374" s="200">
        <f>H1370</f>
        <v>1</v>
      </c>
      <c r="I1374" s="187">
        <f>+I1373+1</f>
        <v>15</v>
      </c>
      <c r="J1374" s="205"/>
      <c r="K1374" s="79"/>
      <c r="L1374" s="17" t="s">
        <v>323</v>
      </c>
      <c r="M1374" s="18"/>
      <c r="N1374" s="165"/>
      <c r="O1374" s="17"/>
      <c r="P1374" s="17"/>
      <c r="Q1374" s="17"/>
      <c r="R1374" s="17"/>
      <c r="S1374" s="17"/>
      <c r="T1374" s="17"/>
      <c r="U1374" s="17"/>
      <c r="V1374" s="17" t="str">
        <f>+CONCATENATE(E1374,".",F1374,"\",G1374,".",H1374,":",I1374)</f>
        <v>2.10\0.1:15</v>
      </c>
      <c r="W1374" s="17"/>
      <c r="X1374" s="17"/>
      <c r="Y1374" s="20"/>
      <c r="Z1374" s="20" t="s">
        <v>1159</v>
      </c>
      <c r="AA1374" s="20"/>
      <c r="AB1374" s="17"/>
      <c r="AC1374" s="20"/>
      <c r="AD1374" s="20"/>
      <c r="AE1374" s="20"/>
      <c r="AF1374" s="17"/>
      <c r="AG1374" s="64" t="s">
        <v>1079</v>
      </c>
      <c r="AH1374" s="64">
        <v>23</v>
      </c>
      <c r="AI1374" s="64">
        <v>24</v>
      </c>
      <c r="AJ1374" s="64"/>
      <c r="AK1374" s="64"/>
      <c r="AL1374" s="264"/>
      <c r="AM1374" s="84"/>
      <c r="AN1374" s="18"/>
      <c r="AO1374" s="18"/>
      <c r="AP1374" s="18"/>
      <c r="AQ1374" s="18"/>
      <c r="AR1374" s="18"/>
      <c r="AS1374" s="18"/>
      <c r="AT1374" s="18"/>
      <c r="AU1374" s="18"/>
      <c r="AV1374" s="18"/>
      <c r="AW1374" s="18"/>
      <c r="AX1374" s="18"/>
      <c r="AY1374" s="18"/>
    </row>
    <row r="1375" spans="1:51" s="33" customFormat="1" x14ac:dyDescent="0.3">
      <c r="A1375" s="63" t="str">
        <f>A1374</f>
        <v>BCV131</v>
      </c>
      <c r="B1375" s="17" t="s">
        <v>1510</v>
      </c>
      <c r="C1375" s="18" t="str">
        <f>+C1374</f>
        <v>DIO1</v>
      </c>
      <c r="D1375" s="18">
        <v>132</v>
      </c>
      <c r="E1375" s="84">
        <f>+E1374</f>
        <v>2</v>
      </c>
      <c r="F1375" s="84">
        <f>+F1374</f>
        <v>10</v>
      </c>
      <c r="G1375" s="84">
        <v>0</v>
      </c>
      <c r="H1375" s="200">
        <f>H1371</f>
        <v>1</v>
      </c>
      <c r="I1375" s="187">
        <f>+I1374+1</f>
        <v>16</v>
      </c>
      <c r="J1375" s="205"/>
      <c r="K1375" s="18"/>
      <c r="L1375" s="17" t="s">
        <v>323</v>
      </c>
      <c r="M1375" s="18"/>
      <c r="N1375" s="165"/>
      <c r="O1375" s="17"/>
      <c r="P1375" s="17"/>
      <c r="Q1375" s="17"/>
      <c r="R1375" s="17"/>
      <c r="S1375" s="78"/>
      <c r="T1375" s="17"/>
      <c r="U1375" s="17"/>
      <c r="V1375" s="17" t="str">
        <f>+CONCATENATE(E1375,".",F1375,"\",G1375,".",H1375,":",I1375)</f>
        <v>2.10\0.1:16</v>
      </c>
      <c r="W1375" s="17"/>
      <c r="X1375" s="17"/>
      <c r="Y1375" s="20"/>
      <c r="Z1375" s="20" t="s">
        <v>1159</v>
      </c>
      <c r="AA1375" s="20"/>
      <c r="AB1375" s="17"/>
      <c r="AC1375" s="20"/>
      <c r="AD1375" s="20"/>
      <c r="AE1375" s="20"/>
      <c r="AF1375" s="17"/>
      <c r="AG1375" s="64" t="s">
        <v>1079</v>
      </c>
      <c r="AH1375" s="64">
        <v>25</v>
      </c>
      <c r="AI1375" s="64">
        <v>26</v>
      </c>
      <c r="AJ1375" s="64"/>
      <c r="AK1375" s="64"/>
      <c r="AL1375" s="264"/>
      <c r="AM1375" s="84"/>
      <c r="AN1375" s="18"/>
      <c r="AO1375" s="18"/>
      <c r="AP1375" s="18"/>
      <c r="AQ1375" s="18"/>
      <c r="AR1375" s="18"/>
      <c r="AS1375" s="18"/>
      <c r="AT1375" s="18"/>
      <c r="AU1375" s="18"/>
      <c r="AV1375" s="18"/>
      <c r="AW1375" s="18"/>
      <c r="AX1375" s="18"/>
      <c r="AY1375" s="18"/>
    </row>
    <row r="1376" spans="1:51" s="33" customFormat="1" x14ac:dyDescent="0.3">
      <c r="A1376" s="63" t="str">
        <f>A1375</f>
        <v>BCV131</v>
      </c>
      <c r="B1376" s="17" t="s">
        <v>1510</v>
      </c>
      <c r="C1376" s="18" t="str">
        <f>+C1375</f>
        <v>DIO1</v>
      </c>
      <c r="D1376" s="18">
        <v>132</v>
      </c>
      <c r="E1376" s="84">
        <f>+E1375</f>
        <v>2</v>
      </c>
      <c r="F1376" s="84">
        <f>+F1375</f>
        <v>10</v>
      </c>
      <c r="G1376" s="84">
        <v>0</v>
      </c>
      <c r="H1376" s="200">
        <f>H1372</f>
        <v>1</v>
      </c>
      <c r="I1376" s="187">
        <f>+I1375+1</f>
        <v>17</v>
      </c>
      <c r="J1376" s="205"/>
      <c r="K1376" s="79"/>
      <c r="L1376" s="17" t="s">
        <v>323</v>
      </c>
      <c r="M1376" s="18"/>
      <c r="N1376" s="165"/>
      <c r="O1376" s="17"/>
      <c r="P1376" s="17"/>
      <c r="Q1376" s="68"/>
      <c r="R1376" s="17"/>
      <c r="S1376" s="78"/>
      <c r="T1376" s="17"/>
      <c r="U1376" s="17"/>
      <c r="V1376" s="17" t="str">
        <f>+CONCATENATE(E1376,".",F1376,"\",G1376,".",H1376,":",I1376)</f>
        <v>2.10\0.1:17</v>
      </c>
      <c r="W1376" s="17"/>
      <c r="X1376" s="17"/>
      <c r="Y1376" s="20"/>
      <c r="Z1376" s="20" t="s">
        <v>1159</v>
      </c>
      <c r="AA1376" s="20"/>
      <c r="AB1376" s="17"/>
      <c r="AC1376" s="20"/>
      <c r="AD1376" s="20"/>
      <c r="AE1376" s="20"/>
      <c r="AF1376" s="17"/>
      <c r="AG1376" s="64" t="s">
        <v>1079</v>
      </c>
      <c r="AH1376" s="64">
        <v>27</v>
      </c>
      <c r="AI1376" s="64">
        <v>28</v>
      </c>
      <c r="AJ1376" s="64"/>
      <c r="AK1376" s="64"/>
      <c r="AL1376" s="264"/>
      <c r="AM1376" s="84"/>
      <c r="AN1376" s="18"/>
      <c r="AO1376" s="18"/>
      <c r="AP1376" s="18"/>
      <c r="AQ1376" s="18"/>
      <c r="AR1376" s="18"/>
      <c r="AS1376" s="18"/>
      <c r="AT1376" s="18"/>
      <c r="AU1376" s="18"/>
      <c r="AV1376" s="18"/>
      <c r="AW1376" s="18"/>
      <c r="AX1376" s="18"/>
      <c r="AY1376" s="18"/>
    </row>
    <row r="1377" spans="1:51" s="33" customFormat="1" x14ac:dyDescent="0.3">
      <c r="A1377" s="63" t="str">
        <f>A1376</f>
        <v>BCV131</v>
      </c>
      <c r="B1377" s="17" t="s">
        <v>1510</v>
      </c>
      <c r="C1377" s="18" t="str">
        <f>+C1376</f>
        <v>DIO1</v>
      </c>
      <c r="D1377" s="18">
        <v>132</v>
      </c>
      <c r="E1377" s="84">
        <f>+E1376</f>
        <v>2</v>
      </c>
      <c r="F1377" s="84">
        <f>+F1376</f>
        <v>10</v>
      </c>
      <c r="G1377" s="84">
        <v>0</v>
      </c>
      <c r="H1377" s="200">
        <f>H1373</f>
        <v>1</v>
      </c>
      <c r="I1377" s="187">
        <f>+I1376+1</f>
        <v>18</v>
      </c>
      <c r="J1377" s="205"/>
      <c r="K1377" s="79"/>
      <c r="L1377" s="17" t="s">
        <v>323</v>
      </c>
      <c r="M1377" s="18"/>
      <c r="N1377" s="165"/>
      <c r="O1377" s="17"/>
      <c r="P1377" s="17"/>
      <c r="Q1377" s="68"/>
      <c r="R1377" s="17"/>
      <c r="S1377" s="17"/>
      <c r="T1377" s="17"/>
      <c r="U1377" s="17"/>
      <c r="V1377" s="17" t="str">
        <f>+CONCATENATE(E1377,".",F1377,"\",G1377,".",H1377,":",I1377)</f>
        <v>2.10\0.1:18</v>
      </c>
      <c r="W1377" s="17"/>
      <c r="X1377" s="17"/>
      <c r="Y1377" s="20"/>
      <c r="Z1377" s="20" t="s">
        <v>1159</v>
      </c>
      <c r="AA1377" s="20"/>
      <c r="AB1377" s="17"/>
      <c r="AC1377" s="20"/>
      <c r="AD1377" s="20"/>
      <c r="AE1377" s="20"/>
      <c r="AF1377" s="17"/>
      <c r="AG1377" s="64" t="s">
        <v>1079</v>
      </c>
      <c r="AH1377" s="64">
        <v>29</v>
      </c>
      <c r="AI1377" s="64">
        <v>30</v>
      </c>
      <c r="AJ1377" s="64"/>
      <c r="AK1377" s="64"/>
      <c r="AL1377" s="264"/>
      <c r="AM1377" s="84"/>
      <c r="AN1377" s="18"/>
      <c r="AO1377" s="18"/>
      <c r="AP1377" s="18"/>
      <c r="AQ1377" s="18"/>
      <c r="AR1377" s="18"/>
      <c r="AS1377" s="18"/>
      <c r="AT1377" s="18"/>
      <c r="AU1377" s="18"/>
      <c r="AV1377" s="18"/>
      <c r="AW1377" s="18"/>
      <c r="AX1377" s="18"/>
      <c r="AY1377" s="18"/>
    </row>
    <row r="1378" spans="1:51" s="33" customFormat="1" x14ac:dyDescent="0.3">
      <c r="A1378" s="63" t="str">
        <f>A1377</f>
        <v>BCV131</v>
      </c>
      <c r="B1378" s="17" t="s">
        <v>1510</v>
      </c>
      <c r="C1378" s="18" t="str">
        <f>+C1377</f>
        <v>DIO1</v>
      </c>
      <c r="D1378" s="18">
        <v>132</v>
      </c>
      <c r="E1378" s="84">
        <f>+E1377</f>
        <v>2</v>
      </c>
      <c r="F1378" s="84">
        <f>+F1377</f>
        <v>10</v>
      </c>
      <c r="G1378" s="84">
        <v>0</v>
      </c>
      <c r="H1378" s="200">
        <f>H1374</f>
        <v>1</v>
      </c>
      <c r="I1378" s="187">
        <f>+I1377+1</f>
        <v>19</v>
      </c>
      <c r="J1378" s="205"/>
      <c r="K1378" s="79"/>
      <c r="L1378" s="17" t="s">
        <v>323</v>
      </c>
      <c r="M1378" s="18"/>
      <c r="N1378" s="165"/>
      <c r="O1378" s="280"/>
      <c r="P1378" s="280"/>
      <c r="Q1378" s="206"/>
      <c r="R1378" s="280"/>
      <c r="S1378" s="17"/>
      <c r="T1378" s="17"/>
      <c r="U1378" s="17"/>
      <c r="V1378" s="17" t="str">
        <f>+CONCATENATE(E1378,".",F1378,"\",G1378,".",H1378,":",I1378)</f>
        <v>2.10\0.1:19</v>
      </c>
      <c r="W1378" s="17"/>
      <c r="X1378" s="17"/>
      <c r="Y1378" s="20"/>
      <c r="Z1378" s="20" t="s">
        <v>1159</v>
      </c>
      <c r="AA1378" s="20"/>
      <c r="AB1378" s="17"/>
      <c r="AC1378" s="20"/>
      <c r="AD1378" s="20"/>
      <c r="AE1378" s="20"/>
      <c r="AF1378" s="17"/>
      <c r="AG1378" s="64" t="s">
        <v>1079</v>
      </c>
      <c r="AH1378" s="64">
        <v>31</v>
      </c>
      <c r="AI1378" s="64">
        <v>32</v>
      </c>
      <c r="AJ1378" s="64"/>
      <c r="AK1378" s="64"/>
      <c r="AL1378" s="264"/>
      <c r="AM1378" s="84"/>
      <c r="AN1378" s="18"/>
      <c r="AO1378" s="18"/>
      <c r="AP1378" s="18"/>
      <c r="AQ1378" s="18"/>
      <c r="AR1378" s="18"/>
      <c r="AS1378" s="18"/>
      <c r="AT1378" s="18"/>
      <c r="AU1378" s="18"/>
      <c r="AV1378" s="18"/>
      <c r="AW1378" s="18"/>
      <c r="AX1378" s="18"/>
      <c r="AY1378" s="18"/>
    </row>
    <row r="1379" spans="1:51" s="33" customFormat="1" x14ac:dyDescent="0.3">
      <c r="A1379" s="63" t="str">
        <f>A1378</f>
        <v>BCV131</v>
      </c>
      <c r="B1379" s="17" t="s">
        <v>1510</v>
      </c>
      <c r="C1379" s="18" t="str">
        <f>+C1378</f>
        <v>DIO1</v>
      </c>
      <c r="D1379" s="18">
        <v>132</v>
      </c>
      <c r="E1379" s="84">
        <f>+E1378</f>
        <v>2</v>
      </c>
      <c r="F1379" s="84">
        <f>+F1378</f>
        <v>10</v>
      </c>
      <c r="G1379" s="84">
        <v>0</v>
      </c>
      <c r="H1379" s="200">
        <f>H1375</f>
        <v>1</v>
      </c>
      <c r="I1379" s="187">
        <f>+I1378+1</f>
        <v>20</v>
      </c>
      <c r="J1379" s="205"/>
      <c r="K1379" s="79"/>
      <c r="L1379" s="17" t="s">
        <v>323</v>
      </c>
      <c r="M1379" s="18"/>
      <c r="N1379" s="165"/>
      <c r="O1379" s="18"/>
      <c r="P1379" s="18"/>
      <c r="Q1379" s="18"/>
      <c r="R1379" s="18"/>
      <c r="S1379" s="17"/>
      <c r="T1379" s="17"/>
      <c r="U1379" s="17"/>
      <c r="V1379" s="17" t="str">
        <f>+CONCATENATE(E1379,".",F1379,"\",G1379,".",H1379,":",I1379)</f>
        <v>2.10\0.1:20</v>
      </c>
      <c r="W1379" s="17"/>
      <c r="X1379" s="17"/>
      <c r="Y1379" s="20"/>
      <c r="Z1379" s="20" t="s">
        <v>1159</v>
      </c>
      <c r="AA1379" s="20"/>
      <c r="AB1379" s="17"/>
      <c r="AC1379" s="20"/>
      <c r="AD1379" s="20"/>
      <c r="AE1379" s="20"/>
      <c r="AF1379" s="17"/>
      <c r="AG1379" s="64" t="s">
        <v>1079</v>
      </c>
      <c r="AH1379" s="64">
        <v>33</v>
      </c>
      <c r="AI1379" s="64">
        <v>34</v>
      </c>
      <c r="AJ1379" s="64"/>
      <c r="AK1379" s="64"/>
      <c r="AL1379" s="264"/>
      <c r="AM1379" s="84"/>
      <c r="AN1379" s="18"/>
      <c r="AO1379" s="18"/>
      <c r="AP1379" s="18"/>
      <c r="AQ1379" s="18"/>
      <c r="AR1379" s="18"/>
      <c r="AS1379" s="18"/>
      <c r="AT1379" s="18"/>
      <c r="AU1379" s="18"/>
      <c r="AV1379" s="18"/>
      <c r="AW1379" s="18"/>
      <c r="AX1379" s="18"/>
      <c r="AY1379" s="18"/>
    </row>
    <row r="1380" spans="1:51" s="33" customFormat="1" x14ac:dyDescent="0.3">
      <c r="A1380" s="63" t="str">
        <f>A1379</f>
        <v>BCV131</v>
      </c>
      <c r="B1380" s="17" t="s">
        <v>1510</v>
      </c>
      <c r="C1380" s="18" t="str">
        <f>+C1379</f>
        <v>DIO1</v>
      </c>
      <c r="D1380" s="18">
        <v>132</v>
      </c>
      <c r="E1380" s="84">
        <f>+E1379</f>
        <v>2</v>
      </c>
      <c r="F1380" s="84">
        <f>+F1379</f>
        <v>10</v>
      </c>
      <c r="G1380" s="84">
        <v>0</v>
      </c>
      <c r="H1380" s="200">
        <f>H1376</f>
        <v>1</v>
      </c>
      <c r="I1380" s="187">
        <f>+I1379+1</f>
        <v>21</v>
      </c>
      <c r="J1380" s="205"/>
      <c r="K1380" s="79"/>
      <c r="L1380" s="17" t="s">
        <v>323</v>
      </c>
      <c r="M1380" s="18"/>
      <c r="N1380" s="165"/>
      <c r="O1380" s="18"/>
      <c r="P1380" s="18"/>
      <c r="Q1380" s="18"/>
      <c r="R1380" s="18"/>
      <c r="S1380" s="17"/>
      <c r="T1380" s="17"/>
      <c r="U1380" s="17"/>
      <c r="V1380" s="17" t="str">
        <f>+CONCATENATE(E1380,".",F1380,"\",G1380,".",H1380,":",I1380)</f>
        <v>2.10\0.1:21</v>
      </c>
      <c r="W1380" s="17"/>
      <c r="X1380" s="17"/>
      <c r="Y1380" s="20"/>
      <c r="Z1380" s="20" t="s">
        <v>1159</v>
      </c>
      <c r="AA1380" s="20"/>
      <c r="AB1380" s="17"/>
      <c r="AC1380" s="20"/>
      <c r="AD1380" s="20"/>
      <c r="AE1380" s="20"/>
      <c r="AF1380" s="17"/>
      <c r="AG1380" s="64" t="s">
        <v>1079</v>
      </c>
      <c r="AH1380" s="64">
        <v>35</v>
      </c>
      <c r="AI1380" s="64">
        <v>36</v>
      </c>
      <c r="AJ1380" s="64"/>
      <c r="AK1380" s="64"/>
      <c r="AL1380" s="264"/>
      <c r="AM1380" s="84"/>
      <c r="AN1380" s="18"/>
      <c r="AO1380" s="18"/>
      <c r="AP1380" s="18"/>
      <c r="AQ1380" s="18"/>
      <c r="AR1380" s="18"/>
      <c r="AS1380" s="18"/>
      <c r="AT1380" s="18"/>
      <c r="AU1380" s="18"/>
      <c r="AV1380" s="18"/>
      <c r="AW1380" s="18"/>
      <c r="AX1380" s="18"/>
      <c r="AY1380" s="18"/>
    </row>
    <row r="1381" spans="1:51" s="33" customFormat="1" x14ac:dyDescent="0.3">
      <c r="A1381" s="63" t="str">
        <f>A1380</f>
        <v>BCV131</v>
      </c>
      <c r="B1381" s="17" t="s">
        <v>1510</v>
      </c>
      <c r="C1381" s="18" t="str">
        <f>+C1380</f>
        <v>DIO1</v>
      </c>
      <c r="D1381" s="18">
        <v>132</v>
      </c>
      <c r="E1381" s="84">
        <f>+E1380</f>
        <v>2</v>
      </c>
      <c r="F1381" s="84">
        <f>+F1380</f>
        <v>10</v>
      </c>
      <c r="G1381" s="84">
        <v>0</v>
      </c>
      <c r="H1381" s="200">
        <f>H1377</f>
        <v>1</v>
      </c>
      <c r="I1381" s="187">
        <f>+I1380+1</f>
        <v>22</v>
      </c>
      <c r="J1381" s="205"/>
      <c r="K1381" s="79"/>
      <c r="L1381" s="17" t="s">
        <v>323</v>
      </c>
      <c r="M1381" s="18"/>
      <c r="N1381" s="18"/>
      <c r="O1381" s="18"/>
      <c r="P1381" s="18"/>
      <c r="Q1381" s="18"/>
      <c r="R1381" s="18"/>
      <c r="S1381" s="17"/>
      <c r="T1381" s="17"/>
      <c r="U1381" s="17"/>
      <c r="V1381" s="17" t="str">
        <f>+CONCATENATE(E1381,".",F1381,"\",G1381,".",H1381,":",I1381)</f>
        <v>2.10\0.1:22</v>
      </c>
      <c r="W1381" s="17"/>
      <c r="X1381" s="17"/>
      <c r="Y1381" s="17"/>
      <c r="Z1381" s="20" t="s">
        <v>1159</v>
      </c>
      <c r="AA1381" s="17"/>
      <c r="AB1381" s="17"/>
      <c r="AC1381" s="17"/>
      <c r="AD1381" s="17"/>
      <c r="AE1381" s="17"/>
      <c r="AF1381" s="17"/>
      <c r="AG1381" s="64" t="s">
        <v>1079</v>
      </c>
      <c r="AH1381" s="64">
        <v>37</v>
      </c>
      <c r="AI1381" s="64">
        <v>38</v>
      </c>
      <c r="AJ1381" s="64"/>
      <c r="AK1381" s="64"/>
      <c r="AL1381" s="264"/>
      <c r="AM1381" s="84"/>
      <c r="AN1381" s="18"/>
      <c r="AO1381" s="18"/>
      <c r="AP1381" s="18"/>
      <c r="AQ1381" s="18"/>
      <c r="AR1381" s="18"/>
      <c r="AS1381" s="18"/>
      <c r="AT1381" s="18"/>
      <c r="AU1381" s="18"/>
      <c r="AV1381" s="18"/>
      <c r="AW1381" s="18"/>
      <c r="AX1381" s="18"/>
      <c r="AY1381" s="18"/>
    </row>
    <row r="1382" spans="1:51" s="33" customFormat="1" x14ac:dyDescent="0.3">
      <c r="A1382" s="63" t="str">
        <f>A1381</f>
        <v>BCV131</v>
      </c>
      <c r="B1382" s="17" t="s">
        <v>1510</v>
      </c>
      <c r="C1382" s="18" t="str">
        <f>+C1381</f>
        <v>DIO1</v>
      </c>
      <c r="D1382" s="18">
        <v>132</v>
      </c>
      <c r="E1382" s="84">
        <f>+E1381</f>
        <v>2</v>
      </c>
      <c r="F1382" s="84">
        <f>+F1381</f>
        <v>10</v>
      </c>
      <c r="G1382" s="84">
        <v>0</v>
      </c>
      <c r="H1382" s="200">
        <f>H1378</f>
        <v>1</v>
      </c>
      <c r="I1382" s="187">
        <f>+I1381+1</f>
        <v>23</v>
      </c>
      <c r="J1382" s="205"/>
      <c r="K1382" s="79"/>
      <c r="L1382" s="17" t="s">
        <v>323</v>
      </c>
      <c r="M1382" s="18"/>
      <c r="N1382" s="18"/>
      <c r="O1382" s="18"/>
      <c r="P1382" s="18"/>
      <c r="Q1382" s="18"/>
      <c r="R1382" s="18"/>
      <c r="S1382" s="17"/>
      <c r="T1382" s="17"/>
      <c r="U1382" s="17"/>
      <c r="V1382" s="17" t="str">
        <f>+CONCATENATE(E1382,".",F1382,"\",G1382,".",H1382,":",I1382)</f>
        <v>2.10\0.1:23</v>
      </c>
      <c r="W1382" s="17"/>
      <c r="X1382" s="17"/>
      <c r="Y1382" s="17"/>
      <c r="Z1382" s="20" t="s">
        <v>1159</v>
      </c>
      <c r="AA1382" s="17"/>
      <c r="AB1382" s="17"/>
      <c r="AC1382" s="17"/>
      <c r="AD1382" s="17"/>
      <c r="AE1382" s="17"/>
      <c r="AF1382" s="17"/>
      <c r="AG1382" s="64" t="s">
        <v>1079</v>
      </c>
      <c r="AH1382" s="64">
        <v>39</v>
      </c>
      <c r="AI1382" s="64">
        <v>40</v>
      </c>
      <c r="AJ1382" s="64"/>
      <c r="AK1382" s="64"/>
      <c r="AL1382" s="264"/>
      <c r="AM1382" s="84"/>
      <c r="AN1382" s="18"/>
      <c r="AO1382" s="18"/>
      <c r="AP1382" s="18"/>
      <c r="AQ1382" s="18"/>
      <c r="AR1382" s="18"/>
      <c r="AS1382" s="18"/>
      <c r="AT1382" s="18"/>
      <c r="AU1382" s="18"/>
      <c r="AV1382" s="18"/>
      <c r="AW1382" s="18"/>
      <c r="AX1382" s="18"/>
      <c r="AY1382" s="18"/>
    </row>
    <row r="1383" spans="1:51" s="33" customFormat="1" x14ac:dyDescent="0.3">
      <c r="A1383" s="63" t="str">
        <f>A1382</f>
        <v>BCV131</v>
      </c>
      <c r="B1383" s="17" t="s">
        <v>1510</v>
      </c>
      <c r="C1383" s="18" t="str">
        <f>+C1382</f>
        <v>DIO1</v>
      </c>
      <c r="D1383" s="18">
        <v>132</v>
      </c>
      <c r="E1383" s="84">
        <f>+E1382</f>
        <v>2</v>
      </c>
      <c r="F1383" s="84">
        <f>+F1382</f>
        <v>10</v>
      </c>
      <c r="G1383" s="84">
        <v>0</v>
      </c>
      <c r="H1383" s="200">
        <f>H1379</f>
        <v>1</v>
      </c>
      <c r="I1383" s="187">
        <f>+I1382+1</f>
        <v>24</v>
      </c>
      <c r="J1383" s="205"/>
      <c r="K1383" s="79"/>
      <c r="L1383" s="17" t="s">
        <v>323</v>
      </c>
      <c r="M1383" s="18"/>
      <c r="N1383" s="18"/>
      <c r="O1383" s="18"/>
      <c r="P1383" s="18"/>
      <c r="Q1383" s="18"/>
      <c r="R1383" s="18"/>
      <c r="S1383" s="17"/>
      <c r="T1383" s="17"/>
      <c r="U1383" s="17"/>
      <c r="V1383" s="17" t="str">
        <f>+CONCATENATE(E1383,".",F1383,"\",G1383,".",H1383,":",I1383)</f>
        <v>2.10\0.1:24</v>
      </c>
      <c r="W1383" s="17"/>
      <c r="X1383" s="17"/>
      <c r="Y1383" s="17"/>
      <c r="Z1383" s="20" t="s">
        <v>1159</v>
      </c>
      <c r="AA1383" s="17"/>
      <c r="AB1383" s="17"/>
      <c r="AC1383" s="17"/>
      <c r="AD1383" s="17"/>
      <c r="AE1383" s="17"/>
      <c r="AF1383" s="17"/>
      <c r="AG1383" s="64" t="s">
        <v>1079</v>
      </c>
      <c r="AH1383" s="64">
        <v>41</v>
      </c>
      <c r="AI1383" s="64">
        <v>42</v>
      </c>
      <c r="AJ1383" s="64"/>
      <c r="AK1383" s="64"/>
      <c r="AL1383" s="264"/>
      <c r="AM1383" s="84"/>
      <c r="AN1383" s="18"/>
      <c r="AO1383" s="18"/>
      <c r="AP1383" s="18"/>
      <c r="AQ1383" s="18"/>
      <c r="AR1383" s="18"/>
      <c r="AS1383" s="18"/>
      <c r="AT1383" s="18"/>
      <c r="AU1383" s="18"/>
      <c r="AV1383" s="18"/>
      <c r="AW1383" s="18"/>
      <c r="AX1383" s="18"/>
      <c r="AY1383" s="18"/>
    </row>
    <row r="1384" spans="1:51" s="33" customFormat="1" x14ac:dyDescent="0.3">
      <c r="A1384" s="63" t="str">
        <f>A1383</f>
        <v>BCV131</v>
      </c>
      <c r="B1384" s="17" t="s">
        <v>1510</v>
      </c>
      <c r="C1384" s="18" t="str">
        <f>+C1383</f>
        <v>DIO1</v>
      </c>
      <c r="D1384" s="18">
        <v>132</v>
      </c>
      <c r="E1384" s="84">
        <f>+E1383</f>
        <v>2</v>
      </c>
      <c r="F1384" s="84">
        <f>+F1383</f>
        <v>10</v>
      </c>
      <c r="G1384" s="84">
        <v>0</v>
      </c>
      <c r="H1384" s="200">
        <f>H1380</f>
        <v>1</v>
      </c>
      <c r="I1384" s="187">
        <f>+I1383+1</f>
        <v>25</v>
      </c>
      <c r="J1384" s="205"/>
      <c r="K1384" s="79"/>
      <c r="L1384" s="17" t="s">
        <v>323</v>
      </c>
      <c r="M1384" s="18"/>
      <c r="N1384" s="18"/>
      <c r="O1384" s="17"/>
      <c r="P1384" s="17"/>
      <c r="Q1384" s="17"/>
      <c r="R1384" s="17"/>
      <c r="S1384" s="17"/>
      <c r="T1384" s="17"/>
      <c r="U1384" s="17"/>
      <c r="V1384" s="17" t="str">
        <f>+CONCATENATE(E1384,".",F1384,"\",G1384,".",H1384,":",I1384)</f>
        <v>2.10\0.1:25</v>
      </c>
      <c r="W1384" s="17"/>
      <c r="X1384" s="17"/>
      <c r="Y1384" s="17"/>
      <c r="Z1384" s="20" t="s">
        <v>1159</v>
      </c>
      <c r="AA1384" s="17"/>
      <c r="AB1384" s="17"/>
      <c r="AC1384" s="17"/>
      <c r="AD1384" s="17"/>
      <c r="AE1384" s="17"/>
      <c r="AF1384" s="17"/>
      <c r="AG1384" s="64" t="s">
        <v>1079</v>
      </c>
      <c r="AH1384" s="64">
        <v>43</v>
      </c>
      <c r="AI1384" s="64">
        <v>44</v>
      </c>
      <c r="AJ1384" s="64"/>
      <c r="AK1384" s="64"/>
      <c r="AL1384" s="264"/>
      <c r="AM1384" s="84"/>
      <c r="AN1384" s="18"/>
      <c r="AO1384" s="18"/>
      <c r="AP1384" s="18"/>
      <c r="AQ1384" s="18"/>
      <c r="AR1384" s="18"/>
      <c r="AS1384" s="18"/>
      <c r="AT1384" s="18"/>
      <c r="AU1384" s="18"/>
      <c r="AV1384" s="18"/>
      <c r="AW1384" s="18"/>
      <c r="AX1384" s="18"/>
      <c r="AY1384" s="18"/>
    </row>
    <row r="1385" spans="1:51" s="33" customFormat="1" x14ac:dyDescent="0.3">
      <c r="A1385" s="63" t="str">
        <f>A1384</f>
        <v>BCV131</v>
      </c>
      <c r="B1385" s="17" t="s">
        <v>1510</v>
      </c>
      <c r="C1385" s="18" t="str">
        <f>+C1384</f>
        <v>DIO1</v>
      </c>
      <c r="D1385" s="18">
        <v>132</v>
      </c>
      <c r="E1385" s="84">
        <f>+E1384</f>
        <v>2</v>
      </c>
      <c r="F1385" s="84">
        <f>+F1384</f>
        <v>10</v>
      </c>
      <c r="G1385" s="84">
        <v>0</v>
      </c>
      <c r="H1385" s="200">
        <f>H1381</f>
        <v>1</v>
      </c>
      <c r="I1385" s="187">
        <f>+I1384+1</f>
        <v>26</v>
      </c>
      <c r="J1385" s="205"/>
      <c r="K1385" s="79"/>
      <c r="L1385" s="17" t="s">
        <v>323</v>
      </c>
      <c r="M1385" s="18"/>
      <c r="N1385" s="18"/>
      <c r="O1385" s="17"/>
      <c r="P1385" s="17"/>
      <c r="Q1385" s="17"/>
      <c r="R1385" s="17"/>
      <c r="S1385" s="17"/>
      <c r="T1385" s="17"/>
      <c r="U1385" s="17"/>
      <c r="V1385" s="17" t="str">
        <f>+CONCATENATE(E1385,".",F1385,"\",G1385,".",H1385,":",I1385)</f>
        <v>2.10\0.1:26</v>
      </c>
      <c r="W1385" s="17"/>
      <c r="X1385" s="17"/>
      <c r="Y1385" s="17"/>
      <c r="Z1385" s="20" t="s">
        <v>1159</v>
      </c>
      <c r="AA1385" s="17"/>
      <c r="AB1385" s="17"/>
      <c r="AC1385" s="17"/>
      <c r="AD1385" s="17"/>
      <c r="AE1385" s="17"/>
      <c r="AF1385" s="17"/>
      <c r="AG1385" s="64" t="s">
        <v>1079</v>
      </c>
      <c r="AH1385" s="64">
        <v>45</v>
      </c>
      <c r="AI1385" s="64">
        <v>46</v>
      </c>
      <c r="AJ1385" s="64"/>
      <c r="AK1385" s="64"/>
      <c r="AL1385" s="264"/>
      <c r="AM1385" s="84"/>
      <c r="AN1385" s="18"/>
      <c r="AO1385" s="18"/>
      <c r="AP1385" s="18"/>
      <c r="AQ1385" s="18"/>
      <c r="AR1385" s="18"/>
      <c r="AS1385" s="18"/>
      <c r="AT1385" s="18"/>
      <c r="AU1385" s="18"/>
      <c r="AV1385" s="18"/>
      <c r="AW1385" s="18"/>
      <c r="AX1385" s="18"/>
      <c r="AY1385" s="18"/>
    </row>
    <row r="1386" spans="1:51" s="33" customFormat="1" x14ac:dyDescent="0.3">
      <c r="A1386" s="63" t="str">
        <f>A1385</f>
        <v>BCV131</v>
      </c>
      <c r="B1386" s="17" t="s">
        <v>1510</v>
      </c>
      <c r="C1386" s="18" t="str">
        <f>+C1385</f>
        <v>DIO1</v>
      </c>
      <c r="D1386" s="18">
        <v>132</v>
      </c>
      <c r="E1386" s="84">
        <f>+E1385</f>
        <v>2</v>
      </c>
      <c r="F1386" s="84">
        <f>+F1385</f>
        <v>10</v>
      </c>
      <c r="G1386" s="84">
        <v>0</v>
      </c>
      <c r="H1386" s="200">
        <f>H1382</f>
        <v>1</v>
      </c>
      <c r="I1386" s="187">
        <f>+I1385+1</f>
        <v>27</v>
      </c>
      <c r="J1386" s="205"/>
      <c r="K1386" s="79"/>
      <c r="L1386" s="17" t="s">
        <v>323</v>
      </c>
      <c r="M1386" s="18"/>
      <c r="N1386" s="18"/>
      <c r="O1386" s="17"/>
      <c r="P1386" s="17"/>
      <c r="Q1386" s="17"/>
      <c r="R1386" s="17"/>
      <c r="S1386" s="17"/>
      <c r="T1386" s="17"/>
      <c r="U1386" s="17"/>
      <c r="V1386" s="17" t="str">
        <f>+CONCATENATE(E1386,".",F1386,"\",G1386,".",H1386,":",I1386)</f>
        <v>2.10\0.1:27</v>
      </c>
      <c r="W1386" s="17"/>
      <c r="X1386" s="17"/>
      <c r="Y1386" s="17"/>
      <c r="Z1386" s="20" t="s">
        <v>1159</v>
      </c>
      <c r="AA1386" s="17"/>
      <c r="AB1386" s="17"/>
      <c r="AC1386" s="17"/>
      <c r="AD1386" s="17"/>
      <c r="AE1386" s="17"/>
      <c r="AF1386" s="17"/>
      <c r="AG1386" s="64" t="s">
        <v>1079</v>
      </c>
      <c r="AH1386" s="64">
        <v>47</v>
      </c>
      <c r="AI1386" s="64">
        <v>48</v>
      </c>
      <c r="AJ1386" s="64"/>
      <c r="AK1386" s="64"/>
      <c r="AL1386" s="264"/>
      <c r="AM1386" s="84"/>
      <c r="AN1386" s="18"/>
      <c r="AO1386" s="18"/>
      <c r="AP1386" s="18"/>
      <c r="AQ1386" s="18"/>
      <c r="AR1386" s="18"/>
      <c r="AS1386" s="18"/>
      <c r="AT1386" s="18"/>
      <c r="AU1386" s="18"/>
      <c r="AV1386" s="18"/>
      <c r="AW1386" s="18"/>
      <c r="AX1386" s="18"/>
      <c r="AY1386" s="18"/>
    </row>
    <row r="1387" spans="1:51" s="33" customFormat="1" x14ac:dyDescent="0.3">
      <c r="A1387" s="63" t="str">
        <f>A1386</f>
        <v>BCV131</v>
      </c>
      <c r="B1387" s="17" t="s">
        <v>1510</v>
      </c>
      <c r="C1387" s="18" t="str">
        <f>+C1386</f>
        <v>DIO1</v>
      </c>
      <c r="D1387" s="18">
        <v>132</v>
      </c>
      <c r="E1387" s="84">
        <f>+E1386</f>
        <v>2</v>
      </c>
      <c r="F1387" s="84">
        <f>+F1386</f>
        <v>10</v>
      </c>
      <c r="G1387" s="84">
        <v>0</v>
      </c>
      <c r="H1387" s="200">
        <f>H1383</f>
        <v>1</v>
      </c>
      <c r="I1387" s="187">
        <f>+I1386+1</f>
        <v>28</v>
      </c>
      <c r="J1387" s="205"/>
      <c r="K1387" s="79"/>
      <c r="L1387" s="17" t="s">
        <v>323</v>
      </c>
      <c r="M1387" s="18"/>
      <c r="N1387" s="18"/>
      <c r="O1387" s="17"/>
      <c r="P1387" s="17"/>
      <c r="Q1387" s="17"/>
      <c r="R1387" s="17"/>
      <c r="S1387" s="17"/>
      <c r="T1387" s="17"/>
      <c r="U1387" s="17"/>
      <c r="V1387" s="17" t="str">
        <f>+CONCATENATE(E1387,".",F1387,"\",G1387,".",H1387,":",I1387)</f>
        <v>2.10\0.1:28</v>
      </c>
      <c r="W1387" s="17"/>
      <c r="X1387" s="17"/>
      <c r="Y1387" s="17"/>
      <c r="Z1387" s="20" t="s">
        <v>1159</v>
      </c>
      <c r="AA1387" s="17"/>
      <c r="AB1387" s="17"/>
      <c r="AC1387" s="17"/>
      <c r="AD1387" s="17"/>
      <c r="AE1387" s="17"/>
      <c r="AF1387" s="17"/>
      <c r="AG1387" s="64" t="s">
        <v>1079</v>
      </c>
      <c r="AH1387" s="64">
        <v>49</v>
      </c>
      <c r="AI1387" s="64">
        <v>50</v>
      </c>
      <c r="AJ1387" s="64"/>
      <c r="AK1387" s="64"/>
      <c r="AL1387" s="264"/>
      <c r="AM1387" s="84"/>
      <c r="AN1387" s="18"/>
      <c r="AO1387" s="18"/>
      <c r="AP1387" s="18"/>
      <c r="AQ1387" s="18"/>
      <c r="AR1387" s="18"/>
      <c r="AS1387" s="18"/>
      <c r="AT1387" s="18"/>
      <c r="AU1387" s="18"/>
      <c r="AV1387" s="18"/>
      <c r="AW1387" s="18"/>
      <c r="AX1387" s="18"/>
      <c r="AY1387" s="18"/>
    </row>
    <row r="1388" spans="1:51" s="33" customFormat="1" x14ac:dyDescent="0.3">
      <c r="A1388" s="63" t="str">
        <f>A1387</f>
        <v>BCV131</v>
      </c>
      <c r="B1388" s="17" t="s">
        <v>1510</v>
      </c>
      <c r="C1388" s="18" t="str">
        <f>+C1387</f>
        <v>DIO1</v>
      </c>
      <c r="D1388" s="18">
        <v>132</v>
      </c>
      <c r="E1388" s="84">
        <f>+E1387</f>
        <v>2</v>
      </c>
      <c r="F1388" s="84">
        <f>+F1387</f>
        <v>10</v>
      </c>
      <c r="G1388" s="84">
        <v>0</v>
      </c>
      <c r="H1388" s="200">
        <f>H1384</f>
        <v>1</v>
      </c>
      <c r="I1388" s="187">
        <f>+I1387+1</f>
        <v>29</v>
      </c>
      <c r="J1388" s="205"/>
      <c r="K1388" s="79"/>
      <c r="L1388" s="17" t="s">
        <v>323</v>
      </c>
      <c r="M1388" s="18"/>
      <c r="N1388" s="18"/>
      <c r="O1388" s="17"/>
      <c r="P1388" s="17"/>
      <c r="Q1388" s="17"/>
      <c r="R1388" s="17"/>
      <c r="S1388" s="17"/>
      <c r="T1388" s="17"/>
      <c r="U1388" s="17"/>
      <c r="V1388" s="17" t="str">
        <f>+CONCATENATE(E1388,".",F1388,"\",G1388,".",H1388,":",I1388)</f>
        <v>2.10\0.1:29</v>
      </c>
      <c r="W1388" s="17"/>
      <c r="X1388" s="17"/>
      <c r="Y1388" s="17"/>
      <c r="Z1388" s="20" t="s">
        <v>1159</v>
      </c>
      <c r="AA1388" s="17"/>
      <c r="AB1388" s="17"/>
      <c r="AC1388" s="17"/>
      <c r="AD1388" s="17"/>
      <c r="AE1388" s="17"/>
      <c r="AF1388" s="17"/>
      <c r="AG1388" s="64" t="s">
        <v>1079</v>
      </c>
      <c r="AH1388" s="64">
        <v>51</v>
      </c>
      <c r="AI1388" s="64">
        <v>52</v>
      </c>
      <c r="AJ1388" s="64"/>
      <c r="AK1388" s="64"/>
      <c r="AL1388" s="264"/>
      <c r="AM1388" s="84"/>
      <c r="AN1388" s="18"/>
      <c r="AO1388" s="18"/>
      <c r="AP1388" s="18"/>
      <c r="AQ1388" s="18"/>
      <c r="AR1388" s="18"/>
      <c r="AS1388" s="18"/>
      <c r="AT1388" s="18"/>
      <c r="AU1388" s="18"/>
      <c r="AV1388" s="18"/>
      <c r="AW1388" s="18"/>
      <c r="AX1388" s="18"/>
      <c r="AY1388" s="18"/>
    </row>
    <row r="1389" spans="1:51" s="33" customFormat="1" x14ac:dyDescent="0.3">
      <c r="A1389" s="63" t="str">
        <f>A1388</f>
        <v>BCV131</v>
      </c>
      <c r="B1389" s="17" t="s">
        <v>1510</v>
      </c>
      <c r="C1389" s="18" t="str">
        <f>+C1388</f>
        <v>DIO1</v>
      </c>
      <c r="D1389" s="18">
        <v>132</v>
      </c>
      <c r="E1389" s="84">
        <f>+E1388</f>
        <v>2</v>
      </c>
      <c r="F1389" s="84">
        <f>+F1388</f>
        <v>10</v>
      </c>
      <c r="G1389" s="84">
        <v>0</v>
      </c>
      <c r="H1389" s="200">
        <f>H1385</f>
        <v>1</v>
      </c>
      <c r="I1389" s="187">
        <f>+I1388+1</f>
        <v>30</v>
      </c>
      <c r="J1389" s="205"/>
      <c r="K1389" s="79"/>
      <c r="L1389" s="17" t="s">
        <v>323</v>
      </c>
      <c r="M1389" s="18"/>
      <c r="N1389" s="18"/>
      <c r="O1389" s="17"/>
      <c r="P1389" s="17"/>
      <c r="Q1389" s="17"/>
      <c r="R1389" s="17"/>
      <c r="S1389" s="17"/>
      <c r="T1389" s="17"/>
      <c r="U1389" s="17"/>
      <c r="V1389" s="17" t="str">
        <f>+CONCATENATE(E1389,".",F1389,"\",G1389,".",H1389,":",I1389)</f>
        <v>2.10\0.1:30</v>
      </c>
      <c r="W1389" s="17"/>
      <c r="X1389" s="17"/>
      <c r="Y1389" s="17"/>
      <c r="Z1389" s="20" t="s">
        <v>1159</v>
      </c>
      <c r="AA1389" s="17"/>
      <c r="AB1389" s="17"/>
      <c r="AC1389" s="17"/>
      <c r="AD1389" s="17"/>
      <c r="AE1389" s="17"/>
      <c r="AF1389" s="17"/>
      <c r="AG1389" s="64" t="s">
        <v>1079</v>
      </c>
      <c r="AH1389" s="64">
        <v>53</v>
      </c>
      <c r="AI1389" s="64">
        <v>54</v>
      </c>
      <c r="AJ1389" s="64"/>
      <c r="AK1389" s="64"/>
      <c r="AL1389" s="264"/>
      <c r="AM1389" s="84"/>
      <c r="AN1389" s="18"/>
      <c r="AO1389" s="18"/>
      <c r="AP1389" s="18"/>
      <c r="AQ1389" s="18"/>
      <c r="AR1389" s="18"/>
      <c r="AS1389" s="18"/>
      <c r="AT1389" s="18"/>
      <c r="AU1389" s="18"/>
      <c r="AV1389" s="18"/>
      <c r="AW1389" s="18"/>
      <c r="AX1389" s="18"/>
      <c r="AY1389" s="18"/>
    </row>
    <row r="1390" spans="1:51" s="33" customFormat="1" ht="13.5" thickBot="1" x14ac:dyDescent="0.35">
      <c r="A1390" s="63" t="str">
        <f>A1389</f>
        <v>BCV131</v>
      </c>
      <c r="B1390" s="17" t="s">
        <v>1510</v>
      </c>
      <c r="C1390" s="18" t="str">
        <f>+C1389</f>
        <v>DIO1</v>
      </c>
      <c r="D1390" s="18">
        <v>132</v>
      </c>
      <c r="E1390" s="84">
        <f>+E1389</f>
        <v>2</v>
      </c>
      <c r="F1390" s="84">
        <f>+F1389</f>
        <v>10</v>
      </c>
      <c r="G1390" s="84">
        <v>0</v>
      </c>
      <c r="H1390" s="200">
        <f>H1386</f>
        <v>1</v>
      </c>
      <c r="I1390" s="191">
        <f>+I1389+1</f>
        <v>31</v>
      </c>
      <c r="J1390" s="203"/>
      <c r="K1390" s="79"/>
      <c r="L1390" s="17" t="s">
        <v>323</v>
      </c>
      <c r="M1390" s="18"/>
      <c r="N1390" s="18"/>
      <c r="O1390" s="17"/>
      <c r="P1390" s="17"/>
      <c r="Q1390" s="17"/>
      <c r="R1390" s="17"/>
      <c r="S1390" s="17"/>
      <c r="T1390" s="17"/>
      <c r="U1390" s="17"/>
      <c r="V1390" s="17" t="str">
        <f>+CONCATENATE(E1390,".",F1390,"\",G1390,".",H1390,":",I1390)</f>
        <v>2.10\0.1:31</v>
      </c>
      <c r="W1390" s="17"/>
      <c r="X1390" s="17"/>
      <c r="Y1390" s="17"/>
      <c r="Z1390" s="20" t="s">
        <v>1159</v>
      </c>
      <c r="AA1390" s="17"/>
      <c r="AB1390" s="17"/>
      <c r="AC1390" s="17"/>
      <c r="AD1390" s="17"/>
      <c r="AE1390" s="17"/>
      <c r="AF1390" s="17"/>
      <c r="AG1390" s="64" t="s">
        <v>1079</v>
      </c>
      <c r="AH1390" s="64">
        <v>55</v>
      </c>
      <c r="AI1390" s="64">
        <v>56</v>
      </c>
      <c r="AJ1390" s="64"/>
      <c r="AK1390" s="64"/>
      <c r="AL1390" s="264"/>
      <c r="AM1390" s="84"/>
      <c r="AN1390" s="18"/>
      <c r="AO1390" s="18"/>
      <c r="AP1390" s="18"/>
      <c r="AQ1390" s="18"/>
      <c r="AR1390" s="18"/>
      <c r="AS1390" s="18"/>
      <c r="AT1390" s="18"/>
      <c r="AU1390" s="18"/>
      <c r="AV1390" s="18"/>
      <c r="AW1390" s="18"/>
      <c r="AX1390" s="18"/>
      <c r="AY1390" s="18"/>
    </row>
    <row r="1391" spans="1:51" s="33" customFormat="1" x14ac:dyDescent="0.3">
      <c r="A1391" s="268" t="s">
        <v>194</v>
      </c>
      <c r="B1391" s="17" t="s">
        <v>1510</v>
      </c>
      <c r="C1391" s="18" t="str">
        <f>+C1390</f>
        <v>DIO1</v>
      </c>
      <c r="D1391" s="18">
        <v>132</v>
      </c>
      <c r="E1391" s="84">
        <f>+E1390</f>
        <v>2</v>
      </c>
      <c r="F1391" s="84">
        <f>+F1390</f>
        <v>10</v>
      </c>
      <c r="G1391" s="84">
        <v>0</v>
      </c>
      <c r="H1391" s="214">
        <v>2</v>
      </c>
      <c r="I1391" s="188"/>
      <c r="J1391" s="267"/>
      <c r="K1391" s="68" t="s">
        <v>698</v>
      </c>
      <c r="L1391" s="17"/>
      <c r="M1391" s="18">
        <v>0</v>
      </c>
      <c r="N1391" s="18"/>
      <c r="O1391" s="17"/>
      <c r="P1391" s="17"/>
      <c r="Q1391" s="17"/>
      <c r="R1391" s="17"/>
      <c r="S1391" s="17"/>
      <c r="T1391" s="17"/>
      <c r="U1391" s="17"/>
      <c r="V1391" s="17" t="str">
        <f>+CONCATENATE(E1391,".",F1391,"\",G1391,".",H1391,":",I1391)</f>
        <v>2.10\0.2:</v>
      </c>
      <c r="W1391" s="17"/>
      <c r="X1391" s="17"/>
      <c r="Y1391" s="20"/>
      <c r="Z1391" s="20"/>
      <c r="AA1391" s="20"/>
      <c r="AB1391" s="20"/>
      <c r="AC1391" s="20"/>
      <c r="AD1391" s="20"/>
      <c r="AE1391" s="20"/>
      <c r="AF1391" s="17"/>
      <c r="AG1391" s="64"/>
      <c r="AH1391" s="64"/>
      <c r="AI1391" s="64"/>
      <c r="AJ1391" s="64"/>
      <c r="AK1391" s="64"/>
      <c r="AL1391" s="264"/>
      <c r="AM1391" s="84"/>
      <c r="AN1391" s="18"/>
      <c r="AO1391" s="18"/>
      <c r="AP1391" s="18"/>
      <c r="AQ1391" s="18"/>
      <c r="AR1391" s="18"/>
      <c r="AS1391" s="18"/>
      <c r="AT1391" s="18"/>
      <c r="AU1391" s="18"/>
      <c r="AV1391" s="18"/>
      <c r="AW1391" s="18"/>
      <c r="AX1391" s="18"/>
      <c r="AY1391" s="18"/>
    </row>
    <row r="1392" spans="1:51" s="33" customFormat="1" x14ac:dyDescent="0.3">
      <c r="A1392" s="63" t="str">
        <f>A1391</f>
        <v>BCV131</v>
      </c>
      <c r="B1392" s="17" t="s">
        <v>1510</v>
      </c>
      <c r="C1392" s="18" t="str">
        <f>+C1391</f>
        <v>DIO1</v>
      </c>
      <c r="D1392" s="18">
        <v>132</v>
      </c>
      <c r="E1392" s="84">
        <f>+E1391</f>
        <v>2</v>
      </c>
      <c r="F1392" s="84">
        <f>+F1391</f>
        <v>10</v>
      </c>
      <c r="G1392" s="84">
        <v>0</v>
      </c>
      <c r="H1392" s="186">
        <f>+H1391</f>
        <v>2</v>
      </c>
      <c r="I1392" s="187"/>
      <c r="J1392" s="266"/>
      <c r="K1392" s="18"/>
      <c r="L1392" s="17"/>
      <c r="M1392" s="18">
        <v>0</v>
      </c>
      <c r="N1392" s="18"/>
      <c r="O1392" s="17"/>
      <c r="P1392" s="17"/>
      <c r="Q1392" s="17"/>
      <c r="R1392" s="17"/>
      <c r="S1392" s="17"/>
      <c r="T1392" s="17"/>
      <c r="U1392" s="17"/>
      <c r="V1392" s="17" t="str">
        <f>+CONCATENATE(E1392,".",F1392,"\",G1392,".",H1392,":",I1392)</f>
        <v>2.10\0.2:</v>
      </c>
      <c r="W1392" s="17"/>
      <c r="X1392" s="17"/>
      <c r="Y1392" s="20"/>
      <c r="Z1392" s="20"/>
      <c r="AA1392" s="20"/>
      <c r="AB1392" s="20"/>
      <c r="AC1392" s="20"/>
      <c r="AD1392" s="20"/>
      <c r="AE1392" s="20"/>
      <c r="AF1392" s="17"/>
      <c r="AG1392" s="64"/>
      <c r="AH1392" s="64"/>
      <c r="AI1392" s="64"/>
      <c r="AJ1392" s="64"/>
      <c r="AK1392" s="64"/>
      <c r="AL1392" s="264"/>
      <c r="AM1392" s="84"/>
      <c r="AN1392" s="18"/>
      <c r="AO1392" s="18"/>
      <c r="AP1392" s="18"/>
      <c r="AQ1392" s="18"/>
      <c r="AR1392" s="18"/>
      <c r="AS1392" s="18"/>
      <c r="AT1392" s="18"/>
      <c r="AU1392" s="18"/>
      <c r="AV1392" s="18"/>
      <c r="AW1392" s="18"/>
      <c r="AX1392" s="18"/>
      <c r="AY1392" s="18"/>
    </row>
    <row r="1393" spans="1:51" s="33" customFormat="1" x14ac:dyDescent="0.3">
      <c r="A1393" s="63" t="str">
        <f>A1392</f>
        <v>BCV131</v>
      </c>
      <c r="B1393" s="17" t="s">
        <v>1510</v>
      </c>
      <c r="C1393" s="18" t="str">
        <f>+C1392</f>
        <v>DIO1</v>
      </c>
      <c r="D1393" s="18">
        <v>132</v>
      </c>
      <c r="E1393" s="84">
        <f>+E1392</f>
        <v>2</v>
      </c>
      <c r="F1393" s="84">
        <f>+F1392</f>
        <v>10</v>
      </c>
      <c r="G1393" s="84">
        <v>0</v>
      </c>
      <c r="H1393" s="186">
        <f>+H1392</f>
        <v>2</v>
      </c>
      <c r="I1393" s="187"/>
      <c r="J1393" s="266"/>
      <c r="K1393" s="18"/>
      <c r="L1393" s="17"/>
      <c r="M1393" s="18">
        <v>0</v>
      </c>
      <c r="N1393" s="18"/>
      <c r="O1393" s="17"/>
      <c r="P1393" s="17"/>
      <c r="Q1393" s="17"/>
      <c r="R1393" s="17"/>
      <c r="S1393" s="17"/>
      <c r="T1393" s="17"/>
      <c r="U1393" s="17"/>
      <c r="V1393" s="17" t="str">
        <f>+CONCATENATE(E1393,".",F1393,"\",G1393,".",H1393,":",I1393)</f>
        <v>2.10\0.2:</v>
      </c>
      <c r="W1393" s="17"/>
      <c r="X1393" s="17"/>
      <c r="Y1393" s="20"/>
      <c r="Z1393" s="20"/>
      <c r="AA1393" s="20"/>
      <c r="AB1393" s="20"/>
      <c r="AC1393" s="20"/>
      <c r="AD1393" s="20"/>
      <c r="AE1393" s="20"/>
      <c r="AF1393" s="17"/>
      <c r="AG1393" s="64"/>
      <c r="AH1393" s="64"/>
      <c r="AI1393" s="64"/>
      <c r="AJ1393" s="64"/>
      <c r="AK1393" s="64"/>
      <c r="AL1393" s="264"/>
      <c r="AM1393" s="84"/>
      <c r="AN1393" s="18"/>
      <c r="AO1393" s="18"/>
      <c r="AP1393" s="18"/>
      <c r="AQ1393" s="18"/>
      <c r="AR1393" s="18"/>
      <c r="AS1393" s="18"/>
      <c r="AT1393" s="18"/>
      <c r="AU1393" s="18"/>
      <c r="AV1393" s="18"/>
      <c r="AW1393" s="18"/>
      <c r="AX1393" s="18"/>
      <c r="AY1393" s="18"/>
    </row>
    <row r="1394" spans="1:51" s="33" customFormat="1" ht="13.5" thickBot="1" x14ac:dyDescent="0.35">
      <c r="A1394" s="63" t="str">
        <f>A1393</f>
        <v>BCV131</v>
      </c>
      <c r="B1394" s="17" t="s">
        <v>1510</v>
      </c>
      <c r="C1394" s="18" t="str">
        <f>+C1393</f>
        <v>DIO1</v>
      </c>
      <c r="D1394" s="18">
        <v>132</v>
      </c>
      <c r="E1394" s="84">
        <f>+E1393</f>
        <v>2</v>
      </c>
      <c r="F1394" s="84">
        <f>+F1393</f>
        <v>10</v>
      </c>
      <c r="G1394" s="84">
        <v>0</v>
      </c>
      <c r="H1394" s="186">
        <f>+H1393</f>
        <v>2</v>
      </c>
      <c r="I1394" s="191"/>
      <c r="J1394" s="265"/>
      <c r="K1394" s="18"/>
      <c r="L1394" s="17"/>
      <c r="M1394" s="18">
        <v>0</v>
      </c>
      <c r="N1394" s="18"/>
      <c r="O1394" s="17"/>
      <c r="P1394" s="17"/>
      <c r="Q1394" s="17"/>
      <c r="R1394" s="17"/>
      <c r="S1394" s="17"/>
      <c r="T1394" s="17"/>
      <c r="U1394" s="17"/>
      <c r="V1394" s="17" t="str">
        <f>+CONCATENATE(E1394,".",F1394,"\",G1394,".",H1394,":",I1394)</f>
        <v>2.10\0.2:</v>
      </c>
      <c r="W1394" s="17"/>
      <c r="X1394" s="17"/>
      <c r="Y1394" s="20"/>
      <c r="Z1394" s="20"/>
      <c r="AA1394" s="20"/>
      <c r="AB1394" s="20"/>
      <c r="AC1394" s="20"/>
      <c r="AD1394" s="20"/>
      <c r="AE1394" s="20"/>
      <c r="AF1394" s="17"/>
      <c r="AG1394" s="64"/>
      <c r="AH1394" s="64"/>
      <c r="AI1394" s="64"/>
      <c r="AJ1394" s="64"/>
      <c r="AK1394" s="64"/>
      <c r="AL1394" s="264"/>
      <c r="AM1394" s="84"/>
      <c r="AN1394" s="18"/>
      <c r="AO1394" s="18"/>
      <c r="AP1394" s="18"/>
      <c r="AQ1394" s="18"/>
      <c r="AR1394" s="18"/>
      <c r="AS1394" s="18"/>
      <c r="AT1394" s="18"/>
      <c r="AU1394" s="18"/>
      <c r="AV1394" s="18"/>
      <c r="AW1394" s="18"/>
      <c r="AX1394" s="18"/>
      <c r="AY1394" s="18"/>
    </row>
    <row r="1395" spans="1:51" s="33" customFormat="1" x14ac:dyDescent="0.3">
      <c r="A1395" s="63" t="str">
        <f>A1394</f>
        <v>BCV131</v>
      </c>
      <c r="B1395" s="17" t="s">
        <v>1510</v>
      </c>
      <c r="C1395" s="18" t="str">
        <f>+C1394</f>
        <v>DIO1</v>
      </c>
      <c r="D1395" s="18">
        <v>132</v>
      </c>
      <c r="E1395" s="84">
        <f>+E1394</f>
        <v>2</v>
      </c>
      <c r="F1395" s="84">
        <f>+F1394</f>
        <v>10</v>
      </c>
      <c r="G1395" s="84">
        <v>0</v>
      </c>
      <c r="H1395" s="214">
        <v>3</v>
      </c>
      <c r="I1395" s="188"/>
      <c r="J1395" s="267"/>
      <c r="K1395" s="68" t="s">
        <v>698</v>
      </c>
      <c r="L1395" s="17"/>
      <c r="M1395" s="18">
        <v>0</v>
      </c>
      <c r="N1395" s="18"/>
      <c r="O1395" s="17"/>
      <c r="P1395" s="17"/>
      <c r="Q1395" s="17"/>
      <c r="R1395" s="17"/>
      <c r="S1395" s="17"/>
      <c r="T1395" s="17"/>
      <c r="U1395" s="17"/>
      <c r="V1395" s="17" t="str">
        <f>+CONCATENATE(E1395,".",F1395,"\",G1395,".",H1395,":",I1395)</f>
        <v>2.10\0.3:</v>
      </c>
      <c r="W1395" s="17"/>
      <c r="X1395" s="17"/>
      <c r="Y1395" s="20"/>
      <c r="Z1395" s="20"/>
      <c r="AA1395" s="20"/>
      <c r="AB1395" s="20"/>
      <c r="AC1395" s="20"/>
      <c r="AD1395" s="20"/>
      <c r="AE1395" s="20"/>
      <c r="AF1395" s="17"/>
      <c r="AG1395" s="64"/>
      <c r="AH1395" s="64"/>
      <c r="AI1395" s="64"/>
      <c r="AJ1395" s="64"/>
      <c r="AK1395" s="64"/>
      <c r="AL1395" s="264"/>
      <c r="AM1395" s="84"/>
      <c r="AN1395" s="18"/>
      <c r="AO1395" s="18"/>
      <c r="AP1395" s="18"/>
      <c r="AQ1395" s="18"/>
      <c r="AR1395" s="18"/>
      <c r="AS1395" s="18"/>
      <c r="AT1395" s="18"/>
      <c r="AU1395" s="18"/>
      <c r="AV1395" s="18"/>
      <c r="AW1395" s="18"/>
      <c r="AX1395" s="18"/>
      <c r="AY1395" s="18"/>
    </row>
    <row r="1396" spans="1:51" s="33" customFormat="1" x14ac:dyDescent="0.3">
      <c r="A1396" s="63" t="str">
        <f>A1395</f>
        <v>BCV131</v>
      </c>
      <c r="B1396" s="17" t="s">
        <v>1510</v>
      </c>
      <c r="C1396" s="18" t="str">
        <f>+C1395</f>
        <v>DIO1</v>
      </c>
      <c r="D1396" s="18">
        <v>132</v>
      </c>
      <c r="E1396" s="84">
        <f>+E1395</f>
        <v>2</v>
      </c>
      <c r="F1396" s="84">
        <f>+F1395</f>
        <v>10</v>
      </c>
      <c r="G1396" s="84">
        <v>0</v>
      </c>
      <c r="H1396" s="186">
        <f>+H1395</f>
        <v>3</v>
      </c>
      <c r="I1396" s="187"/>
      <c r="J1396" s="266"/>
      <c r="K1396" s="18"/>
      <c r="L1396" s="17"/>
      <c r="M1396" s="18">
        <v>0</v>
      </c>
      <c r="N1396" s="18"/>
      <c r="O1396" s="17"/>
      <c r="P1396" s="17"/>
      <c r="Q1396" s="17"/>
      <c r="R1396" s="17"/>
      <c r="S1396" s="17"/>
      <c r="T1396" s="17"/>
      <c r="U1396" s="17"/>
      <c r="V1396" s="17" t="str">
        <f>+CONCATENATE(E1396,".",F1396,"\",G1396,".",H1396,":",I1396)</f>
        <v>2.10\0.3:</v>
      </c>
      <c r="W1396" s="17"/>
      <c r="X1396" s="17"/>
      <c r="Y1396" s="20"/>
      <c r="Z1396" s="20"/>
      <c r="AA1396" s="20"/>
      <c r="AB1396" s="20"/>
      <c r="AC1396" s="20"/>
      <c r="AD1396" s="20"/>
      <c r="AE1396" s="20"/>
      <c r="AF1396" s="17"/>
      <c r="AG1396" s="64"/>
      <c r="AH1396" s="64"/>
      <c r="AI1396" s="64"/>
      <c r="AJ1396" s="64"/>
      <c r="AK1396" s="64"/>
      <c r="AL1396" s="264"/>
      <c r="AM1396" s="84"/>
      <c r="AN1396" s="18"/>
      <c r="AO1396" s="18"/>
      <c r="AP1396" s="18"/>
      <c r="AQ1396" s="18"/>
      <c r="AR1396" s="18"/>
      <c r="AS1396" s="18"/>
      <c r="AT1396" s="18"/>
      <c r="AU1396" s="18"/>
      <c r="AV1396" s="18"/>
      <c r="AW1396" s="18"/>
      <c r="AX1396" s="18"/>
      <c r="AY1396" s="18"/>
    </row>
    <row r="1397" spans="1:51" s="33" customFormat="1" x14ac:dyDescent="0.3">
      <c r="A1397" s="63" t="str">
        <f>A1396</f>
        <v>BCV131</v>
      </c>
      <c r="B1397" s="17" t="s">
        <v>1510</v>
      </c>
      <c r="C1397" s="18" t="str">
        <f>+C1396</f>
        <v>DIO1</v>
      </c>
      <c r="D1397" s="18">
        <v>132</v>
      </c>
      <c r="E1397" s="84">
        <f>+E1396</f>
        <v>2</v>
      </c>
      <c r="F1397" s="84">
        <f>+F1396</f>
        <v>10</v>
      </c>
      <c r="G1397" s="84">
        <v>0</v>
      </c>
      <c r="H1397" s="186">
        <f>+H1396</f>
        <v>3</v>
      </c>
      <c r="I1397" s="187"/>
      <c r="J1397" s="266"/>
      <c r="K1397" s="18"/>
      <c r="L1397" s="17"/>
      <c r="M1397" s="18">
        <v>0</v>
      </c>
      <c r="N1397" s="18"/>
      <c r="O1397" s="17"/>
      <c r="P1397" s="17"/>
      <c r="Q1397" s="17"/>
      <c r="R1397" s="17"/>
      <c r="S1397" s="17"/>
      <c r="T1397" s="17"/>
      <c r="U1397" s="17"/>
      <c r="V1397" s="17" t="str">
        <f>+CONCATENATE(E1397,".",F1397,"\",G1397,".",H1397,":",I1397)</f>
        <v>2.10\0.3:</v>
      </c>
      <c r="W1397" s="17"/>
      <c r="X1397" s="17"/>
      <c r="Y1397" s="20"/>
      <c r="Z1397" s="20"/>
      <c r="AA1397" s="20"/>
      <c r="AB1397" s="20"/>
      <c r="AC1397" s="20"/>
      <c r="AD1397" s="20"/>
      <c r="AE1397" s="20"/>
      <c r="AF1397" s="17"/>
      <c r="AG1397" s="64"/>
      <c r="AH1397" s="64"/>
      <c r="AI1397" s="64"/>
      <c r="AJ1397" s="64"/>
      <c r="AK1397" s="64"/>
      <c r="AL1397" s="264"/>
      <c r="AM1397" s="84"/>
      <c r="AN1397" s="18"/>
      <c r="AO1397" s="18"/>
      <c r="AP1397" s="18"/>
      <c r="AQ1397" s="18"/>
      <c r="AR1397" s="18"/>
      <c r="AS1397" s="18"/>
      <c r="AT1397" s="18"/>
      <c r="AU1397" s="18"/>
      <c r="AV1397" s="18"/>
      <c r="AW1397" s="18"/>
      <c r="AX1397" s="18"/>
      <c r="AY1397" s="18"/>
    </row>
    <row r="1398" spans="1:51" s="33" customFormat="1" ht="13.5" thickBot="1" x14ac:dyDescent="0.35">
      <c r="A1398" s="63" t="str">
        <f>A1397</f>
        <v>BCV131</v>
      </c>
      <c r="B1398" s="17" t="s">
        <v>1510</v>
      </c>
      <c r="C1398" s="18" t="str">
        <f>+C1397</f>
        <v>DIO1</v>
      </c>
      <c r="D1398" s="18">
        <v>132</v>
      </c>
      <c r="E1398" s="84">
        <f>+E1397</f>
        <v>2</v>
      </c>
      <c r="F1398" s="84">
        <f>+F1397</f>
        <v>10</v>
      </c>
      <c r="G1398" s="84">
        <v>0</v>
      </c>
      <c r="H1398" s="186">
        <f>+H1397</f>
        <v>3</v>
      </c>
      <c r="I1398" s="191"/>
      <c r="J1398" s="265"/>
      <c r="K1398" s="18"/>
      <c r="L1398" s="17"/>
      <c r="M1398" s="18">
        <v>0</v>
      </c>
      <c r="N1398" s="18"/>
      <c r="O1398" s="17"/>
      <c r="P1398" s="17"/>
      <c r="Q1398" s="17"/>
      <c r="R1398" s="17"/>
      <c r="S1398" s="17"/>
      <c r="T1398" s="17"/>
      <c r="U1398" s="17"/>
      <c r="V1398" s="17" t="str">
        <f>+CONCATENATE(E1398,".",F1398,"\",G1398,".",H1398,":",I1398)</f>
        <v>2.10\0.3:</v>
      </c>
      <c r="W1398" s="17"/>
      <c r="X1398" s="17"/>
      <c r="Y1398" s="20"/>
      <c r="Z1398" s="20"/>
      <c r="AA1398" s="20"/>
      <c r="AB1398" s="20"/>
      <c r="AC1398" s="20"/>
      <c r="AD1398" s="20"/>
      <c r="AE1398" s="20"/>
      <c r="AF1398" s="17"/>
      <c r="AG1398" s="64"/>
      <c r="AH1398" s="64"/>
      <c r="AI1398" s="64"/>
      <c r="AJ1398" s="64"/>
      <c r="AK1398" s="64"/>
      <c r="AL1398" s="264" t="s">
        <v>1452</v>
      </c>
      <c r="AM1398" s="84"/>
      <c r="AN1398" s="18"/>
      <c r="AO1398" s="18"/>
      <c r="AP1398" s="18"/>
      <c r="AQ1398" s="18"/>
      <c r="AR1398" s="18"/>
      <c r="AS1398" s="18"/>
      <c r="AT1398" s="18"/>
      <c r="AU1398" s="18"/>
      <c r="AV1398" s="18"/>
      <c r="AW1398" s="18"/>
      <c r="AX1398" s="18"/>
      <c r="AY1398" s="18"/>
    </row>
    <row r="1399" spans="1:51" s="33" customFormat="1" x14ac:dyDescent="0.3">
      <c r="A1399" s="63"/>
      <c r="B1399" s="63"/>
      <c r="C1399" s="63"/>
      <c r="D1399" s="63"/>
      <c r="E1399" s="288"/>
      <c r="F1399" s="288"/>
      <c r="G1399" s="288"/>
      <c r="H1399" s="63"/>
      <c r="I1399" s="63"/>
      <c r="J1399" s="63"/>
      <c r="K1399" s="17"/>
      <c r="L1399" s="17"/>
      <c r="M1399" s="17"/>
      <c r="N1399" s="17"/>
      <c r="O1399" s="68"/>
      <c r="P1399" s="68"/>
      <c r="Q1399" s="68"/>
      <c r="R1399" s="68"/>
      <c r="S1399" s="68"/>
      <c r="T1399" s="68"/>
      <c r="U1399" s="17"/>
      <c r="V1399" s="17"/>
      <c r="W1399" s="17"/>
      <c r="X1399" s="17"/>
      <c r="Y1399" s="17"/>
      <c r="Z1399" s="17"/>
      <c r="AA1399" s="17"/>
      <c r="AB1399" s="20"/>
      <c r="AC1399" s="17"/>
      <c r="AD1399" s="17"/>
      <c r="AE1399" s="17"/>
      <c r="AF1399" s="17"/>
      <c r="AG1399" s="64"/>
      <c r="AH1399" s="64"/>
      <c r="AI1399" s="64"/>
      <c r="AJ1399" s="64"/>
      <c r="AK1399" s="64"/>
      <c r="AL1399" s="264" t="s">
        <v>1452</v>
      </c>
      <c r="AM1399" s="84"/>
      <c r="AN1399" s="18"/>
      <c r="AO1399" s="18"/>
      <c r="AP1399" s="18"/>
      <c r="AQ1399" s="18"/>
      <c r="AR1399" s="18"/>
      <c r="AS1399" s="18"/>
      <c r="AT1399" s="18"/>
      <c r="AU1399" s="18"/>
      <c r="AV1399" s="18"/>
      <c r="AW1399" s="18"/>
      <c r="AX1399" s="18"/>
      <c r="AY1399" s="18"/>
    </row>
    <row r="1400" spans="1:51" s="33" customFormat="1" x14ac:dyDescent="0.3">
      <c r="A1400" s="63"/>
      <c r="B1400" s="63"/>
      <c r="C1400" s="63"/>
      <c r="D1400" s="63"/>
      <c r="E1400" s="288"/>
      <c r="F1400" s="288"/>
      <c r="G1400" s="288"/>
      <c r="H1400" s="63"/>
      <c r="I1400" s="63"/>
      <c r="J1400" s="63"/>
      <c r="K1400" s="17"/>
      <c r="L1400" s="17"/>
      <c r="M1400" s="17"/>
      <c r="N1400" s="17"/>
      <c r="O1400" s="68"/>
      <c r="P1400" s="68"/>
      <c r="Q1400" s="68"/>
      <c r="R1400" s="68"/>
      <c r="S1400" s="68"/>
      <c r="T1400" s="68"/>
      <c r="U1400" s="17"/>
      <c r="V1400" s="17"/>
      <c r="W1400" s="17"/>
      <c r="X1400" s="17"/>
      <c r="Y1400" s="17"/>
      <c r="Z1400" s="17"/>
      <c r="AA1400" s="17"/>
      <c r="AB1400" s="20"/>
      <c r="AC1400" s="17"/>
      <c r="AD1400" s="17"/>
      <c r="AE1400" s="17"/>
      <c r="AF1400" s="17"/>
      <c r="AG1400" s="64"/>
      <c r="AH1400" s="64"/>
      <c r="AI1400" s="64"/>
      <c r="AJ1400" s="64"/>
      <c r="AK1400" s="64"/>
      <c r="AL1400" s="264"/>
      <c r="AM1400" s="84"/>
      <c r="AN1400" s="18"/>
      <c r="AO1400" s="18"/>
      <c r="AP1400" s="18"/>
      <c r="AQ1400" s="18"/>
      <c r="AR1400" s="18"/>
      <c r="AS1400" s="18"/>
      <c r="AT1400" s="18"/>
      <c r="AU1400" s="18"/>
      <c r="AV1400" s="18"/>
      <c r="AW1400" s="18"/>
      <c r="AX1400" s="18"/>
      <c r="AY1400" s="18"/>
    </row>
    <row r="1401" spans="1:51" s="33" customFormat="1" x14ac:dyDescent="0.3">
      <c r="A1401" s="63"/>
      <c r="B1401" s="63"/>
      <c r="C1401" s="63"/>
      <c r="D1401" s="63"/>
      <c r="E1401" s="288"/>
      <c r="F1401" s="288"/>
      <c r="G1401" s="288"/>
      <c r="H1401" s="63"/>
      <c r="I1401" s="63"/>
      <c r="J1401" s="63"/>
      <c r="K1401" s="17"/>
      <c r="L1401" s="17"/>
      <c r="M1401" s="17"/>
      <c r="N1401" s="17"/>
      <c r="O1401" s="68"/>
      <c r="P1401" s="68"/>
      <c r="Q1401" s="68"/>
      <c r="R1401" s="68"/>
      <c r="S1401" s="68"/>
      <c r="T1401" s="68"/>
      <c r="U1401" s="17"/>
      <c r="V1401" s="17"/>
      <c r="W1401" s="17"/>
      <c r="X1401" s="17"/>
      <c r="Y1401" s="17"/>
      <c r="Z1401" s="17"/>
      <c r="AA1401" s="17"/>
      <c r="AB1401" s="46"/>
      <c r="AC1401" s="17"/>
      <c r="AD1401" s="17"/>
      <c r="AE1401" s="17"/>
      <c r="AF1401" s="17"/>
      <c r="AG1401" s="64"/>
      <c r="AH1401" s="64"/>
      <c r="AI1401" s="64"/>
      <c r="AJ1401" s="64"/>
      <c r="AK1401" s="64"/>
      <c r="AL1401" s="264"/>
      <c r="AM1401" s="84"/>
      <c r="AN1401" s="18"/>
      <c r="AO1401" s="18"/>
      <c r="AP1401" s="18"/>
      <c r="AQ1401" s="18"/>
      <c r="AR1401" s="18"/>
      <c r="AS1401" s="18"/>
      <c r="AT1401" s="18"/>
      <c r="AU1401" s="18"/>
      <c r="AV1401" s="18"/>
      <c r="AW1401" s="18"/>
      <c r="AX1401" s="18"/>
      <c r="AY1401" s="18"/>
    </row>
    <row r="1402" spans="1:51" s="33" customFormat="1" ht="15.5" x14ac:dyDescent="0.35">
      <c r="A1402" s="297"/>
      <c r="B1402" s="96" t="s">
        <v>1509</v>
      </c>
      <c r="C1402" s="256"/>
      <c r="D1402" s="256"/>
      <c r="E1402" s="256"/>
      <c r="F1402" s="256"/>
      <c r="G1402" s="256"/>
      <c r="H1402" s="256"/>
      <c r="I1402" s="256"/>
      <c r="J1402" s="256"/>
      <c r="K1402" s="256"/>
      <c r="L1402" s="256"/>
      <c r="M1402" s="256"/>
      <c r="N1402" s="287"/>
      <c r="O1402" s="256"/>
      <c r="P1402" s="287"/>
      <c r="Q1402" s="256"/>
      <c r="R1402" s="256"/>
      <c r="S1402" s="256"/>
      <c r="T1402" s="256"/>
      <c r="U1402" s="256"/>
      <c r="V1402" s="256"/>
      <c r="W1402" s="287"/>
      <c r="X1402" s="256"/>
      <c r="Y1402" s="256"/>
      <c r="Z1402" s="17"/>
      <c r="AA1402" s="17"/>
      <c r="AB1402" s="17"/>
      <c r="AC1402" s="17"/>
      <c r="AD1402" s="17"/>
      <c r="AE1402" s="17"/>
      <c r="AF1402" s="17"/>
      <c r="AG1402" s="64"/>
      <c r="AH1402" s="64"/>
      <c r="AI1402" s="64"/>
      <c r="AJ1402" s="64"/>
      <c r="AK1402" s="64"/>
      <c r="AL1402" s="264"/>
      <c r="AM1402" s="84"/>
      <c r="AN1402" s="18"/>
      <c r="AO1402" s="18"/>
      <c r="AP1402" s="18"/>
      <c r="AQ1402" s="18"/>
      <c r="AR1402" s="18"/>
      <c r="AS1402" s="18"/>
      <c r="AT1402" s="18"/>
      <c r="AU1402" s="18"/>
      <c r="AV1402" s="18"/>
      <c r="AW1402" s="18"/>
      <c r="AX1402" s="18"/>
      <c r="AY1402" s="18"/>
    </row>
    <row r="1403" spans="1:51" s="33" customFormat="1" ht="13.5" thickBot="1" x14ac:dyDescent="0.35">
      <c r="A1403" s="63"/>
      <c r="B1403" s="63"/>
      <c r="C1403" s="63"/>
      <c r="D1403" s="63"/>
      <c r="E1403" s="288"/>
      <c r="F1403" s="288"/>
      <c r="G1403" s="288"/>
      <c r="H1403" s="63"/>
      <c r="I1403" s="63"/>
      <c r="J1403" s="63"/>
      <c r="K1403" s="17"/>
      <c r="L1403" s="17"/>
      <c r="M1403" s="17"/>
      <c r="N1403" s="17"/>
      <c r="O1403" s="68"/>
      <c r="P1403" s="68"/>
      <c r="Q1403" s="68"/>
      <c r="R1403" s="68"/>
      <c r="S1403" s="68"/>
      <c r="T1403" s="68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64"/>
      <c r="AH1403" s="64"/>
      <c r="AI1403" s="64"/>
      <c r="AJ1403" s="64"/>
      <c r="AK1403" s="64"/>
      <c r="AL1403" s="264"/>
      <c r="AM1403" s="84"/>
      <c r="AN1403" s="18"/>
      <c r="AO1403" s="18"/>
      <c r="AP1403" s="18"/>
      <c r="AQ1403" s="18"/>
      <c r="AR1403" s="18"/>
      <c r="AS1403" s="18"/>
      <c r="AT1403" s="18"/>
      <c r="AU1403" s="18"/>
      <c r="AV1403" s="18"/>
      <c r="AW1403" s="18"/>
      <c r="AX1403" s="18"/>
      <c r="AY1403" s="18"/>
    </row>
    <row r="1404" spans="1:51" s="33" customFormat="1" ht="13.5" thickBot="1" x14ac:dyDescent="0.35">
      <c r="A1404" s="63" t="s">
        <v>194</v>
      </c>
      <c r="B1404" s="17" t="s">
        <v>1508</v>
      </c>
      <c r="C1404" s="295" t="s">
        <v>271</v>
      </c>
      <c r="D1404" s="290" t="s">
        <v>285</v>
      </c>
      <c r="E1404" s="290">
        <v>1</v>
      </c>
      <c r="F1404" s="290">
        <v>14</v>
      </c>
      <c r="G1404" s="290">
        <v>0</v>
      </c>
      <c r="H1404" s="89">
        <v>0</v>
      </c>
      <c r="I1404" s="88" t="s">
        <v>1106</v>
      </c>
      <c r="J1404" s="87"/>
      <c r="K1404" s="84">
        <v>1059305</v>
      </c>
      <c r="L1404" s="91" t="s">
        <v>1377</v>
      </c>
      <c r="M1404" s="17">
        <v>3</v>
      </c>
      <c r="N1404" s="17"/>
      <c r="O1404" s="83"/>
      <c r="P1404" s="83"/>
      <c r="Q1404" s="68"/>
      <c r="R1404" s="68"/>
      <c r="S1404" s="68"/>
      <c r="T1404" s="68"/>
      <c r="U1404" s="17"/>
      <c r="V1404" s="17"/>
      <c r="W1404" s="18" t="s">
        <v>1492</v>
      </c>
      <c r="X1404" s="17">
        <v>0</v>
      </c>
      <c r="Y1404" s="17"/>
      <c r="Z1404" s="17"/>
      <c r="AA1404" s="17"/>
      <c r="AB1404" s="17"/>
      <c r="AC1404" s="17"/>
      <c r="AD1404" s="17"/>
      <c r="AE1404" s="17"/>
      <c r="AF1404" s="17"/>
      <c r="AG1404" s="64"/>
      <c r="AH1404" s="64"/>
      <c r="AI1404" s="64"/>
      <c r="AJ1404" s="64"/>
      <c r="AK1404" s="64"/>
      <c r="AL1404" s="264"/>
      <c r="AM1404" s="84"/>
      <c r="AN1404" s="18"/>
      <c r="AO1404" s="18"/>
      <c r="AP1404" s="18"/>
      <c r="AQ1404" s="18"/>
      <c r="AR1404" s="18"/>
      <c r="AS1404" s="18"/>
      <c r="AT1404" s="18"/>
      <c r="AU1404" s="18"/>
      <c r="AV1404" s="18"/>
      <c r="AW1404" s="18"/>
      <c r="AX1404" s="18"/>
      <c r="AY1404" s="18"/>
    </row>
    <row r="1405" spans="1:51" s="33" customFormat="1" x14ac:dyDescent="0.3">
      <c r="A1405" s="63" t="str">
        <f>+A1404</f>
        <v>BCV131</v>
      </c>
      <c r="B1405" s="18" t="str">
        <f>+B1404</f>
        <v>AX27</v>
      </c>
      <c r="C1405" s="85" t="str">
        <f>+C1404</f>
        <v>SIO1</v>
      </c>
      <c r="D1405" s="85" t="str">
        <f>+D1404</f>
        <v>SLC01</v>
      </c>
      <c r="E1405" s="290">
        <f>+E1404</f>
        <v>1</v>
      </c>
      <c r="F1405" s="290">
        <f>+F1404</f>
        <v>14</v>
      </c>
      <c r="G1405" s="290">
        <f>+G1404</f>
        <v>0</v>
      </c>
      <c r="H1405" s="72">
        <v>1</v>
      </c>
      <c r="I1405" s="77">
        <v>1</v>
      </c>
      <c r="J1405" s="76" t="s">
        <v>269</v>
      </c>
      <c r="K1405" s="65">
        <v>1044125</v>
      </c>
      <c r="L1405" s="79" t="s">
        <v>244</v>
      </c>
      <c r="M1405" s="17">
        <v>3</v>
      </c>
      <c r="N1405" s="18" t="s">
        <v>1505</v>
      </c>
      <c r="O1405" s="296" t="s">
        <v>1507</v>
      </c>
      <c r="P1405" s="296"/>
      <c r="Q1405" s="296" t="s">
        <v>1506</v>
      </c>
      <c r="R1405" s="17" t="s">
        <v>211</v>
      </c>
      <c r="S1405" s="17"/>
      <c r="T1405" s="17" t="s">
        <v>194</v>
      </c>
      <c r="U1405" s="17"/>
      <c r="V1405" s="289" t="str">
        <f>+CONCATENATE(E1405,".",F1405,"\",G1405,".",H1405,":",I1405)</f>
        <v>1.14\0.1:1</v>
      </c>
      <c r="W1405" s="18" t="s">
        <v>1492</v>
      </c>
      <c r="X1405" s="17">
        <v>0</v>
      </c>
      <c r="Y1405" s="17"/>
      <c r="Z1405" s="17"/>
      <c r="AA1405" s="17"/>
      <c r="AB1405" s="17"/>
      <c r="AC1405" s="17"/>
      <c r="AD1405" s="17"/>
      <c r="AE1405" s="17"/>
      <c r="AF1405" s="17"/>
      <c r="AG1405" s="64"/>
      <c r="AH1405" s="64"/>
      <c r="AI1405" s="64"/>
      <c r="AJ1405" s="64"/>
      <c r="AK1405" s="64"/>
      <c r="AL1405" s="264"/>
      <c r="AM1405" s="84"/>
      <c r="AN1405" s="18"/>
      <c r="AO1405" s="18"/>
      <c r="AP1405" s="18"/>
      <c r="AQ1405" s="18"/>
      <c r="AR1405" s="18"/>
      <c r="AS1405" s="18"/>
      <c r="AT1405" s="18"/>
      <c r="AU1405" s="18"/>
      <c r="AV1405" s="18"/>
      <c r="AW1405" s="18"/>
      <c r="AX1405" s="18"/>
      <c r="AY1405" s="18"/>
    </row>
    <row r="1406" spans="1:51" s="33" customFormat="1" x14ac:dyDescent="0.3">
      <c r="A1406" s="63" t="str">
        <f>+A1405</f>
        <v>BCV131</v>
      </c>
      <c r="B1406" s="18" t="str">
        <f>+B1405</f>
        <v>AX27</v>
      </c>
      <c r="C1406" s="85" t="str">
        <f>+C1405</f>
        <v>SIO1</v>
      </c>
      <c r="D1406" s="85" t="str">
        <f>+D1405</f>
        <v>SLC01</v>
      </c>
      <c r="E1406" s="290">
        <f>+E1405</f>
        <v>1</v>
      </c>
      <c r="F1406" s="290">
        <f>+F1405</f>
        <v>14</v>
      </c>
      <c r="G1406" s="290">
        <f>+G1405</f>
        <v>0</v>
      </c>
      <c r="H1406" s="72">
        <f>+H1405</f>
        <v>1</v>
      </c>
      <c r="I1406" s="75">
        <v>2</v>
      </c>
      <c r="J1406" s="74" t="s">
        <v>265</v>
      </c>
      <c r="K1406" s="84">
        <v>1047162</v>
      </c>
      <c r="L1406" s="79" t="s">
        <v>244</v>
      </c>
      <c r="M1406" s="17">
        <v>3</v>
      </c>
      <c r="N1406" s="18" t="s">
        <v>1505</v>
      </c>
      <c r="O1406" s="296" t="s">
        <v>1504</v>
      </c>
      <c r="P1406" s="296"/>
      <c r="Q1406" s="296" t="s">
        <v>1503</v>
      </c>
      <c r="R1406" s="17" t="s">
        <v>211</v>
      </c>
      <c r="S1406" s="17"/>
      <c r="T1406" s="17" t="str">
        <f>+T1405</f>
        <v>BCV131</v>
      </c>
      <c r="U1406" s="17"/>
      <c r="V1406" s="289" t="str">
        <f>+CONCATENATE(E1406,".",F1406,"\",G1406,".",H1406,":",I1406)</f>
        <v>1.14\0.1:2</v>
      </c>
      <c r="W1406" s="18" t="s">
        <v>1492</v>
      </c>
      <c r="X1406" s="17">
        <v>0</v>
      </c>
      <c r="Y1406" s="17"/>
      <c r="Z1406" s="17"/>
      <c r="AA1406" s="17"/>
      <c r="AB1406" s="17"/>
      <c r="AC1406" s="17"/>
      <c r="AD1406" s="17"/>
      <c r="AE1406" s="17"/>
      <c r="AF1406" s="17"/>
      <c r="AG1406" s="64"/>
      <c r="AH1406" s="64"/>
      <c r="AI1406" s="64"/>
      <c r="AJ1406" s="64"/>
      <c r="AK1406" s="64"/>
      <c r="AL1406" s="264"/>
      <c r="AM1406" s="84"/>
      <c r="AN1406" s="18"/>
      <c r="AO1406" s="18"/>
      <c r="AP1406" s="18"/>
      <c r="AQ1406" s="18"/>
      <c r="AR1406" s="18"/>
      <c r="AS1406" s="18"/>
      <c r="AT1406" s="18"/>
      <c r="AU1406" s="18"/>
      <c r="AV1406" s="18"/>
      <c r="AW1406" s="18"/>
      <c r="AX1406" s="18"/>
      <c r="AY1406" s="18"/>
    </row>
    <row r="1407" spans="1:51" s="33" customFormat="1" x14ac:dyDescent="0.3">
      <c r="A1407" s="63" t="str">
        <f>+A1406</f>
        <v>BCV131</v>
      </c>
      <c r="B1407" s="18" t="str">
        <f>+B1406</f>
        <v>AX27</v>
      </c>
      <c r="C1407" s="85" t="str">
        <f>+C1406</f>
        <v>SIO1</v>
      </c>
      <c r="D1407" s="85" t="str">
        <f>+D1406</f>
        <v>SLC01</v>
      </c>
      <c r="E1407" s="290">
        <f>+E1406</f>
        <v>1</v>
      </c>
      <c r="F1407" s="290">
        <f>+F1406</f>
        <v>14</v>
      </c>
      <c r="G1407" s="290">
        <f>+G1406</f>
        <v>0</v>
      </c>
      <c r="H1407" s="72">
        <f>+H1406</f>
        <v>1</v>
      </c>
      <c r="I1407" s="75">
        <v>3</v>
      </c>
      <c r="J1407" s="74" t="s">
        <v>261</v>
      </c>
      <c r="K1407" s="85"/>
      <c r="L1407" s="79" t="s">
        <v>244</v>
      </c>
      <c r="M1407" s="17">
        <v>3</v>
      </c>
      <c r="N1407" s="18" t="s">
        <v>1500</v>
      </c>
      <c r="O1407" s="296" t="s">
        <v>1502</v>
      </c>
      <c r="P1407" s="296"/>
      <c r="Q1407" s="296" t="s">
        <v>1501</v>
      </c>
      <c r="R1407" s="17" t="s">
        <v>211</v>
      </c>
      <c r="S1407" s="17"/>
      <c r="T1407" s="17" t="str">
        <f>+T1406</f>
        <v>BCV131</v>
      </c>
      <c r="U1407" s="17"/>
      <c r="V1407" s="289" t="str">
        <f>+CONCATENATE(E1407,".",F1407,"\",G1407,".",H1407,":",I1407)</f>
        <v>1.14\0.1:3</v>
      </c>
      <c r="W1407" s="18" t="s">
        <v>1492</v>
      </c>
      <c r="X1407" s="17">
        <v>0</v>
      </c>
      <c r="Y1407" s="17"/>
      <c r="Z1407" s="17"/>
      <c r="AA1407" s="17"/>
      <c r="AB1407" s="17"/>
      <c r="AC1407" s="17"/>
      <c r="AD1407" s="17"/>
      <c r="AE1407" s="17"/>
      <c r="AF1407" s="17"/>
      <c r="AG1407" s="64"/>
      <c r="AH1407" s="64"/>
      <c r="AI1407" s="64"/>
      <c r="AJ1407" s="64"/>
      <c r="AK1407" s="64"/>
      <c r="AL1407" s="264"/>
      <c r="AM1407" s="84"/>
      <c r="AN1407" s="18"/>
      <c r="AO1407" s="18"/>
      <c r="AP1407" s="18"/>
      <c r="AQ1407" s="18"/>
      <c r="AR1407" s="18"/>
      <c r="AS1407" s="18"/>
      <c r="AT1407" s="18"/>
      <c r="AU1407" s="18"/>
      <c r="AV1407" s="18"/>
      <c r="AW1407" s="18"/>
      <c r="AX1407" s="18"/>
      <c r="AY1407" s="18"/>
    </row>
    <row r="1408" spans="1:51" s="33" customFormat="1" x14ac:dyDescent="0.3">
      <c r="A1408" s="63" t="str">
        <f>+A1407</f>
        <v>BCV131</v>
      </c>
      <c r="B1408" s="18" t="str">
        <f>+B1407</f>
        <v>AX27</v>
      </c>
      <c r="C1408" s="85" t="str">
        <f>+C1407</f>
        <v>SIO1</v>
      </c>
      <c r="D1408" s="85" t="str">
        <f>+D1407</f>
        <v>SLC01</v>
      </c>
      <c r="E1408" s="290">
        <f>+E1407</f>
        <v>1</v>
      </c>
      <c r="F1408" s="290">
        <f>+F1407</f>
        <v>14</v>
      </c>
      <c r="G1408" s="290">
        <f>+G1407</f>
        <v>0</v>
      </c>
      <c r="H1408" s="72">
        <f>+H1407</f>
        <v>1</v>
      </c>
      <c r="I1408" s="75">
        <v>4</v>
      </c>
      <c r="J1408" s="74" t="s">
        <v>257</v>
      </c>
      <c r="K1408" s="85"/>
      <c r="L1408" s="79" t="s">
        <v>244</v>
      </c>
      <c r="M1408" s="17">
        <v>3</v>
      </c>
      <c r="N1408" s="18" t="s">
        <v>1500</v>
      </c>
      <c r="O1408" s="296" t="s">
        <v>1499</v>
      </c>
      <c r="P1408" s="296"/>
      <c r="Q1408" s="296" t="s">
        <v>1498</v>
      </c>
      <c r="R1408" s="17" t="s">
        <v>211</v>
      </c>
      <c r="S1408" s="17"/>
      <c r="T1408" s="17" t="str">
        <f>+T1407</f>
        <v>BCV131</v>
      </c>
      <c r="U1408" s="17"/>
      <c r="V1408" s="289" t="str">
        <f>+CONCATENATE(E1408,".",F1408,"\",G1408,".",H1408,":",I1408)</f>
        <v>1.14\0.1:4</v>
      </c>
      <c r="W1408" s="18" t="s">
        <v>1492</v>
      </c>
      <c r="X1408" s="17">
        <v>0</v>
      </c>
      <c r="Y1408" s="17"/>
      <c r="Z1408" s="17"/>
      <c r="AA1408" s="17"/>
      <c r="AB1408" s="17"/>
      <c r="AC1408" s="17"/>
      <c r="AD1408" s="17"/>
      <c r="AE1408" s="17"/>
      <c r="AF1408" s="17"/>
      <c r="AG1408" s="64"/>
      <c r="AH1408" s="64"/>
      <c r="AI1408" s="64"/>
      <c r="AJ1408" s="64"/>
      <c r="AK1408" s="64"/>
      <c r="AL1408" s="264"/>
      <c r="AM1408" s="84"/>
      <c r="AN1408" s="18"/>
      <c r="AO1408" s="18"/>
      <c r="AP1408" s="18"/>
      <c r="AQ1408" s="18"/>
      <c r="AR1408" s="18"/>
      <c r="AS1408" s="18"/>
      <c r="AT1408" s="18"/>
      <c r="AU1408" s="18"/>
      <c r="AV1408" s="18"/>
      <c r="AW1408" s="18"/>
      <c r="AX1408" s="18"/>
      <c r="AY1408" s="18"/>
    </row>
    <row r="1409" spans="1:51" s="33" customFormat="1" x14ac:dyDescent="0.3">
      <c r="A1409" s="63" t="str">
        <f>+A1408</f>
        <v>BCV131</v>
      </c>
      <c r="B1409" s="18" t="str">
        <f>+B1408</f>
        <v>AX27</v>
      </c>
      <c r="C1409" s="85" t="str">
        <f>+C1408</f>
        <v>SIO1</v>
      </c>
      <c r="D1409" s="85" t="str">
        <f>+D1408</f>
        <v>SLC01</v>
      </c>
      <c r="E1409" s="290">
        <f>+E1408</f>
        <v>1</v>
      </c>
      <c r="F1409" s="290">
        <f>+F1408</f>
        <v>14</v>
      </c>
      <c r="G1409" s="290">
        <f>+G1408</f>
        <v>0</v>
      </c>
      <c r="H1409" s="72">
        <f>+H1408</f>
        <v>1</v>
      </c>
      <c r="I1409" s="75">
        <v>5</v>
      </c>
      <c r="J1409" s="74" t="s">
        <v>1325</v>
      </c>
      <c r="K1409" s="85"/>
      <c r="L1409" s="79" t="s">
        <v>244</v>
      </c>
      <c r="M1409" s="17">
        <v>3</v>
      </c>
      <c r="N1409" s="17"/>
      <c r="O1409" s="296"/>
      <c r="P1409" s="296"/>
      <c r="Q1409" s="296" t="s">
        <v>127</v>
      </c>
      <c r="R1409" s="17"/>
      <c r="S1409" s="17"/>
      <c r="T1409" s="17"/>
      <c r="U1409" s="17"/>
      <c r="V1409" s="289" t="str">
        <f>+CONCATENATE(E1409,".",F1409,"\",G1409,".",H1409,":",I1409)</f>
        <v>1.14\0.1:5</v>
      </c>
      <c r="W1409" s="18" t="s">
        <v>1492</v>
      </c>
      <c r="X1409" s="17">
        <v>0</v>
      </c>
      <c r="Y1409" s="17"/>
      <c r="Z1409" s="17"/>
      <c r="AA1409" s="17"/>
      <c r="AB1409" s="17"/>
      <c r="AC1409" s="17"/>
      <c r="AD1409" s="17"/>
      <c r="AE1409" s="17"/>
      <c r="AF1409" s="17"/>
      <c r="AG1409" s="64"/>
      <c r="AH1409" s="64"/>
      <c r="AI1409" s="64"/>
      <c r="AJ1409" s="64"/>
      <c r="AK1409" s="64"/>
      <c r="AL1409" s="264"/>
      <c r="AM1409" s="84"/>
      <c r="AN1409" s="18"/>
      <c r="AO1409" s="18"/>
      <c r="AP1409" s="18"/>
      <c r="AQ1409" s="18"/>
      <c r="AR1409" s="18"/>
      <c r="AS1409" s="18"/>
      <c r="AT1409" s="18"/>
      <c r="AU1409" s="18"/>
      <c r="AV1409" s="18"/>
      <c r="AW1409" s="18"/>
      <c r="AX1409" s="18"/>
      <c r="AY1409" s="18"/>
    </row>
    <row r="1410" spans="1:51" s="33" customFormat="1" x14ac:dyDescent="0.3">
      <c r="A1410" s="63" t="str">
        <f>+A1409</f>
        <v>BCV131</v>
      </c>
      <c r="B1410" s="18" t="str">
        <f>+B1409</f>
        <v>AX27</v>
      </c>
      <c r="C1410" s="85" t="str">
        <f>+C1409</f>
        <v>SIO1</v>
      </c>
      <c r="D1410" s="85" t="str">
        <f>+D1409</f>
        <v>SLC01</v>
      </c>
      <c r="E1410" s="290">
        <f>+E1409</f>
        <v>1</v>
      </c>
      <c r="F1410" s="290">
        <f>+F1409</f>
        <v>14</v>
      </c>
      <c r="G1410" s="290">
        <f>+G1409</f>
        <v>0</v>
      </c>
      <c r="H1410" s="72">
        <f>+H1409</f>
        <v>1</v>
      </c>
      <c r="I1410" s="75">
        <v>6</v>
      </c>
      <c r="J1410" s="74" t="s">
        <v>1323</v>
      </c>
      <c r="K1410" s="85"/>
      <c r="L1410" s="79" t="s">
        <v>244</v>
      </c>
      <c r="M1410" s="17">
        <v>3</v>
      </c>
      <c r="N1410" s="17"/>
      <c r="O1410" s="296"/>
      <c r="P1410" s="296"/>
      <c r="Q1410" s="296" t="s">
        <v>127</v>
      </c>
      <c r="R1410" s="17"/>
      <c r="S1410" s="17"/>
      <c r="T1410" s="17"/>
      <c r="U1410" s="17"/>
      <c r="V1410" s="289" t="str">
        <f>+CONCATENATE(E1410,".",F1410,"\",G1410,".",H1410,":",I1410)</f>
        <v>1.14\0.1:6</v>
      </c>
      <c r="W1410" s="18" t="s">
        <v>1492</v>
      </c>
      <c r="X1410" s="17">
        <v>0</v>
      </c>
      <c r="Y1410" s="17"/>
      <c r="Z1410" s="17"/>
      <c r="AA1410" s="17"/>
      <c r="AB1410" s="17"/>
      <c r="AC1410" s="17"/>
      <c r="AD1410" s="17"/>
      <c r="AE1410" s="17"/>
      <c r="AF1410" s="17"/>
      <c r="AG1410" s="64"/>
      <c r="AH1410" s="64"/>
      <c r="AI1410" s="64"/>
      <c r="AJ1410" s="64"/>
      <c r="AK1410" s="64"/>
      <c r="AL1410" s="264"/>
      <c r="AM1410" s="84"/>
      <c r="AN1410" s="18"/>
      <c r="AO1410" s="18"/>
      <c r="AP1410" s="18"/>
      <c r="AQ1410" s="18"/>
      <c r="AR1410" s="18"/>
      <c r="AS1410" s="18"/>
      <c r="AT1410" s="18"/>
      <c r="AU1410" s="18"/>
      <c r="AV1410" s="18"/>
      <c r="AW1410" s="18"/>
      <c r="AX1410" s="18"/>
      <c r="AY1410" s="18"/>
    </row>
    <row r="1411" spans="1:51" s="33" customFormat="1" x14ac:dyDescent="0.3">
      <c r="A1411" s="63" t="str">
        <f>+A1410</f>
        <v>BCV131</v>
      </c>
      <c r="B1411" s="18" t="str">
        <f>+B1410</f>
        <v>AX27</v>
      </c>
      <c r="C1411" s="85" t="str">
        <f>+C1410</f>
        <v>SIO1</v>
      </c>
      <c r="D1411" s="85" t="str">
        <f>+D1410</f>
        <v>SLC01</v>
      </c>
      <c r="E1411" s="290">
        <f>+E1410</f>
        <v>1</v>
      </c>
      <c r="F1411" s="290">
        <f>+F1410</f>
        <v>14</v>
      </c>
      <c r="G1411" s="290">
        <f>+G1410</f>
        <v>0</v>
      </c>
      <c r="H1411" s="72">
        <f>+H1410</f>
        <v>1</v>
      </c>
      <c r="I1411" s="75">
        <v>7</v>
      </c>
      <c r="J1411" s="74" t="s">
        <v>246</v>
      </c>
      <c r="K1411" s="85"/>
      <c r="L1411" s="79" t="s">
        <v>244</v>
      </c>
      <c r="M1411" s="17">
        <v>3</v>
      </c>
      <c r="N1411" s="17"/>
      <c r="O1411" s="296"/>
      <c r="P1411" s="296"/>
      <c r="Q1411" s="296" t="s">
        <v>127</v>
      </c>
      <c r="R1411" s="17"/>
      <c r="S1411" s="17"/>
      <c r="T1411" s="17"/>
      <c r="U1411" s="17"/>
      <c r="V1411" s="289" t="str">
        <f>+CONCATENATE(E1411,".",F1411,"\",G1411,".",H1411,":",I1411)</f>
        <v>1.14\0.1:7</v>
      </c>
      <c r="W1411" s="18" t="s">
        <v>1492</v>
      </c>
      <c r="X1411" s="17">
        <v>0</v>
      </c>
      <c r="Y1411" s="17"/>
      <c r="Z1411" s="17"/>
      <c r="AA1411" s="17"/>
      <c r="AB1411" s="17"/>
      <c r="AC1411" s="17"/>
      <c r="AD1411" s="17"/>
      <c r="AE1411" s="17"/>
      <c r="AF1411" s="17"/>
      <c r="AG1411" s="64"/>
      <c r="AH1411" s="64"/>
      <c r="AI1411" s="64"/>
      <c r="AJ1411" s="64"/>
      <c r="AK1411" s="64"/>
      <c r="AL1411" s="264"/>
      <c r="AM1411" s="84"/>
      <c r="AN1411" s="18"/>
      <c r="AO1411" s="18"/>
      <c r="AP1411" s="18"/>
      <c r="AQ1411" s="18"/>
      <c r="AR1411" s="18"/>
      <c r="AS1411" s="18"/>
      <c r="AT1411" s="18"/>
      <c r="AU1411" s="18"/>
      <c r="AV1411" s="18"/>
      <c r="AW1411" s="18"/>
      <c r="AX1411" s="18"/>
      <c r="AY1411" s="18"/>
    </row>
    <row r="1412" spans="1:51" s="33" customFormat="1" x14ac:dyDescent="0.3">
      <c r="A1412" s="63" t="str">
        <f>+A1411</f>
        <v>BCV131</v>
      </c>
      <c r="B1412" s="18" t="str">
        <f>+B1411</f>
        <v>AX27</v>
      </c>
      <c r="C1412" s="85" t="str">
        <f>+C1411</f>
        <v>SIO1</v>
      </c>
      <c r="D1412" s="85" t="str">
        <f>+D1411</f>
        <v>SLC01</v>
      </c>
      <c r="E1412" s="290">
        <f>+E1411</f>
        <v>1</v>
      </c>
      <c r="F1412" s="290">
        <f>+F1411</f>
        <v>14</v>
      </c>
      <c r="G1412" s="290">
        <f>+G1411</f>
        <v>0</v>
      </c>
      <c r="H1412" s="72">
        <f>+H1411</f>
        <v>1</v>
      </c>
      <c r="I1412" s="75">
        <v>8</v>
      </c>
      <c r="J1412" s="74" t="s">
        <v>245</v>
      </c>
      <c r="K1412" s="85"/>
      <c r="L1412" s="79" t="s">
        <v>244</v>
      </c>
      <c r="M1412" s="17">
        <v>3</v>
      </c>
      <c r="N1412" s="17"/>
      <c r="O1412" s="296"/>
      <c r="P1412" s="296"/>
      <c r="Q1412" s="296" t="s">
        <v>127</v>
      </c>
      <c r="R1412" s="17"/>
      <c r="S1412" s="17"/>
      <c r="T1412" s="17"/>
      <c r="U1412" s="17"/>
      <c r="V1412" s="289" t="str">
        <f>+CONCATENATE(E1412,".",F1412,"\",G1412,".",H1412,":",I1412)</f>
        <v>1.14\0.1:8</v>
      </c>
      <c r="W1412" s="18" t="s">
        <v>1492</v>
      </c>
      <c r="X1412" s="17">
        <v>0</v>
      </c>
      <c r="Y1412" s="17"/>
      <c r="Z1412" s="17"/>
      <c r="AA1412" s="17"/>
      <c r="AB1412" s="17"/>
      <c r="AC1412" s="17"/>
      <c r="AD1412" s="17"/>
      <c r="AE1412" s="17"/>
      <c r="AF1412" s="17"/>
      <c r="AG1412" s="64"/>
      <c r="AH1412" s="64"/>
      <c r="AI1412" s="64"/>
      <c r="AJ1412" s="64"/>
      <c r="AK1412" s="64"/>
      <c r="AL1412" s="264"/>
      <c r="AM1412" s="84"/>
      <c r="AN1412" s="18"/>
      <c r="AO1412" s="18"/>
      <c r="AP1412" s="18"/>
      <c r="AQ1412" s="18"/>
      <c r="AR1412" s="18"/>
      <c r="AS1412" s="18"/>
      <c r="AT1412" s="18"/>
      <c r="AU1412" s="18"/>
      <c r="AV1412" s="18"/>
      <c r="AW1412" s="18"/>
      <c r="AX1412" s="18"/>
      <c r="AY1412" s="18"/>
    </row>
    <row r="1413" spans="1:51" s="33" customFormat="1" x14ac:dyDescent="0.3">
      <c r="A1413" s="63" t="str">
        <f>+A1412</f>
        <v>BCV131</v>
      </c>
      <c r="B1413" s="18" t="str">
        <f>+B1412</f>
        <v>AX27</v>
      </c>
      <c r="C1413" s="85" t="str">
        <f>+C1412</f>
        <v>SIO1</v>
      </c>
      <c r="D1413" s="85" t="str">
        <f>+D1412</f>
        <v>SLC01</v>
      </c>
      <c r="E1413" s="290">
        <f>+E1412</f>
        <v>1</v>
      </c>
      <c r="F1413" s="290">
        <f>+F1412</f>
        <v>14</v>
      </c>
      <c r="G1413" s="290">
        <f>+G1412</f>
        <v>0</v>
      </c>
      <c r="H1413" s="72">
        <f>+H1412</f>
        <v>1</v>
      </c>
      <c r="I1413" s="75">
        <v>1</v>
      </c>
      <c r="J1413" s="81" t="s">
        <v>1321</v>
      </c>
      <c r="K1413" s="85" t="s">
        <v>1366</v>
      </c>
      <c r="L1413" s="79" t="s">
        <v>235</v>
      </c>
      <c r="M1413" s="17">
        <v>3</v>
      </c>
      <c r="N1413" s="18" t="s">
        <v>1496</v>
      </c>
      <c r="O1413" s="17" t="s">
        <v>1497</v>
      </c>
      <c r="P1413" s="17"/>
      <c r="Q1413" s="17" t="s">
        <v>1335</v>
      </c>
      <c r="R1413" s="17" t="s">
        <v>922</v>
      </c>
      <c r="S1413" s="17"/>
      <c r="T1413" s="17" t="str">
        <f>+T1405</f>
        <v>BCV131</v>
      </c>
      <c r="U1413" s="17"/>
      <c r="V1413" s="289" t="str">
        <f>+CONCATENATE(E1413,".",F1413,"\",G1413,".",H1413,":",I1413)</f>
        <v>1.14\0.1:1</v>
      </c>
      <c r="W1413" s="18" t="s">
        <v>1492</v>
      </c>
      <c r="X1413" s="17">
        <v>0</v>
      </c>
      <c r="Y1413" s="17"/>
      <c r="Z1413" s="17"/>
      <c r="AA1413" s="17"/>
      <c r="AB1413" s="17"/>
      <c r="AC1413" s="17"/>
      <c r="AD1413" s="17"/>
      <c r="AE1413" s="17"/>
      <c r="AF1413" s="17"/>
      <c r="AG1413" s="64"/>
      <c r="AH1413" s="64"/>
      <c r="AI1413" s="64"/>
      <c r="AJ1413" s="64"/>
      <c r="AK1413" s="64"/>
      <c r="AL1413" s="264"/>
      <c r="AM1413" s="84"/>
      <c r="AN1413" s="18"/>
      <c r="AO1413" s="18"/>
      <c r="AP1413" s="18"/>
      <c r="AQ1413" s="18"/>
      <c r="AR1413" s="18"/>
      <c r="AS1413" s="18"/>
      <c r="AT1413" s="18"/>
      <c r="AU1413" s="18"/>
      <c r="AV1413" s="18"/>
      <c r="AW1413" s="18"/>
      <c r="AX1413" s="18"/>
      <c r="AY1413" s="18"/>
    </row>
    <row r="1414" spans="1:51" s="33" customFormat="1" x14ac:dyDescent="0.3">
      <c r="A1414" s="63" t="str">
        <f>+A1413</f>
        <v>BCV131</v>
      </c>
      <c r="B1414" s="18" t="str">
        <f>+B1413</f>
        <v>AX27</v>
      </c>
      <c r="C1414" s="85" t="str">
        <f>+C1413</f>
        <v>SIO1</v>
      </c>
      <c r="D1414" s="85" t="str">
        <f>+D1413</f>
        <v>SLC01</v>
      </c>
      <c r="E1414" s="290">
        <f>+E1413</f>
        <v>1</v>
      </c>
      <c r="F1414" s="290">
        <f>+F1413</f>
        <v>14</v>
      </c>
      <c r="G1414" s="290">
        <f>+G1413</f>
        <v>0</v>
      </c>
      <c r="H1414" s="72">
        <f>+H1413</f>
        <v>1</v>
      </c>
      <c r="I1414" s="75">
        <v>2</v>
      </c>
      <c r="J1414" s="74" t="s">
        <v>1320</v>
      </c>
      <c r="K1414" s="85"/>
      <c r="L1414" s="79" t="s">
        <v>235</v>
      </c>
      <c r="M1414" s="17">
        <v>3</v>
      </c>
      <c r="N1414" s="18" t="s">
        <v>1496</v>
      </c>
      <c r="O1414" s="17" t="s">
        <v>1495</v>
      </c>
      <c r="P1414" s="17"/>
      <c r="Q1414" s="17" t="s">
        <v>1330</v>
      </c>
      <c r="R1414" s="17" t="s">
        <v>922</v>
      </c>
      <c r="S1414" s="17"/>
      <c r="T1414" s="17" t="str">
        <f>+T1413</f>
        <v>BCV131</v>
      </c>
      <c r="U1414" s="17"/>
      <c r="V1414" s="289" t="str">
        <f>+CONCATENATE(E1414,".",F1414,"\",G1414,".",H1414,":",I1414)</f>
        <v>1.14\0.1:2</v>
      </c>
      <c r="W1414" s="18" t="s">
        <v>1492</v>
      </c>
      <c r="X1414" s="17">
        <v>0</v>
      </c>
      <c r="Y1414" s="17"/>
      <c r="Z1414" s="17"/>
      <c r="AA1414" s="17"/>
      <c r="AB1414" s="17"/>
      <c r="AC1414" s="17"/>
      <c r="AD1414" s="17"/>
      <c r="AE1414" s="17"/>
      <c r="AF1414" s="17"/>
      <c r="AG1414" s="64"/>
      <c r="AH1414" s="64"/>
      <c r="AI1414" s="64"/>
      <c r="AJ1414" s="64"/>
      <c r="AK1414" s="64"/>
      <c r="AL1414" s="264"/>
      <c r="AM1414" s="84"/>
      <c r="AN1414" s="18"/>
      <c r="AO1414" s="18"/>
      <c r="AP1414" s="18"/>
      <c r="AQ1414" s="18"/>
      <c r="AR1414" s="18"/>
      <c r="AS1414" s="18"/>
      <c r="AT1414" s="18"/>
      <c r="AU1414" s="18"/>
      <c r="AV1414" s="18"/>
      <c r="AW1414" s="18"/>
      <c r="AX1414" s="18"/>
      <c r="AY1414" s="18"/>
    </row>
    <row r="1415" spans="1:51" s="33" customFormat="1" x14ac:dyDescent="0.3">
      <c r="A1415" s="63" t="str">
        <f>+A1414</f>
        <v>BCV131</v>
      </c>
      <c r="B1415" s="18" t="str">
        <f>+B1414</f>
        <v>AX27</v>
      </c>
      <c r="C1415" s="85" t="str">
        <f>+C1414</f>
        <v>SIO1</v>
      </c>
      <c r="D1415" s="85" t="str">
        <f>+D1414</f>
        <v>SLC01</v>
      </c>
      <c r="E1415" s="290">
        <f>+E1414</f>
        <v>1</v>
      </c>
      <c r="F1415" s="290">
        <f>+F1414</f>
        <v>14</v>
      </c>
      <c r="G1415" s="290">
        <f>+G1414</f>
        <v>0</v>
      </c>
      <c r="H1415" s="72">
        <f>+H1414</f>
        <v>1</v>
      </c>
      <c r="I1415" s="75">
        <v>3</v>
      </c>
      <c r="J1415" s="74" t="s">
        <v>1319</v>
      </c>
      <c r="K1415" s="85"/>
      <c r="L1415" s="79" t="s">
        <v>235</v>
      </c>
      <c r="M1415" s="17">
        <v>3</v>
      </c>
      <c r="N1415" s="18" t="s">
        <v>1494</v>
      </c>
      <c r="O1415" s="17" t="s">
        <v>1493</v>
      </c>
      <c r="P1415" s="17"/>
      <c r="Q1415" s="17" t="s">
        <v>1330</v>
      </c>
      <c r="R1415" s="17" t="s">
        <v>922</v>
      </c>
      <c r="S1415" s="17"/>
      <c r="T1415" s="17" t="str">
        <f>+T1414</f>
        <v>BCV131</v>
      </c>
      <c r="U1415" s="17"/>
      <c r="V1415" s="289" t="str">
        <f>+CONCATENATE(E1415,".",F1415,"\",G1415,".",H1415,":",I1415)</f>
        <v>1.14\0.1:3</v>
      </c>
      <c r="W1415" s="18" t="s">
        <v>1492</v>
      </c>
      <c r="X1415" s="17">
        <v>0</v>
      </c>
      <c r="Y1415" s="17"/>
      <c r="Z1415" s="17"/>
      <c r="AA1415" s="17"/>
      <c r="AB1415" s="17"/>
      <c r="AC1415" s="17"/>
      <c r="AD1415" s="17"/>
      <c r="AE1415" s="17"/>
      <c r="AF1415" s="17"/>
      <c r="AG1415" s="64"/>
      <c r="AH1415" s="64"/>
      <c r="AI1415" s="64"/>
      <c r="AJ1415" s="64"/>
      <c r="AK1415" s="64"/>
      <c r="AL1415" s="264"/>
      <c r="AM1415" s="84"/>
      <c r="AN1415" s="18"/>
      <c r="AO1415" s="18"/>
      <c r="AP1415" s="18"/>
      <c r="AQ1415" s="18"/>
      <c r="AR1415" s="18"/>
      <c r="AS1415" s="18"/>
      <c r="AT1415" s="18"/>
      <c r="AU1415" s="18"/>
      <c r="AV1415" s="18"/>
      <c r="AW1415" s="18"/>
      <c r="AX1415" s="18"/>
      <c r="AY1415" s="18"/>
    </row>
    <row r="1416" spans="1:51" s="33" customFormat="1" ht="13.5" thickBot="1" x14ac:dyDescent="0.35">
      <c r="A1416" s="63" t="str">
        <f>+A1415</f>
        <v>BCV131</v>
      </c>
      <c r="B1416" s="18" t="str">
        <f>+B1415</f>
        <v>AX27</v>
      </c>
      <c r="C1416" s="85" t="str">
        <f>+C1415</f>
        <v>SIO1</v>
      </c>
      <c r="D1416" s="85" t="str">
        <f>+D1415</f>
        <v>SLC01</v>
      </c>
      <c r="E1416" s="290">
        <f>+E1415</f>
        <v>1</v>
      </c>
      <c r="F1416" s="290">
        <f>+F1415</f>
        <v>14</v>
      </c>
      <c r="G1416" s="290">
        <f>+G1415</f>
        <v>0</v>
      </c>
      <c r="H1416" s="72">
        <f>+H1415</f>
        <v>1</v>
      </c>
      <c r="I1416" s="71">
        <v>4</v>
      </c>
      <c r="J1416" s="70" t="s">
        <v>1318</v>
      </c>
      <c r="K1416" s="85"/>
      <c r="L1416" s="79" t="s">
        <v>235</v>
      </c>
      <c r="M1416" s="17">
        <v>3</v>
      </c>
      <c r="N1416" s="17"/>
      <c r="O1416" s="17"/>
      <c r="P1416" s="17"/>
      <c r="Q1416" s="68"/>
      <c r="R1416" s="68"/>
      <c r="S1416" s="68"/>
      <c r="T1416" s="68"/>
      <c r="U1416" s="17"/>
      <c r="V1416" s="289" t="str">
        <f>+CONCATENATE(E1416,".",F1416,"\",G1416,".",H1416,":",I1416)</f>
        <v>1.14\0.1:4</v>
      </c>
      <c r="W1416" s="18" t="s">
        <v>1492</v>
      </c>
      <c r="X1416" s="17">
        <v>0</v>
      </c>
      <c r="Y1416" s="17"/>
      <c r="Z1416" s="17"/>
      <c r="AA1416" s="17"/>
      <c r="AB1416" s="17"/>
      <c r="AC1416" s="17"/>
      <c r="AD1416" s="17"/>
      <c r="AE1416" s="17"/>
      <c r="AF1416" s="17"/>
      <c r="AG1416" s="64"/>
      <c r="AH1416" s="64"/>
      <c r="AI1416" s="64"/>
      <c r="AJ1416" s="64"/>
      <c r="AK1416" s="64"/>
      <c r="AL1416" s="264"/>
      <c r="AM1416" s="84"/>
      <c r="AN1416" s="18"/>
      <c r="AO1416" s="18"/>
      <c r="AP1416" s="18"/>
      <c r="AQ1416" s="18"/>
      <c r="AR1416" s="18"/>
      <c r="AS1416" s="18"/>
      <c r="AT1416" s="18"/>
      <c r="AU1416" s="18"/>
      <c r="AV1416" s="18"/>
      <c r="AW1416" s="18"/>
      <c r="AX1416" s="18"/>
      <c r="AY1416" s="18"/>
    </row>
    <row r="1417" spans="1:51" s="33" customFormat="1" x14ac:dyDescent="0.3">
      <c r="A1417" s="63"/>
      <c r="B1417" s="63"/>
      <c r="C1417" s="63"/>
      <c r="D1417" s="63"/>
      <c r="E1417" s="288"/>
      <c r="F1417" s="288"/>
      <c r="G1417" s="288"/>
      <c r="H1417" s="63"/>
      <c r="I1417" s="63"/>
      <c r="J1417" s="63"/>
      <c r="K1417" s="17"/>
      <c r="L1417" s="17"/>
      <c r="M1417" s="17"/>
      <c r="N1417" s="17"/>
      <c r="O1417" s="68"/>
      <c r="P1417" s="68"/>
      <c r="Q1417" s="68"/>
      <c r="R1417" s="68"/>
      <c r="S1417" s="68"/>
      <c r="T1417" s="68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64"/>
      <c r="AH1417" s="64"/>
      <c r="AI1417" s="64"/>
      <c r="AJ1417" s="64"/>
      <c r="AK1417" s="64"/>
      <c r="AL1417" s="264"/>
      <c r="AM1417" s="84"/>
      <c r="AN1417" s="18"/>
      <c r="AO1417" s="18"/>
      <c r="AP1417" s="18"/>
      <c r="AQ1417" s="18"/>
      <c r="AR1417" s="18"/>
      <c r="AS1417" s="18"/>
      <c r="AT1417" s="18"/>
      <c r="AU1417" s="18"/>
      <c r="AV1417" s="18"/>
      <c r="AW1417" s="18"/>
      <c r="AX1417" s="18"/>
      <c r="AY1417" s="18"/>
    </row>
    <row r="1418" spans="1:51" s="33" customFormat="1" x14ac:dyDescent="0.3">
      <c r="A1418" s="63"/>
      <c r="B1418" s="63"/>
      <c r="C1418" s="63"/>
      <c r="D1418" s="63"/>
      <c r="E1418" s="288"/>
      <c r="F1418" s="288"/>
      <c r="G1418" s="288"/>
      <c r="H1418" s="63"/>
      <c r="I1418" s="63"/>
      <c r="J1418" s="63"/>
      <c r="K1418" s="17"/>
      <c r="L1418" s="17"/>
      <c r="M1418" s="17"/>
      <c r="N1418" s="17"/>
      <c r="O1418" s="68"/>
      <c r="P1418" s="68"/>
      <c r="Q1418" s="68"/>
      <c r="R1418" s="68"/>
      <c r="S1418" s="68"/>
      <c r="T1418" s="68"/>
      <c r="U1418" s="17"/>
      <c r="V1418" s="17"/>
      <c r="W1418" s="17"/>
      <c r="X1418" s="17"/>
      <c r="Y1418" s="17"/>
      <c r="Z1418" s="17"/>
      <c r="AA1418" s="17"/>
      <c r="AB1418" s="20"/>
      <c r="AC1418" s="17"/>
      <c r="AD1418" s="17"/>
      <c r="AE1418" s="17"/>
      <c r="AF1418" s="17"/>
      <c r="AG1418" s="64"/>
      <c r="AH1418" s="64"/>
      <c r="AI1418" s="64"/>
      <c r="AJ1418" s="64"/>
      <c r="AK1418" s="64"/>
      <c r="AL1418" s="264"/>
      <c r="AM1418" s="84"/>
      <c r="AN1418" s="18"/>
      <c r="AO1418" s="18"/>
      <c r="AP1418" s="18"/>
      <c r="AQ1418" s="18"/>
      <c r="AR1418" s="18"/>
      <c r="AS1418" s="18"/>
      <c r="AT1418" s="18"/>
      <c r="AU1418" s="18"/>
      <c r="AV1418" s="18"/>
      <c r="AW1418" s="18"/>
      <c r="AX1418" s="18"/>
      <c r="AY1418" s="18"/>
    </row>
    <row r="1419" spans="1:51" s="33" customFormat="1" x14ac:dyDescent="0.3">
      <c r="A1419" s="63"/>
      <c r="B1419" s="63"/>
      <c r="C1419" s="63"/>
      <c r="D1419" s="63"/>
      <c r="E1419" s="288"/>
      <c r="F1419" s="288"/>
      <c r="G1419" s="288"/>
      <c r="H1419" s="63"/>
      <c r="I1419" s="63"/>
      <c r="J1419" s="63"/>
      <c r="K1419" s="17"/>
      <c r="L1419" s="17"/>
      <c r="M1419" s="17"/>
      <c r="N1419" s="17"/>
      <c r="O1419" s="68"/>
      <c r="P1419" s="68"/>
      <c r="Q1419" s="68"/>
      <c r="R1419" s="68"/>
      <c r="S1419" s="68"/>
      <c r="T1419" s="68"/>
      <c r="U1419" s="17"/>
      <c r="V1419" s="17"/>
      <c r="W1419" s="17"/>
      <c r="X1419" s="17"/>
      <c r="Y1419" s="17"/>
      <c r="Z1419" s="17"/>
      <c r="AA1419" s="17"/>
      <c r="AB1419" s="20"/>
      <c r="AC1419" s="17"/>
      <c r="AD1419" s="17"/>
      <c r="AE1419" s="17"/>
      <c r="AF1419" s="17"/>
      <c r="AG1419" s="64"/>
      <c r="AH1419" s="64"/>
      <c r="AI1419" s="64"/>
      <c r="AJ1419" s="64"/>
      <c r="AK1419" s="64"/>
      <c r="AL1419" s="264"/>
      <c r="AM1419" s="84"/>
      <c r="AN1419" s="18"/>
      <c r="AO1419" s="18"/>
      <c r="AP1419" s="18"/>
      <c r="AQ1419" s="18"/>
      <c r="AR1419" s="18"/>
      <c r="AS1419" s="18"/>
      <c r="AT1419" s="18"/>
      <c r="AU1419" s="18"/>
      <c r="AV1419" s="18"/>
      <c r="AW1419" s="18"/>
      <c r="AX1419" s="18"/>
      <c r="AY1419" s="18"/>
    </row>
    <row r="1420" spans="1:51" s="33" customFormat="1" ht="15.5" x14ac:dyDescent="0.35">
      <c r="A1420" s="297"/>
      <c r="B1420" s="96" t="s">
        <v>1491</v>
      </c>
      <c r="C1420" s="256"/>
      <c r="D1420" s="256"/>
      <c r="E1420" s="256"/>
      <c r="F1420" s="256"/>
      <c r="G1420" s="256"/>
      <c r="H1420" s="256"/>
      <c r="I1420" s="256"/>
      <c r="J1420" s="256"/>
      <c r="K1420" s="256"/>
      <c r="L1420" s="256"/>
      <c r="M1420" s="256"/>
      <c r="N1420" s="287"/>
      <c r="O1420" s="256"/>
      <c r="P1420" s="287"/>
      <c r="Q1420" s="256"/>
      <c r="R1420" s="256"/>
      <c r="S1420" s="256"/>
      <c r="T1420" s="256"/>
      <c r="U1420" s="256"/>
      <c r="V1420" s="256"/>
      <c r="W1420" s="287"/>
      <c r="X1420" s="256"/>
      <c r="Y1420" s="256"/>
      <c r="Z1420" s="17"/>
      <c r="AA1420" s="17"/>
      <c r="AB1420" s="17"/>
      <c r="AC1420" s="17"/>
      <c r="AD1420" s="17"/>
      <c r="AE1420" s="17"/>
      <c r="AF1420" s="17"/>
      <c r="AG1420" s="64"/>
      <c r="AH1420" s="64"/>
      <c r="AI1420" s="64"/>
      <c r="AJ1420" s="64"/>
      <c r="AK1420" s="64"/>
      <c r="AL1420" s="264"/>
      <c r="AM1420" s="84"/>
      <c r="AN1420" s="18"/>
      <c r="AO1420" s="18"/>
      <c r="AP1420" s="18"/>
      <c r="AQ1420" s="18"/>
      <c r="AR1420" s="18"/>
      <c r="AS1420" s="18"/>
      <c r="AT1420" s="18"/>
      <c r="AU1420" s="18"/>
      <c r="AV1420" s="18"/>
      <c r="AW1420" s="18"/>
      <c r="AX1420" s="18"/>
      <c r="AY1420" s="18"/>
    </row>
    <row r="1421" spans="1:51" s="33" customFormat="1" ht="13.5" thickBot="1" x14ac:dyDescent="0.35">
      <c r="A1421" s="63"/>
      <c r="B1421" s="63"/>
      <c r="C1421" s="63"/>
      <c r="D1421" s="63"/>
      <c r="E1421" s="288"/>
      <c r="F1421" s="288"/>
      <c r="G1421" s="288"/>
      <c r="H1421" s="63"/>
      <c r="I1421" s="63"/>
      <c r="J1421" s="63"/>
      <c r="K1421" s="17"/>
      <c r="L1421" s="17"/>
      <c r="M1421" s="17"/>
      <c r="N1421" s="17"/>
      <c r="O1421" s="68"/>
      <c r="P1421" s="68"/>
      <c r="Q1421" s="68"/>
      <c r="R1421" s="68"/>
      <c r="S1421" s="68"/>
      <c r="T1421" s="68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64"/>
      <c r="AH1421" s="64"/>
      <c r="AI1421" s="64"/>
      <c r="AJ1421" s="64"/>
      <c r="AK1421" s="64"/>
      <c r="AL1421" s="264"/>
      <c r="AM1421" s="84"/>
      <c r="AN1421" s="18"/>
      <c r="AO1421" s="18"/>
      <c r="AP1421" s="18"/>
      <c r="AQ1421" s="18"/>
      <c r="AR1421" s="18"/>
      <c r="AS1421" s="18"/>
      <c r="AT1421" s="18"/>
      <c r="AU1421" s="18"/>
      <c r="AV1421" s="18"/>
      <c r="AW1421" s="18"/>
      <c r="AX1421" s="18"/>
      <c r="AY1421" s="18"/>
    </row>
    <row r="1422" spans="1:51" s="33" customFormat="1" ht="13.5" thickBot="1" x14ac:dyDescent="0.35">
      <c r="A1422" s="63" t="s">
        <v>194</v>
      </c>
      <c r="B1422" s="17" t="s">
        <v>1490</v>
      </c>
      <c r="C1422" s="295" t="s">
        <v>271</v>
      </c>
      <c r="D1422" s="290" t="s">
        <v>270</v>
      </c>
      <c r="E1422" s="290">
        <v>2</v>
      </c>
      <c r="F1422" s="290">
        <v>14</v>
      </c>
      <c r="G1422" s="290">
        <v>0</v>
      </c>
      <c r="H1422" s="89">
        <v>0</v>
      </c>
      <c r="I1422" s="88" t="s">
        <v>1106</v>
      </c>
      <c r="J1422" s="87"/>
      <c r="K1422" s="84">
        <v>1059305</v>
      </c>
      <c r="L1422" s="91" t="s">
        <v>1377</v>
      </c>
      <c r="M1422" s="17">
        <v>3</v>
      </c>
      <c r="N1422" s="17"/>
      <c r="O1422" s="83"/>
      <c r="P1422" s="83"/>
      <c r="Q1422" s="68"/>
      <c r="R1422" s="68"/>
      <c r="S1422" s="68"/>
      <c r="T1422" s="68"/>
      <c r="U1422" s="17"/>
      <c r="V1422" s="17"/>
      <c r="W1422" s="18" t="s">
        <v>1474</v>
      </c>
      <c r="X1422" s="17">
        <v>0</v>
      </c>
      <c r="Y1422" s="17"/>
      <c r="Z1422" s="17"/>
      <c r="AA1422" s="17"/>
      <c r="AB1422" s="17"/>
      <c r="AC1422" s="17"/>
      <c r="AD1422" s="17"/>
      <c r="AE1422" s="17"/>
      <c r="AF1422" s="17"/>
      <c r="AG1422" s="64"/>
      <c r="AH1422" s="64"/>
      <c r="AI1422" s="64"/>
      <c r="AJ1422" s="64"/>
      <c r="AK1422" s="64"/>
      <c r="AL1422" s="264"/>
      <c r="AM1422" s="84"/>
      <c r="AN1422" s="18"/>
      <c r="AO1422" s="18"/>
      <c r="AP1422" s="18"/>
      <c r="AQ1422" s="18"/>
      <c r="AR1422" s="18"/>
      <c r="AS1422" s="18"/>
      <c r="AT1422" s="18"/>
      <c r="AU1422" s="18"/>
      <c r="AV1422" s="18"/>
      <c r="AW1422" s="18"/>
      <c r="AX1422" s="18"/>
      <c r="AY1422" s="18"/>
    </row>
    <row r="1423" spans="1:51" s="33" customFormat="1" x14ac:dyDescent="0.3">
      <c r="A1423" s="63" t="str">
        <f>+A1422</f>
        <v>BCV131</v>
      </c>
      <c r="B1423" s="18" t="str">
        <f>+B1422</f>
        <v>AX28</v>
      </c>
      <c r="C1423" s="85" t="str">
        <f>+C1422</f>
        <v>SIO1</v>
      </c>
      <c r="D1423" s="85" t="str">
        <f>+D1422</f>
        <v>SLC02</v>
      </c>
      <c r="E1423" s="290">
        <f>+E1422</f>
        <v>2</v>
      </c>
      <c r="F1423" s="290">
        <f>+F1422</f>
        <v>14</v>
      </c>
      <c r="G1423" s="290">
        <f>+G1422</f>
        <v>0</v>
      </c>
      <c r="H1423" s="72">
        <v>1</v>
      </c>
      <c r="I1423" s="77">
        <v>1</v>
      </c>
      <c r="J1423" s="76" t="s">
        <v>269</v>
      </c>
      <c r="K1423" s="65">
        <v>1044125</v>
      </c>
      <c r="L1423" s="79" t="s">
        <v>244</v>
      </c>
      <c r="M1423" s="17">
        <v>3</v>
      </c>
      <c r="N1423" s="18" t="s">
        <v>1487</v>
      </c>
      <c r="O1423" s="296" t="s">
        <v>1489</v>
      </c>
      <c r="P1423" s="296"/>
      <c r="Q1423" s="296" t="s">
        <v>1488</v>
      </c>
      <c r="R1423" s="17" t="s">
        <v>211</v>
      </c>
      <c r="S1423" s="17"/>
      <c r="T1423" s="17" t="s">
        <v>194</v>
      </c>
      <c r="U1423" s="17"/>
      <c r="V1423" s="289" t="str">
        <f>+CONCATENATE(E1423,".",F1423,"\",G1423,".",H1423,":",I1423)</f>
        <v>2.14\0.1:1</v>
      </c>
      <c r="W1423" s="18" t="s">
        <v>1474</v>
      </c>
      <c r="X1423" s="17">
        <v>0</v>
      </c>
      <c r="Y1423" s="17"/>
      <c r="Z1423" s="17"/>
      <c r="AA1423" s="17"/>
      <c r="AB1423" s="17"/>
      <c r="AC1423" s="17"/>
      <c r="AD1423" s="17"/>
      <c r="AE1423" s="17"/>
      <c r="AF1423" s="17"/>
      <c r="AG1423" s="64"/>
      <c r="AH1423" s="64"/>
      <c r="AI1423" s="64"/>
      <c r="AJ1423" s="64"/>
      <c r="AK1423" s="64"/>
      <c r="AL1423" s="264"/>
      <c r="AM1423" s="84"/>
      <c r="AN1423" s="18"/>
      <c r="AO1423" s="18"/>
      <c r="AP1423" s="18"/>
      <c r="AQ1423" s="18"/>
      <c r="AR1423" s="18"/>
      <c r="AS1423" s="18"/>
      <c r="AT1423" s="18"/>
      <c r="AU1423" s="18"/>
      <c r="AV1423" s="18"/>
      <c r="AW1423" s="18"/>
      <c r="AX1423" s="18"/>
      <c r="AY1423" s="18"/>
    </row>
    <row r="1424" spans="1:51" s="33" customFormat="1" x14ac:dyDescent="0.3">
      <c r="A1424" s="63" t="str">
        <f>+A1423</f>
        <v>BCV131</v>
      </c>
      <c r="B1424" s="18" t="str">
        <f>+B1423</f>
        <v>AX28</v>
      </c>
      <c r="C1424" s="85" t="str">
        <f>+C1423</f>
        <v>SIO1</v>
      </c>
      <c r="D1424" s="85" t="str">
        <f>+D1423</f>
        <v>SLC02</v>
      </c>
      <c r="E1424" s="290">
        <f>+E1423</f>
        <v>2</v>
      </c>
      <c r="F1424" s="290">
        <f>+F1423</f>
        <v>14</v>
      </c>
      <c r="G1424" s="290">
        <f>+G1423</f>
        <v>0</v>
      </c>
      <c r="H1424" s="72">
        <f>+H1423</f>
        <v>1</v>
      </c>
      <c r="I1424" s="75">
        <v>2</v>
      </c>
      <c r="J1424" s="74" t="s">
        <v>265</v>
      </c>
      <c r="K1424" s="84">
        <v>1047162</v>
      </c>
      <c r="L1424" s="79" t="s">
        <v>244</v>
      </c>
      <c r="M1424" s="17">
        <v>3</v>
      </c>
      <c r="N1424" s="18" t="s">
        <v>1487</v>
      </c>
      <c r="O1424" s="296" t="s">
        <v>1486</v>
      </c>
      <c r="P1424" s="296"/>
      <c r="Q1424" s="296" t="s">
        <v>1485</v>
      </c>
      <c r="R1424" s="17" t="s">
        <v>211</v>
      </c>
      <c r="S1424" s="17"/>
      <c r="T1424" s="17" t="str">
        <f>+T1423</f>
        <v>BCV131</v>
      </c>
      <c r="U1424" s="17"/>
      <c r="V1424" s="289" t="str">
        <f>+CONCATENATE(E1424,".",F1424,"\",G1424,".",H1424,":",I1424)</f>
        <v>2.14\0.1:2</v>
      </c>
      <c r="W1424" s="18" t="s">
        <v>1474</v>
      </c>
      <c r="X1424" s="17">
        <v>0</v>
      </c>
      <c r="Y1424" s="17"/>
      <c r="Z1424" s="17"/>
      <c r="AA1424" s="17"/>
      <c r="AB1424" s="17"/>
      <c r="AC1424" s="17"/>
      <c r="AD1424" s="17"/>
      <c r="AE1424" s="17"/>
      <c r="AF1424" s="17"/>
      <c r="AG1424" s="64"/>
      <c r="AH1424" s="64"/>
      <c r="AI1424" s="64"/>
      <c r="AJ1424" s="64"/>
      <c r="AK1424" s="64"/>
      <c r="AL1424" s="264"/>
      <c r="AM1424" s="84"/>
      <c r="AN1424" s="18"/>
      <c r="AO1424" s="18"/>
      <c r="AP1424" s="18"/>
      <c r="AQ1424" s="18"/>
      <c r="AR1424" s="18"/>
      <c r="AS1424" s="18"/>
      <c r="AT1424" s="18"/>
      <c r="AU1424" s="18"/>
      <c r="AV1424" s="18"/>
      <c r="AW1424" s="18"/>
      <c r="AX1424" s="18"/>
      <c r="AY1424" s="18"/>
    </row>
    <row r="1425" spans="1:51" s="33" customFormat="1" x14ac:dyDescent="0.3">
      <c r="A1425" s="63" t="str">
        <f>+A1424</f>
        <v>BCV131</v>
      </c>
      <c r="B1425" s="18" t="str">
        <f>+B1424</f>
        <v>AX28</v>
      </c>
      <c r="C1425" s="85" t="str">
        <f>+C1424</f>
        <v>SIO1</v>
      </c>
      <c r="D1425" s="85" t="str">
        <f>+D1424</f>
        <v>SLC02</v>
      </c>
      <c r="E1425" s="290">
        <f>+E1424</f>
        <v>2</v>
      </c>
      <c r="F1425" s="290">
        <f>+F1424</f>
        <v>14</v>
      </c>
      <c r="G1425" s="290">
        <f>+G1424</f>
        <v>0</v>
      </c>
      <c r="H1425" s="72">
        <f>+H1424</f>
        <v>1</v>
      </c>
      <c r="I1425" s="75">
        <v>3</v>
      </c>
      <c r="J1425" s="74" t="s">
        <v>261</v>
      </c>
      <c r="K1425" s="85"/>
      <c r="L1425" s="79" t="s">
        <v>244</v>
      </c>
      <c r="M1425" s="17">
        <v>3</v>
      </c>
      <c r="N1425" s="18" t="s">
        <v>1482</v>
      </c>
      <c r="O1425" s="296" t="s">
        <v>1484</v>
      </c>
      <c r="P1425" s="296"/>
      <c r="Q1425" s="296" t="s">
        <v>1483</v>
      </c>
      <c r="R1425" s="17" t="s">
        <v>211</v>
      </c>
      <c r="S1425" s="17"/>
      <c r="T1425" s="17" t="str">
        <f>+T1424</f>
        <v>BCV131</v>
      </c>
      <c r="U1425" s="17"/>
      <c r="V1425" s="289" t="str">
        <f>+CONCATENATE(E1425,".",F1425,"\",G1425,".",H1425,":",I1425)</f>
        <v>2.14\0.1:3</v>
      </c>
      <c r="W1425" s="18" t="s">
        <v>1474</v>
      </c>
      <c r="X1425" s="17">
        <v>0</v>
      </c>
      <c r="Y1425" s="17"/>
      <c r="Z1425" s="17"/>
      <c r="AA1425" s="17"/>
      <c r="AB1425" s="17"/>
      <c r="AC1425" s="17"/>
      <c r="AD1425" s="17"/>
      <c r="AE1425" s="17"/>
      <c r="AF1425" s="17"/>
      <c r="AG1425" s="64"/>
      <c r="AH1425" s="64"/>
      <c r="AI1425" s="64"/>
      <c r="AJ1425" s="64"/>
      <c r="AK1425" s="64"/>
      <c r="AL1425" s="264"/>
      <c r="AM1425" s="84"/>
      <c r="AN1425" s="18"/>
      <c r="AO1425" s="18"/>
      <c r="AP1425" s="18"/>
      <c r="AQ1425" s="18"/>
      <c r="AR1425" s="18"/>
      <c r="AS1425" s="18"/>
      <c r="AT1425" s="18"/>
      <c r="AU1425" s="18"/>
      <c r="AV1425" s="18"/>
      <c r="AW1425" s="18"/>
      <c r="AX1425" s="18"/>
      <c r="AY1425" s="18"/>
    </row>
    <row r="1426" spans="1:51" s="33" customFormat="1" x14ac:dyDescent="0.3">
      <c r="A1426" s="63" t="str">
        <f>+A1425</f>
        <v>BCV131</v>
      </c>
      <c r="B1426" s="18" t="str">
        <f>+B1425</f>
        <v>AX28</v>
      </c>
      <c r="C1426" s="85" t="str">
        <f>+C1425</f>
        <v>SIO1</v>
      </c>
      <c r="D1426" s="85" t="str">
        <f>+D1425</f>
        <v>SLC02</v>
      </c>
      <c r="E1426" s="290">
        <f>+E1425</f>
        <v>2</v>
      </c>
      <c r="F1426" s="290">
        <f>+F1425</f>
        <v>14</v>
      </c>
      <c r="G1426" s="290">
        <f>+G1425</f>
        <v>0</v>
      </c>
      <c r="H1426" s="72">
        <f>+H1425</f>
        <v>1</v>
      </c>
      <c r="I1426" s="75">
        <v>4</v>
      </c>
      <c r="J1426" s="74" t="s">
        <v>257</v>
      </c>
      <c r="K1426" s="85"/>
      <c r="L1426" s="79" t="s">
        <v>244</v>
      </c>
      <c r="M1426" s="17">
        <v>3</v>
      </c>
      <c r="N1426" s="18" t="s">
        <v>1482</v>
      </c>
      <c r="O1426" s="296" t="s">
        <v>1481</v>
      </c>
      <c r="P1426" s="296"/>
      <c r="Q1426" s="296" t="s">
        <v>1480</v>
      </c>
      <c r="R1426" s="17" t="s">
        <v>211</v>
      </c>
      <c r="S1426" s="17"/>
      <c r="T1426" s="17" t="str">
        <f>+T1425</f>
        <v>BCV131</v>
      </c>
      <c r="U1426" s="17"/>
      <c r="V1426" s="289" t="str">
        <f>+CONCATENATE(E1426,".",F1426,"\",G1426,".",H1426,":",I1426)</f>
        <v>2.14\0.1:4</v>
      </c>
      <c r="W1426" s="18" t="s">
        <v>1474</v>
      </c>
      <c r="X1426" s="17">
        <v>0</v>
      </c>
      <c r="Y1426" s="17"/>
      <c r="Z1426" s="17"/>
      <c r="AA1426" s="17"/>
      <c r="AB1426" s="17"/>
      <c r="AC1426" s="17"/>
      <c r="AD1426" s="17"/>
      <c r="AE1426" s="17"/>
      <c r="AF1426" s="17"/>
      <c r="AG1426" s="64"/>
      <c r="AH1426" s="64"/>
      <c r="AI1426" s="64"/>
      <c r="AJ1426" s="64"/>
      <c r="AK1426" s="64"/>
      <c r="AL1426" s="264"/>
      <c r="AM1426" s="84"/>
      <c r="AN1426" s="18"/>
      <c r="AO1426" s="18"/>
      <c r="AP1426" s="18"/>
      <c r="AQ1426" s="18"/>
      <c r="AR1426" s="18"/>
      <c r="AS1426" s="18"/>
      <c r="AT1426" s="18"/>
      <c r="AU1426" s="18"/>
      <c r="AV1426" s="18"/>
      <c r="AW1426" s="18"/>
      <c r="AX1426" s="18"/>
      <c r="AY1426" s="18"/>
    </row>
    <row r="1427" spans="1:51" s="33" customFormat="1" x14ac:dyDescent="0.3">
      <c r="A1427" s="63" t="str">
        <f>+A1426</f>
        <v>BCV131</v>
      </c>
      <c r="B1427" s="18" t="str">
        <f>+B1426</f>
        <v>AX28</v>
      </c>
      <c r="C1427" s="85" t="str">
        <f>+C1426</f>
        <v>SIO1</v>
      </c>
      <c r="D1427" s="85" t="str">
        <f>+D1426</f>
        <v>SLC02</v>
      </c>
      <c r="E1427" s="290">
        <f>+E1426</f>
        <v>2</v>
      </c>
      <c r="F1427" s="290">
        <f>+F1426</f>
        <v>14</v>
      </c>
      <c r="G1427" s="290">
        <f>+G1426</f>
        <v>0</v>
      </c>
      <c r="H1427" s="72">
        <f>+H1426</f>
        <v>1</v>
      </c>
      <c r="I1427" s="75">
        <v>5</v>
      </c>
      <c r="J1427" s="74" t="s">
        <v>1325</v>
      </c>
      <c r="K1427" s="85"/>
      <c r="L1427" s="79" t="s">
        <v>244</v>
      </c>
      <c r="M1427" s="17">
        <v>3</v>
      </c>
      <c r="N1427" s="17"/>
      <c r="O1427" s="296"/>
      <c r="P1427" s="296"/>
      <c r="Q1427" s="296" t="s">
        <v>127</v>
      </c>
      <c r="R1427" s="17"/>
      <c r="S1427" s="17"/>
      <c r="T1427" s="17"/>
      <c r="U1427" s="17"/>
      <c r="V1427" s="289" t="str">
        <f>+CONCATENATE(E1427,".",F1427,"\",G1427,".",H1427,":",I1427)</f>
        <v>2.14\0.1:5</v>
      </c>
      <c r="W1427" s="18" t="s">
        <v>1474</v>
      </c>
      <c r="X1427" s="17">
        <v>0</v>
      </c>
      <c r="Y1427" s="17"/>
      <c r="Z1427" s="17"/>
      <c r="AA1427" s="17"/>
      <c r="AB1427" s="17"/>
      <c r="AC1427" s="17"/>
      <c r="AD1427" s="17"/>
      <c r="AE1427" s="17"/>
      <c r="AF1427" s="17"/>
      <c r="AG1427" s="64"/>
      <c r="AH1427" s="64"/>
      <c r="AI1427" s="64"/>
      <c r="AJ1427" s="64"/>
      <c r="AK1427" s="64"/>
      <c r="AL1427" s="264"/>
      <c r="AM1427" s="84"/>
      <c r="AN1427" s="18"/>
      <c r="AO1427" s="18"/>
      <c r="AP1427" s="18"/>
      <c r="AQ1427" s="18"/>
      <c r="AR1427" s="18"/>
      <c r="AS1427" s="18"/>
      <c r="AT1427" s="18"/>
      <c r="AU1427" s="18"/>
      <c r="AV1427" s="18"/>
      <c r="AW1427" s="18"/>
      <c r="AX1427" s="18"/>
      <c r="AY1427" s="18"/>
    </row>
    <row r="1428" spans="1:51" s="33" customFormat="1" x14ac:dyDescent="0.3">
      <c r="A1428" s="63" t="str">
        <f>+A1427</f>
        <v>BCV131</v>
      </c>
      <c r="B1428" s="18" t="str">
        <f>+B1427</f>
        <v>AX28</v>
      </c>
      <c r="C1428" s="85" t="str">
        <f>+C1427</f>
        <v>SIO1</v>
      </c>
      <c r="D1428" s="85" t="str">
        <f>+D1427</f>
        <v>SLC02</v>
      </c>
      <c r="E1428" s="290">
        <f>+E1427</f>
        <v>2</v>
      </c>
      <c r="F1428" s="290">
        <f>+F1427</f>
        <v>14</v>
      </c>
      <c r="G1428" s="290">
        <f>+G1427</f>
        <v>0</v>
      </c>
      <c r="H1428" s="72">
        <f>+H1427</f>
        <v>1</v>
      </c>
      <c r="I1428" s="75">
        <v>6</v>
      </c>
      <c r="J1428" s="74" t="s">
        <v>1323</v>
      </c>
      <c r="K1428" s="85"/>
      <c r="L1428" s="79" t="s">
        <v>244</v>
      </c>
      <c r="M1428" s="17">
        <v>3</v>
      </c>
      <c r="N1428" s="17"/>
      <c r="O1428" s="296"/>
      <c r="P1428" s="296"/>
      <c r="Q1428" s="296" t="s">
        <v>127</v>
      </c>
      <c r="R1428" s="17"/>
      <c r="S1428" s="17"/>
      <c r="T1428" s="17"/>
      <c r="U1428" s="17"/>
      <c r="V1428" s="289" t="str">
        <f>+CONCATENATE(E1428,".",F1428,"\",G1428,".",H1428,":",I1428)</f>
        <v>2.14\0.1:6</v>
      </c>
      <c r="W1428" s="18" t="s">
        <v>1474</v>
      </c>
      <c r="X1428" s="17">
        <v>0</v>
      </c>
      <c r="Y1428" s="17"/>
      <c r="Z1428" s="17"/>
      <c r="AA1428" s="17"/>
      <c r="AB1428" s="17"/>
      <c r="AC1428" s="17"/>
      <c r="AD1428" s="17"/>
      <c r="AE1428" s="17"/>
      <c r="AF1428" s="17"/>
      <c r="AG1428" s="64"/>
      <c r="AH1428" s="64"/>
      <c r="AI1428" s="64"/>
      <c r="AJ1428" s="64"/>
      <c r="AK1428" s="64"/>
      <c r="AL1428" s="264"/>
      <c r="AM1428" s="84"/>
      <c r="AN1428" s="18"/>
      <c r="AO1428" s="18"/>
      <c r="AP1428" s="18"/>
      <c r="AQ1428" s="18"/>
      <c r="AR1428" s="18"/>
      <c r="AS1428" s="18"/>
      <c r="AT1428" s="18"/>
      <c r="AU1428" s="18"/>
      <c r="AV1428" s="18"/>
      <c r="AW1428" s="18"/>
      <c r="AX1428" s="18"/>
      <c r="AY1428" s="18"/>
    </row>
    <row r="1429" spans="1:51" s="33" customFormat="1" x14ac:dyDescent="0.3">
      <c r="A1429" s="63" t="str">
        <f>+A1428</f>
        <v>BCV131</v>
      </c>
      <c r="B1429" s="18" t="str">
        <f>+B1428</f>
        <v>AX28</v>
      </c>
      <c r="C1429" s="85" t="str">
        <f>+C1428</f>
        <v>SIO1</v>
      </c>
      <c r="D1429" s="85" t="str">
        <f>+D1428</f>
        <v>SLC02</v>
      </c>
      <c r="E1429" s="290">
        <f>+E1428</f>
        <v>2</v>
      </c>
      <c r="F1429" s="290">
        <f>+F1428</f>
        <v>14</v>
      </c>
      <c r="G1429" s="290">
        <f>+G1428</f>
        <v>0</v>
      </c>
      <c r="H1429" s="72">
        <f>+H1428</f>
        <v>1</v>
      </c>
      <c r="I1429" s="75">
        <v>7</v>
      </c>
      <c r="J1429" s="74" t="s">
        <v>246</v>
      </c>
      <c r="K1429" s="85"/>
      <c r="L1429" s="79" t="s">
        <v>244</v>
      </c>
      <c r="M1429" s="17">
        <v>3</v>
      </c>
      <c r="N1429" s="17"/>
      <c r="O1429" s="296"/>
      <c r="P1429" s="296"/>
      <c r="Q1429" s="296" t="s">
        <v>127</v>
      </c>
      <c r="R1429" s="17"/>
      <c r="S1429" s="17"/>
      <c r="T1429" s="17"/>
      <c r="U1429" s="17"/>
      <c r="V1429" s="289" t="str">
        <f>+CONCATENATE(E1429,".",F1429,"\",G1429,".",H1429,":",I1429)</f>
        <v>2.14\0.1:7</v>
      </c>
      <c r="W1429" s="18" t="s">
        <v>1474</v>
      </c>
      <c r="X1429" s="17">
        <v>0</v>
      </c>
      <c r="Y1429" s="17"/>
      <c r="Z1429" s="17"/>
      <c r="AA1429" s="17"/>
      <c r="AB1429" s="17"/>
      <c r="AC1429" s="17"/>
      <c r="AD1429" s="17"/>
      <c r="AE1429" s="17"/>
      <c r="AF1429" s="17"/>
      <c r="AG1429" s="64"/>
      <c r="AH1429" s="64"/>
      <c r="AI1429" s="64"/>
      <c r="AJ1429" s="64"/>
      <c r="AK1429" s="64"/>
      <c r="AL1429" s="264"/>
      <c r="AM1429" s="84"/>
      <c r="AN1429" s="18"/>
      <c r="AO1429" s="18"/>
      <c r="AP1429" s="18"/>
      <c r="AQ1429" s="18"/>
      <c r="AR1429" s="18"/>
      <c r="AS1429" s="18"/>
      <c r="AT1429" s="18"/>
      <c r="AU1429" s="18"/>
      <c r="AV1429" s="18"/>
      <c r="AW1429" s="18"/>
      <c r="AX1429" s="18"/>
      <c r="AY1429" s="18"/>
    </row>
    <row r="1430" spans="1:51" s="33" customFormat="1" x14ac:dyDescent="0.3">
      <c r="A1430" s="63" t="str">
        <f>+A1429</f>
        <v>BCV131</v>
      </c>
      <c r="B1430" s="18" t="str">
        <f>+B1429</f>
        <v>AX28</v>
      </c>
      <c r="C1430" s="85" t="str">
        <f>+C1429</f>
        <v>SIO1</v>
      </c>
      <c r="D1430" s="85" t="str">
        <f>+D1429</f>
        <v>SLC02</v>
      </c>
      <c r="E1430" s="290">
        <f>+E1429</f>
        <v>2</v>
      </c>
      <c r="F1430" s="290">
        <f>+F1429</f>
        <v>14</v>
      </c>
      <c r="G1430" s="290">
        <f>+G1429</f>
        <v>0</v>
      </c>
      <c r="H1430" s="72">
        <f>+H1429</f>
        <v>1</v>
      </c>
      <c r="I1430" s="75">
        <v>8</v>
      </c>
      <c r="J1430" s="74" t="s">
        <v>245</v>
      </c>
      <c r="K1430" s="85"/>
      <c r="L1430" s="79" t="s">
        <v>244</v>
      </c>
      <c r="M1430" s="17">
        <v>3</v>
      </c>
      <c r="N1430" s="17"/>
      <c r="O1430" s="296"/>
      <c r="P1430" s="296"/>
      <c r="Q1430" s="296" t="s">
        <v>127</v>
      </c>
      <c r="R1430" s="17"/>
      <c r="S1430" s="17"/>
      <c r="T1430" s="17"/>
      <c r="U1430" s="17"/>
      <c r="V1430" s="289" t="str">
        <f>+CONCATENATE(E1430,".",F1430,"\",G1430,".",H1430,":",I1430)</f>
        <v>2.14\0.1:8</v>
      </c>
      <c r="W1430" s="18" t="s">
        <v>1474</v>
      </c>
      <c r="X1430" s="17">
        <v>0</v>
      </c>
      <c r="Y1430" s="17"/>
      <c r="Z1430" s="17"/>
      <c r="AA1430" s="17"/>
      <c r="AB1430" s="17"/>
      <c r="AC1430" s="17"/>
      <c r="AD1430" s="17"/>
      <c r="AE1430" s="17"/>
      <c r="AF1430" s="17"/>
      <c r="AG1430" s="64"/>
      <c r="AH1430" s="64"/>
      <c r="AI1430" s="64"/>
      <c r="AJ1430" s="64"/>
      <c r="AK1430" s="64"/>
      <c r="AL1430" s="264"/>
      <c r="AM1430" s="84"/>
      <c r="AN1430" s="18"/>
      <c r="AO1430" s="18"/>
      <c r="AP1430" s="18"/>
      <c r="AQ1430" s="18"/>
      <c r="AR1430" s="18"/>
      <c r="AS1430" s="18"/>
      <c r="AT1430" s="18"/>
      <c r="AU1430" s="18"/>
      <c r="AV1430" s="18"/>
      <c r="AW1430" s="18"/>
      <c r="AX1430" s="18"/>
      <c r="AY1430" s="18"/>
    </row>
    <row r="1431" spans="1:51" s="33" customFormat="1" x14ac:dyDescent="0.3">
      <c r="A1431" s="63" t="str">
        <f>+A1430</f>
        <v>BCV131</v>
      </c>
      <c r="B1431" s="18" t="str">
        <f>+B1430</f>
        <v>AX28</v>
      </c>
      <c r="C1431" s="85" t="str">
        <f>+C1430</f>
        <v>SIO1</v>
      </c>
      <c r="D1431" s="85" t="str">
        <f>+D1430</f>
        <v>SLC02</v>
      </c>
      <c r="E1431" s="290">
        <f>+E1430</f>
        <v>2</v>
      </c>
      <c r="F1431" s="290">
        <f>+F1430</f>
        <v>14</v>
      </c>
      <c r="G1431" s="290">
        <f>+G1430</f>
        <v>0</v>
      </c>
      <c r="H1431" s="72">
        <f>+H1430</f>
        <v>1</v>
      </c>
      <c r="I1431" s="75">
        <v>1</v>
      </c>
      <c r="J1431" s="81" t="s">
        <v>1321</v>
      </c>
      <c r="K1431" s="85" t="s">
        <v>1366</v>
      </c>
      <c r="L1431" s="79" t="s">
        <v>235</v>
      </c>
      <c r="M1431" s="17">
        <v>3</v>
      </c>
      <c r="N1431" s="18" t="s">
        <v>1478</v>
      </c>
      <c r="O1431" s="17" t="s">
        <v>1479</v>
      </c>
      <c r="P1431" s="17"/>
      <c r="Q1431" s="17" t="s">
        <v>1335</v>
      </c>
      <c r="R1431" s="17" t="s">
        <v>922</v>
      </c>
      <c r="S1431" s="17"/>
      <c r="T1431" s="17" t="str">
        <f>+T1423</f>
        <v>BCV131</v>
      </c>
      <c r="U1431" s="17"/>
      <c r="V1431" s="289" t="str">
        <f>+CONCATENATE(E1431,".",F1431,"\",G1431,".",H1431,":",I1431)</f>
        <v>2.14\0.1:1</v>
      </c>
      <c r="W1431" s="18" t="s">
        <v>1474</v>
      </c>
      <c r="X1431" s="17">
        <v>0</v>
      </c>
      <c r="Y1431" s="17"/>
      <c r="Z1431" s="17"/>
      <c r="AA1431" s="17"/>
      <c r="AB1431" s="17"/>
      <c r="AC1431" s="17"/>
      <c r="AD1431" s="17"/>
      <c r="AE1431" s="17"/>
      <c r="AF1431" s="17"/>
      <c r="AG1431" s="64"/>
      <c r="AH1431" s="64"/>
      <c r="AI1431" s="64"/>
      <c r="AJ1431" s="64"/>
      <c r="AK1431" s="64"/>
      <c r="AL1431" s="264"/>
      <c r="AM1431" s="84"/>
      <c r="AN1431" s="18"/>
      <c r="AO1431" s="18"/>
      <c r="AP1431" s="18"/>
      <c r="AQ1431" s="18"/>
      <c r="AR1431" s="18"/>
      <c r="AS1431" s="18"/>
      <c r="AT1431" s="18"/>
      <c r="AU1431" s="18"/>
      <c r="AV1431" s="18"/>
      <c r="AW1431" s="18"/>
      <c r="AX1431" s="18"/>
      <c r="AY1431" s="18"/>
    </row>
    <row r="1432" spans="1:51" s="33" customFormat="1" x14ac:dyDescent="0.3">
      <c r="A1432" s="63" t="str">
        <f>+A1431</f>
        <v>BCV131</v>
      </c>
      <c r="B1432" s="18" t="str">
        <f>+B1431</f>
        <v>AX28</v>
      </c>
      <c r="C1432" s="85" t="str">
        <f>+C1431</f>
        <v>SIO1</v>
      </c>
      <c r="D1432" s="85" t="str">
        <f>+D1431</f>
        <v>SLC02</v>
      </c>
      <c r="E1432" s="290">
        <f>+E1431</f>
        <v>2</v>
      </c>
      <c r="F1432" s="290">
        <f>+F1431</f>
        <v>14</v>
      </c>
      <c r="G1432" s="290">
        <f>+G1431</f>
        <v>0</v>
      </c>
      <c r="H1432" s="72">
        <f>+H1431</f>
        <v>1</v>
      </c>
      <c r="I1432" s="75">
        <v>2</v>
      </c>
      <c r="J1432" s="74" t="s">
        <v>1320</v>
      </c>
      <c r="K1432" s="85"/>
      <c r="L1432" s="79" t="s">
        <v>235</v>
      </c>
      <c r="M1432" s="17">
        <v>3</v>
      </c>
      <c r="N1432" s="18" t="s">
        <v>1478</v>
      </c>
      <c r="O1432" s="17" t="s">
        <v>1477</v>
      </c>
      <c r="P1432" s="17"/>
      <c r="Q1432" s="17" t="s">
        <v>1330</v>
      </c>
      <c r="R1432" s="17" t="s">
        <v>922</v>
      </c>
      <c r="S1432" s="17"/>
      <c r="T1432" s="17" t="str">
        <f>+T1431</f>
        <v>BCV131</v>
      </c>
      <c r="U1432" s="17"/>
      <c r="V1432" s="289" t="str">
        <f>+CONCATENATE(E1432,".",F1432,"\",G1432,".",H1432,":",I1432)</f>
        <v>2.14\0.1:2</v>
      </c>
      <c r="W1432" s="18" t="s">
        <v>1474</v>
      </c>
      <c r="X1432" s="17">
        <v>0</v>
      </c>
      <c r="Y1432" s="17"/>
      <c r="Z1432" s="17"/>
      <c r="AA1432" s="17"/>
      <c r="AB1432" s="17"/>
      <c r="AC1432" s="17"/>
      <c r="AD1432" s="17"/>
      <c r="AE1432" s="17"/>
      <c r="AF1432" s="17"/>
      <c r="AG1432" s="64"/>
      <c r="AH1432" s="64"/>
      <c r="AI1432" s="64"/>
      <c r="AJ1432" s="64"/>
      <c r="AK1432" s="64"/>
      <c r="AL1432" s="264"/>
      <c r="AM1432" s="84"/>
      <c r="AN1432" s="18"/>
      <c r="AO1432" s="18"/>
      <c r="AP1432" s="18"/>
      <c r="AQ1432" s="18"/>
      <c r="AR1432" s="18"/>
      <c r="AS1432" s="18"/>
      <c r="AT1432" s="18"/>
      <c r="AU1432" s="18"/>
      <c r="AV1432" s="18"/>
      <c r="AW1432" s="18"/>
      <c r="AX1432" s="18"/>
      <c r="AY1432" s="18"/>
    </row>
    <row r="1433" spans="1:51" s="33" customFormat="1" x14ac:dyDescent="0.3">
      <c r="A1433" s="63" t="str">
        <f>+A1432</f>
        <v>BCV131</v>
      </c>
      <c r="B1433" s="18" t="str">
        <f>+B1432</f>
        <v>AX28</v>
      </c>
      <c r="C1433" s="85" t="str">
        <f>+C1432</f>
        <v>SIO1</v>
      </c>
      <c r="D1433" s="85" t="str">
        <f>+D1432</f>
        <v>SLC02</v>
      </c>
      <c r="E1433" s="290">
        <f>+E1432</f>
        <v>2</v>
      </c>
      <c r="F1433" s="290">
        <f>+F1432</f>
        <v>14</v>
      </c>
      <c r="G1433" s="290">
        <f>+G1432</f>
        <v>0</v>
      </c>
      <c r="H1433" s="72">
        <f>+H1432</f>
        <v>1</v>
      </c>
      <c r="I1433" s="75">
        <v>3</v>
      </c>
      <c r="J1433" s="74" t="s">
        <v>1319</v>
      </c>
      <c r="K1433" s="85"/>
      <c r="L1433" s="79" t="s">
        <v>235</v>
      </c>
      <c r="M1433" s="17">
        <v>3</v>
      </c>
      <c r="N1433" s="18" t="s">
        <v>1476</v>
      </c>
      <c r="O1433" s="17" t="s">
        <v>1475</v>
      </c>
      <c r="P1433" s="17"/>
      <c r="Q1433" s="17" t="s">
        <v>1330</v>
      </c>
      <c r="R1433" s="17" t="s">
        <v>922</v>
      </c>
      <c r="S1433" s="17"/>
      <c r="T1433" s="17" t="str">
        <f>+T1432</f>
        <v>BCV131</v>
      </c>
      <c r="U1433" s="17"/>
      <c r="V1433" s="289" t="str">
        <f>+CONCATENATE(E1433,".",F1433,"\",G1433,".",H1433,":",I1433)</f>
        <v>2.14\0.1:3</v>
      </c>
      <c r="W1433" s="18" t="s">
        <v>1474</v>
      </c>
      <c r="X1433" s="17">
        <v>0</v>
      </c>
      <c r="Y1433" s="17"/>
      <c r="Z1433" s="17"/>
      <c r="AA1433" s="17"/>
      <c r="AB1433" s="17"/>
      <c r="AC1433" s="17"/>
      <c r="AD1433" s="17"/>
      <c r="AE1433" s="17"/>
      <c r="AF1433" s="17"/>
      <c r="AG1433" s="64"/>
      <c r="AH1433" s="64"/>
      <c r="AI1433" s="64"/>
      <c r="AJ1433" s="64"/>
      <c r="AK1433" s="64"/>
      <c r="AL1433" s="264"/>
      <c r="AM1433" s="84"/>
      <c r="AN1433" s="18"/>
      <c r="AO1433" s="18"/>
      <c r="AP1433" s="18"/>
      <c r="AQ1433" s="18"/>
      <c r="AR1433" s="18"/>
      <c r="AS1433" s="18"/>
      <c r="AT1433" s="18"/>
      <c r="AU1433" s="18"/>
      <c r="AV1433" s="18"/>
      <c r="AW1433" s="18"/>
      <c r="AX1433" s="18"/>
      <c r="AY1433" s="18"/>
    </row>
    <row r="1434" spans="1:51" s="33" customFormat="1" ht="13.5" thickBot="1" x14ac:dyDescent="0.35">
      <c r="A1434" s="63" t="str">
        <f>+A1433</f>
        <v>BCV131</v>
      </c>
      <c r="B1434" s="18" t="str">
        <f>+B1433</f>
        <v>AX28</v>
      </c>
      <c r="C1434" s="85" t="str">
        <f>+C1433</f>
        <v>SIO1</v>
      </c>
      <c r="D1434" s="85" t="str">
        <f>+D1433</f>
        <v>SLC02</v>
      </c>
      <c r="E1434" s="290">
        <f>+E1433</f>
        <v>2</v>
      </c>
      <c r="F1434" s="290">
        <f>+F1433</f>
        <v>14</v>
      </c>
      <c r="G1434" s="290">
        <f>+G1433</f>
        <v>0</v>
      </c>
      <c r="H1434" s="72">
        <f>+H1433</f>
        <v>1</v>
      </c>
      <c r="I1434" s="71">
        <v>4</v>
      </c>
      <c r="J1434" s="70" t="s">
        <v>1318</v>
      </c>
      <c r="K1434" s="85"/>
      <c r="L1434" s="79" t="s">
        <v>235</v>
      </c>
      <c r="M1434" s="17">
        <v>3</v>
      </c>
      <c r="N1434" s="17"/>
      <c r="O1434" s="17"/>
      <c r="P1434" s="17"/>
      <c r="Q1434" s="68"/>
      <c r="R1434" s="68"/>
      <c r="S1434" s="68"/>
      <c r="T1434" s="68"/>
      <c r="U1434" s="17"/>
      <c r="V1434" s="289" t="str">
        <f>+CONCATENATE(E1434,".",F1434,"\",G1434,".",H1434,":",I1434)</f>
        <v>2.14\0.1:4</v>
      </c>
      <c r="W1434" s="18" t="s">
        <v>1474</v>
      </c>
      <c r="X1434" s="17">
        <v>0</v>
      </c>
      <c r="Y1434" s="17"/>
      <c r="Z1434" s="17"/>
      <c r="AA1434" s="17"/>
      <c r="AB1434" s="17"/>
      <c r="AC1434" s="17"/>
      <c r="AD1434" s="17"/>
      <c r="AE1434" s="17"/>
      <c r="AF1434" s="17"/>
      <c r="AG1434" s="64"/>
      <c r="AH1434" s="64"/>
      <c r="AI1434" s="64"/>
      <c r="AJ1434" s="64"/>
      <c r="AK1434" s="64"/>
      <c r="AL1434" s="264"/>
      <c r="AM1434" s="84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  <c r="AY1434" s="18"/>
    </row>
    <row r="1435" spans="1:51" s="33" customFormat="1" x14ac:dyDescent="0.3">
      <c r="A1435" s="63"/>
      <c r="B1435" s="63"/>
      <c r="C1435" s="63"/>
      <c r="D1435" s="63"/>
      <c r="E1435" s="288"/>
      <c r="F1435" s="288"/>
      <c r="G1435" s="288"/>
      <c r="H1435" s="63"/>
      <c r="I1435" s="63"/>
      <c r="J1435" s="63"/>
      <c r="K1435" s="17"/>
      <c r="L1435" s="17"/>
      <c r="M1435" s="17"/>
      <c r="N1435" s="17"/>
      <c r="O1435" s="68"/>
      <c r="P1435" s="68"/>
      <c r="Q1435" s="68"/>
      <c r="R1435" s="68"/>
      <c r="S1435" s="68"/>
      <c r="T1435" s="68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64"/>
      <c r="AH1435" s="64"/>
      <c r="AI1435" s="64"/>
      <c r="AJ1435" s="64"/>
      <c r="AK1435" s="64"/>
      <c r="AL1435" s="264"/>
      <c r="AM1435" s="84"/>
      <c r="AN1435" s="18"/>
      <c r="AO1435" s="18"/>
      <c r="AP1435" s="18"/>
      <c r="AQ1435" s="18"/>
      <c r="AR1435" s="18"/>
      <c r="AS1435" s="18"/>
      <c r="AT1435" s="18"/>
      <c r="AU1435" s="18"/>
      <c r="AV1435" s="18"/>
      <c r="AW1435" s="18"/>
      <c r="AX1435" s="18"/>
      <c r="AY1435" s="18"/>
    </row>
    <row r="1436" spans="1:51" s="33" customFormat="1" x14ac:dyDescent="0.3">
      <c r="A1436" s="63"/>
      <c r="B1436" s="63"/>
      <c r="C1436" s="63"/>
      <c r="D1436" s="63"/>
      <c r="E1436" s="288"/>
      <c r="F1436" s="288"/>
      <c r="G1436" s="288"/>
      <c r="H1436" s="63"/>
      <c r="I1436" s="63"/>
      <c r="J1436" s="63"/>
      <c r="K1436" s="17"/>
      <c r="L1436" s="17"/>
      <c r="M1436" s="17"/>
      <c r="N1436" s="17"/>
      <c r="O1436" s="68"/>
      <c r="P1436" s="68"/>
      <c r="Q1436" s="68"/>
      <c r="R1436" s="68"/>
      <c r="S1436" s="68"/>
      <c r="T1436" s="68"/>
      <c r="U1436" s="17"/>
      <c r="V1436" s="17"/>
      <c r="W1436" s="17"/>
      <c r="X1436" s="17"/>
      <c r="Y1436" s="17"/>
      <c r="Z1436" s="17"/>
      <c r="AA1436" s="17"/>
      <c r="AB1436" s="20"/>
      <c r="AC1436" s="17"/>
      <c r="AD1436" s="17"/>
      <c r="AE1436" s="17"/>
      <c r="AF1436" s="17"/>
      <c r="AG1436" s="64"/>
      <c r="AH1436" s="64"/>
      <c r="AI1436" s="64"/>
      <c r="AJ1436" s="64"/>
      <c r="AK1436" s="64"/>
      <c r="AL1436" s="264"/>
      <c r="AM1436" s="84"/>
      <c r="AN1436" s="18"/>
      <c r="AO1436" s="18"/>
      <c r="AP1436" s="18"/>
      <c r="AQ1436" s="18"/>
      <c r="AR1436" s="18"/>
      <c r="AS1436" s="18"/>
      <c r="AT1436" s="18"/>
      <c r="AU1436" s="18"/>
      <c r="AV1436" s="18"/>
      <c r="AW1436" s="18"/>
      <c r="AX1436" s="18"/>
      <c r="AY1436" s="18"/>
    </row>
    <row r="1437" spans="1:51" s="33" customFormat="1" x14ac:dyDescent="0.3">
      <c r="A1437" s="63"/>
      <c r="B1437" s="63"/>
      <c r="C1437" s="63"/>
      <c r="D1437" s="63"/>
      <c r="E1437" s="288"/>
      <c r="F1437" s="288"/>
      <c r="G1437" s="288"/>
      <c r="H1437" s="63"/>
      <c r="I1437" s="63"/>
      <c r="J1437" s="63"/>
      <c r="K1437" s="17"/>
      <c r="L1437" s="17"/>
      <c r="M1437" s="17"/>
      <c r="N1437" s="17"/>
      <c r="O1437" s="68"/>
      <c r="P1437" s="68"/>
      <c r="Q1437" s="68"/>
      <c r="R1437" s="68"/>
      <c r="S1437" s="68"/>
      <c r="T1437" s="68"/>
      <c r="U1437" s="17"/>
      <c r="V1437" s="17"/>
      <c r="W1437" s="17"/>
      <c r="X1437" s="17"/>
      <c r="Y1437" s="17"/>
      <c r="Z1437" s="17"/>
      <c r="AA1437" s="17"/>
      <c r="AB1437" s="20"/>
      <c r="AC1437" s="17"/>
      <c r="AD1437" s="17"/>
      <c r="AE1437" s="17"/>
      <c r="AF1437" s="17"/>
      <c r="AG1437" s="64"/>
      <c r="AH1437" s="64"/>
      <c r="AI1437" s="64"/>
      <c r="AJ1437" s="64"/>
      <c r="AK1437" s="64"/>
      <c r="AL1437" s="264"/>
      <c r="AM1437" s="84"/>
      <c r="AN1437" s="18"/>
      <c r="AO1437" s="18"/>
      <c r="AP1437" s="18"/>
      <c r="AQ1437" s="18"/>
      <c r="AR1437" s="18"/>
      <c r="AS1437" s="18"/>
      <c r="AT1437" s="18"/>
      <c r="AU1437" s="18"/>
      <c r="AV1437" s="18"/>
      <c r="AW1437" s="18"/>
      <c r="AX1437" s="18"/>
      <c r="AY1437" s="18"/>
    </row>
    <row r="1438" spans="1:51" s="33" customFormat="1" ht="15.5" x14ac:dyDescent="0.35">
      <c r="A1438" s="297"/>
      <c r="B1438" s="96" t="s">
        <v>1473</v>
      </c>
      <c r="C1438" s="256"/>
      <c r="D1438" s="256"/>
      <c r="E1438" s="256"/>
      <c r="F1438" s="256"/>
      <c r="G1438" s="256"/>
      <c r="H1438" s="256"/>
      <c r="I1438" s="256"/>
      <c r="J1438" s="256"/>
      <c r="K1438" s="256"/>
      <c r="L1438" s="256"/>
      <c r="M1438" s="256"/>
      <c r="N1438" s="287"/>
      <c r="O1438" s="256"/>
      <c r="P1438" s="287"/>
      <c r="Q1438" s="256"/>
      <c r="R1438" s="256"/>
      <c r="S1438" s="256"/>
      <c r="T1438" s="256"/>
      <c r="U1438" s="256"/>
      <c r="V1438" s="256"/>
      <c r="W1438" s="287"/>
      <c r="X1438" s="256"/>
      <c r="Y1438" s="256"/>
      <c r="Z1438" s="46"/>
      <c r="AA1438" s="46"/>
      <c r="AB1438" s="20"/>
      <c r="AC1438" s="46"/>
      <c r="AD1438" s="46"/>
      <c r="AE1438" s="46"/>
      <c r="AF1438" s="46"/>
      <c r="AG1438" s="92"/>
      <c r="AH1438" s="92"/>
      <c r="AI1438" s="92"/>
      <c r="AJ1438" s="92"/>
      <c r="AK1438" s="92"/>
      <c r="AL1438" s="284"/>
      <c r="AM1438" s="94"/>
      <c r="AN1438" s="18"/>
      <c r="AO1438" s="18"/>
      <c r="AP1438" s="18"/>
      <c r="AQ1438" s="18"/>
      <c r="AR1438" s="18"/>
      <c r="AS1438" s="18"/>
      <c r="AT1438" s="18"/>
      <c r="AU1438" s="18"/>
      <c r="AV1438" s="18"/>
      <c r="AW1438" s="18"/>
      <c r="AX1438" s="18"/>
      <c r="AY1438" s="18"/>
    </row>
    <row r="1439" spans="1:51" s="18" customFormat="1" thickBot="1" x14ac:dyDescent="0.3"/>
    <row r="1440" spans="1:51" s="33" customFormat="1" ht="13.5" thickBot="1" x14ac:dyDescent="0.35">
      <c r="A1440" s="162" t="s">
        <v>1472</v>
      </c>
      <c r="B1440" s="17" t="s">
        <v>1453</v>
      </c>
      <c r="C1440" s="18" t="s">
        <v>723</v>
      </c>
      <c r="D1440" s="18">
        <v>132</v>
      </c>
      <c r="E1440" s="84">
        <v>2</v>
      </c>
      <c r="F1440" s="84">
        <v>11</v>
      </c>
      <c r="G1440" s="84">
        <v>0</v>
      </c>
      <c r="H1440" s="214"/>
      <c r="I1440" s="245"/>
      <c r="J1440" s="244"/>
      <c r="K1440" s="18"/>
      <c r="L1440" s="83"/>
      <c r="M1440" s="83"/>
      <c r="N1440" s="83"/>
      <c r="O1440" s="83"/>
      <c r="P1440" s="83"/>
      <c r="Q1440" s="83"/>
      <c r="R1440" s="83"/>
      <c r="S1440" s="83"/>
      <c r="T1440" s="83"/>
      <c r="U1440" s="83"/>
      <c r="V1440" s="83"/>
      <c r="W1440" s="83"/>
      <c r="X1440" s="83"/>
      <c r="Y1440" s="20"/>
      <c r="Z1440" s="20"/>
      <c r="AA1440" s="20"/>
      <c r="AB1440" s="20"/>
      <c r="AC1440" s="20"/>
      <c r="AD1440" s="20"/>
      <c r="AE1440" s="20"/>
      <c r="AF1440" s="20"/>
      <c r="AG1440" s="92"/>
      <c r="AH1440" s="92"/>
      <c r="AI1440" s="92"/>
      <c r="AJ1440" s="92"/>
      <c r="AK1440" s="92"/>
      <c r="AL1440" s="284"/>
      <c r="AM1440" s="17"/>
      <c r="AN1440" s="18"/>
      <c r="AO1440" s="18"/>
      <c r="AP1440" s="18"/>
      <c r="AQ1440" s="18"/>
      <c r="AR1440" s="18"/>
      <c r="AS1440" s="18"/>
      <c r="AT1440" s="18"/>
      <c r="AU1440" s="18"/>
      <c r="AV1440" s="18"/>
      <c r="AW1440" s="18"/>
      <c r="AX1440" s="18"/>
      <c r="AY1440" s="18"/>
    </row>
    <row r="1441" spans="1:51" s="33" customFormat="1" ht="13.5" thickBot="1" x14ac:dyDescent="0.35">
      <c r="A1441" s="268" t="s">
        <v>194</v>
      </c>
      <c r="B1441" s="17" t="s">
        <v>1453</v>
      </c>
      <c r="C1441" s="18" t="str">
        <f>+C1440</f>
        <v>DIO1</v>
      </c>
      <c r="D1441" s="18">
        <v>132</v>
      </c>
      <c r="E1441" s="84">
        <f>+E1440</f>
        <v>2</v>
      </c>
      <c r="F1441" s="84">
        <f>+F1440</f>
        <v>11</v>
      </c>
      <c r="G1441" s="84">
        <v>0</v>
      </c>
      <c r="H1441" s="83"/>
      <c r="I1441" s="245" t="s">
        <v>1090</v>
      </c>
      <c r="J1441" s="246"/>
      <c r="K1441" s="165" t="s">
        <v>1471</v>
      </c>
      <c r="L1441" s="83"/>
      <c r="M1441" s="83"/>
      <c r="N1441" s="83"/>
      <c r="O1441" s="83"/>
      <c r="P1441" s="83"/>
      <c r="Q1441" s="83"/>
      <c r="R1441" s="83"/>
      <c r="S1441" s="83"/>
      <c r="T1441" s="83"/>
      <c r="U1441" s="83"/>
      <c r="V1441" s="83"/>
      <c r="W1441" s="83"/>
      <c r="X1441" s="83"/>
      <c r="Y1441" s="20"/>
      <c r="Z1441" s="20"/>
      <c r="AA1441" s="20"/>
      <c r="AB1441" s="20"/>
      <c r="AC1441" s="20"/>
      <c r="AD1441" s="20"/>
      <c r="AE1441" s="20"/>
      <c r="AF1441" s="20"/>
      <c r="AG1441" s="92"/>
      <c r="AH1441" s="92"/>
      <c r="AI1441" s="92"/>
      <c r="AJ1441" s="92"/>
      <c r="AK1441" s="92"/>
      <c r="AL1441" s="284"/>
      <c r="AM1441" s="17"/>
      <c r="AN1441" s="18"/>
      <c r="AO1441" s="18"/>
      <c r="AP1441" s="18"/>
      <c r="AQ1441" s="18"/>
      <c r="AR1441" s="18"/>
      <c r="AS1441" s="18"/>
      <c r="AT1441" s="18"/>
      <c r="AU1441" s="18"/>
      <c r="AV1441" s="18"/>
      <c r="AW1441" s="18"/>
      <c r="AX1441" s="18"/>
      <c r="AY1441" s="18"/>
    </row>
    <row r="1442" spans="1:51" s="33" customFormat="1" ht="13.5" thickBot="1" x14ac:dyDescent="0.35">
      <c r="A1442" s="268" t="s">
        <v>194</v>
      </c>
      <c r="B1442" s="17" t="s">
        <v>1453</v>
      </c>
      <c r="C1442" s="18" t="str">
        <f>+C1441</f>
        <v>DIO1</v>
      </c>
      <c r="D1442" s="18">
        <v>132</v>
      </c>
      <c r="E1442" s="84">
        <f>+E1441</f>
        <v>2</v>
      </c>
      <c r="F1442" s="84">
        <f>+F1441</f>
        <v>11</v>
      </c>
      <c r="G1442" s="84">
        <v>0</v>
      </c>
      <c r="H1442" s="83"/>
      <c r="I1442" s="245" t="s">
        <v>1088</v>
      </c>
      <c r="J1442" s="246"/>
      <c r="K1442" s="18" t="s">
        <v>1470</v>
      </c>
      <c r="L1442" s="83"/>
      <c r="M1442" s="242" t="s">
        <v>1086</v>
      </c>
      <c r="N1442" s="84"/>
      <c r="O1442" s="242" t="s">
        <v>1085</v>
      </c>
      <c r="P1442" s="84"/>
      <c r="Q1442" s="242" t="s">
        <v>1084</v>
      </c>
      <c r="R1442" s="83"/>
      <c r="S1442" s="83"/>
      <c r="T1442" s="83"/>
      <c r="U1442" s="83"/>
      <c r="V1442" s="83"/>
      <c r="W1442" s="83"/>
      <c r="X1442" s="83"/>
      <c r="Y1442" s="20"/>
      <c r="Z1442" s="20"/>
      <c r="AA1442" s="20"/>
      <c r="AB1442" s="20"/>
      <c r="AC1442" s="20"/>
      <c r="AD1442" s="20"/>
      <c r="AE1442" s="20"/>
      <c r="AF1442" s="20"/>
      <c r="AG1442" s="92"/>
      <c r="AH1442" s="92"/>
      <c r="AI1442" s="92"/>
      <c r="AJ1442" s="92"/>
      <c r="AK1442" s="92"/>
      <c r="AL1442" s="284"/>
      <c r="AM1442" s="17"/>
      <c r="AN1442" s="18"/>
      <c r="AO1442" s="18"/>
      <c r="AP1442" s="18"/>
      <c r="AQ1442" s="18"/>
      <c r="AR1442" s="18"/>
      <c r="AS1442" s="18"/>
      <c r="AT1442" s="18"/>
      <c r="AU1442" s="18"/>
      <c r="AV1442" s="18"/>
      <c r="AW1442" s="18"/>
      <c r="AX1442" s="18"/>
      <c r="AY1442" s="18"/>
    </row>
    <row r="1443" spans="1:51" s="33" customFormat="1" ht="13.5" thickBot="1" x14ac:dyDescent="0.35">
      <c r="A1443" s="268" t="s">
        <v>194</v>
      </c>
      <c r="B1443" s="17" t="s">
        <v>1453</v>
      </c>
      <c r="C1443" s="18" t="str">
        <f>+C1442</f>
        <v>DIO1</v>
      </c>
      <c r="D1443" s="18">
        <v>132</v>
      </c>
      <c r="E1443" s="84">
        <f>+E1442</f>
        <v>2</v>
      </c>
      <c r="F1443" s="84">
        <f>+F1442</f>
        <v>11</v>
      </c>
      <c r="G1443" s="84">
        <v>0</v>
      </c>
      <c r="H1443" s="65">
        <v>0</v>
      </c>
      <c r="I1443" s="245" t="s">
        <v>1083</v>
      </c>
      <c r="J1443" s="244"/>
      <c r="K1443" s="17" t="s">
        <v>1082</v>
      </c>
      <c r="L1443" s="99" t="s">
        <v>1314</v>
      </c>
      <c r="M1443" s="242">
        <f>+COUNTA(L1444:L1483)</f>
        <v>32</v>
      </c>
      <c r="N1443" s="84"/>
      <c r="O1443" s="242">
        <f>+COUNTBLANK(O1444:O1483)</f>
        <v>35</v>
      </c>
      <c r="P1443" s="84"/>
      <c r="Q1443" s="241">
        <f>+O1443/M1443</f>
        <v>1.09375</v>
      </c>
      <c r="R1443" s="17"/>
      <c r="S1443" s="17"/>
      <c r="T1443" s="17"/>
      <c r="U1443" s="17"/>
      <c r="V1443" s="17"/>
      <c r="W1443" s="17"/>
      <c r="X1443" s="17"/>
      <c r="Y1443" s="20"/>
      <c r="Z1443" s="20"/>
      <c r="AA1443" s="20"/>
      <c r="AB1443" s="20"/>
      <c r="AC1443" s="20"/>
      <c r="AD1443" s="20"/>
      <c r="AE1443" s="20"/>
      <c r="AF1443" s="20"/>
      <c r="AG1443" s="64"/>
      <c r="AH1443" s="64"/>
      <c r="AI1443" s="64"/>
      <c r="AJ1443" s="64"/>
      <c r="AK1443" s="64"/>
      <c r="AL1443" s="264"/>
      <c r="AM1443" s="17"/>
      <c r="AN1443" s="18"/>
      <c r="AO1443" s="18"/>
      <c r="AP1443" s="18"/>
      <c r="AQ1443" s="18"/>
      <c r="AR1443" s="18"/>
      <c r="AS1443" s="18"/>
      <c r="AT1443" s="18"/>
      <c r="AU1443" s="18"/>
      <c r="AV1443" s="18"/>
      <c r="AW1443" s="18"/>
      <c r="AX1443" s="18"/>
      <c r="AY1443" s="18"/>
    </row>
    <row r="1444" spans="1:51" s="33" customFormat="1" x14ac:dyDescent="0.3">
      <c r="A1444" s="268" t="s">
        <v>194</v>
      </c>
      <c r="B1444" s="17" t="s">
        <v>1453</v>
      </c>
      <c r="C1444" s="18" t="str">
        <f>+C1443</f>
        <v>DIO1</v>
      </c>
      <c r="D1444" s="18">
        <v>132</v>
      </c>
      <c r="E1444" s="84">
        <f>+E1443</f>
        <v>2</v>
      </c>
      <c r="F1444" s="84">
        <f>+F1443</f>
        <v>11</v>
      </c>
      <c r="G1444" s="84">
        <v>0</v>
      </c>
      <c r="H1444" s="202">
        <v>1</v>
      </c>
      <c r="I1444" s="188">
        <v>0</v>
      </c>
      <c r="J1444" s="279" t="s">
        <v>767</v>
      </c>
      <c r="K1444" s="18" t="s">
        <v>766</v>
      </c>
      <c r="L1444" s="17" t="s">
        <v>323</v>
      </c>
      <c r="M1444" s="18">
        <v>3</v>
      </c>
      <c r="N1444" s="18" t="s">
        <v>1468</v>
      </c>
      <c r="O1444" s="17" t="s">
        <v>770</v>
      </c>
      <c r="P1444" s="17"/>
      <c r="Q1444" s="17" t="s">
        <v>1469</v>
      </c>
      <c r="R1444" s="17" t="s">
        <v>211</v>
      </c>
      <c r="S1444" s="17"/>
      <c r="T1444" s="18" t="s">
        <v>1468</v>
      </c>
      <c r="U1444" s="17"/>
      <c r="V1444" s="17" t="str">
        <f>+CONCATENATE(E1444,".",F1444,"\",G1444,".",H1444,":",I1444)</f>
        <v>2.11\0.1:0</v>
      </c>
      <c r="W1444" s="17" t="s">
        <v>1467</v>
      </c>
      <c r="X1444" s="17">
        <v>0</v>
      </c>
      <c r="Y1444" s="20"/>
      <c r="Z1444" s="20" t="s">
        <v>1200</v>
      </c>
      <c r="AA1444" s="20"/>
      <c r="AB1444" s="17"/>
      <c r="AC1444" s="20"/>
      <c r="AD1444" s="20"/>
      <c r="AE1444" s="20"/>
      <c r="AF1444" s="17"/>
      <c r="AG1444" s="64" t="s">
        <v>1079</v>
      </c>
      <c r="AH1444" s="64">
        <v>1</v>
      </c>
      <c r="AI1444" s="64"/>
      <c r="AJ1444" s="64"/>
      <c r="AK1444" s="64"/>
      <c r="AL1444" s="264"/>
      <c r="AM1444" s="84"/>
      <c r="AN1444" s="18"/>
      <c r="AO1444" s="18"/>
      <c r="AP1444" s="18"/>
      <c r="AQ1444" s="18"/>
      <c r="AR1444" s="18"/>
      <c r="AS1444" s="18"/>
      <c r="AT1444" s="18"/>
      <c r="AU1444" s="18"/>
      <c r="AV1444" s="18"/>
      <c r="AW1444" s="18"/>
      <c r="AX1444" s="18"/>
      <c r="AY1444" s="18"/>
    </row>
    <row r="1445" spans="1:51" s="33" customFormat="1" x14ac:dyDescent="0.3">
      <c r="A1445" s="63" t="str">
        <f>A1444</f>
        <v>BCV131</v>
      </c>
      <c r="B1445" s="17" t="s">
        <v>1453</v>
      </c>
      <c r="C1445" s="18" t="str">
        <f>+C1444</f>
        <v>DIO1</v>
      </c>
      <c r="D1445" s="18">
        <v>132</v>
      </c>
      <c r="E1445" s="84">
        <f>+E1444</f>
        <v>2</v>
      </c>
      <c r="F1445" s="84">
        <f>+F1444</f>
        <v>11</v>
      </c>
      <c r="G1445" s="84">
        <v>0</v>
      </c>
      <c r="H1445" s="200">
        <f>H1444</f>
        <v>1</v>
      </c>
      <c r="I1445" s="187">
        <f>+I1444+1</f>
        <v>1</v>
      </c>
      <c r="J1445" s="205"/>
      <c r="K1445" s="17"/>
      <c r="L1445" s="17" t="s">
        <v>323</v>
      </c>
      <c r="M1445" s="18"/>
      <c r="N1445" s="18"/>
      <c r="O1445" s="17"/>
      <c r="P1445" s="17"/>
      <c r="Q1445" s="17" t="s">
        <v>127</v>
      </c>
      <c r="R1445" s="17" t="s">
        <v>127</v>
      </c>
      <c r="S1445" s="17"/>
      <c r="T1445" s="18"/>
      <c r="U1445" s="17"/>
      <c r="V1445" s="17" t="str">
        <f>+CONCATENATE(E1445,".",F1445,"\",G1445,".",H1445,":",I1445)</f>
        <v>2.11\0.1:1</v>
      </c>
      <c r="W1445" s="17"/>
      <c r="X1445" s="17"/>
      <c r="Y1445" s="20"/>
      <c r="Z1445" s="20" t="s">
        <v>1159</v>
      </c>
      <c r="AA1445" s="20"/>
      <c r="AB1445" s="17"/>
      <c r="AC1445" s="20"/>
      <c r="AD1445" s="20"/>
      <c r="AE1445" s="20"/>
      <c r="AF1445" s="17"/>
      <c r="AG1445" s="64" t="s">
        <v>1079</v>
      </c>
      <c r="AH1445" s="64">
        <v>2</v>
      </c>
      <c r="AI1445" s="64"/>
      <c r="AJ1445" s="64"/>
      <c r="AK1445" s="64"/>
      <c r="AL1445" s="264"/>
      <c r="AM1445" s="84"/>
      <c r="AN1445" s="18"/>
      <c r="AO1445" s="18"/>
      <c r="AP1445" s="18"/>
      <c r="AQ1445" s="18"/>
      <c r="AR1445" s="18"/>
      <c r="AS1445" s="18"/>
      <c r="AT1445" s="18"/>
      <c r="AU1445" s="18"/>
      <c r="AV1445" s="18"/>
      <c r="AW1445" s="18"/>
      <c r="AX1445" s="18"/>
      <c r="AY1445" s="18"/>
    </row>
    <row r="1446" spans="1:51" s="33" customFormat="1" x14ac:dyDescent="0.3">
      <c r="A1446" s="63" t="str">
        <f>A1445</f>
        <v>BCV131</v>
      </c>
      <c r="B1446" s="17" t="s">
        <v>1453</v>
      </c>
      <c r="C1446" s="18" t="str">
        <f>+C1445</f>
        <v>DIO1</v>
      </c>
      <c r="D1446" s="18">
        <v>132</v>
      </c>
      <c r="E1446" s="84">
        <f>+E1445</f>
        <v>2</v>
      </c>
      <c r="F1446" s="84">
        <f>+F1445</f>
        <v>11</v>
      </c>
      <c r="G1446" s="84">
        <v>0</v>
      </c>
      <c r="H1446" s="200">
        <f>H1444</f>
        <v>1</v>
      </c>
      <c r="I1446" s="187">
        <f>+I1445+1</f>
        <v>2</v>
      </c>
      <c r="J1446" s="205"/>
      <c r="K1446" s="79"/>
      <c r="L1446" s="17" t="s">
        <v>323</v>
      </c>
      <c r="M1446" s="18"/>
      <c r="N1446" s="18"/>
      <c r="O1446" s="17"/>
      <c r="P1446" s="17"/>
      <c r="Q1446" s="17" t="s">
        <v>127</v>
      </c>
      <c r="R1446" s="17" t="s">
        <v>127</v>
      </c>
      <c r="S1446" s="17"/>
      <c r="T1446" s="17"/>
      <c r="U1446" s="17"/>
      <c r="V1446" s="17" t="str">
        <f>+CONCATENATE(E1446,".",F1446,"\",G1446,".",H1446,":",I1446)</f>
        <v>2.11\0.1:2</v>
      </c>
      <c r="W1446" s="17"/>
      <c r="X1446" s="17"/>
      <c r="Y1446" s="20"/>
      <c r="Z1446" s="20" t="s">
        <v>1159</v>
      </c>
      <c r="AA1446" s="20"/>
      <c r="AB1446" s="17"/>
      <c r="AC1446" s="20"/>
      <c r="AD1446" s="20"/>
      <c r="AE1446" s="20"/>
      <c r="AF1446" s="17"/>
      <c r="AG1446" s="64" t="s">
        <v>1079</v>
      </c>
      <c r="AH1446" s="64">
        <v>3</v>
      </c>
      <c r="AI1446" s="64"/>
      <c r="AJ1446" s="64"/>
      <c r="AK1446" s="64"/>
      <c r="AL1446" s="264"/>
      <c r="AM1446" s="84"/>
      <c r="AN1446" s="18"/>
      <c r="AO1446" s="18"/>
      <c r="AP1446" s="18"/>
      <c r="AQ1446" s="18"/>
      <c r="AR1446" s="18"/>
      <c r="AS1446" s="18"/>
      <c r="AT1446" s="18"/>
      <c r="AU1446" s="18"/>
      <c r="AV1446" s="18"/>
      <c r="AW1446" s="18"/>
      <c r="AX1446" s="18"/>
      <c r="AY1446" s="18"/>
    </row>
    <row r="1447" spans="1:51" s="33" customFormat="1" x14ac:dyDescent="0.3">
      <c r="A1447" s="63" t="str">
        <f>A1446</f>
        <v>BCV131</v>
      </c>
      <c r="B1447" s="17" t="s">
        <v>1453</v>
      </c>
      <c r="C1447" s="18" t="str">
        <f>+C1446</f>
        <v>DIO1</v>
      </c>
      <c r="D1447" s="18">
        <v>132</v>
      </c>
      <c r="E1447" s="84">
        <f>+E1446</f>
        <v>2</v>
      </c>
      <c r="F1447" s="84">
        <f>+F1446</f>
        <v>11</v>
      </c>
      <c r="G1447" s="84">
        <v>0</v>
      </c>
      <c r="H1447" s="200">
        <f>H1444</f>
        <v>1</v>
      </c>
      <c r="I1447" s="187">
        <f>+I1446+1</f>
        <v>3</v>
      </c>
      <c r="J1447" s="205"/>
      <c r="K1447" s="79"/>
      <c r="L1447" s="17" t="s">
        <v>323</v>
      </c>
      <c r="M1447" s="18"/>
      <c r="N1447" s="18"/>
      <c r="O1447" s="17"/>
      <c r="P1447" s="17"/>
      <c r="Q1447" s="17" t="s">
        <v>127</v>
      </c>
      <c r="R1447" s="17" t="s">
        <v>127</v>
      </c>
      <c r="S1447" s="17"/>
      <c r="T1447" s="17"/>
      <c r="U1447" s="17"/>
      <c r="V1447" s="17" t="str">
        <f>+CONCATENATE(E1447,".",F1447,"\",G1447,".",H1447,":",I1447)</f>
        <v>2.11\0.1:3</v>
      </c>
      <c r="W1447" s="17"/>
      <c r="X1447" s="17"/>
      <c r="Y1447" s="20"/>
      <c r="Z1447" s="20" t="s">
        <v>1159</v>
      </c>
      <c r="AA1447" s="20"/>
      <c r="AB1447" s="17"/>
      <c r="AC1447" s="20"/>
      <c r="AD1447" s="20"/>
      <c r="AE1447" s="20"/>
      <c r="AF1447" s="17"/>
      <c r="AG1447" s="64" t="s">
        <v>1079</v>
      </c>
      <c r="AH1447" s="64">
        <v>4</v>
      </c>
      <c r="AI1447" s="64"/>
      <c r="AJ1447" s="64"/>
      <c r="AK1447" s="64"/>
      <c r="AL1447" s="264"/>
      <c r="AM1447" s="84"/>
      <c r="AN1447" s="18"/>
      <c r="AO1447" s="18"/>
      <c r="AP1447" s="18"/>
      <c r="AQ1447" s="18"/>
      <c r="AR1447" s="18"/>
      <c r="AS1447" s="18"/>
      <c r="AT1447" s="18"/>
      <c r="AU1447" s="18"/>
      <c r="AV1447" s="18"/>
      <c r="AW1447" s="18"/>
      <c r="AX1447" s="18"/>
      <c r="AY1447" s="18"/>
    </row>
    <row r="1448" spans="1:51" s="33" customFormat="1" x14ac:dyDescent="0.3">
      <c r="A1448" s="63" t="str">
        <f>A1447</f>
        <v>BCV131</v>
      </c>
      <c r="B1448" s="17" t="s">
        <v>1453</v>
      </c>
      <c r="C1448" s="18" t="str">
        <f>+C1447</f>
        <v>DIO1</v>
      </c>
      <c r="D1448" s="18">
        <v>132</v>
      </c>
      <c r="E1448" s="84">
        <f>+E1447</f>
        <v>2</v>
      </c>
      <c r="F1448" s="84">
        <f>+F1447</f>
        <v>11</v>
      </c>
      <c r="G1448" s="84">
        <v>0</v>
      </c>
      <c r="H1448" s="200">
        <f>H1445</f>
        <v>1</v>
      </c>
      <c r="I1448" s="187">
        <f>+I1447+1</f>
        <v>4</v>
      </c>
      <c r="J1448" s="205"/>
      <c r="K1448" s="79"/>
      <c r="L1448" s="17" t="s">
        <v>323</v>
      </c>
      <c r="M1448" s="18"/>
      <c r="N1448" s="18"/>
      <c r="O1448" s="17"/>
      <c r="P1448" s="17"/>
      <c r="Q1448" s="17" t="s">
        <v>127</v>
      </c>
      <c r="R1448" s="17" t="s">
        <v>127</v>
      </c>
      <c r="S1448" s="17"/>
      <c r="T1448" s="18"/>
      <c r="U1448" s="17"/>
      <c r="V1448" s="17" t="str">
        <f>+CONCATENATE(E1448,".",F1448,"\",G1448,".",H1448,":",I1448)</f>
        <v>2.11\0.1:4</v>
      </c>
      <c r="W1448" s="17"/>
      <c r="X1448" s="17"/>
      <c r="Y1448" s="20"/>
      <c r="Z1448" s="20" t="s">
        <v>1159</v>
      </c>
      <c r="AA1448" s="20"/>
      <c r="AB1448" s="17"/>
      <c r="AC1448" s="20"/>
      <c r="AD1448" s="20"/>
      <c r="AE1448" s="20"/>
      <c r="AF1448" s="17"/>
      <c r="AG1448" s="64" t="s">
        <v>1079</v>
      </c>
      <c r="AH1448" s="64">
        <v>5</v>
      </c>
      <c r="AI1448" s="64"/>
      <c r="AJ1448" s="64"/>
      <c r="AK1448" s="64"/>
      <c r="AL1448" s="264"/>
      <c r="AM1448" s="84"/>
      <c r="AN1448" s="18"/>
      <c r="AO1448" s="18"/>
      <c r="AP1448" s="18"/>
      <c r="AQ1448" s="18"/>
      <c r="AR1448" s="18"/>
      <c r="AS1448" s="18"/>
      <c r="AT1448" s="18"/>
      <c r="AU1448" s="18"/>
      <c r="AV1448" s="18"/>
      <c r="AW1448" s="18"/>
      <c r="AX1448" s="18"/>
      <c r="AY1448" s="18"/>
    </row>
    <row r="1449" spans="1:51" s="33" customFormat="1" x14ac:dyDescent="0.3">
      <c r="A1449" s="63" t="str">
        <f>A1448</f>
        <v>BCV131</v>
      </c>
      <c r="B1449" s="17" t="s">
        <v>1453</v>
      </c>
      <c r="C1449" s="18" t="str">
        <f>+C1448</f>
        <v>DIO1</v>
      </c>
      <c r="D1449" s="18">
        <v>132</v>
      </c>
      <c r="E1449" s="84">
        <f>+E1448</f>
        <v>2</v>
      </c>
      <c r="F1449" s="84">
        <f>+F1448</f>
        <v>11</v>
      </c>
      <c r="G1449" s="84">
        <v>0</v>
      </c>
      <c r="H1449" s="200">
        <f>H1446</f>
        <v>1</v>
      </c>
      <c r="I1449" s="187">
        <f>+I1448+1</f>
        <v>5</v>
      </c>
      <c r="J1449" s="205"/>
      <c r="K1449" s="79"/>
      <c r="L1449" s="17" t="s">
        <v>323</v>
      </c>
      <c r="M1449" s="18"/>
      <c r="N1449" s="18"/>
      <c r="O1449" s="17"/>
      <c r="P1449" s="17"/>
      <c r="Q1449" s="17" t="s">
        <v>127</v>
      </c>
      <c r="R1449" s="17" t="s">
        <v>127</v>
      </c>
      <c r="S1449" s="17"/>
      <c r="T1449" s="18"/>
      <c r="U1449" s="17"/>
      <c r="V1449" s="17" t="str">
        <f>+CONCATENATE(E1449,".",F1449,"\",G1449,".",H1449,":",I1449)</f>
        <v>2.11\0.1:5</v>
      </c>
      <c r="W1449" s="17"/>
      <c r="X1449" s="17"/>
      <c r="Y1449" s="20"/>
      <c r="Z1449" s="20" t="s">
        <v>1159</v>
      </c>
      <c r="AA1449" s="20"/>
      <c r="AB1449" s="17"/>
      <c r="AC1449" s="20"/>
      <c r="AD1449" s="20"/>
      <c r="AE1449" s="20"/>
      <c r="AF1449" s="17"/>
      <c r="AG1449" s="64" t="s">
        <v>1079</v>
      </c>
      <c r="AH1449" s="64">
        <v>6</v>
      </c>
      <c r="AI1449" s="64"/>
      <c r="AJ1449" s="64"/>
      <c r="AK1449" s="64"/>
      <c r="AL1449" s="264"/>
      <c r="AM1449" s="84"/>
      <c r="AN1449" s="18"/>
      <c r="AO1449" s="18"/>
      <c r="AP1449" s="18"/>
      <c r="AQ1449" s="18"/>
      <c r="AR1449" s="18"/>
      <c r="AS1449" s="18"/>
      <c r="AT1449" s="18"/>
      <c r="AU1449" s="18"/>
      <c r="AV1449" s="18"/>
      <c r="AW1449" s="18"/>
      <c r="AX1449" s="18"/>
      <c r="AY1449" s="18"/>
    </row>
    <row r="1450" spans="1:51" s="33" customFormat="1" x14ac:dyDescent="0.3">
      <c r="A1450" s="63" t="str">
        <f>A1449</f>
        <v>BCV131</v>
      </c>
      <c r="B1450" s="17" t="s">
        <v>1453</v>
      </c>
      <c r="C1450" s="18" t="str">
        <f>+C1449</f>
        <v>DIO1</v>
      </c>
      <c r="D1450" s="18">
        <v>132</v>
      </c>
      <c r="E1450" s="84">
        <f>+E1449</f>
        <v>2</v>
      </c>
      <c r="F1450" s="84">
        <f>+F1449</f>
        <v>11</v>
      </c>
      <c r="G1450" s="84">
        <v>0</v>
      </c>
      <c r="H1450" s="200">
        <f>H1447</f>
        <v>1</v>
      </c>
      <c r="I1450" s="187">
        <f>+I1449+1</f>
        <v>6</v>
      </c>
      <c r="J1450" s="205"/>
      <c r="K1450" s="79"/>
      <c r="L1450" s="17" t="s">
        <v>323</v>
      </c>
      <c r="M1450" s="18"/>
      <c r="N1450" s="18"/>
      <c r="O1450" s="280"/>
      <c r="P1450" s="280"/>
      <c r="Q1450" s="17" t="s">
        <v>127</v>
      </c>
      <c r="R1450" s="17" t="s">
        <v>127</v>
      </c>
      <c r="S1450" s="17"/>
      <c r="T1450" s="18"/>
      <c r="U1450" s="17"/>
      <c r="V1450" s="17" t="str">
        <f>+CONCATENATE(E1450,".",F1450,"\",G1450,".",H1450,":",I1450)</f>
        <v>2.11\0.1:6</v>
      </c>
      <c r="W1450" s="17"/>
      <c r="X1450" s="17"/>
      <c r="Y1450" s="20"/>
      <c r="Z1450" s="20" t="s">
        <v>1159</v>
      </c>
      <c r="AA1450" s="20"/>
      <c r="AB1450" s="17"/>
      <c r="AC1450" s="20"/>
      <c r="AD1450" s="20"/>
      <c r="AE1450" s="20"/>
      <c r="AF1450" s="17"/>
      <c r="AG1450" s="64" t="s">
        <v>1079</v>
      </c>
      <c r="AH1450" s="64">
        <v>7</v>
      </c>
      <c r="AI1450" s="64"/>
      <c r="AJ1450" s="64"/>
      <c r="AK1450" s="64"/>
      <c r="AL1450" s="264"/>
      <c r="AM1450" s="84"/>
      <c r="AN1450" s="18"/>
      <c r="AO1450" s="18"/>
      <c r="AP1450" s="18"/>
      <c r="AQ1450" s="18"/>
      <c r="AR1450" s="18"/>
      <c r="AS1450" s="18"/>
      <c r="AT1450" s="18"/>
      <c r="AU1450" s="18"/>
      <c r="AV1450" s="18"/>
      <c r="AW1450" s="18"/>
      <c r="AX1450" s="18"/>
      <c r="AY1450" s="18"/>
    </row>
    <row r="1451" spans="1:51" s="33" customFormat="1" x14ac:dyDescent="0.3">
      <c r="A1451" s="63" t="str">
        <f>A1450</f>
        <v>BCV131</v>
      </c>
      <c r="B1451" s="17" t="s">
        <v>1453</v>
      </c>
      <c r="C1451" s="18" t="str">
        <f>+C1450</f>
        <v>DIO1</v>
      </c>
      <c r="D1451" s="18">
        <v>132</v>
      </c>
      <c r="E1451" s="84">
        <f>+E1450</f>
        <v>2</v>
      </c>
      <c r="F1451" s="84">
        <f>+F1450</f>
        <v>11</v>
      </c>
      <c r="G1451" s="84">
        <v>0</v>
      </c>
      <c r="H1451" s="200">
        <f>H1448</f>
        <v>1</v>
      </c>
      <c r="I1451" s="187">
        <f>+I1450+1</f>
        <v>7</v>
      </c>
      <c r="J1451" s="205"/>
      <c r="K1451" s="79"/>
      <c r="L1451" s="17" t="s">
        <v>323</v>
      </c>
      <c r="M1451" s="18"/>
      <c r="N1451" s="18"/>
      <c r="O1451" s="280"/>
      <c r="P1451" s="280"/>
      <c r="Q1451" s="17" t="s">
        <v>127</v>
      </c>
      <c r="R1451" s="17" t="s">
        <v>127</v>
      </c>
      <c r="S1451" s="17"/>
      <c r="T1451" s="18"/>
      <c r="U1451" s="17"/>
      <c r="V1451" s="17" t="str">
        <f>+CONCATENATE(E1451,".",F1451,"\",G1451,".",H1451,":",I1451)</f>
        <v>2.11\0.1:7</v>
      </c>
      <c r="W1451" s="17"/>
      <c r="X1451" s="17"/>
      <c r="Y1451" s="20"/>
      <c r="Z1451" s="20" t="s">
        <v>1159</v>
      </c>
      <c r="AA1451" s="20"/>
      <c r="AB1451" s="17"/>
      <c r="AC1451" s="20"/>
      <c r="AD1451" s="20"/>
      <c r="AE1451" s="20"/>
      <c r="AF1451" s="17"/>
      <c r="AG1451" s="64" t="s">
        <v>1079</v>
      </c>
      <c r="AH1451" s="64">
        <v>8</v>
      </c>
      <c r="AI1451" s="64"/>
      <c r="AJ1451" s="64"/>
      <c r="AK1451" s="64"/>
      <c r="AL1451" s="264"/>
      <c r="AM1451" s="84"/>
      <c r="AN1451" s="18"/>
      <c r="AO1451" s="18"/>
      <c r="AP1451" s="18"/>
      <c r="AQ1451" s="18"/>
      <c r="AR1451" s="18"/>
      <c r="AS1451" s="18"/>
      <c r="AT1451" s="18"/>
      <c r="AU1451" s="18"/>
      <c r="AV1451" s="18"/>
      <c r="AW1451" s="18"/>
      <c r="AX1451" s="18"/>
      <c r="AY1451" s="18"/>
    </row>
    <row r="1452" spans="1:51" s="33" customFormat="1" x14ac:dyDescent="0.3">
      <c r="A1452" s="63" t="str">
        <f>A1451</f>
        <v>BCV131</v>
      </c>
      <c r="B1452" s="17" t="s">
        <v>1453</v>
      </c>
      <c r="C1452" s="18" t="str">
        <f>+C1451</f>
        <v>DIO1</v>
      </c>
      <c r="D1452" s="18">
        <v>132</v>
      </c>
      <c r="E1452" s="84">
        <f>+E1451</f>
        <v>2</v>
      </c>
      <c r="F1452" s="84">
        <f>+F1451</f>
        <v>11</v>
      </c>
      <c r="G1452" s="84">
        <v>0</v>
      </c>
      <c r="H1452" s="200">
        <f>H1449</f>
        <v>1</v>
      </c>
      <c r="I1452" s="187">
        <f>+I1451+1</f>
        <v>8</v>
      </c>
      <c r="J1452" s="205"/>
      <c r="K1452" s="79"/>
      <c r="L1452" s="17" t="s">
        <v>323</v>
      </c>
      <c r="M1452" s="18">
        <v>4</v>
      </c>
      <c r="N1452" s="18" t="s">
        <v>1466</v>
      </c>
      <c r="O1452" s="17" t="s">
        <v>1465</v>
      </c>
      <c r="P1452" s="17"/>
      <c r="Q1452" s="17" t="s">
        <v>1464</v>
      </c>
      <c r="R1452" s="17" t="s">
        <v>211</v>
      </c>
      <c r="S1452" s="17"/>
      <c r="T1452" s="17" t="s">
        <v>194</v>
      </c>
      <c r="U1452" s="17"/>
      <c r="V1452" s="17" t="str">
        <f>+CONCATENATE(E1452,".",F1452,"\",G1452,".",H1452,":",I1452)</f>
        <v>2.11\0.1:8</v>
      </c>
      <c r="W1452" s="17" t="s">
        <v>1454</v>
      </c>
      <c r="X1452" s="17">
        <v>0</v>
      </c>
      <c r="Y1452" s="20"/>
      <c r="Z1452" s="20" t="s">
        <v>1159</v>
      </c>
      <c r="AA1452" s="20"/>
      <c r="AB1452" s="17"/>
      <c r="AC1452" s="20"/>
      <c r="AD1452" s="20"/>
      <c r="AE1452" s="20"/>
      <c r="AF1452" s="17"/>
      <c r="AG1452" s="64" t="s">
        <v>1079</v>
      </c>
      <c r="AH1452" s="64">
        <v>9</v>
      </c>
      <c r="AI1452" s="64">
        <v>10</v>
      </c>
      <c r="AJ1452" s="64"/>
      <c r="AK1452" s="64"/>
      <c r="AL1452" s="264"/>
      <c r="AM1452" s="84"/>
      <c r="AN1452" s="18"/>
      <c r="AO1452" s="18"/>
      <c r="AP1452" s="18"/>
      <c r="AQ1452" s="18"/>
      <c r="AR1452" s="18"/>
      <c r="AS1452" s="18"/>
      <c r="AT1452" s="18"/>
      <c r="AU1452" s="18"/>
      <c r="AV1452" s="18"/>
      <c r="AW1452" s="18"/>
      <c r="AX1452" s="18"/>
      <c r="AY1452" s="18"/>
    </row>
    <row r="1453" spans="1:51" s="33" customFormat="1" x14ac:dyDescent="0.3">
      <c r="A1453" s="63" t="str">
        <f>A1452</f>
        <v>BCV131</v>
      </c>
      <c r="B1453" s="17" t="s">
        <v>1453</v>
      </c>
      <c r="C1453" s="18" t="str">
        <f>+C1452</f>
        <v>DIO1</v>
      </c>
      <c r="D1453" s="18">
        <v>132</v>
      </c>
      <c r="E1453" s="84">
        <f>+E1452</f>
        <v>2</v>
      </c>
      <c r="F1453" s="84">
        <f>+F1452</f>
        <v>11</v>
      </c>
      <c r="G1453" s="84">
        <v>0</v>
      </c>
      <c r="H1453" s="200">
        <f>H1450</f>
        <v>1</v>
      </c>
      <c r="I1453" s="187">
        <f>+I1452+1</f>
        <v>9</v>
      </c>
      <c r="J1453" s="205"/>
      <c r="K1453" s="79"/>
      <c r="L1453" s="17" t="s">
        <v>323</v>
      </c>
      <c r="M1453" s="18">
        <v>4</v>
      </c>
      <c r="N1453" s="18" t="s">
        <v>1463</v>
      </c>
      <c r="O1453" s="17" t="s">
        <v>1462</v>
      </c>
      <c r="P1453" s="17"/>
      <c r="Q1453" s="17" t="s">
        <v>1461</v>
      </c>
      <c r="R1453" s="17" t="s">
        <v>211</v>
      </c>
      <c r="S1453" s="17"/>
      <c r="T1453" s="17" t="s">
        <v>194</v>
      </c>
      <c r="U1453" s="17"/>
      <c r="V1453" s="17" t="str">
        <f>+CONCATENATE(E1453,".",F1453,"\",G1453,".",H1453,":",I1453)</f>
        <v>2.11\0.1:9</v>
      </c>
      <c r="W1453" s="17" t="s">
        <v>1454</v>
      </c>
      <c r="X1453" s="17">
        <v>0</v>
      </c>
      <c r="Y1453" s="20"/>
      <c r="Z1453" s="20" t="s">
        <v>1159</v>
      </c>
      <c r="AA1453" s="20"/>
      <c r="AB1453" s="17"/>
      <c r="AC1453" s="20"/>
      <c r="AD1453" s="20"/>
      <c r="AE1453" s="20"/>
      <c r="AF1453" s="17"/>
      <c r="AG1453" s="64" t="s">
        <v>1079</v>
      </c>
      <c r="AH1453" s="64">
        <v>11</v>
      </c>
      <c r="AI1453" s="64">
        <v>12</v>
      </c>
      <c r="AJ1453" s="64"/>
      <c r="AK1453" s="64"/>
      <c r="AL1453" s="264"/>
      <c r="AM1453" s="84"/>
      <c r="AN1453" s="18"/>
      <c r="AO1453" s="18"/>
      <c r="AP1453" s="18"/>
      <c r="AQ1453" s="18"/>
      <c r="AR1453" s="18"/>
      <c r="AS1453" s="18"/>
      <c r="AT1453" s="18"/>
      <c r="AU1453" s="18"/>
      <c r="AV1453" s="18"/>
      <c r="AW1453" s="18"/>
      <c r="AX1453" s="18"/>
      <c r="AY1453" s="18"/>
    </row>
    <row r="1454" spans="1:51" s="33" customFormat="1" x14ac:dyDescent="0.3">
      <c r="A1454" s="63" t="str">
        <f>A1453</f>
        <v>BCV131</v>
      </c>
      <c r="B1454" s="17" t="s">
        <v>1453</v>
      </c>
      <c r="C1454" s="18" t="str">
        <f>+C1453</f>
        <v>DIO1</v>
      </c>
      <c r="D1454" s="18">
        <v>132</v>
      </c>
      <c r="E1454" s="84">
        <f>+E1453</f>
        <v>2</v>
      </c>
      <c r="F1454" s="84">
        <f>+F1453</f>
        <v>11</v>
      </c>
      <c r="G1454" s="84">
        <v>0</v>
      </c>
      <c r="H1454" s="200">
        <f>H1451</f>
        <v>1</v>
      </c>
      <c r="I1454" s="187">
        <f>+I1453+1</f>
        <v>10</v>
      </c>
      <c r="J1454" s="205"/>
      <c r="K1454" s="79"/>
      <c r="L1454" s="17" t="s">
        <v>323</v>
      </c>
      <c r="M1454" s="18">
        <v>4</v>
      </c>
      <c r="N1454" s="18" t="s">
        <v>1460</v>
      </c>
      <c r="O1454" s="280" t="s">
        <v>1459</v>
      </c>
      <c r="P1454" s="280"/>
      <c r="Q1454" s="17" t="s">
        <v>1458</v>
      </c>
      <c r="R1454" s="17" t="s">
        <v>211</v>
      </c>
      <c r="S1454" s="17"/>
      <c r="T1454" s="17" t="s">
        <v>194</v>
      </c>
      <c r="U1454" s="17"/>
      <c r="V1454" s="17" t="str">
        <f>+CONCATENATE(E1454,".",F1454,"\",G1454,".",H1454,":",I1454)</f>
        <v>2.11\0.1:10</v>
      </c>
      <c r="W1454" s="17" t="s">
        <v>1454</v>
      </c>
      <c r="X1454" s="17">
        <v>0</v>
      </c>
      <c r="Y1454" s="17"/>
      <c r="Z1454" s="20" t="s">
        <v>1159</v>
      </c>
      <c r="AA1454" s="17"/>
      <c r="AB1454" s="17"/>
      <c r="AC1454" s="20"/>
      <c r="AD1454" s="20"/>
      <c r="AE1454" s="20"/>
      <c r="AF1454" s="17"/>
      <c r="AG1454" s="64" t="s">
        <v>1079</v>
      </c>
      <c r="AH1454" s="64">
        <v>13</v>
      </c>
      <c r="AI1454" s="64">
        <v>14</v>
      </c>
      <c r="AJ1454" s="64"/>
      <c r="AK1454" s="64"/>
      <c r="AL1454" s="264"/>
      <c r="AM1454" s="84"/>
      <c r="AN1454" s="18"/>
      <c r="AO1454" s="18"/>
      <c r="AP1454" s="18"/>
      <c r="AQ1454" s="18"/>
      <c r="AR1454" s="18"/>
      <c r="AS1454" s="18"/>
      <c r="AT1454" s="18"/>
      <c r="AU1454" s="18"/>
      <c r="AV1454" s="18"/>
      <c r="AW1454" s="18"/>
      <c r="AX1454" s="18"/>
      <c r="AY1454" s="18"/>
    </row>
    <row r="1455" spans="1:51" s="33" customFormat="1" x14ac:dyDescent="0.3">
      <c r="A1455" s="63" t="str">
        <f>A1454</f>
        <v>BCV131</v>
      </c>
      <c r="B1455" s="17" t="s">
        <v>1453</v>
      </c>
      <c r="C1455" s="18" t="str">
        <f>+C1454</f>
        <v>DIO1</v>
      </c>
      <c r="D1455" s="18">
        <v>132</v>
      </c>
      <c r="E1455" s="84">
        <f>+E1454</f>
        <v>2</v>
      </c>
      <c r="F1455" s="84">
        <f>+F1454</f>
        <v>11</v>
      </c>
      <c r="G1455" s="84">
        <v>0</v>
      </c>
      <c r="H1455" s="200">
        <f>H1452</f>
        <v>1</v>
      </c>
      <c r="I1455" s="187">
        <f>+I1454+1</f>
        <v>11</v>
      </c>
      <c r="J1455" s="205"/>
      <c r="K1455" s="79"/>
      <c r="L1455" s="17" t="s">
        <v>323</v>
      </c>
      <c r="M1455" s="18">
        <v>4</v>
      </c>
      <c r="N1455" s="18" t="s">
        <v>1457</v>
      </c>
      <c r="O1455" s="280" t="s">
        <v>1456</v>
      </c>
      <c r="P1455" s="280"/>
      <c r="Q1455" s="17" t="s">
        <v>1455</v>
      </c>
      <c r="R1455" s="17" t="s">
        <v>211</v>
      </c>
      <c r="S1455" s="17"/>
      <c r="T1455" s="17" t="s">
        <v>194</v>
      </c>
      <c r="U1455" s="17"/>
      <c r="V1455" s="17" t="str">
        <f>+CONCATENATE(E1455,".",F1455,"\",G1455,".",H1455,":",I1455)</f>
        <v>2.11\0.1:11</v>
      </c>
      <c r="W1455" s="17" t="s">
        <v>1454</v>
      </c>
      <c r="X1455" s="17">
        <v>0</v>
      </c>
      <c r="Y1455" s="17"/>
      <c r="Z1455" s="20" t="s">
        <v>1159</v>
      </c>
      <c r="AA1455" s="17"/>
      <c r="AB1455" s="17"/>
      <c r="AC1455" s="20"/>
      <c r="AD1455" s="20"/>
      <c r="AE1455" s="20"/>
      <c r="AF1455" s="17"/>
      <c r="AG1455" s="64" t="s">
        <v>1079</v>
      </c>
      <c r="AH1455" s="64">
        <v>15</v>
      </c>
      <c r="AI1455" s="64">
        <v>16</v>
      </c>
      <c r="AJ1455" s="64"/>
      <c r="AK1455" s="64"/>
      <c r="AL1455" s="264"/>
      <c r="AM1455" s="84"/>
      <c r="AN1455" s="18"/>
      <c r="AO1455" s="18"/>
      <c r="AP1455" s="18"/>
      <c r="AQ1455" s="18"/>
      <c r="AR1455" s="18"/>
      <c r="AS1455" s="18"/>
      <c r="AT1455" s="18"/>
      <c r="AU1455" s="18"/>
      <c r="AV1455" s="18"/>
      <c r="AW1455" s="18"/>
      <c r="AX1455" s="18"/>
      <c r="AY1455" s="18"/>
    </row>
    <row r="1456" spans="1:51" s="33" customFormat="1" x14ac:dyDescent="0.3">
      <c r="A1456" s="63" t="str">
        <f>A1455</f>
        <v>BCV131</v>
      </c>
      <c r="B1456" s="17" t="s">
        <v>1453</v>
      </c>
      <c r="C1456" s="18" t="str">
        <f>+C1455</f>
        <v>DIO1</v>
      </c>
      <c r="D1456" s="18">
        <v>132</v>
      </c>
      <c r="E1456" s="84">
        <f>+E1455</f>
        <v>2</v>
      </c>
      <c r="F1456" s="84">
        <f>+F1455</f>
        <v>11</v>
      </c>
      <c r="G1456" s="84">
        <v>0</v>
      </c>
      <c r="H1456" s="200">
        <f>H1453</f>
        <v>1</v>
      </c>
      <c r="I1456" s="187">
        <f>+I1455+1</f>
        <v>12</v>
      </c>
      <c r="J1456" s="205"/>
      <c r="K1456" s="79"/>
      <c r="L1456" s="17" t="s">
        <v>323</v>
      </c>
      <c r="M1456" s="18"/>
      <c r="N1456" s="165"/>
      <c r="O1456" s="97"/>
      <c r="P1456" s="97"/>
      <c r="Q1456" s="97" t="s">
        <v>127</v>
      </c>
      <c r="R1456" s="97" t="s">
        <v>127</v>
      </c>
      <c r="S1456" s="17"/>
      <c r="T1456" s="17"/>
      <c r="U1456" s="17"/>
      <c r="V1456" s="17" t="str">
        <f>+CONCATENATE(E1456,".",F1456,"\",G1456,".",H1456,":",I1456)</f>
        <v>2.11\0.1:12</v>
      </c>
      <c r="W1456" s="17"/>
      <c r="X1456" s="17"/>
      <c r="Y1456" s="20"/>
      <c r="Z1456" s="20" t="s">
        <v>1159</v>
      </c>
      <c r="AA1456" s="20"/>
      <c r="AB1456" s="17"/>
      <c r="AC1456" s="20"/>
      <c r="AD1456" s="20"/>
      <c r="AE1456" s="20"/>
      <c r="AF1456" s="17"/>
      <c r="AG1456" s="64" t="s">
        <v>1079</v>
      </c>
      <c r="AH1456" s="64">
        <v>17</v>
      </c>
      <c r="AI1456" s="64">
        <v>18</v>
      </c>
      <c r="AJ1456" s="64"/>
      <c r="AK1456" s="64"/>
      <c r="AL1456" s="264"/>
      <c r="AM1456" s="84"/>
      <c r="AN1456" s="18"/>
      <c r="AO1456" s="18"/>
      <c r="AP1456" s="18"/>
      <c r="AQ1456" s="18"/>
      <c r="AR1456" s="18"/>
      <c r="AS1456" s="18"/>
      <c r="AT1456" s="18"/>
      <c r="AU1456" s="18"/>
      <c r="AV1456" s="18"/>
      <c r="AW1456" s="18"/>
      <c r="AX1456" s="18"/>
      <c r="AY1456" s="18"/>
    </row>
    <row r="1457" spans="1:51" s="33" customFormat="1" x14ac:dyDescent="0.3">
      <c r="A1457" s="63" t="str">
        <f>A1456</f>
        <v>BCV131</v>
      </c>
      <c r="B1457" s="17" t="s">
        <v>1453</v>
      </c>
      <c r="C1457" s="18" t="str">
        <f>+C1456</f>
        <v>DIO1</v>
      </c>
      <c r="D1457" s="18">
        <v>132</v>
      </c>
      <c r="E1457" s="84">
        <f>+E1456</f>
        <v>2</v>
      </c>
      <c r="F1457" s="84">
        <f>+F1456</f>
        <v>11</v>
      </c>
      <c r="G1457" s="84">
        <v>0</v>
      </c>
      <c r="H1457" s="200">
        <f>H1454</f>
        <v>1</v>
      </c>
      <c r="I1457" s="187">
        <f>+I1456+1</f>
        <v>13</v>
      </c>
      <c r="J1457" s="205"/>
      <c r="K1457" s="79"/>
      <c r="L1457" s="17" t="s">
        <v>323</v>
      </c>
      <c r="M1457" s="18"/>
      <c r="N1457" s="165"/>
      <c r="O1457" s="17"/>
      <c r="P1457" s="17"/>
      <c r="Q1457" s="17" t="s">
        <v>127</v>
      </c>
      <c r="R1457" s="17" t="s">
        <v>127</v>
      </c>
      <c r="S1457" s="17"/>
      <c r="T1457" s="17"/>
      <c r="U1457" s="17"/>
      <c r="V1457" s="17" t="str">
        <f>+CONCATENATE(E1457,".",F1457,"\",G1457,".",H1457,":",I1457)</f>
        <v>2.11\0.1:13</v>
      </c>
      <c r="W1457" s="17"/>
      <c r="X1457" s="17"/>
      <c r="Y1457" s="20"/>
      <c r="Z1457" s="20" t="s">
        <v>1159</v>
      </c>
      <c r="AA1457" s="20"/>
      <c r="AB1457" s="17"/>
      <c r="AC1457" s="20"/>
      <c r="AD1457" s="20"/>
      <c r="AE1457" s="20"/>
      <c r="AF1457" s="17"/>
      <c r="AG1457" s="64" t="s">
        <v>1079</v>
      </c>
      <c r="AH1457" s="64">
        <v>19</v>
      </c>
      <c r="AI1457" s="64">
        <v>20</v>
      </c>
      <c r="AJ1457" s="64"/>
      <c r="AK1457" s="64"/>
      <c r="AL1457" s="264"/>
      <c r="AM1457" s="84"/>
      <c r="AN1457" s="18"/>
      <c r="AO1457" s="18"/>
      <c r="AP1457" s="18"/>
      <c r="AQ1457" s="18"/>
      <c r="AR1457" s="18"/>
      <c r="AS1457" s="18"/>
      <c r="AT1457" s="18"/>
      <c r="AU1457" s="18"/>
      <c r="AV1457" s="18"/>
      <c r="AW1457" s="18"/>
      <c r="AX1457" s="18"/>
      <c r="AY1457" s="18"/>
    </row>
    <row r="1458" spans="1:51" s="33" customFormat="1" x14ac:dyDescent="0.3">
      <c r="A1458" s="63" t="str">
        <f>A1457</f>
        <v>BCV131</v>
      </c>
      <c r="B1458" s="17" t="s">
        <v>1453</v>
      </c>
      <c r="C1458" s="18" t="str">
        <f>+C1457</f>
        <v>DIO1</v>
      </c>
      <c r="D1458" s="18">
        <v>132</v>
      </c>
      <c r="E1458" s="84">
        <f>+E1457</f>
        <v>2</v>
      </c>
      <c r="F1458" s="84">
        <f>+F1457</f>
        <v>11</v>
      </c>
      <c r="G1458" s="84">
        <v>0</v>
      </c>
      <c r="H1458" s="200">
        <f>H1455</f>
        <v>1</v>
      </c>
      <c r="I1458" s="187">
        <f>+I1457+1</f>
        <v>14</v>
      </c>
      <c r="J1458" s="205"/>
      <c r="K1458" s="79"/>
      <c r="L1458" s="17" t="s">
        <v>323</v>
      </c>
      <c r="M1458" s="18"/>
      <c r="N1458" s="165"/>
      <c r="O1458" s="17"/>
      <c r="P1458" s="17"/>
      <c r="Q1458" s="17" t="s">
        <v>127</v>
      </c>
      <c r="R1458" s="17" t="s">
        <v>127</v>
      </c>
      <c r="S1458" s="17"/>
      <c r="T1458" s="17"/>
      <c r="U1458" s="17"/>
      <c r="V1458" s="17" t="str">
        <f>+CONCATENATE(E1458,".",F1458,"\",G1458,".",H1458,":",I1458)</f>
        <v>2.11\0.1:14</v>
      </c>
      <c r="W1458" s="17"/>
      <c r="X1458" s="17"/>
      <c r="Y1458" s="20"/>
      <c r="Z1458" s="20" t="s">
        <v>1159</v>
      </c>
      <c r="AA1458" s="20"/>
      <c r="AB1458" s="17"/>
      <c r="AC1458" s="20"/>
      <c r="AD1458" s="20"/>
      <c r="AE1458" s="20"/>
      <c r="AF1458" s="17"/>
      <c r="AG1458" s="64" t="s">
        <v>1079</v>
      </c>
      <c r="AH1458" s="64">
        <v>21</v>
      </c>
      <c r="AI1458" s="64">
        <v>22</v>
      </c>
      <c r="AJ1458" s="64"/>
      <c r="AK1458" s="64"/>
      <c r="AL1458" s="264"/>
      <c r="AM1458" s="84"/>
      <c r="AN1458" s="18"/>
      <c r="AO1458" s="18"/>
      <c r="AP1458" s="18"/>
      <c r="AQ1458" s="18"/>
      <c r="AR1458" s="18"/>
      <c r="AS1458" s="18"/>
      <c r="AT1458" s="18"/>
      <c r="AU1458" s="18"/>
      <c r="AV1458" s="18"/>
      <c r="AW1458" s="18"/>
      <c r="AX1458" s="18"/>
      <c r="AY1458" s="18"/>
    </row>
    <row r="1459" spans="1:51" s="33" customFormat="1" x14ac:dyDescent="0.3">
      <c r="A1459" s="63" t="str">
        <f>A1458</f>
        <v>BCV131</v>
      </c>
      <c r="B1459" s="17" t="s">
        <v>1453</v>
      </c>
      <c r="C1459" s="18" t="str">
        <f>+C1458</f>
        <v>DIO1</v>
      </c>
      <c r="D1459" s="18">
        <v>132</v>
      </c>
      <c r="E1459" s="84">
        <f>+E1458</f>
        <v>2</v>
      </c>
      <c r="F1459" s="84">
        <f>+F1458</f>
        <v>11</v>
      </c>
      <c r="G1459" s="84">
        <v>0</v>
      </c>
      <c r="H1459" s="200">
        <f>H1455</f>
        <v>1</v>
      </c>
      <c r="I1459" s="187">
        <f>+I1458+1</f>
        <v>15</v>
      </c>
      <c r="J1459" s="205"/>
      <c r="K1459" s="79"/>
      <c r="L1459" s="17" t="s">
        <v>323</v>
      </c>
      <c r="M1459" s="18"/>
      <c r="N1459" s="18"/>
      <c r="O1459" s="17"/>
      <c r="P1459" s="17"/>
      <c r="Q1459" s="17"/>
      <c r="R1459" s="17"/>
      <c r="S1459" s="17"/>
      <c r="T1459" s="17"/>
      <c r="U1459" s="17"/>
      <c r="V1459" s="17" t="str">
        <f>+CONCATENATE(E1459,".",F1459,"\",G1459,".",H1459,":",I1459)</f>
        <v>2.11\0.1:15</v>
      </c>
      <c r="W1459" s="17"/>
      <c r="X1459" s="17"/>
      <c r="Y1459" s="20"/>
      <c r="Z1459" s="20" t="s">
        <v>1159</v>
      </c>
      <c r="AA1459" s="20"/>
      <c r="AB1459" s="17"/>
      <c r="AC1459" s="20"/>
      <c r="AD1459" s="20"/>
      <c r="AE1459" s="20"/>
      <c r="AF1459" s="17"/>
      <c r="AG1459" s="64" t="s">
        <v>1079</v>
      </c>
      <c r="AH1459" s="64">
        <v>23</v>
      </c>
      <c r="AI1459" s="64">
        <v>24</v>
      </c>
      <c r="AJ1459" s="64"/>
      <c r="AK1459" s="64"/>
      <c r="AL1459" s="264"/>
      <c r="AM1459" s="84"/>
      <c r="AN1459" s="18"/>
      <c r="AO1459" s="18"/>
      <c r="AP1459" s="18"/>
      <c r="AQ1459" s="18"/>
      <c r="AR1459" s="18"/>
      <c r="AS1459" s="18"/>
      <c r="AT1459" s="18"/>
      <c r="AU1459" s="18"/>
      <c r="AV1459" s="18"/>
      <c r="AW1459" s="18"/>
      <c r="AX1459" s="18"/>
      <c r="AY1459" s="18"/>
    </row>
    <row r="1460" spans="1:51" s="33" customFormat="1" x14ac:dyDescent="0.3">
      <c r="A1460" s="63" t="str">
        <f>A1459</f>
        <v>BCV131</v>
      </c>
      <c r="B1460" s="17" t="s">
        <v>1453</v>
      </c>
      <c r="C1460" s="18" t="str">
        <f>+C1459</f>
        <v>DIO1</v>
      </c>
      <c r="D1460" s="18">
        <v>132</v>
      </c>
      <c r="E1460" s="84">
        <f>+E1459</f>
        <v>2</v>
      </c>
      <c r="F1460" s="84">
        <f>+F1459</f>
        <v>11</v>
      </c>
      <c r="G1460" s="84">
        <v>0</v>
      </c>
      <c r="H1460" s="200">
        <f>H1456</f>
        <v>1</v>
      </c>
      <c r="I1460" s="187">
        <f>+I1459+1</f>
        <v>16</v>
      </c>
      <c r="J1460" s="205"/>
      <c r="K1460" s="18"/>
      <c r="L1460" s="17" t="s">
        <v>323</v>
      </c>
      <c r="M1460" s="18"/>
      <c r="N1460" s="18"/>
      <c r="O1460" s="17"/>
      <c r="P1460" s="17"/>
      <c r="Q1460" s="17"/>
      <c r="R1460" s="17"/>
      <c r="S1460" s="78"/>
      <c r="T1460" s="17"/>
      <c r="U1460" s="17"/>
      <c r="V1460" s="17" t="str">
        <f>+CONCATENATE(E1460,".",F1460,"\",G1460,".",H1460,":",I1460)</f>
        <v>2.11\0.1:16</v>
      </c>
      <c r="W1460" s="17"/>
      <c r="X1460" s="17"/>
      <c r="Y1460" s="20"/>
      <c r="Z1460" s="20" t="s">
        <v>1159</v>
      </c>
      <c r="AA1460" s="20"/>
      <c r="AB1460" s="17"/>
      <c r="AC1460" s="20"/>
      <c r="AD1460" s="20"/>
      <c r="AE1460" s="20"/>
      <c r="AF1460" s="17"/>
      <c r="AG1460" s="64" t="s">
        <v>1079</v>
      </c>
      <c r="AH1460" s="64">
        <v>25</v>
      </c>
      <c r="AI1460" s="64">
        <v>26</v>
      </c>
      <c r="AJ1460" s="64"/>
      <c r="AK1460" s="64"/>
      <c r="AL1460" s="264"/>
      <c r="AM1460" s="84"/>
      <c r="AN1460" s="18"/>
      <c r="AO1460" s="18"/>
      <c r="AP1460" s="18"/>
      <c r="AQ1460" s="18"/>
      <c r="AR1460" s="18"/>
      <c r="AS1460" s="18"/>
      <c r="AT1460" s="18"/>
      <c r="AU1460" s="18"/>
      <c r="AV1460" s="18"/>
      <c r="AW1460" s="18"/>
      <c r="AX1460" s="18"/>
      <c r="AY1460" s="18"/>
    </row>
    <row r="1461" spans="1:51" s="33" customFormat="1" x14ac:dyDescent="0.3">
      <c r="A1461" s="63" t="str">
        <f>A1460</f>
        <v>BCV131</v>
      </c>
      <c r="B1461" s="17" t="s">
        <v>1453</v>
      </c>
      <c r="C1461" s="18" t="str">
        <f>+C1460</f>
        <v>DIO1</v>
      </c>
      <c r="D1461" s="18">
        <v>132</v>
      </c>
      <c r="E1461" s="84">
        <f>+E1460</f>
        <v>2</v>
      </c>
      <c r="F1461" s="84">
        <f>+F1460</f>
        <v>11</v>
      </c>
      <c r="G1461" s="84">
        <v>0</v>
      </c>
      <c r="H1461" s="200">
        <f>H1457</f>
        <v>1</v>
      </c>
      <c r="I1461" s="187">
        <f>+I1460+1</f>
        <v>17</v>
      </c>
      <c r="J1461" s="205"/>
      <c r="K1461" s="79"/>
      <c r="L1461" s="17" t="s">
        <v>323</v>
      </c>
      <c r="M1461" s="18"/>
      <c r="N1461" s="18"/>
      <c r="O1461" s="17"/>
      <c r="P1461" s="17"/>
      <c r="Q1461" s="68"/>
      <c r="R1461" s="17"/>
      <c r="S1461" s="78"/>
      <c r="T1461" s="17"/>
      <c r="U1461" s="17"/>
      <c r="V1461" s="17" t="str">
        <f>+CONCATENATE(E1461,".",F1461,"\",G1461,".",H1461,":",I1461)</f>
        <v>2.11\0.1:17</v>
      </c>
      <c r="W1461" s="17"/>
      <c r="X1461" s="17"/>
      <c r="Y1461" s="20"/>
      <c r="Z1461" s="20" t="s">
        <v>1159</v>
      </c>
      <c r="AA1461" s="20"/>
      <c r="AB1461" s="17"/>
      <c r="AC1461" s="20"/>
      <c r="AD1461" s="20"/>
      <c r="AE1461" s="20"/>
      <c r="AF1461" s="17"/>
      <c r="AG1461" s="64" t="s">
        <v>1079</v>
      </c>
      <c r="AH1461" s="64">
        <v>27</v>
      </c>
      <c r="AI1461" s="64">
        <v>28</v>
      </c>
      <c r="AJ1461" s="64"/>
      <c r="AK1461" s="64"/>
      <c r="AL1461" s="264"/>
      <c r="AM1461" s="84"/>
      <c r="AN1461" s="18"/>
      <c r="AO1461" s="18"/>
      <c r="AP1461" s="18"/>
      <c r="AQ1461" s="18"/>
      <c r="AR1461" s="18"/>
      <c r="AS1461" s="18"/>
      <c r="AT1461" s="18"/>
      <c r="AU1461" s="18"/>
      <c r="AV1461" s="18"/>
      <c r="AW1461" s="18"/>
      <c r="AX1461" s="18"/>
      <c r="AY1461" s="18"/>
    </row>
    <row r="1462" spans="1:51" s="33" customFormat="1" x14ac:dyDescent="0.3">
      <c r="A1462" s="63" t="str">
        <f>A1461</f>
        <v>BCV131</v>
      </c>
      <c r="B1462" s="17" t="s">
        <v>1453</v>
      </c>
      <c r="C1462" s="18" t="str">
        <f>+C1461</f>
        <v>DIO1</v>
      </c>
      <c r="D1462" s="18">
        <v>132</v>
      </c>
      <c r="E1462" s="84">
        <f>+E1461</f>
        <v>2</v>
      </c>
      <c r="F1462" s="84">
        <f>+F1461</f>
        <v>11</v>
      </c>
      <c r="G1462" s="84">
        <v>0</v>
      </c>
      <c r="H1462" s="200">
        <f>H1458</f>
        <v>1</v>
      </c>
      <c r="I1462" s="187">
        <f>+I1461+1</f>
        <v>18</v>
      </c>
      <c r="J1462" s="205"/>
      <c r="K1462" s="79"/>
      <c r="L1462" s="17" t="s">
        <v>323</v>
      </c>
      <c r="M1462" s="18"/>
      <c r="N1462" s="18"/>
      <c r="O1462" s="17"/>
      <c r="P1462" s="17"/>
      <c r="Q1462" s="68"/>
      <c r="R1462" s="17"/>
      <c r="S1462" s="17"/>
      <c r="T1462" s="17"/>
      <c r="U1462" s="17"/>
      <c r="V1462" s="17" t="str">
        <f>+CONCATENATE(E1462,".",F1462,"\",G1462,".",H1462,":",I1462)</f>
        <v>2.11\0.1:18</v>
      </c>
      <c r="W1462" s="17"/>
      <c r="X1462" s="17"/>
      <c r="Y1462" s="20"/>
      <c r="Z1462" s="20" t="s">
        <v>1159</v>
      </c>
      <c r="AA1462" s="20"/>
      <c r="AB1462" s="17"/>
      <c r="AC1462" s="20"/>
      <c r="AD1462" s="20"/>
      <c r="AE1462" s="20"/>
      <c r="AF1462" s="17"/>
      <c r="AG1462" s="64" t="s">
        <v>1079</v>
      </c>
      <c r="AH1462" s="64">
        <v>29</v>
      </c>
      <c r="AI1462" s="64">
        <v>30</v>
      </c>
      <c r="AJ1462" s="64"/>
      <c r="AK1462" s="64"/>
      <c r="AL1462" s="264"/>
      <c r="AM1462" s="84"/>
      <c r="AN1462" s="18"/>
      <c r="AO1462" s="18"/>
      <c r="AP1462" s="18"/>
      <c r="AQ1462" s="18"/>
      <c r="AR1462" s="18"/>
      <c r="AS1462" s="18"/>
      <c r="AT1462" s="18"/>
      <c r="AU1462" s="18"/>
      <c r="AV1462" s="18"/>
      <c r="AW1462" s="18"/>
      <c r="AX1462" s="18"/>
      <c r="AY1462" s="18"/>
    </row>
    <row r="1463" spans="1:51" s="33" customFormat="1" x14ac:dyDescent="0.3">
      <c r="A1463" s="63" t="str">
        <f>A1462</f>
        <v>BCV131</v>
      </c>
      <c r="B1463" s="17" t="s">
        <v>1453</v>
      </c>
      <c r="C1463" s="18" t="str">
        <f>+C1462</f>
        <v>DIO1</v>
      </c>
      <c r="D1463" s="18">
        <v>132</v>
      </c>
      <c r="E1463" s="84">
        <f>+E1462</f>
        <v>2</v>
      </c>
      <c r="F1463" s="84">
        <f>+F1462</f>
        <v>11</v>
      </c>
      <c r="G1463" s="84">
        <v>0</v>
      </c>
      <c r="H1463" s="200">
        <f>H1459</f>
        <v>1</v>
      </c>
      <c r="I1463" s="187">
        <f>+I1462+1</f>
        <v>19</v>
      </c>
      <c r="J1463" s="205"/>
      <c r="K1463" s="79"/>
      <c r="L1463" s="17" t="s">
        <v>323</v>
      </c>
      <c r="M1463" s="18"/>
      <c r="N1463" s="18"/>
      <c r="O1463" s="280"/>
      <c r="P1463" s="280"/>
      <c r="Q1463" s="206"/>
      <c r="R1463" s="280"/>
      <c r="S1463" s="17"/>
      <c r="T1463" s="17"/>
      <c r="U1463" s="17"/>
      <c r="V1463" s="17" t="str">
        <f>+CONCATENATE(E1463,".",F1463,"\",G1463,".",H1463,":",I1463)</f>
        <v>2.11\0.1:19</v>
      </c>
      <c r="W1463" s="17"/>
      <c r="X1463" s="17"/>
      <c r="Y1463" s="20"/>
      <c r="Z1463" s="20" t="s">
        <v>1159</v>
      </c>
      <c r="AA1463" s="20"/>
      <c r="AB1463" s="17"/>
      <c r="AC1463" s="20"/>
      <c r="AD1463" s="20"/>
      <c r="AE1463" s="20"/>
      <c r="AF1463" s="17"/>
      <c r="AG1463" s="64" t="s">
        <v>1079</v>
      </c>
      <c r="AH1463" s="64">
        <v>31</v>
      </c>
      <c r="AI1463" s="64">
        <v>32</v>
      </c>
      <c r="AJ1463" s="64"/>
      <c r="AK1463" s="64"/>
      <c r="AL1463" s="264"/>
      <c r="AM1463" s="84"/>
      <c r="AN1463" s="18"/>
      <c r="AO1463" s="18"/>
      <c r="AP1463" s="18"/>
      <c r="AQ1463" s="18"/>
      <c r="AR1463" s="18"/>
      <c r="AS1463" s="18"/>
      <c r="AT1463" s="18"/>
      <c r="AU1463" s="18"/>
      <c r="AV1463" s="18"/>
      <c r="AW1463" s="18"/>
      <c r="AX1463" s="18"/>
      <c r="AY1463" s="18"/>
    </row>
    <row r="1464" spans="1:51" s="33" customFormat="1" x14ac:dyDescent="0.3">
      <c r="A1464" s="63" t="str">
        <f>A1463</f>
        <v>BCV131</v>
      </c>
      <c r="B1464" s="17" t="s">
        <v>1453</v>
      </c>
      <c r="C1464" s="18" t="str">
        <f>+C1463</f>
        <v>DIO1</v>
      </c>
      <c r="D1464" s="18">
        <v>132</v>
      </c>
      <c r="E1464" s="84">
        <f>+E1463</f>
        <v>2</v>
      </c>
      <c r="F1464" s="84">
        <f>+F1463</f>
        <v>11</v>
      </c>
      <c r="G1464" s="84">
        <v>0</v>
      </c>
      <c r="H1464" s="200">
        <f>H1460</f>
        <v>1</v>
      </c>
      <c r="I1464" s="187">
        <f>+I1463+1</f>
        <v>20</v>
      </c>
      <c r="J1464" s="205"/>
      <c r="K1464" s="79"/>
      <c r="L1464" s="17" t="s">
        <v>323</v>
      </c>
      <c r="M1464" s="18"/>
      <c r="N1464" s="18"/>
      <c r="O1464" s="18"/>
      <c r="P1464" s="18"/>
      <c r="Q1464" s="18"/>
      <c r="R1464" s="18"/>
      <c r="S1464" s="17"/>
      <c r="T1464" s="17"/>
      <c r="U1464" s="17"/>
      <c r="V1464" s="17" t="str">
        <f>+CONCATENATE(E1464,".",F1464,"\",G1464,".",H1464,":",I1464)</f>
        <v>2.11\0.1:20</v>
      </c>
      <c r="W1464" s="17"/>
      <c r="X1464" s="17"/>
      <c r="Y1464" s="20"/>
      <c r="Z1464" s="20" t="s">
        <v>1159</v>
      </c>
      <c r="AA1464" s="20"/>
      <c r="AB1464" s="17"/>
      <c r="AC1464" s="20"/>
      <c r="AD1464" s="20"/>
      <c r="AE1464" s="20"/>
      <c r="AF1464" s="17"/>
      <c r="AG1464" s="64" t="s">
        <v>1079</v>
      </c>
      <c r="AH1464" s="64">
        <v>33</v>
      </c>
      <c r="AI1464" s="64">
        <v>34</v>
      </c>
      <c r="AJ1464" s="64"/>
      <c r="AK1464" s="64"/>
      <c r="AL1464" s="264"/>
      <c r="AM1464" s="84"/>
      <c r="AN1464" s="18"/>
      <c r="AO1464" s="18"/>
      <c r="AP1464" s="18"/>
      <c r="AQ1464" s="18"/>
      <c r="AR1464" s="18"/>
      <c r="AS1464" s="18"/>
      <c r="AT1464" s="18"/>
      <c r="AU1464" s="18"/>
      <c r="AV1464" s="18"/>
      <c r="AW1464" s="18"/>
      <c r="AX1464" s="18"/>
      <c r="AY1464" s="18"/>
    </row>
    <row r="1465" spans="1:51" s="33" customFormat="1" x14ac:dyDescent="0.3">
      <c r="A1465" s="63" t="str">
        <f>A1464</f>
        <v>BCV131</v>
      </c>
      <c r="B1465" s="17" t="s">
        <v>1453</v>
      </c>
      <c r="C1465" s="18" t="str">
        <f>+C1464</f>
        <v>DIO1</v>
      </c>
      <c r="D1465" s="18">
        <v>132</v>
      </c>
      <c r="E1465" s="84">
        <f>+E1464</f>
        <v>2</v>
      </c>
      <c r="F1465" s="84">
        <f>+F1464</f>
        <v>11</v>
      </c>
      <c r="G1465" s="84">
        <v>0</v>
      </c>
      <c r="H1465" s="200">
        <f>H1461</f>
        <v>1</v>
      </c>
      <c r="I1465" s="187">
        <f>+I1464+1</f>
        <v>21</v>
      </c>
      <c r="J1465" s="205"/>
      <c r="K1465" s="79"/>
      <c r="L1465" s="17" t="s">
        <v>323</v>
      </c>
      <c r="M1465" s="18"/>
      <c r="N1465" s="18"/>
      <c r="O1465" s="18"/>
      <c r="P1465" s="18"/>
      <c r="Q1465" s="18"/>
      <c r="R1465" s="18"/>
      <c r="S1465" s="17"/>
      <c r="T1465" s="17"/>
      <c r="U1465" s="17"/>
      <c r="V1465" s="17" t="str">
        <f>+CONCATENATE(E1465,".",F1465,"\",G1465,".",H1465,":",I1465)</f>
        <v>2.11\0.1:21</v>
      </c>
      <c r="W1465" s="17"/>
      <c r="X1465" s="17"/>
      <c r="Y1465" s="20"/>
      <c r="Z1465" s="20" t="s">
        <v>1159</v>
      </c>
      <c r="AA1465" s="20"/>
      <c r="AB1465" s="17"/>
      <c r="AC1465" s="20"/>
      <c r="AD1465" s="20"/>
      <c r="AE1465" s="20"/>
      <c r="AF1465" s="17"/>
      <c r="AG1465" s="64" t="s">
        <v>1079</v>
      </c>
      <c r="AH1465" s="64">
        <v>35</v>
      </c>
      <c r="AI1465" s="64">
        <v>36</v>
      </c>
      <c r="AJ1465" s="64"/>
      <c r="AK1465" s="64"/>
      <c r="AL1465" s="264"/>
      <c r="AM1465" s="84"/>
      <c r="AN1465" s="18"/>
      <c r="AO1465" s="18"/>
      <c r="AP1465" s="18"/>
      <c r="AQ1465" s="18"/>
      <c r="AR1465" s="18"/>
      <c r="AS1465" s="18"/>
      <c r="AT1465" s="18"/>
      <c r="AU1465" s="18"/>
      <c r="AV1465" s="18"/>
      <c r="AW1465" s="18"/>
      <c r="AX1465" s="18"/>
      <c r="AY1465" s="18"/>
    </row>
    <row r="1466" spans="1:51" s="33" customFormat="1" x14ac:dyDescent="0.3">
      <c r="A1466" s="63" t="str">
        <f>A1465</f>
        <v>BCV131</v>
      </c>
      <c r="B1466" s="17" t="s">
        <v>1453</v>
      </c>
      <c r="C1466" s="18" t="str">
        <f>+C1465</f>
        <v>DIO1</v>
      </c>
      <c r="D1466" s="18">
        <v>132</v>
      </c>
      <c r="E1466" s="84">
        <f>+E1465</f>
        <v>2</v>
      </c>
      <c r="F1466" s="84">
        <f>+F1465</f>
        <v>11</v>
      </c>
      <c r="G1466" s="84">
        <v>0</v>
      </c>
      <c r="H1466" s="200">
        <f>H1462</f>
        <v>1</v>
      </c>
      <c r="I1466" s="187">
        <f>+I1465+1</f>
        <v>22</v>
      </c>
      <c r="J1466" s="205"/>
      <c r="K1466" s="79"/>
      <c r="L1466" s="17" t="s">
        <v>323</v>
      </c>
      <c r="M1466" s="18"/>
      <c r="N1466" s="18"/>
      <c r="O1466" s="18"/>
      <c r="P1466" s="18"/>
      <c r="Q1466" s="18"/>
      <c r="R1466" s="18"/>
      <c r="S1466" s="17"/>
      <c r="T1466" s="17"/>
      <c r="U1466" s="17"/>
      <c r="V1466" s="17" t="str">
        <f>+CONCATENATE(E1466,".",F1466,"\",G1466,".",H1466,":",I1466)</f>
        <v>2.11\0.1:22</v>
      </c>
      <c r="W1466" s="17"/>
      <c r="X1466" s="17"/>
      <c r="Y1466" s="17"/>
      <c r="Z1466" s="20" t="s">
        <v>1159</v>
      </c>
      <c r="AA1466" s="17"/>
      <c r="AB1466" s="17"/>
      <c r="AC1466" s="17"/>
      <c r="AD1466" s="17"/>
      <c r="AE1466" s="17"/>
      <c r="AF1466" s="17"/>
      <c r="AG1466" s="64" t="s">
        <v>1079</v>
      </c>
      <c r="AH1466" s="64">
        <v>37</v>
      </c>
      <c r="AI1466" s="64">
        <v>38</v>
      </c>
      <c r="AJ1466" s="64"/>
      <c r="AK1466" s="64"/>
      <c r="AL1466" s="264"/>
      <c r="AM1466" s="84"/>
      <c r="AN1466" s="18"/>
      <c r="AO1466" s="18"/>
      <c r="AP1466" s="18"/>
      <c r="AQ1466" s="18"/>
      <c r="AR1466" s="18"/>
      <c r="AS1466" s="18"/>
      <c r="AT1466" s="18"/>
      <c r="AU1466" s="18"/>
      <c r="AV1466" s="18"/>
      <c r="AW1466" s="18"/>
      <c r="AX1466" s="18"/>
      <c r="AY1466" s="18"/>
    </row>
    <row r="1467" spans="1:51" s="33" customFormat="1" x14ac:dyDescent="0.3">
      <c r="A1467" s="63" t="str">
        <f>A1466</f>
        <v>BCV131</v>
      </c>
      <c r="B1467" s="17" t="s">
        <v>1453</v>
      </c>
      <c r="C1467" s="18" t="str">
        <f>+C1466</f>
        <v>DIO1</v>
      </c>
      <c r="D1467" s="18">
        <v>132</v>
      </c>
      <c r="E1467" s="84">
        <f>+E1466</f>
        <v>2</v>
      </c>
      <c r="F1467" s="84">
        <f>+F1466</f>
        <v>11</v>
      </c>
      <c r="G1467" s="84">
        <v>0</v>
      </c>
      <c r="H1467" s="200">
        <f>H1463</f>
        <v>1</v>
      </c>
      <c r="I1467" s="187">
        <f>+I1466+1</f>
        <v>23</v>
      </c>
      <c r="J1467" s="205"/>
      <c r="K1467" s="79"/>
      <c r="L1467" s="17" t="s">
        <v>323</v>
      </c>
      <c r="M1467" s="18"/>
      <c r="N1467" s="18"/>
      <c r="O1467" s="18"/>
      <c r="P1467" s="18"/>
      <c r="Q1467" s="18"/>
      <c r="R1467" s="18"/>
      <c r="S1467" s="17"/>
      <c r="T1467" s="17"/>
      <c r="U1467" s="17"/>
      <c r="V1467" s="17" t="str">
        <f>+CONCATENATE(E1467,".",F1467,"\",G1467,".",H1467,":",I1467)</f>
        <v>2.11\0.1:23</v>
      </c>
      <c r="W1467" s="17"/>
      <c r="X1467" s="17"/>
      <c r="Y1467" s="17"/>
      <c r="Z1467" s="20" t="s">
        <v>1159</v>
      </c>
      <c r="AA1467" s="17"/>
      <c r="AB1467" s="17"/>
      <c r="AC1467" s="17"/>
      <c r="AD1467" s="17"/>
      <c r="AE1467" s="17"/>
      <c r="AF1467" s="17"/>
      <c r="AG1467" s="64" t="s">
        <v>1079</v>
      </c>
      <c r="AH1467" s="64">
        <v>39</v>
      </c>
      <c r="AI1467" s="64">
        <v>40</v>
      </c>
      <c r="AJ1467" s="64"/>
      <c r="AK1467" s="64"/>
      <c r="AL1467" s="264"/>
      <c r="AM1467" s="84"/>
      <c r="AN1467" s="18"/>
      <c r="AO1467" s="18"/>
      <c r="AP1467" s="18"/>
      <c r="AQ1467" s="18"/>
      <c r="AR1467" s="18"/>
      <c r="AS1467" s="18"/>
      <c r="AT1467" s="18"/>
      <c r="AU1467" s="18"/>
      <c r="AV1467" s="18"/>
      <c r="AW1467" s="18"/>
      <c r="AX1467" s="18"/>
      <c r="AY1467" s="18"/>
    </row>
    <row r="1468" spans="1:51" s="33" customFormat="1" x14ac:dyDescent="0.3">
      <c r="A1468" s="63" t="str">
        <f>A1467</f>
        <v>BCV131</v>
      </c>
      <c r="B1468" s="17" t="s">
        <v>1453</v>
      </c>
      <c r="C1468" s="18" t="str">
        <f>+C1467</f>
        <v>DIO1</v>
      </c>
      <c r="D1468" s="18">
        <v>132</v>
      </c>
      <c r="E1468" s="84">
        <f>+E1467</f>
        <v>2</v>
      </c>
      <c r="F1468" s="84">
        <f>+F1467</f>
        <v>11</v>
      </c>
      <c r="G1468" s="84">
        <v>0</v>
      </c>
      <c r="H1468" s="200">
        <f>H1464</f>
        <v>1</v>
      </c>
      <c r="I1468" s="187">
        <f>+I1467+1</f>
        <v>24</v>
      </c>
      <c r="J1468" s="205"/>
      <c r="K1468" s="79"/>
      <c r="L1468" s="17" t="s">
        <v>323</v>
      </c>
      <c r="M1468" s="18"/>
      <c r="N1468" s="18"/>
      <c r="O1468" s="18"/>
      <c r="P1468" s="18"/>
      <c r="Q1468" s="18"/>
      <c r="R1468" s="18"/>
      <c r="S1468" s="17"/>
      <c r="T1468" s="17"/>
      <c r="U1468" s="17"/>
      <c r="V1468" s="17" t="str">
        <f>+CONCATENATE(E1468,".",F1468,"\",G1468,".",H1468,":",I1468)</f>
        <v>2.11\0.1:24</v>
      </c>
      <c r="W1468" s="17"/>
      <c r="X1468" s="17"/>
      <c r="Y1468" s="17"/>
      <c r="Z1468" s="20" t="s">
        <v>1159</v>
      </c>
      <c r="AA1468" s="17"/>
      <c r="AB1468" s="17"/>
      <c r="AC1468" s="17"/>
      <c r="AD1468" s="17"/>
      <c r="AE1468" s="17"/>
      <c r="AF1468" s="17"/>
      <c r="AG1468" s="64" t="s">
        <v>1079</v>
      </c>
      <c r="AH1468" s="64">
        <v>41</v>
      </c>
      <c r="AI1468" s="64">
        <v>42</v>
      </c>
      <c r="AJ1468" s="64"/>
      <c r="AK1468" s="64"/>
      <c r="AL1468" s="264"/>
      <c r="AM1468" s="84"/>
      <c r="AN1468" s="18"/>
      <c r="AO1468" s="18"/>
      <c r="AP1468" s="18"/>
      <c r="AQ1468" s="18"/>
      <c r="AR1468" s="18"/>
      <c r="AS1468" s="18"/>
      <c r="AT1468" s="18"/>
      <c r="AU1468" s="18"/>
      <c r="AV1468" s="18"/>
      <c r="AW1468" s="18"/>
      <c r="AX1468" s="18"/>
      <c r="AY1468" s="18"/>
    </row>
    <row r="1469" spans="1:51" s="33" customFormat="1" x14ac:dyDescent="0.3">
      <c r="A1469" s="63" t="str">
        <f>A1468</f>
        <v>BCV131</v>
      </c>
      <c r="B1469" s="17" t="s">
        <v>1453</v>
      </c>
      <c r="C1469" s="18" t="str">
        <f>+C1468</f>
        <v>DIO1</v>
      </c>
      <c r="D1469" s="18">
        <v>132</v>
      </c>
      <c r="E1469" s="84">
        <f>+E1468</f>
        <v>2</v>
      </c>
      <c r="F1469" s="84">
        <f>+F1468</f>
        <v>11</v>
      </c>
      <c r="G1469" s="84">
        <v>0</v>
      </c>
      <c r="H1469" s="200">
        <f>H1465</f>
        <v>1</v>
      </c>
      <c r="I1469" s="187">
        <f>+I1468+1</f>
        <v>25</v>
      </c>
      <c r="J1469" s="205"/>
      <c r="K1469" s="79"/>
      <c r="L1469" s="17" t="s">
        <v>323</v>
      </c>
      <c r="M1469" s="18"/>
      <c r="N1469" s="18"/>
      <c r="O1469" s="17"/>
      <c r="P1469" s="17"/>
      <c r="Q1469" s="17"/>
      <c r="R1469" s="17"/>
      <c r="S1469" s="17"/>
      <c r="T1469" s="17"/>
      <c r="U1469" s="17"/>
      <c r="V1469" s="17" t="str">
        <f>+CONCATENATE(E1469,".",F1469,"\",G1469,".",H1469,":",I1469)</f>
        <v>2.11\0.1:25</v>
      </c>
      <c r="W1469" s="17"/>
      <c r="X1469" s="17"/>
      <c r="Y1469" s="17"/>
      <c r="Z1469" s="20" t="s">
        <v>1159</v>
      </c>
      <c r="AA1469" s="17"/>
      <c r="AB1469" s="17"/>
      <c r="AC1469" s="17"/>
      <c r="AD1469" s="17"/>
      <c r="AE1469" s="17"/>
      <c r="AF1469" s="17"/>
      <c r="AG1469" s="64" t="s">
        <v>1079</v>
      </c>
      <c r="AH1469" s="64">
        <v>43</v>
      </c>
      <c r="AI1469" s="64">
        <v>44</v>
      </c>
      <c r="AJ1469" s="64"/>
      <c r="AK1469" s="64"/>
      <c r="AL1469" s="264"/>
      <c r="AM1469" s="84"/>
      <c r="AN1469" s="18"/>
      <c r="AO1469" s="18"/>
      <c r="AP1469" s="18"/>
      <c r="AQ1469" s="18"/>
      <c r="AR1469" s="18"/>
      <c r="AS1469" s="18"/>
      <c r="AT1469" s="18"/>
      <c r="AU1469" s="18"/>
      <c r="AV1469" s="18"/>
      <c r="AW1469" s="18"/>
      <c r="AX1469" s="18"/>
      <c r="AY1469" s="18"/>
    </row>
    <row r="1470" spans="1:51" s="33" customFormat="1" x14ac:dyDescent="0.3">
      <c r="A1470" s="63" t="str">
        <f>A1469</f>
        <v>BCV131</v>
      </c>
      <c r="B1470" s="17" t="s">
        <v>1453</v>
      </c>
      <c r="C1470" s="18" t="str">
        <f>+C1469</f>
        <v>DIO1</v>
      </c>
      <c r="D1470" s="18">
        <v>132</v>
      </c>
      <c r="E1470" s="84">
        <f>+E1469</f>
        <v>2</v>
      </c>
      <c r="F1470" s="84">
        <f>+F1469</f>
        <v>11</v>
      </c>
      <c r="G1470" s="84">
        <v>0</v>
      </c>
      <c r="H1470" s="200">
        <f>H1466</f>
        <v>1</v>
      </c>
      <c r="I1470" s="187">
        <f>+I1469+1</f>
        <v>26</v>
      </c>
      <c r="J1470" s="205"/>
      <c r="K1470" s="79"/>
      <c r="L1470" s="17" t="s">
        <v>323</v>
      </c>
      <c r="M1470" s="18"/>
      <c r="N1470" s="18"/>
      <c r="O1470" s="17"/>
      <c r="P1470" s="17"/>
      <c r="Q1470" s="17"/>
      <c r="R1470" s="17"/>
      <c r="S1470" s="17"/>
      <c r="T1470" s="17"/>
      <c r="U1470" s="17"/>
      <c r="V1470" s="17" t="str">
        <f>+CONCATENATE(E1470,".",F1470,"\",G1470,".",H1470,":",I1470)</f>
        <v>2.11\0.1:26</v>
      </c>
      <c r="W1470" s="17"/>
      <c r="X1470" s="17"/>
      <c r="Y1470" s="17"/>
      <c r="Z1470" s="20" t="s">
        <v>1159</v>
      </c>
      <c r="AA1470" s="17"/>
      <c r="AB1470" s="17"/>
      <c r="AC1470" s="17"/>
      <c r="AD1470" s="17"/>
      <c r="AE1470" s="17"/>
      <c r="AF1470" s="17"/>
      <c r="AG1470" s="64" t="s">
        <v>1079</v>
      </c>
      <c r="AH1470" s="64">
        <v>45</v>
      </c>
      <c r="AI1470" s="64">
        <v>46</v>
      </c>
      <c r="AJ1470" s="64"/>
      <c r="AK1470" s="64"/>
      <c r="AL1470" s="264"/>
      <c r="AM1470" s="84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  <c r="AY1470" s="18"/>
    </row>
    <row r="1471" spans="1:51" s="33" customFormat="1" x14ac:dyDescent="0.3">
      <c r="A1471" s="63" t="str">
        <f>A1470</f>
        <v>BCV131</v>
      </c>
      <c r="B1471" s="17" t="s">
        <v>1453</v>
      </c>
      <c r="C1471" s="18" t="str">
        <f>+C1470</f>
        <v>DIO1</v>
      </c>
      <c r="D1471" s="18">
        <v>132</v>
      </c>
      <c r="E1471" s="84">
        <f>+E1470</f>
        <v>2</v>
      </c>
      <c r="F1471" s="84">
        <f>+F1470</f>
        <v>11</v>
      </c>
      <c r="G1471" s="84">
        <v>0</v>
      </c>
      <c r="H1471" s="200">
        <f>H1467</f>
        <v>1</v>
      </c>
      <c r="I1471" s="187">
        <f>+I1470+1</f>
        <v>27</v>
      </c>
      <c r="J1471" s="205"/>
      <c r="K1471" s="79"/>
      <c r="L1471" s="17" t="s">
        <v>323</v>
      </c>
      <c r="M1471" s="18"/>
      <c r="N1471" s="18"/>
      <c r="O1471" s="17"/>
      <c r="P1471" s="17"/>
      <c r="Q1471" s="17"/>
      <c r="R1471" s="17"/>
      <c r="S1471" s="17"/>
      <c r="T1471" s="17"/>
      <c r="U1471" s="17"/>
      <c r="V1471" s="17" t="str">
        <f>+CONCATENATE(E1471,".",F1471,"\",G1471,".",H1471,":",I1471)</f>
        <v>2.11\0.1:27</v>
      </c>
      <c r="W1471" s="17"/>
      <c r="X1471" s="17"/>
      <c r="Y1471" s="17"/>
      <c r="Z1471" s="20" t="s">
        <v>1159</v>
      </c>
      <c r="AA1471" s="17"/>
      <c r="AB1471" s="17"/>
      <c r="AC1471" s="17"/>
      <c r="AD1471" s="17"/>
      <c r="AE1471" s="17"/>
      <c r="AF1471" s="17"/>
      <c r="AG1471" s="64" t="s">
        <v>1079</v>
      </c>
      <c r="AH1471" s="64">
        <v>47</v>
      </c>
      <c r="AI1471" s="64">
        <v>48</v>
      </c>
      <c r="AJ1471" s="64"/>
      <c r="AK1471" s="64"/>
      <c r="AL1471" s="264"/>
      <c r="AM1471" s="84"/>
      <c r="AN1471" s="18"/>
      <c r="AO1471" s="18"/>
      <c r="AP1471" s="18"/>
      <c r="AQ1471" s="18"/>
      <c r="AR1471" s="18"/>
      <c r="AS1471" s="18"/>
      <c r="AT1471" s="18"/>
      <c r="AU1471" s="18"/>
      <c r="AV1471" s="18"/>
      <c r="AW1471" s="18"/>
      <c r="AX1471" s="18"/>
      <c r="AY1471" s="18"/>
    </row>
    <row r="1472" spans="1:51" s="33" customFormat="1" x14ac:dyDescent="0.3">
      <c r="A1472" s="63" t="str">
        <f>A1471</f>
        <v>BCV131</v>
      </c>
      <c r="B1472" s="17" t="s">
        <v>1453</v>
      </c>
      <c r="C1472" s="18" t="str">
        <f>+C1471</f>
        <v>DIO1</v>
      </c>
      <c r="D1472" s="18">
        <v>132</v>
      </c>
      <c r="E1472" s="84">
        <f>+E1471</f>
        <v>2</v>
      </c>
      <c r="F1472" s="84">
        <f>+F1471</f>
        <v>11</v>
      </c>
      <c r="G1472" s="84">
        <v>0</v>
      </c>
      <c r="H1472" s="200">
        <f>H1468</f>
        <v>1</v>
      </c>
      <c r="I1472" s="187">
        <f>+I1471+1</f>
        <v>28</v>
      </c>
      <c r="J1472" s="205"/>
      <c r="K1472" s="79"/>
      <c r="L1472" s="17" t="s">
        <v>323</v>
      </c>
      <c r="M1472" s="18"/>
      <c r="N1472" s="18"/>
      <c r="O1472" s="17"/>
      <c r="P1472" s="17"/>
      <c r="Q1472" s="17"/>
      <c r="R1472" s="17"/>
      <c r="S1472" s="17"/>
      <c r="T1472" s="17"/>
      <c r="U1472" s="17"/>
      <c r="V1472" s="17" t="str">
        <f>+CONCATENATE(E1472,".",F1472,"\",G1472,".",H1472,":",I1472)</f>
        <v>2.11\0.1:28</v>
      </c>
      <c r="W1472" s="17"/>
      <c r="X1472" s="17"/>
      <c r="Y1472" s="17"/>
      <c r="Z1472" s="20" t="s">
        <v>1159</v>
      </c>
      <c r="AA1472" s="17"/>
      <c r="AB1472" s="17"/>
      <c r="AC1472" s="17"/>
      <c r="AD1472" s="17"/>
      <c r="AE1472" s="17"/>
      <c r="AF1472" s="17"/>
      <c r="AG1472" s="64" t="s">
        <v>1079</v>
      </c>
      <c r="AH1472" s="64">
        <v>49</v>
      </c>
      <c r="AI1472" s="64">
        <v>50</v>
      </c>
      <c r="AJ1472" s="64"/>
      <c r="AK1472" s="64"/>
      <c r="AL1472" s="264"/>
      <c r="AM1472" s="84"/>
      <c r="AN1472" s="18"/>
      <c r="AO1472" s="18"/>
      <c r="AP1472" s="18"/>
      <c r="AQ1472" s="18"/>
      <c r="AR1472" s="18"/>
      <c r="AS1472" s="18"/>
      <c r="AT1472" s="18"/>
      <c r="AU1472" s="18"/>
      <c r="AV1472" s="18"/>
      <c r="AW1472" s="18"/>
      <c r="AX1472" s="18"/>
      <c r="AY1472" s="18"/>
    </row>
    <row r="1473" spans="1:51" s="33" customFormat="1" x14ac:dyDescent="0.3">
      <c r="A1473" s="63" t="str">
        <f>A1472</f>
        <v>BCV131</v>
      </c>
      <c r="B1473" s="17" t="s">
        <v>1453</v>
      </c>
      <c r="C1473" s="18" t="str">
        <f>+C1472</f>
        <v>DIO1</v>
      </c>
      <c r="D1473" s="18">
        <v>132</v>
      </c>
      <c r="E1473" s="84">
        <f>+E1472</f>
        <v>2</v>
      </c>
      <c r="F1473" s="84">
        <f>+F1472</f>
        <v>11</v>
      </c>
      <c r="G1473" s="84">
        <v>0</v>
      </c>
      <c r="H1473" s="200">
        <f>H1469</f>
        <v>1</v>
      </c>
      <c r="I1473" s="187">
        <f>+I1472+1</f>
        <v>29</v>
      </c>
      <c r="J1473" s="205"/>
      <c r="K1473" s="79"/>
      <c r="L1473" s="17" t="s">
        <v>323</v>
      </c>
      <c r="M1473" s="18"/>
      <c r="N1473" s="18"/>
      <c r="O1473" s="17"/>
      <c r="P1473" s="17"/>
      <c r="Q1473" s="17"/>
      <c r="R1473" s="17"/>
      <c r="S1473" s="17"/>
      <c r="T1473" s="17"/>
      <c r="U1473" s="17"/>
      <c r="V1473" s="17" t="str">
        <f>+CONCATENATE(E1473,".",F1473,"\",G1473,".",H1473,":",I1473)</f>
        <v>2.11\0.1:29</v>
      </c>
      <c r="W1473" s="17"/>
      <c r="X1473" s="17"/>
      <c r="Y1473" s="17"/>
      <c r="Z1473" s="20" t="s">
        <v>1159</v>
      </c>
      <c r="AA1473" s="17"/>
      <c r="AB1473" s="17"/>
      <c r="AC1473" s="17"/>
      <c r="AD1473" s="17"/>
      <c r="AE1473" s="17"/>
      <c r="AF1473" s="17"/>
      <c r="AG1473" s="64" t="s">
        <v>1079</v>
      </c>
      <c r="AH1473" s="64">
        <v>51</v>
      </c>
      <c r="AI1473" s="64">
        <v>52</v>
      </c>
      <c r="AJ1473" s="64"/>
      <c r="AK1473" s="64"/>
      <c r="AL1473" s="264"/>
      <c r="AM1473" s="84"/>
      <c r="AN1473" s="18"/>
      <c r="AO1473" s="18"/>
      <c r="AP1473" s="18"/>
      <c r="AQ1473" s="18"/>
      <c r="AR1473" s="18"/>
      <c r="AS1473" s="18"/>
      <c r="AT1473" s="18"/>
      <c r="AU1473" s="18"/>
      <c r="AV1473" s="18"/>
      <c r="AW1473" s="18"/>
      <c r="AX1473" s="18"/>
      <c r="AY1473" s="18"/>
    </row>
    <row r="1474" spans="1:51" s="33" customFormat="1" x14ac:dyDescent="0.3">
      <c r="A1474" s="63" t="str">
        <f>A1473</f>
        <v>BCV131</v>
      </c>
      <c r="B1474" s="17" t="s">
        <v>1453</v>
      </c>
      <c r="C1474" s="18" t="str">
        <f>+C1473</f>
        <v>DIO1</v>
      </c>
      <c r="D1474" s="18">
        <v>132</v>
      </c>
      <c r="E1474" s="84">
        <f>+E1473</f>
        <v>2</v>
      </c>
      <c r="F1474" s="84">
        <f>+F1473</f>
        <v>11</v>
      </c>
      <c r="G1474" s="84">
        <v>0</v>
      </c>
      <c r="H1474" s="200">
        <f>H1470</f>
        <v>1</v>
      </c>
      <c r="I1474" s="187">
        <f>+I1473+1</f>
        <v>30</v>
      </c>
      <c r="J1474" s="205"/>
      <c r="K1474" s="79"/>
      <c r="L1474" s="17" t="s">
        <v>323</v>
      </c>
      <c r="M1474" s="18"/>
      <c r="N1474" s="18"/>
      <c r="O1474" s="17"/>
      <c r="P1474" s="17"/>
      <c r="Q1474" s="17"/>
      <c r="R1474" s="17"/>
      <c r="S1474" s="17"/>
      <c r="T1474" s="17"/>
      <c r="U1474" s="17"/>
      <c r="V1474" s="17" t="str">
        <f>+CONCATENATE(E1474,".",F1474,"\",G1474,".",H1474,":",I1474)</f>
        <v>2.11\0.1:30</v>
      </c>
      <c r="W1474" s="17"/>
      <c r="X1474" s="17"/>
      <c r="Y1474" s="17"/>
      <c r="Z1474" s="20" t="s">
        <v>1159</v>
      </c>
      <c r="AA1474" s="17"/>
      <c r="AB1474" s="17"/>
      <c r="AC1474" s="17"/>
      <c r="AD1474" s="17"/>
      <c r="AE1474" s="17"/>
      <c r="AF1474" s="17"/>
      <c r="AG1474" s="64" t="s">
        <v>1079</v>
      </c>
      <c r="AH1474" s="64">
        <v>53</v>
      </c>
      <c r="AI1474" s="64">
        <v>54</v>
      </c>
      <c r="AJ1474" s="64"/>
      <c r="AK1474" s="64"/>
      <c r="AL1474" s="264"/>
      <c r="AM1474" s="84"/>
      <c r="AN1474" s="18"/>
      <c r="AO1474" s="18"/>
      <c r="AP1474" s="18"/>
      <c r="AQ1474" s="18"/>
      <c r="AR1474" s="18"/>
      <c r="AS1474" s="18"/>
      <c r="AT1474" s="18"/>
      <c r="AU1474" s="18"/>
      <c r="AV1474" s="18"/>
      <c r="AW1474" s="18"/>
      <c r="AX1474" s="18"/>
      <c r="AY1474" s="18"/>
    </row>
    <row r="1475" spans="1:51" s="33" customFormat="1" ht="13.5" thickBot="1" x14ac:dyDescent="0.35">
      <c r="A1475" s="63" t="str">
        <f>A1474</f>
        <v>BCV131</v>
      </c>
      <c r="B1475" s="17" t="s">
        <v>1453</v>
      </c>
      <c r="C1475" s="18" t="str">
        <f>+C1474</f>
        <v>DIO1</v>
      </c>
      <c r="D1475" s="18">
        <v>132</v>
      </c>
      <c r="E1475" s="84">
        <f>+E1474</f>
        <v>2</v>
      </c>
      <c r="F1475" s="84">
        <f>+F1474</f>
        <v>11</v>
      </c>
      <c r="G1475" s="84">
        <v>0</v>
      </c>
      <c r="H1475" s="200">
        <f>H1471</f>
        <v>1</v>
      </c>
      <c r="I1475" s="191">
        <f>+I1474+1</f>
        <v>31</v>
      </c>
      <c r="J1475" s="203"/>
      <c r="K1475" s="79"/>
      <c r="L1475" s="17" t="s">
        <v>323</v>
      </c>
      <c r="M1475" s="18"/>
      <c r="N1475" s="18"/>
      <c r="O1475" s="17"/>
      <c r="P1475" s="17"/>
      <c r="Q1475" s="17"/>
      <c r="R1475" s="17"/>
      <c r="S1475" s="17"/>
      <c r="T1475" s="17"/>
      <c r="U1475" s="17"/>
      <c r="V1475" s="17" t="str">
        <f>+CONCATENATE(E1475,".",F1475,"\",G1475,".",H1475,":",I1475)</f>
        <v>2.11\0.1:31</v>
      </c>
      <c r="W1475" s="17"/>
      <c r="X1475" s="17"/>
      <c r="Y1475" s="17"/>
      <c r="Z1475" s="20" t="s">
        <v>1159</v>
      </c>
      <c r="AA1475" s="17"/>
      <c r="AB1475" s="17"/>
      <c r="AC1475" s="17"/>
      <c r="AD1475" s="17"/>
      <c r="AE1475" s="17"/>
      <c r="AF1475" s="17"/>
      <c r="AG1475" s="64" t="s">
        <v>1079</v>
      </c>
      <c r="AH1475" s="64">
        <v>55</v>
      </c>
      <c r="AI1475" s="64">
        <v>56</v>
      </c>
      <c r="AJ1475" s="64"/>
      <c r="AK1475" s="64"/>
      <c r="AL1475" s="264"/>
      <c r="AM1475" s="84"/>
      <c r="AN1475" s="18"/>
      <c r="AO1475" s="18"/>
      <c r="AP1475" s="18"/>
      <c r="AQ1475" s="18"/>
      <c r="AR1475" s="18"/>
      <c r="AS1475" s="18"/>
      <c r="AT1475" s="18"/>
      <c r="AU1475" s="18"/>
      <c r="AV1475" s="18"/>
      <c r="AW1475" s="18"/>
      <c r="AX1475" s="18"/>
      <c r="AY1475" s="18"/>
    </row>
    <row r="1476" spans="1:51" s="33" customFormat="1" x14ac:dyDescent="0.3">
      <c r="A1476" s="268" t="s">
        <v>194</v>
      </c>
      <c r="B1476" s="17" t="s">
        <v>1453</v>
      </c>
      <c r="C1476" s="18" t="str">
        <f>+C1475</f>
        <v>DIO1</v>
      </c>
      <c r="D1476" s="18">
        <v>132</v>
      </c>
      <c r="E1476" s="84">
        <f>+E1475</f>
        <v>2</v>
      </c>
      <c r="F1476" s="84">
        <f>+F1475</f>
        <v>11</v>
      </c>
      <c r="G1476" s="84">
        <v>0</v>
      </c>
      <c r="H1476" s="214">
        <v>2</v>
      </c>
      <c r="I1476" s="188"/>
      <c r="J1476" s="267"/>
      <c r="K1476" s="68" t="s">
        <v>698</v>
      </c>
      <c r="L1476" s="17"/>
      <c r="M1476" s="18">
        <v>0</v>
      </c>
      <c r="N1476" s="18"/>
      <c r="O1476" s="17"/>
      <c r="P1476" s="17"/>
      <c r="Q1476" s="17"/>
      <c r="R1476" s="17"/>
      <c r="S1476" s="17"/>
      <c r="T1476" s="17"/>
      <c r="U1476" s="17"/>
      <c r="V1476" s="17" t="str">
        <f>+CONCATENATE(E1476,".",F1476,"\",G1476,".",H1476,":",I1476)</f>
        <v>2.11\0.2:</v>
      </c>
      <c r="W1476" s="17"/>
      <c r="X1476" s="17"/>
      <c r="Y1476" s="20"/>
      <c r="Z1476" s="20"/>
      <c r="AA1476" s="20"/>
      <c r="AB1476" s="20"/>
      <c r="AC1476" s="20"/>
      <c r="AD1476" s="20"/>
      <c r="AE1476" s="20"/>
      <c r="AF1476" s="17"/>
      <c r="AG1476" s="64"/>
      <c r="AH1476" s="64"/>
      <c r="AI1476" s="64"/>
      <c r="AJ1476" s="64"/>
      <c r="AK1476" s="64"/>
      <c r="AL1476" s="264"/>
      <c r="AM1476" s="84"/>
      <c r="AN1476" s="18"/>
      <c r="AO1476" s="18"/>
      <c r="AP1476" s="18"/>
      <c r="AQ1476" s="18"/>
      <c r="AR1476" s="18"/>
      <c r="AS1476" s="18"/>
      <c r="AT1476" s="18"/>
      <c r="AU1476" s="18"/>
      <c r="AV1476" s="18"/>
      <c r="AW1476" s="18"/>
      <c r="AX1476" s="18"/>
      <c r="AY1476" s="18"/>
    </row>
    <row r="1477" spans="1:51" s="33" customFormat="1" x14ac:dyDescent="0.3">
      <c r="A1477" s="63" t="str">
        <f>A1476</f>
        <v>BCV131</v>
      </c>
      <c r="B1477" s="17" t="s">
        <v>1453</v>
      </c>
      <c r="C1477" s="18" t="str">
        <f>+C1476</f>
        <v>DIO1</v>
      </c>
      <c r="D1477" s="18">
        <v>132</v>
      </c>
      <c r="E1477" s="84">
        <f>+E1476</f>
        <v>2</v>
      </c>
      <c r="F1477" s="84">
        <f>+F1476</f>
        <v>11</v>
      </c>
      <c r="G1477" s="84">
        <v>0</v>
      </c>
      <c r="H1477" s="186">
        <f>+H1476</f>
        <v>2</v>
      </c>
      <c r="I1477" s="187"/>
      <c r="J1477" s="266"/>
      <c r="K1477" s="18"/>
      <c r="L1477" s="17"/>
      <c r="M1477" s="18">
        <v>0</v>
      </c>
      <c r="N1477" s="18"/>
      <c r="O1477" s="17"/>
      <c r="P1477" s="17"/>
      <c r="Q1477" s="17"/>
      <c r="R1477" s="17"/>
      <c r="S1477" s="17"/>
      <c r="T1477" s="17"/>
      <c r="U1477" s="17"/>
      <c r="V1477" s="17" t="str">
        <f>+CONCATENATE(E1477,".",F1477,"\",G1477,".",H1477,":",I1477)</f>
        <v>2.11\0.2:</v>
      </c>
      <c r="W1477" s="17"/>
      <c r="X1477" s="17"/>
      <c r="Y1477" s="20"/>
      <c r="Z1477" s="20"/>
      <c r="AA1477" s="20"/>
      <c r="AB1477" s="20"/>
      <c r="AC1477" s="20"/>
      <c r="AD1477" s="20"/>
      <c r="AE1477" s="20"/>
      <c r="AF1477" s="17"/>
      <c r="AG1477" s="64"/>
      <c r="AH1477" s="64"/>
      <c r="AI1477" s="64"/>
      <c r="AJ1477" s="64"/>
      <c r="AK1477" s="64"/>
      <c r="AL1477" s="264"/>
      <c r="AM1477" s="84"/>
      <c r="AN1477" s="18"/>
      <c r="AO1477" s="18"/>
      <c r="AP1477" s="18"/>
      <c r="AQ1477" s="18"/>
      <c r="AR1477" s="18"/>
      <c r="AS1477" s="18"/>
      <c r="AT1477" s="18"/>
      <c r="AU1477" s="18"/>
      <c r="AV1477" s="18"/>
      <c r="AW1477" s="18"/>
      <c r="AX1477" s="18"/>
      <c r="AY1477" s="18"/>
    </row>
    <row r="1478" spans="1:51" s="33" customFormat="1" x14ac:dyDescent="0.3">
      <c r="A1478" s="63" t="str">
        <f>A1477</f>
        <v>BCV131</v>
      </c>
      <c r="B1478" s="17" t="s">
        <v>1453</v>
      </c>
      <c r="C1478" s="18" t="str">
        <f>+C1477</f>
        <v>DIO1</v>
      </c>
      <c r="D1478" s="18">
        <v>132</v>
      </c>
      <c r="E1478" s="84">
        <f>+E1477</f>
        <v>2</v>
      </c>
      <c r="F1478" s="84">
        <f>+F1477</f>
        <v>11</v>
      </c>
      <c r="G1478" s="84">
        <v>0</v>
      </c>
      <c r="H1478" s="186">
        <f>+H1477</f>
        <v>2</v>
      </c>
      <c r="I1478" s="187"/>
      <c r="J1478" s="266"/>
      <c r="K1478" s="18"/>
      <c r="L1478" s="17"/>
      <c r="M1478" s="18">
        <v>0</v>
      </c>
      <c r="N1478" s="18"/>
      <c r="O1478" s="17"/>
      <c r="P1478" s="17"/>
      <c r="Q1478" s="17"/>
      <c r="R1478" s="17"/>
      <c r="S1478" s="17"/>
      <c r="T1478" s="17"/>
      <c r="U1478" s="17"/>
      <c r="V1478" s="17" t="str">
        <f>+CONCATENATE(E1478,".",F1478,"\",G1478,".",H1478,":",I1478)</f>
        <v>2.11\0.2:</v>
      </c>
      <c r="W1478" s="17"/>
      <c r="X1478" s="17"/>
      <c r="Y1478" s="20"/>
      <c r="Z1478" s="20"/>
      <c r="AA1478" s="20"/>
      <c r="AB1478" s="20"/>
      <c r="AC1478" s="20"/>
      <c r="AD1478" s="20"/>
      <c r="AE1478" s="20"/>
      <c r="AF1478" s="17"/>
      <c r="AG1478" s="64"/>
      <c r="AH1478" s="64"/>
      <c r="AI1478" s="64"/>
      <c r="AJ1478" s="64"/>
      <c r="AK1478" s="64"/>
      <c r="AL1478" s="264"/>
      <c r="AM1478" s="84"/>
      <c r="AN1478" s="18"/>
      <c r="AO1478" s="18"/>
      <c r="AP1478" s="18"/>
      <c r="AQ1478" s="18"/>
      <c r="AR1478" s="18"/>
      <c r="AS1478" s="18"/>
      <c r="AT1478" s="18"/>
      <c r="AU1478" s="18"/>
      <c r="AV1478" s="18"/>
      <c r="AW1478" s="18"/>
      <c r="AX1478" s="18"/>
      <c r="AY1478" s="18"/>
    </row>
    <row r="1479" spans="1:51" s="33" customFormat="1" ht="13.5" thickBot="1" x14ac:dyDescent="0.35">
      <c r="A1479" s="63" t="str">
        <f>A1478</f>
        <v>BCV131</v>
      </c>
      <c r="B1479" s="17" t="s">
        <v>1453</v>
      </c>
      <c r="C1479" s="18" t="str">
        <f>+C1478</f>
        <v>DIO1</v>
      </c>
      <c r="D1479" s="18">
        <v>132</v>
      </c>
      <c r="E1479" s="84">
        <f>+E1478</f>
        <v>2</v>
      </c>
      <c r="F1479" s="84">
        <f>+F1478</f>
        <v>11</v>
      </c>
      <c r="G1479" s="84">
        <v>0</v>
      </c>
      <c r="H1479" s="186">
        <f>+H1478</f>
        <v>2</v>
      </c>
      <c r="I1479" s="191"/>
      <c r="J1479" s="265"/>
      <c r="K1479" s="18"/>
      <c r="L1479" s="17"/>
      <c r="M1479" s="18">
        <v>0</v>
      </c>
      <c r="N1479" s="18"/>
      <c r="O1479" s="17"/>
      <c r="P1479" s="17"/>
      <c r="Q1479" s="17"/>
      <c r="R1479" s="17"/>
      <c r="S1479" s="17"/>
      <c r="T1479" s="17"/>
      <c r="U1479" s="17"/>
      <c r="V1479" s="17" t="str">
        <f>+CONCATENATE(E1479,".",F1479,"\",G1479,".",H1479,":",I1479)</f>
        <v>2.11\0.2:</v>
      </c>
      <c r="W1479" s="17"/>
      <c r="X1479" s="17"/>
      <c r="Y1479" s="20"/>
      <c r="Z1479" s="20"/>
      <c r="AA1479" s="20"/>
      <c r="AB1479" s="20"/>
      <c r="AC1479" s="20"/>
      <c r="AD1479" s="20"/>
      <c r="AE1479" s="20"/>
      <c r="AF1479" s="17"/>
      <c r="AG1479" s="64"/>
      <c r="AH1479" s="64"/>
      <c r="AI1479" s="64"/>
      <c r="AJ1479" s="64"/>
      <c r="AK1479" s="64"/>
      <c r="AL1479" s="264"/>
      <c r="AM1479" s="84"/>
      <c r="AN1479" s="18"/>
      <c r="AO1479" s="18"/>
      <c r="AP1479" s="18"/>
      <c r="AQ1479" s="18"/>
      <c r="AR1479" s="18"/>
      <c r="AS1479" s="18"/>
      <c r="AT1479" s="18"/>
      <c r="AU1479" s="18"/>
      <c r="AV1479" s="18"/>
      <c r="AW1479" s="18"/>
      <c r="AX1479" s="18"/>
      <c r="AY1479" s="18"/>
    </row>
    <row r="1480" spans="1:51" s="33" customFormat="1" x14ac:dyDescent="0.3">
      <c r="A1480" s="63" t="str">
        <f>A1479</f>
        <v>BCV131</v>
      </c>
      <c r="B1480" s="17" t="s">
        <v>1453</v>
      </c>
      <c r="C1480" s="18" t="str">
        <f>+C1479</f>
        <v>DIO1</v>
      </c>
      <c r="D1480" s="18">
        <v>132</v>
      </c>
      <c r="E1480" s="84">
        <f>+E1479</f>
        <v>2</v>
      </c>
      <c r="F1480" s="84">
        <f>+F1479</f>
        <v>11</v>
      </c>
      <c r="G1480" s="84">
        <v>0</v>
      </c>
      <c r="H1480" s="214">
        <v>3</v>
      </c>
      <c r="I1480" s="188"/>
      <c r="J1480" s="267"/>
      <c r="K1480" s="68" t="s">
        <v>698</v>
      </c>
      <c r="L1480" s="17"/>
      <c r="M1480" s="18">
        <v>0</v>
      </c>
      <c r="N1480" s="18"/>
      <c r="O1480" s="17"/>
      <c r="P1480" s="17"/>
      <c r="Q1480" s="17"/>
      <c r="R1480" s="17"/>
      <c r="S1480" s="17"/>
      <c r="T1480" s="17"/>
      <c r="U1480" s="17"/>
      <c r="V1480" s="17" t="str">
        <f>+CONCATENATE(E1480,".",F1480,"\",G1480,".",H1480,":",I1480)</f>
        <v>2.11\0.3:</v>
      </c>
      <c r="W1480" s="17"/>
      <c r="X1480" s="17"/>
      <c r="Y1480" s="20"/>
      <c r="Z1480" s="20"/>
      <c r="AA1480" s="20"/>
      <c r="AB1480" s="20"/>
      <c r="AC1480" s="20"/>
      <c r="AD1480" s="20"/>
      <c r="AE1480" s="20"/>
      <c r="AF1480" s="17"/>
      <c r="AG1480" s="64"/>
      <c r="AH1480" s="64"/>
      <c r="AI1480" s="64"/>
      <c r="AJ1480" s="64"/>
      <c r="AK1480" s="64"/>
      <c r="AL1480" s="264"/>
      <c r="AM1480" s="84"/>
      <c r="AN1480" s="18"/>
      <c r="AO1480" s="18"/>
      <c r="AP1480" s="18"/>
      <c r="AQ1480" s="18"/>
      <c r="AR1480" s="18"/>
      <c r="AS1480" s="18"/>
      <c r="AT1480" s="18"/>
      <c r="AU1480" s="18"/>
      <c r="AV1480" s="18"/>
      <c r="AW1480" s="18"/>
      <c r="AX1480" s="18"/>
      <c r="AY1480" s="18"/>
    </row>
    <row r="1481" spans="1:51" s="33" customFormat="1" x14ac:dyDescent="0.3">
      <c r="A1481" s="63" t="str">
        <f>A1480</f>
        <v>BCV131</v>
      </c>
      <c r="B1481" s="17" t="s">
        <v>1453</v>
      </c>
      <c r="C1481" s="18" t="str">
        <f>+C1480</f>
        <v>DIO1</v>
      </c>
      <c r="D1481" s="18">
        <v>132</v>
      </c>
      <c r="E1481" s="84">
        <f>+E1480</f>
        <v>2</v>
      </c>
      <c r="F1481" s="84">
        <f>+F1480</f>
        <v>11</v>
      </c>
      <c r="G1481" s="84">
        <v>0</v>
      </c>
      <c r="H1481" s="186">
        <f>+H1480</f>
        <v>3</v>
      </c>
      <c r="I1481" s="187"/>
      <c r="J1481" s="266"/>
      <c r="K1481" s="18"/>
      <c r="L1481" s="17"/>
      <c r="M1481" s="18">
        <v>0</v>
      </c>
      <c r="N1481" s="18"/>
      <c r="O1481" s="17"/>
      <c r="P1481" s="17"/>
      <c r="Q1481" s="17"/>
      <c r="R1481" s="17"/>
      <c r="S1481" s="17"/>
      <c r="T1481" s="17"/>
      <c r="U1481" s="17"/>
      <c r="V1481" s="17" t="str">
        <f>+CONCATENATE(E1481,".",F1481,"\",G1481,".",H1481,":",I1481)</f>
        <v>2.11\0.3:</v>
      </c>
      <c r="W1481" s="17"/>
      <c r="X1481" s="17"/>
      <c r="Y1481" s="20"/>
      <c r="Z1481" s="20"/>
      <c r="AA1481" s="20"/>
      <c r="AB1481" s="20"/>
      <c r="AC1481" s="20"/>
      <c r="AD1481" s="20"/>
      <c r="AE1481" s="20"/>
      <c r="AF1481" s="17"/>
      <c r="AG1481" s="64"/>
      <c r="AH1481" s="64"/>
      <c r="AI1481" s="64"/>
      <c r="AJ1481" s="64"/>
      <c r="AK1481" s="64"/>
      <c r="AL1481" s="264"/>
      <c r="AM1481" s="84"/>
      <c r="AN1481" s="18"/>
      <c r="AO1481" s="18"/>
      <c r="AP1481" s="18"/>
      <c r="AQ1481" s="18"/>
      <c r="AR1481" s="18"/>
      <c r="AS1481" s="18"/>
      <c r="AT1481" s="18"/>
      <c r="AU1481" s="18"/>
      <c r="AV1481" s="18"/>
      <c r="AW1481" s="18"/>
      <c r="AX1481" s="18"/>
      <c r="AY1481" s="18"/>
    </row>
    <row r="1482" spans="1:51" s="33" customFormat="1" x14ac:dyDescent="0.3">
      <c r="A1482" s="63" t="str">
        <f>A1481</f>
        <v>BCV131</v>
      </c>
      <c r="B1482" s="17" t="s">
        <v>1453</v>
      </c>
      <c r="C1482" s="18" t="str">
        <f>+C1481</f>
        <v>DIO1</v>
      </c>
      <c r="D1482" s="18">
        <v>132</v>
      </c>
      <c r="E1482" s="84">
        <f>+E1481</f>
        <v>2</v>
      </c>
      <c r="F1482" s="84">
        <f>+F1481</f>
        <v>11</v>
      </c>
      <c r="G1482" s="84">
        <v>0</v>
      </c>
      <c r="H1482" s="186">
        <f>+H1481</f>
        <v>3</v>
      </c>
      <c r="I1482" s="187"/>
      <c r="J1482" s="266"/>
      <c r="K1482" s="18"/>
      <c r="L1482" s="17"/>
      <c r="M1482" s="18">
        <v>0</v>
      </c>
      <c r="N1482" s="18"/>
      <c r="O1482" s="17"/>
      <c r="P1482" s="17"/>
      <c r="Q1482" s="17"/>
      <c r="R1482" s="17"/>
      <c r="S1482" s="17"/>
      <c r="T1482" s="17"/>
      <c r="U1482" s="17"/>
      <c r="V1482" s="17" t="str">
        <f>+CONCATENATE(E1482,".",F1482,"\",G1482,".",H1482,":",I1482)</f>
        <v>2.11\0.3:</v>
      </c>
      <c r="W1482" s="17"/>
      <c r="X1482" s="17"/>
      <c r="Y1482" s="20"/>
      <c r="Z1482" s="20"/>
      <c r="AA1482" s="20"/>
      <c r="AB1482" s="20"/>
      <c r="AC1482" s="20"/>
      <c r="AD1482" s="20"/>
      <c r="AE1482" s="20"/>
      <c r="AF1482" s="17"/>
      <c r="AG1482" s="64"/>
      <c r="AH1482" s="64"/>
      <c r="AI1482" s="64"/>
      <c r="AJ1482" s="64"/>
      <c r="AK1482" s="64"/>
      <c r="AL1482" s="264"/>
      <c r="AM1482" s="84"/>
      <c r="AN1482" s="18"/>
      <c r="AO1482" s="18"/>
      <c r="AP1482" s="18"/>
      <c r="AQ1482" s="18"/>
      <c r="AR1482" s="18"/>
      <c r="AS1482" s="18"/>
      <c r="AT1482" s="18"/>
      <c r="AU1482" s="18"/>
      <c r="AV1482" s="18"/>
      <c r="AW1482" s="18"/>
      <c r="AX1482" s="18"/>
      <c r="AY1482" s="18"/>
    </row>
    <row r="1483" spans="1:51" s="33" customFormat="1" ht="13.5" thickBot="1" x14ac:dyDescent="0.35">
      <c r="A1483" s="63" t="str">
        <f>A1482</f>
        <v>BCV131</v>
      </c>
      <c r="B1483" s="17" t="s">
        <v>1453</v>
      </c>
      <c r="C1483" s="18" t="str">
        <f>+C1482</f>
        <v>DIO1</v>
      </c>
      <c r="D1483" s="18">
        <v>132</v>
      </c>
      <c r="E1483" s="84">
        <f>+E1482</f>
        <v>2</v>
      </c>
      <c r="F1483" s="84">
        <f>+F1482</f>
        <v>11</v>
      </c>
      <c r="G1483" s="84">
        <v>0</v>
      </c>
      <c r="H1483" s="186">
        <f>+H1482</f>
        <v>3</v>
      </c>
      <c r="I1483" s="191"/>
      <c r="J1483" s="265"/>
      <c r="K1483" s="18"/>
      <c r="L1483" s="17"/>
      <c r="M1483" s="18">
        <v>0</v>
      </c>
      <c r="N1483" s="18"/>
      <c r="O1483" s="17"/>
      <c r="P1483" s="17"/>
      <c r="Q1483" s="17"/>
      <c r="R1483" s="17"/>
      <c r="S1483" s="17"/>
      <c r="T1483" s="17"/>
      <c r="U1483" s="17"/>
      <c r="V1483" s="17" t="str">
        <f>+CONCATENATE(E1483,".",F1483,"\",G1483,".",H1483,":",I1483)</f>
        <v>2.11\0.3:</v>
      </c>
      <c r="W1483" s="17"/>
      <c r="X1483" s="17"/>
      <c r="Y1483" s="20"/>
      <c r="Z1483" s="20"/>
      <c r="AA1483" s="20"/>
      <c r="AB1483" s="20"/>
      <c r="AC1483" s="20"/>
      <c r="AD1483" s="20"/>
      <c r="AE1483" s="20"/>
      <c r="AF1483" s="17"/>
      <c r="AG1483" s="64"/>
      <c r="AH1483" s="64"/>
      <c r="AI1483" s="64"/>
      <c r="AJ1483" s="64"/>
      <c r="AK1483" s="64"/>
      <c r="AL1483" s="264" t="s">
        <v>1452</v>
      </c>
      <c r="AM1483" s="84"/>
      <c r="AN1483" s="18"/>
      <c r="AO1483" s="18"/>
      <c r="AP1483" s="18"/>
      <c r="AQ1483" s="18"/>
      <c r="AR1483" s="18"/>
      <c r="AS1483" s="18"/>
      <c r="AT1483" s="18"/>
      <c r="AU1483" s="18"/>
      <c r="AV1483" s="18"/>
      <c r="AW1483" s="18"/>
      <c r="AX1483" s="18"/>
      <c r="AY1483" s="18"/>
    </row>
    <row r="1484" spans="1:51" s="33" customFormat="1" x14ac:dyDescent="0.3">
      <c r="A1484" s="63"/>
      <c r="B1484" s="63"/>
      <c r="C1484" s="63"/>
      <c r="D1484" s="63"/>
      <c r="E1484" s="288"/>
      <c r="F1484" s="288"/>
      <c r="G1484" s="288"/>
      <c r="H1484" s="63"/>
      <c r="I1484" s="63"/>
      <c r="J1484" s="63"/>
      <c r="K1484" s="17"/>
      <c r="L1484" s="17"/>
      <c r="M1484" s="17"/>
      <c r="N1484" s="17"/>
      <c r="O1484" s="68"/>
      <c r="P1484" s="68"/>
      <c r="Q1484" s="68"/>
      <c r="R1484" s="68"/>
      <c r="S1484" s="68"/>
      <c r="T1484" s="68"/>
      <c r="U1484" s="17"/>
      <c r="V1484" s="17"/>
      <c r="W1484" s="17"/>
      <c r="X1484" s="17"/>
      <c r="Y1484" s="17"/>
      <c r="Z1484" s="17"/>
      <c r="AA1484" s="17"/>
      <c r="AB1484" s="20"/>
      <c r="AC1484" s="17"/>
      <c r="AD1484" s="17"/>
      <c r="AE1484" s="17"/>
      <c r="AF1484" s="17"/>
      <c r="AG1484" s="64"/>
      <c r="AH1484" s="64"/>
      <c r="AI1484" s="64"/>
      <c r="AJ1484" s="64"/>
      <c r="AK1484" s="64"/>
      <c r="AL1484" s="264" t="s">
        <v>1452</v>
      </c>
      <c r="AM1484" s="84"/>
      <c r="AN1484" s="18"/>
      <c r="AO1484" s="18"/>
      <c r="AP1484" s="18"/>
      <c r="AQ1484" s="18"/>
      <c r="AR1484" s="18"/>
      <c r="AS1484" s="18"/>
      <c r="AT1484" s="18"/>
      <c r="AU1484" s="18"/>
      <c r="AV1484" s="18"/>
      <c r="AW1484" s="18"/>
      <c r="AX1484" s="18"/>
      <c r="AY1484" s="18"/>
    </row>
    <row r="1485" spans="1:51" s="33" customFormat="1" x14ac:dyDescent="0.3">
      <c r="A1485" s="63"/>
      <c r="B1485" s="63"/>
      <c r="C1485" s="63"/>
      <c r="D1485" s="63"/>
      <c r="E1485" s="288"/>
      <c r="F1485" s="288"/>
      <c r="G1485" s="288"/>
      <c r="H1485" s="63"/>
      <c r="I1485" s="63"/>
      <c r="J1485" s="63"/>
      <c r="K1485" s="17"/>
      <c r="L1485" s="17"/>
      <c r="M1485" s="17"/>
      <c r="N1485" s="17"/>
      <c r="O1485" s="68"/>
      <c r="P1485" s="68"/>
      <c r="Q1485" s="68"/>
      <c r="R1485" s="68"/>
      <c r="S1485" s="68"/>
      <c r="T1485" s="68"/>
      <c r="U1485" s="17"/>
      <c r="V1485" s="17"/>
      <c r="W1485" s="17"/>
      <c r="X1485" s="17"/>
      <c r="Y1485" s="17"/>
      <c r="Z1485" s="17"/>
      <c r="AA1485" s="17"/>
      <c r="AB1485" s="20"/>
      <c r="AC1485" s="17"/>
      <c r="AD1485" s="17"/>
      <c r="AE1485" s="17"/>
      <c r="AF1485" s="17"/>
      <c r="AG1485" s="64"/>
      <c r="AH1485" s="64"/>
      <c r="AI1485" s="64"/>
      <c r="AJ1485" s="64"/>
      <c r="AK1485" s="64"/>
      <c r="AL1485" s="264"/>
      <c r="AM1485" s="84"/>
      <c r="AN1485" s="18"/>
      <c r="AO1485" s="18"/>
      <c r="AP1485" s="18"/>
      <c r="AQ1485" s="18"/>
      <c r="AR1485" s="18"/>
      <c r="AS1485" s="18"/>
      <c r="AT1485" s="18"/>
      <c r="AU1485" s="18"/>
      <c r="AV1485" s="18"/>
      <c r="AW1485" s="18"/>
      <c r="AX1485" s="18"/>
      <c r="AY1485" s="18"/>
    </row>
    <row r="1486" spans="1:51" s="33" customFormat="1" x14ac:dyDescent="0.3">
      <c r="A1486" s="63"/>
      <c r="B1486" s="63"/>
      <c r="C1486" s="63"/>
      <c r="D1486" s="63"/>
      <c r="E1486" s="288"/>
      <c r="F1486" s="288"/>
      <c r="G1486" s="288"/>
      <c r="H1486" s="63"/>
      <c r="I1486" s="63"/>
      <c r="J1486" s="63"/>
      <c r="K1486" s="17"/>
      <c r="L1486" s="17"/>
      <c r="M1486" s="17"/>
      <c r="N1486" s="17"/>
      <c r="O1486" s="68"/>
      <c r="P1486" s="68"/>
      <c r="Q1486" s="68"/>
      <c r="R1486" s="68"/>
      <c r="S1486" s="68"/>
      <c r="T1486" s="68"/>
      <c r="U1486" s="17"/>
      <c r="V1486" s="17"/>
      <c r="W1486" s="17"/>
      <c r="X1486" s="17"/>
      <c r="Y1486" s="17"/>
      <c r="Z1486" s="17"/>
      <c r="AA1486" s="17"/>
      <c r="AB1486" s="46"/>
      <c r="AC1486" s="17"/>
      <c r="AD1486" s="17"/>
      <c r="AE1486" s="17"/>
      <c r="AF1486" s="17"/>
      <c r="AG1486" s="64"/>
      <c r="AH1486" s="64"/>
      <c r="AI1486" s="64"/>
      <c r="AJ1486" s="64"/>
      <c r="AK1486" s="64"/>
      <c r="AL1486" s="264"/>
      <c r="AM1486" s="84"/>
      <c r="AN1486" s="18"/>
      <c r="AO1486" s="18"/>
      <c r="AP1486" s="18"/>
      <c r="AQ1486" s="18"/>
      <c r="AR1486" s="18"/>
      <c r="AS1486" s="18"/>
      <c r="AT1486" s="18"/>
      <c r="AU1486" s="18"/>
      <c r="AV1486" s="18"/>
      <c r="AW1486" s="18"/>
      <c r="AX1486" s="18"/>
      <c r="AY1486" s="18"/>
    </row>
    <row r="1487" spans="1:51" s="33" customFormat="1" ht="15.5" x14ac:dyDescent="0.35">
      <c r="A1487" s="297"/>
      <c r="B1487" s="96" t="s">
        <v>1451</v>
      </c>
      <c r="C1487" s="256"/>
      <c r="D1487" s="256"/>
      <c r="E1487" s="256"/>
      <c r="F1487" s="256"/>
      <c r="G1487" s="256"/>
      <c r="H1487" s="256"/>
      <c r="I1487" s="256"/>
      <c r="J1487" s="256"/>
      <c r="K1487" s="256"/>
      <c r="L1487" s="256"/>
      <c r="M1487" s="256"/>
      <c r="N1487" s="287"/>
      <c r="O1487" s="256"/>
      <c r="P1487" s="287"/>
      <c r="Q1487" s="256"/>
      <c r="R1487" s="256"/>
      <c r="S1487" s="256"/>
      <c r="T1487" s="256"/>
      <c r="U1487" s="256"/>
      <c r="V1487" s="256"/>
      <c r="W1487" s="287"/>
      <c r="X1487" s="256"/>
      <c r="Y1487" s="256"/>
      <c r="Z1487" s="17"/>
      <c r="AA1487" s="17"/>
      <c r="AB1487" s="17"/>
      <c r="AC1487" s="17"/>
      <c r="AD1487" s="17"/>
      <c r="AE1487" s="17"/>
      <c r="AF1487" s="17"/>
      <c r="AG1487" s="64"/>
      <c r="AH1487" s="64"/>
      <c r="AI1487" s="64"/>
      <c r="AJ1487" s="64"/>
      <c r="AK1487" s="64"/>
      <c r="AL1487" s="264"/>
      <c r="AM1487" s="84"/>
      <c r="AN1487" s="18"/>
      <c r="AO1487" s="18"/>
      <c r="AP1487" s="18"/>
      <c r="AQ1487" s="18"/>
      <c r="AR1487" s="18"/>
      <c r="AS1487" s="18"/>
      <c r="AT1487" s="18"/>
      <c r="AU1487" s="18"/>
      <c r="AV1487" s="18"/>
      <c r="AW1487" s="18"/>
      <c r="AX1487" s="18"/>
      <c r="AY1487" s="18"/>
    </row>
    <row r="1488" spans="1:51" s="33" customFormat="1" ht="13.5" thickBot="1" x14ac:dyDescent="0.35">
      <c r="A1488" s="63"/>
      <c r="B1488" s="63"/>
      <c r="C1488" s="63"/>
      <c r="D1488" s="63"/>
      <c r="E1488" s="288"/>
      <c r="F1488" s="288"/>
      <c r="G1488" s="288"/>
      <c r="H1488" s="63"/>
      <c r="I1488" s="63"/>
      <c r="J1488" s="63"/>
      <c r="K1488" s="17"/>
      <c r="L1488" s="17"/>
      <c r="M1488" s="17"/>
      <c r="N1488" s="17"/>
      <c r="O1488" s="68"/>
      <c r="P1488" s="68"/>
      <c r="Q1488" s="68"/>
      <c r="R1488" s="68"/>
      <c r="S1488" s="68"/>
      <c r="T1488" s="68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64"/>
      <c r="AH1488" s="64"/>
      <c r="AI1488" s="64"/>
      <c r="AJ1488" s="64"/>
      <c r="AK1488" s="64"/>
      <c r="AL1488" s="264"/>
      <c r="AM1488" s="84"/>
      <c r="AN1488" s="18"/>
      <c r="AO1488" s="18"/>
      <c r="AP1488" s="18"/>
      <c r="AQ1488" s="18"/>
      <c r="AR1488" s="18"/>
      <c r="AS1488" s="18"/>
      <c r="AT1488" s="18"/>
      <c r="AU1488" s="18"/>
      <c r="AV1488" s="18"/>
      <c r="AW1488" s="18"/>
      <c r="AX1488" s="18"/>
      <c r="AY1488" s="18"/>
    </row>
    <row r="1489" spans="1:51" s="33" customFormat="1" ht="13.5" thickBot="1" x14ac:dyDescent="0.35">
      <c r="A1489" s="63" t="s">
        <v>194</v>
      </c>
      <c r="B1489" s="17" t="s">
        <v>1450</v>
      </c>
      <c r="C1489" s="295" t="s">
        <v>271</v>
      </c>
      <c r="D1489" s="290" t="s">
        <v>285</v>
      </c>
      <c r="E1489" s="290">
        <v>1</v>
      </c>
      <c r="F1489" s="290">
        <v>15</v>
      </c>
      <c r="G1489" s="290">
        <v>0</v>
      </c>
      <c r="H1489" s="89">
        <v>0</v>
      </c>
      <c r="I1489" s="88" t="s">
        <v>1106</v>
      </c>
      <c r="J1489" s="87"/>
      <c r="K1489" s="84">
        <v>1059305</v>
      </c>
      <c r="L1489" s="91" t="s">
        <v>1377</v>
      </c>
      <c r="M1489" s="17">
        <v>3</v>
      </c>
      <c r="N1489" s="17"/>
      <c r="O1489" s="83"/>
      <c r="P1489" s="83"/>
      <c r="Q1489" s="68"/>
      <c r="R1489" s="68"/>
      <c r="S1489" s="68"/>
      <c r="T1489" s="68"/>
      <c r="U1489" s="17"/>
      <c r="V1489" s="17"/>
      <c r="W1489" s="18" t="s">
        <v>1434</v>
      </c>
      <c r="X1489" s="17">
        <v>0</v>
      </c>
      <c r="Y1489" s="17"/>
      <c r="Z1489" s="17"/>
      <c r="AA1489" s="17"/>
      <c r="AB1489" s="17"/>
      <c r="AC1489" s="17"/>
      <c r="AD1489" s="17"/>
      <c r="AE1489" s="17"/>
      <c r="AF1489" s="17"/>
      <c r="AG1489" s="64"/>
      <c r="AH1489" s="64"/>
      <c r="AI1489" s="64"/>
      <c r="AJ1489" s="64"/>
      <c r="AK1489" s="64"/>
      <c r="AL1489" s="264"/>
      <c r="AM1489" s="84"/>
      <c r="AN1489" s="18"/>
      <c r="AO1489" s="18"/>
      <c r="AP1489" s="18"/>
      <c r="AQ1489" s="18"/>
      <c r="AR1489" s="18"/>
      <c r="AS1489" s="18"/>
      <c r="AT1489" s="18"/>
      <c r="AU1489" s="18"/>
      <c r="AV1489" s="18"/>
      <c r="AW1489" s="18"/>
      <c r="AX1489" s="18"/>
      <c r="AY1489" s="18"/>
    </row>
    <row r="1490" spans="1:51" s="33" customFormat="1" x14ac:dyDescent="0.3">
      <c r="A1490" s="63" t="str">
        <f>+A1489</f>
        <v>BCV131</v>
      </c>
      <c r="B1490" s="18" t="str">
        <f>+B1489</f>
        <v>AX29</v>
      </c>
      <c r="C1490" s="85" t="str">
        <f>+C1489</f>
        <v>SIO1</v>
      </c>
      <c r="D1490" s="85" t="str">
        <f>+D1489</f>
        <v>SLC01</v>
      </c>
      <c r="E1490" s="290">
        <f>+E1489</f>
        <v>1</v>
      </c>
      <c r="F1490" s="290">
        <f>+F1489</f>
        <v>15</v>
      </c>
      <c r="G1490" s="290">
        <f>+G1489</f>
        <v>0</v>
      </c>
      <c r="H1490" s="72">
        <v>1</v>
      </c>
      <c r="I1490" s="77">
        <v>1</v>
      </c>
      <c r="J1490" s="76" t="s">
        <v>269</v>
      </c>
      <c r="K1490" s="65">
        <v>1044125</v>
      </c>
      <c r="L1490" s="79" t="s">
        <v>244</v>
      </c>
      <c r="M1490" s="17">
        <v>3</v>
      </c>
      <c r="N1490" s="18" t="s">
        <v>1447</v>
      </c>
      <c r="O1490" s="296" t="s">
        <v>1449</v>
      </c>
      <c r="P1490" s="296"/>
      <c r="Q1490" s="296" t="s">
        <v>1448</v>
      </c>
      <c r="R1490" s="17" t="s">
        <v>211</v>
      </c>
      <c r="S1490" s="17"/>
      <c r="T1490" s="17" t="s">
        <v>194</v>
      </c>
      <c r="U1490" s="17"/>
      <c r="V1490" s="289" t="str">
        <f>+CONCATENATE(E1490,".",F1490,"\",G1490,".",H1490,":",I1490)</f>
        <v>1.15\0.1:1</v>
      </c>
      <c r="W1490" s="18" t="s">
        <v>1434</v>
      </c>
      <c r="X1490" s="17">
        <v>0</v>
      </c>
      <c r="Y1490" s="17"/>
      <c r="Z1490" s="17"/>
      <c r="AA1490" s="17"/>
      <c r="AB1490" s="17"/>
      <c r="AC1490" s="17"/>
      <c r="AD1490" s="17"/>
      <c r="AE1490" s="17"/>
      <c r="AF1490" s="17"/>
      <c r="AG1490" s="64"/>
      <c r="AH1490" s="64"/>
      <c r="AI1490" s="64"/>
      <c r="AJ1490" s="64"/>
      <c r="AK1490" s="64"/>
      <c r="AL1490" s="264"/>
      <c r="AM1490" s="84"/>
      <c r="AN1490" s="18"/>
      <c r="AO1490" s="18"/>
      <c r="AP1490" s="18"/>
      <c r="AQ1490" s="18"/>
      <c r="AR1490" s="18"/>
      <c r="AS1490" s="18"/>
      <c r="AT1490" s="18"/>
      <c r="AU1490" s="18"/>
      <c r="AV1490" s="18"/>
      <c r="AW1490" s="18"/>
      <c r="AX1490" s="18"/>
      <c r="AY1490" s="18"/>
    </row>
    <row r="1491" spans="1:51" s="33" customFormat="1" x14ac:dyDescent="0.3">
      <c r="A1491" s="63" t="str">
        <f>+A1490</f>
        <v>BCV131</v>
      </c>
      <c r="B1491" s="18" t="str">
        <f>+B1490</f>
        <v>AX29</v>
      </c>
      <c r="C1491" s="85" t="str">
        <f>+C1490</f>
        <v>SIO1</v>
      </c>
      <c r="D1491" s="85" t="str">
        <f>+D1490</f>
        <v>SLC01</v>
      </c>
      <c r="E1491" s="290">
        <f>+E1490</f>
        <v>1</v>
      </c>
      <c r="F1491" s="290">
        <f>+F1490</f>
        <v>15</v>
      </c>
      <c r="G1491" s="290">
        <f>+G1490</f>
        <v>0</v>
      </c>
      <c r="H1491" s="72">
        <f>+H1490</f>
        <v>1</v>
      </c>
      <c r="I1491" s="75">
        <v>2</v>
      </c>
      <c r="J1491" s="74" t="s">
        <v>265</v>
      </c>
      <c r="K1491" s="84">
        <v>1047162</v>
      </c>
      <c r="L1491" s="79" t="s">
        <v>244</v>
      </c>
      <c r="M1491" s="17">
        <v>3</v>
      </c>
      <c r="N1491" s="18" t="s">
        <v>1447</v>
      </c>
      <c r="O1491" s="296" t="s">
        <v>1446</v>
      </c>
      <c r="P1491" s="296"/>
      <c r="Q1491" s="296" t="s">
        <v>1445</v>
      </c>
      <c r="R1491" s="17" t="s">
        <v>211</v>
      </c>
      <c r="S1491" s="17"/>
      <c r="T1491" s="17" t="str">
        <f>+T1490</f>
        <v>BCV131</v>
      </c>
      <c r="U1491" s="17"/>
      <c r="V1491" s="289" t="str">
        <f>+CONCATENATE(E1491,".",F1491,"\",G1491,".",H1491,":",I1491)</f>
        <v>1.15\0.1:2</v>
      </c>
      <c r="W1491" s="18" t="s">
        <v>1434</v>
      </c>
      <c r="X1491" s="17">
        <v>0</v>
      </c>
      <c r="Y1491" s="17"/>
      <c r="Z1491" s="17"/>
      <c r="AA1491" s="17"/>
      <c r="AB1491" s="17"/>
      <c r="AC1491" s="17"/>
      <c r="AD1491" s="17"/>
      <c r="AE1491" s="17"/>
      <c r="AF1491" s="17"/>
      <c r="AG1491" s="64"/>
      <c r="AH1491" s="64"/>
      <c r="AI1491" s="64"/>
      <c r="AJ1491" s="64"/>
      <c r="AK1491" s="64"/>
      <c r="AL1491" s="264"/>
      <c r="AM1491" s="84"/>
      <c r="AN1491" s="18"/>
      <c r="AO1491" s="18"/>
      <c r="AP1491" s="18"/>
      <c r="AQ1491" s="18"/>
      <c r="AR1491" s="18"/>
      <c r="AS1491" s="18"/>
      <c r="AT1491" s="18"/>
      <c r="AU1491" s="18"/>
      <c r="AV1491" s="18"/>
      <c r="AW1491" s="18"/>
      <c r="AX1491" s="18"/>
      <c r="AY1491" s="18"/>
    </row>
    <row r="1492" spans="1:51" s="33" customFormat="1" x14ac:dyDescent="0.3">
      <c r="A1492" s="63" t="str">
        <f>+A1491</f>
        <v>BCV131</v>
      </c>
      <c r="B1492" s="18" t="str">
        <f>+B1491</f>
        <v>AX29</v>
      </c>
      <c r="C1492" s="85" t="str">
        <f>+C1491</f>
        <v>SIO1</v>
      </c>
      <c r="D1492" s="85" t="str">
        <f>+D1491</f>
        <v>SLC01</v>
      </c>
      <c r="E1492" s="290">
        <f>+E1491</f>
        <v>1</v>
      </c>
      <c r="F1492" s="290">
        <f>+F1491</f>
        <v>15</v>
      </c>
      <c r="G1492" s="290">
        <f>+G1491</f>
        <v>0</v>
      </c>
      <c r="H1492" s="72">
        <f>+H1491</f>
        <v>1</v>
      </c>
      <c r="I1492" s="75">
        <v>3</v>
      </c>
      <c r="J1492" s="74" t="s">
        <v>261</v>
      </c>
      <c r="K1492" s="85"/>
      <c r="L1492" s="79" t="s">
        <v>244</v>
      </c>
      <c r="M1492" s="17">
        <v>3</v>
      </c>
      <c r="N1492" s="18" t="s">
        <v>1442</v>
      </c>
      <c r="O1492" s="296" t="s">
        <v>1444</v>
      </c>
      <c r="P1492" s="296"/>
      <c r="Q1492" s="296" t="s">
        <v>1443</v>
      </c>
      <c r="R1492" s="17" t="s">
        <v>211</v>
      </c>
      <c r="S1492" s="17"/>
      <c r="T1492" s="17" t="str">
        <f>+T1491</f>
        <v>BCV131</v>
      </c>
      <c r="U1492" s="17"/>
      <c r="V1492" s="289" t="str">
        <f>+CONCATENATE(E1492,".",F1492,"\",G1492,".",H1492,":",I1492)</f>
        <v>1.15\0.1:3</v>
      </c>
      <c r="W1492" s="18" t="s">
        <v>1434</v>
      </c>
      <c r="X1492" s="17">
        <v>0</v>
      </c>
      <c r="Y1492" s="17"/>
      <c r="Z1492" s="17"/>
      <c r="AA1492" s="17"/>
      <c r="AB1492" s="17"/>
      <c r="AC1492" s="17"/>
      <c r="AD1492" s="17"/>
      <c r="AE1492" s="17"/>
      <c r="AF1492" s="17"/>
      <c r="AG1492" s="64"/>
      <c r="AH1492" s="64"/>
      <c r="AI1492" s="64"/>
      <c r="AJ1492" s="64"/>
      <c r="AK1492" s="64"/>
      <c r="AL1492" s="264"/>
      <c r="AM1492" s="84"/>
      <c r="AN1492" s="18"/>
      <c r="AO1492" s="18"/>
      <c r="AP1492" s="18"/>
      <c r="AQ1492" s="18"/>
      <c r="AR1492" s="18"/>
      <c r="AS1492" s="18"/>
      <c r="AT1492" s="18"/>
      <c r="AU1492" s="18"/>
      <c r="AV1492" s="18"/>
      <c r="AW1492" s="18"/>
      <c r="AX1492" s="18"/>
      <c r="AY1492" s="18"/>
    </row>
    <row r="1493" spans="1:51" s="33" customFormat="1" x14ac:dyDescent="0.3">
      <c r="A1493" s="63" t="str">
        <f>+A1492</f>
        <v>BCV131</v>
      </c>
      <c r="B1493" s="18" t="str">
        <f>+B1492</f>
        <v>AX29</v>
      </c>
      <c r="C1493" s="85" t="str">
        <f>+C1492</f>
        <v>SIO1</v>
      </c>
      <c r="D1493" s="85" t="str">
        <f>+D1492</f>
        <v>SLC01</v>
      </c>
      <c r="E1493" s="290">
        <f>+E1492</f>
        <v>1</v>
      </c>
      <c r="F1493" s="290">
        <f>+F1492</f>
        <v>15</v>
      </c>
      <c r="G1493" s="290">
        <f>+G1492</f>
        <v>0</v>
      </c>
      <c r="H1493" s="72">
        <f>+H1492</f>
        <v>1</v>
      </c>
      <c r="I1493" s="75">
        <v>4</v>
      </c>
      <c r="J1493" s="74" t="s">
        <v>257</v>
      </c>
      <c r="K1493" s="85"/>
      <c r="L1493" s="79" t="s">
        <v>244</v>
      </c>
      <c r="M1493" s="17">
        <v>3</v>
      </c>
      <c r="N1493" s="18" t="s">
        <v>1442</v>
      </c>
      <c r="O1493" s="296" t="s">
        <v>1441</v>
      </c>
      <c r="P1493" s="296"/>
      <c r="Q1493" s="296" t="s">
        <v>1440</v>
      </c>
      <c r="R1493" s="17" t="s">
        <v>211</v>
      </c>
      <c r="S1493" s="17"/>
      <c r="T1493" s="17" t="str">
        <f>+T1492</f>
        <v>BCV131</v>
      </c>
      <c r="U1493" s="17"/>
      <c r="V1493" s="289" t="str">
        <f>+CONCATENATE(E1493,".",F1493,"\",G1493,".",H1493,":",I1493)</f>
        <v>1.15\0.1:4</v>
      </c>
      <c r="W1493" s="18" t="s">
        <v>1434</v>
      </c>
      <c r="X1493" s="17">
        <v>0</v>
      </c>
      <c r="Y1493" s="17"/>
      <c r="Z1493" s="17"/>
      <c r="AA1493" s="17"/>
      <c r="AB1493" s="17"/>
      <c r="AC1493" s="17"/>
      <c r="AD1493" s="17"/>
      <c r="AE1493" s="17"/>
      <c r="AF1493" s="17"/>
      <c r="AG1493" s="64"/>
      <c r="AH1493" s="64"/>
      <c r="AI1493" s="64"/>
      <c r="AJ1493" s="64"/>
      <c r="AK1493" s="64"/>
      <c r="AL1493" s="264"/>
      <c r="AM1493" s="84"/>
      <c r="AN1493" s="18"/>
      <c r="AO1493" s="18"/>
      <c r="AP1493" s="18"/>
      <c r="AQ1493" s="18"/>
      <c r="AR1493" s="18"/>
      <c r="AS1493" s="18"/>
      <c r="AT1493" s="18"/>
      <c r="AU1493" s="18"/>
      <c r="AV1493" s="18"/>
      <c r="AW1493" s="18"/>
      <c r="AX1493" s="18"/>
      <c r="AY1493" s="18"/>
    </row>
    <row r="1494" spans="1:51" s="33" customFormat="1" x14ac:dyDescent="0.3">
      <c r="A1494" s="63" t="str">
        <f>+A1493</f>
        <v>BCV131</v>
      </c>
      <c r="B1494" s="18" t="str">
        <f>+B1493</f>
        <v>AX29</v>
      </c>
      <c r="C1494" s="85" t="str">
        <f>+C1493</f>
        <v>SIO1</v>
      </c>
      <c r="D1494" s="85" t="str">
        <f>+D1493</f>
        <v>SLC01</v>
      </c>
      <c r="E1494" s="290">
        <f>+E1493</f>
        <v>1</v>
      </c>
      <c r="F1494" s="290">
        <f>+F1493</f>
        <v>15</v>
      </c>
      <c r="G1494" s="290">
        <f>+G1493</f>
        <v>0</v>
      </c>
      <c r="H1494" s="72">
        <f>+H1493</f>
        <v>1</v>
      </c>
      <c r="I1494" s="75">
        <v>5</v>
      </c>
      <c r="J1494" s="74" t="s">
        <v>1325</v>
      </c>
      <c r="K1494" s="85"/>
      <c r="L1494" s="79" t="s">
        <v>244</v>
      </c>
      <c r="M1494" s="17">
        <v>3</v>
      </c>
      <c r="N1494" s="17"/>
      <c r="O1494" s="296"/>
      <c r="P1494" s="296"/>
      <c r="Q1494" s="296" t="s">
        <v>127</v>
      </c>
      <c r="R1494" s="17"/>
      <c r="S1494" s="17"/>
      <c r="T1494" s="17"/>
      <c r="U1494" s="17"/>
      <c r="V1494" s="289" t="str">
        <f>+CONCATENATE(E1494,".",F1494,"\",G1494,".",H1494,":",I1494)</f>
        <v>1.15\0.1:5</v>
      </c>
      <c r="W1494" s="18" t="s">
        <v>1434</v>
      </c>
      <c r="X1494" s="17">
        <v>0</v>
      </c>
      <c r="Y1494" s="17"/>
      <c r="Z1494" s="17"/>
      <c r="AA1494" s="17"/>
      <c r="AB1494" s="17"/>
      <c r="AC1494" s="17"/>
      <c r="AD1494" s="17"/>
      <c r="AE1494" s="17"/>
      <c r="AF1494" s="17"/>
      <c r="AG1494" s="64"/>
      <c r="AH1494" s="64"/>
      <c r="AI1494" s="64"/>
      <c r="AJ1494" s="64"/>
      <c r="AK1494" s="64"/>
      <c r="AL1494" s="264"/>
      <c r="AM1494" s="84"/>
      <c r="AN1494" s="18"/>
      <c r="AO1494" s="18"/>
      <c r="AP1494" s="18"/>
      <c r="AQ1494" s="18"/>
      <c r="AR1494" s="18"/>
      <c r="AS1494" s="18"/>
      <c r="AT1494" s="18"/>
      <c r="AU1494" s="18"/>
      <c r="AV1494" s="18"/>
      <c r="AW1494" s="18"/>
      <c r="AX1494" s="18"/>
      <c r="AY1494" s="18"/>
    </row>
    <row r="1495" spans="1:51" s="33" customFormat="1" x14ac:dyDescent="0.3">
      <c r="A1495" s="63" t="str">
        <f>+A1494</f>
        <v>BCV131</v>
      </c>
      <c r="B1495" s="18" t="str">
        <f>+B1494</f>
        <v>AX29</v>
      </c>
      <c r="C1495" s="85" t="str">
        <f>+C1494</f>
        <v>SIO1</v>
      </c>
      <c r="D1495" s="85" t="str">
        <f>+D1494</f>
        <v>SLC01</v>
      </c>
      <c r="E1495" s="290">
        <f>+E1494</f>
        <v>1</v>
      </c>
      <c r="F1495" s="290">
        <f>+F1494</f>
        <v>15</v>
      </c>
      <c r="G1495" s="290">
        <f>+G1494</f>
        <v>0</v>
      </c>
      <c r="H1495" s="72">
        <f>+H1494</f>
        <v>1</v>
      </c>
      <c r="I1495" s="75">
        <v>6</v>
      </c>
      <c r="J1495" s="74" t="s">
        <v>1323</v>
      </c>
      <c r="K1495" s="85"/>
      <c r="L1495" s="79" t="s">
        <v>244</v>
      </c>
      <c r="M1495" s="17">
        <v>3</v>
      </c>
      <c r="N1495" s="17"/>
      <c r="O1495" s="296"/>
      <c r="P1495" s="296"/>
      <c r="Q1495" s="296" t="s">
        <v>127</v>
      </c>
      <c r="R1495" s="17"/>
      <c r="S1495" s="17"/>
      <c r="T1495" s="17"/>
      <c r="U1495" s="17"/>
      <c r="V1495" s="289" t="str">
        <f>+CONCATENATE(E1495,".",F1495,"\",G1495,".",H1495,":",I1495)</f>
        <v>1.15\0.1:6</v>
      </c>
      <c r="W1495" s="18" t="s">
        <v>1434</v>
      </c>
      <c r="X1495" s="17">
        <v>0</v>
      </c>
      <c r="Y1495" s="17"/>
      <c r="Z1495" s="17"/>
      <c r="AA1495" s="17"/>
      <c r="AB1495" s="17"/>
      <c r="AC1495" s="17"/>
      <c r="AD1495" s="17"/>
      <c r="AE1495" s="17"/>
      <c r="AF1495" s="17"/>
      <c r="AG1495" s="64"/>
      <c r="AH1495" s="64"/>
      <c r="AI1495" s="64"/>
      <c r="AJ1495" s="64"/>
      <c r="AK1495" s="64"/>
      <c r="AL1495" s="264"/>
      <c r="AM1495" s="84"/>
      <c r="AN1495" s="18"/>
      <c r="AO1495" s="18"/>
      <c r="AP1495" s="18"/>
      <c r="AQ1495" s="18"/>
      <c r="AR1495" s="18"/>
      <c r="AS1495" s="18"/>
      <c r="AT1495" s="18"/>
      <c r="AU1495" s="18"/>
      <c r="AV1495" s="18"/>
      <c r="AW1495" s="18"/>
      <c r="AX1495" s="18"/>
      <c r="AY1495" s="18"/>
    </row>
    <row r="1496" spans="1:51" s="33" customFormat="1" x14ac:dyDescent="0.3">
      <c r="A1496" s="63" t="str">
        <f>+A1495</f>
        <v>BCV131</v>
      </c>
      <c r="B1496" s="18" t="str">
        <f>+B1495</f>
        <v>AX29</v>
      </c>
      <c r="C1496" s="85" t="str">
        <f>+C1495</f>
        <v>SIO1</v>
      </c>
      <c r="D1496" s="85" t="str">
        <f>+D1495</f>
        <v>SLC01</v>
      </c>
      <c r="E1496" s="290">
        <f>+E1495</f>
        <v>1</v>
      </c>
      <c r="F1496" s="290">
        <f>+F1495</f>
        <v>15</v>
      </c>
      <c r="G1496" s="290">
        <f>+G1495</f>
        <v>0</v>
      </c>
      <c r="H1496" s="72">
        <f>+H1495</f>
        <v>1</v>
      </c>
      <c r="I1496" s="75">
        <v>7</v>
      </c>
      <c r="J1496" s="74" t="s">
        <v>246</v>
      </c>
      <c r="K1496" s="85"/>
      <c r="L1496" s="79" t="s">
        <v>244</v>
      </c>
      <c r="M1496" s="17">
        <v>3</v>
      </c>
      <c r="N1496" s="17"/>
      <c r="O1496" s="296"/>
      <c r="P1496" s="296"/>
      <c r="Q1496" s="296" t="s">
        <v>127</v>
      </c>
      <c r="R1496" s="17"/>
      <c r="S1496" s="17"/>
      <c r="T1496" s="17"/>
      <c r="U1496" s="17"/>
      <c r="V1496" s="289" t="str">
        <f>+CONCATENATE(E1496,".",F1496,"\",G1496,".",H1496,":",I1496)</f>
        <v>1.15\0.1:7</v>
      </c>
      <c r="W1496" s="18" t="s">
        <v>1434</v>
      </c>
      <c r="X1496" s="17">
        <v>0</v>
      </c>
      <c r="Y1496" s="17"/>
      <c r="Z1496" s="17"/>
      <c r="AA1496" s="17"/>
      <c r="AB1496" s="17"/>
      <c r="AC1496" s="17"/>
      <c r="AD1496" s="17"/>
      <c r="AE1496" s="17"/>
      <c r="AF1496" s="17"/>
      <c r="AG1496" s="64"/>
      <c r="AH1496" s="64"/>
      <c r="AI1496" s="64"/>
      <c r="AJ1496" s="64"/>
      <c r="AK1496" s="64"/>
      <c r="AL1496" s="264"/>
      <c r="AM1496" s="84"/>
      <c r="AN1496" s="18"/>
      <c r="AO1496" s="18"/>
      <c r="AP1496" s="18"/>
      <c r="AQ1496" s="18"/>
      <c r="AR1496" s="18"/>
      <c r="AS1496" s="18"/>
      <c r="AT1496" s="18"/>
      <c r="AU1496" s="18"/>
      <c r="AV1496" s="18"/>
      <c r="AW1496" s="18"/>
      <c r="AX1496" s="18"/>
      <c r="AY1496" s="18"/>
    </row>
    <row r="1497" spans="1:51" s="33" customFormat="1" x14ac:dyDescent="0.3">
      <c r="A1497" s="63" t="str">
        <f>+A1496</f>
        <v>BCV131</v>
      </c>
      <c r="B1497" s="18" t="str">
        <f>+B1496</f>
        <v>AX29</v>
      </c>
      <c r="C1497" s="85" t="str">
        <f>+C1496</f>
        <v>SIO1</v>
      </c>
      <c r="D1497" s="85" t="str">
        <f>+D1496</f>
        <v>SLC01</v>
      </c>
      <c r="E1497" s="290">
        <f>+E1496</f>
        <v>1</v>
      </c>
      <c r="F1497" s="290">
        <f>+F1496</f>
        <v>15</v>
      </c>
      <c r="G1497" s="290">
        <f>+G1496</f>
        <v>0</v>
      </c>
      <c r="H1497" s="72">
        <f>+H1496</f>
        <v>1</v>
      </c>
      <c r="I1497" s="75">
        <v>8</v>
      </c>
      <c r="J1497" s="74" t="s">
        <v>245</v>
      </c>
      <c r="K1497" s="85"/>
      <c r="L1497" s="79" t="s">
        <v>244</v>
      </c>
      <c r="M1497" s="17">
        <v>3</v>
      </c>
      <c r="N1497" s="17"/>
      <c r="O1497" s="296"/>
      <c r="P1497" s="296"/>
      <c r="Q1497" s="296" t="s">
        <v>127</v>
      </c>
      <c r="R1497" s="17"/>
      <c r="S1497" s="17"/>
      <c r="T1497" s="17"/>
      <c r="U1497" s="17"/>
      <c r="V1497" s="289" t="str">
        <f>+CONCATENATE(E1497,".",F1497,"\",G1497,".",H1497,":",I1497)</f>
        <v>1.15\0.1:8</v>
      </c>
      <c r="W1497" s="18" t="s">
        <v>1434</v>
      </c>
      <c r="X1497" s="17">
        <v>0</v>
      </c>
      <c r="Y1497" s="17"/>
      <c r="Z1497" s="17"/>
      <c r="AA1497" s="17"/>
      <c r="AB1497" s="17"/>
      <c r="AC1497" s="17"/>
      <c r="AD1497" s="17"/>
      <c r="AE1497" s="17"/>
      <c r="AF1497" s="17"/>
      <c r="AG1497" s="64"/>
      <c r="AH1497" s="64"/>
      <c r="AI1497" s="64"/>
      <c r="AJ1497" s="64"/>
      <c r="AK1497" s="64"/>
      <c r="AL1497" s="264"/>
      <c r="AM1497" s="84"/>
      <c r="AN1497" s="18"/>
      <c r="AO1497" s="18"/>
      <c r="AP1497" s="18"/>
      <c r="AQ1497" s="18"/>
      <c r="AR1497" s="18"/>
      <c r="AS1497" s="18"/>
      <c r="AT1497" s="18"/>
      <c r="AU1497" s="18"/>
      <c r="AV1497" s="18"/>
      <c r="AW1497" s="18"/>
      <c r="AX1497" s="18"/>
      <c r="AY1497" s="18"/>
    </row>
    <row r="1498" spans="1:51" s="33" customFormat="1" x14ac:dyDescent="0.3">
      <c r="A1498" s="63" t="str">
        <f>+A1497</f>
        <v>BCV131</v>
      </c>
      <c r="B1498" s="18" t="str">
        <f>+B1497</f>
        <v>AX29</v>
      </c>
      <c r="C1498" s="85" t="str">
        <f>+C1497</f>
        <v>SIO1</v>
      </c>
      <c r="D1498" s="85" t="str">
        <f>+D1497</f>
        <v>SLC01</v>
      </c>
      <c r="E1498" s="290">
        <f>+E1497</f>
        <v>1</v>
      </c>
      <c r="F1498" s="290">
        <f>+F1497</f>
        <v>15</v>
      </c>
      <c r="G1498" s="290">
        <f>+G1497</f>
        <v>0</v>
      </c>
      <c r="H1498" s="72">
        <f>+H1497</f>
        <v>1</v>
      </c>
      <c r="I1498" s="75">
        <v>1</v>
      </c>
      <c r="J1498" s="81" t="s">
        <v>1321</v>
      </c>
      <c r="K1498" s="85" t="s">
        <v>1366</v>
      </c>
      <c r="L1498" s="79" t="s">
        <v>235</v>
      </c>
      <c r="M1498" s="17">
        <v>3</v>
      </c>
      <c r="N1498" s="18" t="s">
        <v>1438</v>
      </c>
      <c r="O1498" s="17" t="s">
        <v>1439</v>
      </c>
      <c r="P1498" s="17"/>
      <c r="Q1498" s="17" t="s">
        <v>1335</v>
      </c>
      <c r="R1498" s="17" t="s">
        <v>922</v>
      </c>
      <c r="S1498" s="17"/>
      <c r="T1498" s="17" t="str">
        <f>+T1490</f>
        <v>BCV131</v>
      </c>
      <c r="U1498" s="17"/>
      <c r="V1498" s="289" t="str">
        <f>+CONCATENATE(E1498,".",F1498,"\",G1498,".",H1498,":",I1498)</f>
        <v>1.15\0.1:1</v>
      </c>
      <c r="W1498" s="18" t="s">
        <v>1434</v>
      </c>
      <c r="X1498" s="17">
        <v>0</v>
      </c>
      <c r="Y1498" s="17"/>
      <c r="Z1498" s="17"/>
      <c r="AA1498" s="17"/>
      <c r="AB1498" s="17"/>
      <c r="AC1498" s="17"/>
      <c r="AD1498" s="17"/>
      <c r="AE1498" s="17"/>
      <c r="AF1498" s="17"/>
      <c r="AG1498" s="64"/>
      <c r="AH1498" s="64"/>
      <c r="AI1498" s="64"/>
      <c r="AJ1498" s="64"/>
      <c r="AK1498" s="64"/>
      <c r="AL1498" s="264"/>
      <c r="AM1498" s="84"/>
      <c r="AN1498" s="18"/>
      <c r="AO1498" s="18"/>
      <c r="AP1498" s="18"/>
      <c r="AQ1498" s="18"/>
      <c r="AR1498" s="18"/>
      <c r="AS1498" s="18"/>
      <c r="AT1498" s="18"/>
      <c r="AU1498" s="18"/>
      <c r="AV1498" s="18"/>
      <c r="AW1498" s="18"/>
      <c r="AX1498" s="18"/>
      <c r="AY1498" s="18"/>
    </row>
    <row r="1499" spans="1:51" s="33" customFormat="1" x14ac:dyDescent="0.3">
      <c r="A1499" s="63" t="str">
        <f>+A1498</f>
        <v>BCV131</v>
      </c>
      <c r="B1499" s="18" t="str">
        <f>+B1498</f>
        <v>AX29</v>
      </c>
      <c r="C1499" s="85" t="str">
        <f>+C1498</f>
        <v>SIO1</v>
      </c>
      <c r="D1499" s="85" t="str">
        <f>+D1498</f>
        <v>SLC01</v>
      </c>
      <c r="E1499" s="290">
        <f>+E1498</f>
        <v>1</v>
      </c>
      <c r="F1499" s="290">
        <f>+F1498</f>
        <v>15</v>
      </c>
      <c r="G1499" s="290">
        <f>+G1498</f>
        <v>0</v>
      </c>
      <c r="H1499" s="72">
        <f>+H1498</f>
        <v>1</v>
      </c>
      <c r="I1499" s="75">
        <v>2</v>
      </c>
      <c r="J1499" s="74" t="s">
        <v>1320</v>
      </c>
      <c r="K1499" s="85"/>
      <c r="L1499" s="79" t="s">
        <v>235</v>
      </c>
      <c r="M1499" s="17">
        <v>3</v>
      </c>
      <c r="N1499" s="18" t="s">
        <v>1438</v>
      </c>
      <c r="O1499" s="17" t="s">
        <v>1437</v>
      </c>
      <c r="P1499" s="17"/>
      <c r="Q1499" s="17" t="s">
        <v>1330</v>
      </c>
      <c r="R1499" s="17" t="s">
        <v>922</v>
      </c>
      <c r="S1499" s="17"/>
      <c r="T1499" s="17" t="str">
        <f>+T1498</f>
        <v>BCV131</v>
      </c>
      <c r="U1499" s="17"/>
      <c r="V1499" s="289" t="str">
        <f>+CONCATENATE(E1499,".",F1499,"\",G1499,".",H1499,":",I1499)</f>
        <v>1.15\0.1:2</v>
      </c>
      <c r="W1499" s="18" t="s">
        <v>1434</v>
      </c>
      <c r="X1499" s="17">
        <v>0</v>
      </c>
      <c r="Y1499" s="17"/>
      <c r="Z1499" s="17"/>
      <c r="AA1499" s="17"/>
      <c r="AB1499" s="17"/>
      <c r="AC1499" s="17"/>
      <c r="AD1499" s="17"/>
      <c r="AE1499" s="17"/>
      <c r="AF1499" s="17"/>
      <c r="AG1499" s="64"/>
      <c r="AH1499" s="64"/>
      <c r="AI1499" s="64"/>
      <c r="AJ1499" s="64"/>
      <c r="AK1499" s="64"/>
      <c r="AL1499" s="264"/>
      <c r="AM1499" s="84"/>
      <c r="AN1499" s="18"/>
      <c r="AO1499" s="18"/>
      <c r="AP1499" s="18"/>
      <c r="AQ1499" s="18"/>
      <c r="AR1499" s="18"/>
      <c r="AS1499" s="18"/>
      <c r="AT1499" s="18"/>
      <c r="AU1499" s="18"/>
      <c r="AV1499" s="18"/>
      <c r="AW1499" s="18"/>
      <c r="AX1499" s="18"/>
      <c r="AY1499" s="18"/>
    </row>
    <row r="1500" spans="1:51" s="33" customFormat="1" x14ac:dyDescent="0.3">
      <c r="A1500" s="63" t="str">
        <f>+A1499</f>
        <v>BCV131</v>
      </c>
      <c r="B1500" s="18" t="str">
        <f>+B1499</f>
        <v>AX29</v>
      </c>
      <c r="C1500" s="85" t="str">
        <f>+C1499</f>
        <v>SIO1</v>
      </c>
      <c r="D1500" s="85" t="str">
        <f>+D1499</f>
        <v>SLC01</v>
      </c>
      <c r="E1500" s="290">
        <f>+E1499</f>
        <v>1</v>
      </c>
      <c r="F1500" s="290">
        <f>+F1499</f>
        <v>15</v>
      </c>
      <c r="G1500" s="290">
        <f>+G1499</f>
        <v>0</v>
      </c>
      <c r="H1500" s="72">
        <f>+H1499</f>
        <v>1</v>
      </c>
      <c r="I1500" s="75">
        <v>3</v>
      </c>
      <c r="J1500" s="74" t="s">
        <v>1319</v>
      </c>
      <c r="K1500" s="85"/>
      <c r="L1500" s="79" t="s">
        <v>235</v>
      </c>
      <c r="M1500" s="17">
        <v>3</v>
      </c>
      <c r="N1500" s="18" t="s">
        <v>1436</v>
      </c>
      <c r="O1500" s="17" t="s">
        <v>1435</v>
      </c>
      <c r="P1500" s="17"/>
      <c r="Q1500" s="17" t="s">
        <v>1330</v>
      </c>
      <c r="R1500" s="17" t="s">
        <v>922</v>
      </c>
      <c r="S1500" s="17"/>
      <c r="T1500" s="17" t="str">
        <f>+T1499</f>
        <v>BCV131</v>
      </c>
      <c r="U1500" s="17"/>
      <c r="V1500" s="289" t="str">
        <f>+CONCATENATE(E1500,".",F1500,"\",G1500,".",H1500,":",I1500)</f>
        <v>1.15\0.1:3</v>
      </c>
      <c r="W1500" s="18" t="s">
        <v>1434</v>
      </c>
      <c r="X1500" s="17">
        <v>0</v>
      </c>
      <c r="Y1500" s="17"/>
      <c r="Z1500" s="17"/>
      <c r="AA1500" s="17"/>
      <c r="AB1500" s="17"/>
      <c r="AC1500" s="17"/>
      <c r="AD1500" s="17"/>
      <c r="AE1500" s="17"/>
      <c r="AF1500" s="17"/>
      <c r="AG1500" s="64"/>
      <c r="AH1500" s="64"/>
      <c r="AI1500" s="64"/>
      <c r="AJ1500" s="64"/>
      <c r="AK1500" s="64"/>
      <c r="AL1500" s="264"/>
      <c r="AM1500" s="84"/>
      <c r="AN1500" s="18"/>
      <c r="AO1500" s="18"/>
      <c r="AP1500" s="18"/>
      <c r="AQ1500" s="18"/>
      <c r="AR1500" s="18"/>
      <c r="AS1500" s="18"/>
      <c r="AT1500" s="18"/>
      <c r="AU1500" s="18"/>
      <c r="AV1500" s="18"/>
      <c r="AW1500" s="18"/>
      <c r="AX1500" s="18"/>
      <c r="AY1500" s="18"/>
    </row>
    <row r="1501" spans="1:51" s="33" customFormat="1" ht="13.5" thickBot="1" x14ac:dyDescent="0.35">
      <c r="A1501" s="63" t="str">
        <f>+A1500</f>
        <v>BCV131</v>
      </c>
      <c r="B1501" s="18" t="str">
        <f>+B1500</f>
        <v>AX29</v>
      </c>
      <c r="C1501" s="85" t="str">
        <f>+C1500</f>
        <v>SIO1</v>
      </c>
      <c r="D1501" s="85" t="str">
        <f>+D1500</f>
        <v>SLC01</v>
      </c>
      <c r="E1501" s="290">
        <f>+E1500</f>
        <v>1</v>
      </c>
      <c r="F1501" s="290">
        <f>+F1500</f>
        <v>15</v>
      </c>
      <c r="G1501" s="290">
        <f>+G1500</f>
        <v>0</v>
      </c>
      <c r="H1501" s="72">
        <f>+H1500</f>
        <v>1</v>
      </c>
      <c r="I1501" s="71">
        <v>4</v>
      </c>
      <c r="J1501" s="70" t="s">
        <v>1318</v>
      </c>
      <c r="K1501" s="85"/>
      <c r="L1501" s="79" t="s">
        <v>235</v>
      </c>
      <c r="M1501" s="17">
        <v>3</v>
      </c>
      <c r="N1501" s="17"/>
      <c r="O1501" s="17"/>
      <c r="P1501" s="17"/>
      <c r="Q1501" s="68"/>
      <c r="R1501" s="68"/>
      <c r="S1501" s="68"/>
      <c r="T1501" s="68"/>
      <c r="U1501" s="17"/>
      <c r="V1501" s="289" t="str">
        <f>+CONCATENATE(E1501,".",F1501,"\",G1501,".",H1501,":",I1501)</f>
        <v>1.15\0.1:4</v>
      </c>
      <c r="W1501" s="18" t="s">
        <v>1434</v>
      </c>
      <c r="X1501" s="17">
        <v>0</v>
      </c>
      <c r="Y1501" s="17"/>
      <c r="Z1501" s="17"/>
      <c r="AA1501" s="17"/>
      <c r="AB1501" s="17"/>
      <c r="AC1501" s="17"/>
      <c r="AD1501" s="17"/>
      <c r="AE1501" s="17"/>
      <c r="AF1501" s="17"/>
      <c r="AG1501" s="64"/>
      <c r="AH1501" s="64"/>
      <c r="AI1501" s="64"/>
      <c r="AJ1501" s="64"/>
      <c r="AK1501" s="64"/>
      <c r="AL1501" s="264"/>
      <c r="AM1501" s="84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  <c r="AY1501" s="18"/>
    </row>
    <row r="1502" spans="1:51" s="33" customFormat="1" x14ac:dyDescent="0.3">
      <c r="A1502" s="63"/>
      <c r="B1502" s="63"/>
      <c r="C1502" s="63"/>
      <c r="D1502" s="63"/>
      <c r="E1502" s="288"/>
      <c r="F1502" s="288"/>
      <c r="G1502" s="288"/>
      <c r="H1502" s="63"/>
      <c r="I1502" s="63"/>
      <c r="J1502" s="63"/>
      <c r="K1502" s="17"/>
      <c r="L1502" s="17"/>
      <c r="M1502" s="17"/>
      <c r="N1502" s="17"/>
      <c r="O1502" s="68"/>
      <c r="P1502" s="68"/>
      <c r="Q1502" s="68"/>
      <c r="R1502" s="68"/>
      <c r="S1502" s="68"/>
      <c r="T1502" s="68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64"/>
      <c r="AH1502" s="64"/>
      <c r="AI1502" s="64"/>
      <c r="AJ1502" s="64"/>
      <c r="AK1502" s="64"/>
      <c r="AL1502" s="264"/>
      <c r="AM1502" s="84"/>
      <c r="AN1502" s="18"/>
      <c r="AO1502" s="18"/>
      <c r="AP1502" s="18"/>
      <c r="AQ1502" s="18"/>
      <c r="AR1502" s="18"/>
      <c r="AS1502" s="18"/>
      <c r="AT1502" s="18"/>
      <c r="AU1502" s="18"/>
      <c r="AV1502" s="18"/>
      <c r="AW1502" s="18"/>
      <c r="AX1502" s="18"/>
      <c r="AY1502" s="18"/>
    </row>
    <row r="1503" spans="1:51" s="33" customFormat="1" x14ac:dyDescent="0.3">
      <c r="A1503" s="63"/>
      <c r="B1503" s="63"/>
      <c r="C1503" s="63"/>
      <c r="D1503" s="63"/>
      <c r="E1503" s="288"/>
      <c r="F1503" s="288"/>
      <c r="G1503" s="288"/>
      <c r="H1503" s="63"/>
      <c r="I1503" s="63"/>
      <c r="J1503" s="63"/>
      <c r="K1503" s="17"/>
      <c r="L1503" s="17"/>
      <c r="M1503" s="17"/>
      <c r="N1503" s="17"/>
      <c r="O1503" s="68"/>
      <c r="P1503" s="68"/>
      <c r="Q1503" s="68"/>
      <c r="R1503" s="68"/>
      <c r="S1503" s="68"/>
      <c r="T1503" s="68"/>
      <c r="U1503" s="17"/>
      <c r="V1503" s="17"/>
      <c r="W1503" s="17"/>
      <c r="X1503" s="17"/>
      <c r="Y1503" s="17"/>
      <c r="Z1503" s="17"/>
      <c r="AA1503" s="17"/>
      <c r="AB1503" s="20"/>
      <c r="AC1503" s="17"/>
      <c r="AD1503" s="17"/>
      <c r="AE1503" s="17"/>
      <c r="AF1503" s="17"/>
      <c r="AG1503" s="64"/>
      <c r="AH1503" s="64"/>
      <c r="AI1503" s="64"/>
      <c r="AJ1503" s="64"/>
      <c r="AK1503" s="64"/>
      <c r="AL1503" s="264"/>
      <c r="AM1503" s="84"/>
      <c r="AN1503" s="18"/>
      <c r="AO1503" s="18"/>
      <c r="AP1503" s="18"/>
      <c r="AQ1503" s="18"/>
      <c r="AR1503" s="18"/>
      <c r="AS1503" s="18"/>
      <c r="AT1503" s="18"/>
      <c r="AU1503" s="18"/>
      <c r="AV1503" s="18"/>
      <c r="AW1503" s="18"/>
      <c r="AX1503" s="18"/>
      <c r="AY1503" s="18"/>
    </row>
    <row r="1504" spans="1:51" s="33" customFormat="1" x14ac:dyDescent="0.3">
      <c r="A1504" s="63"/>
      <c r="B1504" s="63"/>
      <c r="C1504" s="63"/>
      <c r="D1504" s="63"/>
      <c r="E1504" s="288"/>
      <c r="F1504" s="288"/>
      <c r="G1504" s="288"/>
      <c r="H1504" s="63"/>
      <c r="I1504" s="63"/>
      <c r="J1504" s="63"/>
      <c r="K1504" s="17"/>
      <c r="L1504" s="17"/>
      <c r="M1504" s="17"/>
      <c r="N1504" s="17"/>
      <c r="O1504" s="68"/>
      <c r="P1504" s="68"/>
      <c r="Q1504" s="68"/>
      <c r="R1504" s="68"/>
      <c r="S1504" s="68"/>
      <c r="T1504" s="68"/>
      <c r="U1504" s="17"/>
      <c r="V1504" s="17"/>
      <c r="W1504" s="17"/>
      <c r="X1504" s="17"/>
      <c r="Y1504" s="17"/>
      <c r="Z1504" s="17"/>
      <c r="AA1504" s="17"/>
      <c r="AB1504" s="20"/>
      <c r="AC1504" s="17"/>
      <c r="AD1504" s="17"/>
      <c r="AE1504" s="17"/>
      <c r="AF1504" s="17"/>
      <c r="AG1504" s="64"/>
      <c r="AH1504" s="64"/>
      <c r="AI1504" s="64"/>
      <c r="AJ1504" s="64"/>
      <c r="AK1504" s="64"/>
      <c r="AL1504" s="264"/>
      <c r="AM1504" s="84"/>
      <c r="AN1504" s="18"/>
      <c r="AO1504" s="18"/>
      <c r="AP1504" s="18"/>
      <c r="AQ1504" s="18"/>
      <c r="AR1504" s="18"/>
      <c r="AS1504" s="18"/>
      <c r="AT1504" s="18"/>
      <c r="AU1504" s="18"/>
      <c r="AV1504" s="18"/>
      <c r="AW1504" s="18"/>
      <c r="AX1504" s="18"/>
      <c r="AY1504" s="18"/>
    </row>
    <row r="1505" spans="1:51" s="33" customFormat="1" ht="15.5" x14ac:dyDescent="0.35">
      <c r="A1505" s="297"/>
      <c r="B1505" s="96" t="s">
        <v>1433</v>
      </c>
      <c r="C1505" s="256"/>
      <c r="D1505" s="256"/>
      <c r="E1505" s="256"/>
      <c r="F1505" s="256"/>
      <c r="G1505" s="256"/>
      <c r="H1505" s="256"/>
      <c r="I1505" s="256"/>
      <c r="J1505" s="256"/>
      <c r="K1505" s="256"/>
      <c r="L1505" s="256"/>
      <c r="M1505" s="256"/>
      <c r="N1505" s="287"/>
      <c r="O1505" s="256"/>
      <c r="P1505" s="287"/>
      <c r="Q1505" s="256"/>
      <c r="R1505" s="256"/>
      <c r="S1505" s="256"/>
      <c r="T1505" s="256"/>
      <c r="U1505" s="256"/>
      <c r="V1505" s="256"/>
      <c r="W1505" s="287"/>
      <c r="X1505" s="256"/>
      <c r="Y1505" s="256"/>
      <c r="Z1505" s="17"/>
      <c r="AA1505" s="17"/>
      <c r="AB1505" s="17"/>
      <c r="AC1505" s="17"/>
      <c r="AD1505" s="17"/>
      <c r="AE1505" s="17"/>
      <c r="AF1505" s="17"/>
      <c r="AG1505" s="64"/>
      <c r="AH1505" s="64"/>
      <c r="AI1505" s="64"/>
      <c r="AJ1505" s="64"/>
      <c r="AK1505" s="64"/>
      <c r="AL1505" s="264"/>
      <c r="AM1505" s="84"/>
      <c r="AN1505" s="18"/>
      <c r="AO1505" s="18"/>
      <c r="AP1505" s="18"/>
      <c r="AQ1505" s="18"/>
      <c r="AR1505" s="18"/>
      <c r="AS1505" s="18"/>
      <c r="AT1505" s="18"/>
      <c r="AU1505" s="18"/>
      <c r="AV1505" s="18"/>
      <c r="AW1505" s="18"/>
      <c r="AX1505" s="18"/>
      <c r="AY1505" s="18"/>
    </row>
    <row r="1506" spans="1:51" s="33" customFormat="1" ht="13.5" thickBot="1" x14ac:dyDescent="0.35">
      <c r="A1506" s="63"/>
      <c r="B1506" s="63"/>
      <c r="C1506" s="63"/>
      <c r="D1506" s="63"/>
      <c r="E1506" s="288"/>
      <c r="F1506" s="288"/>
      <c r="G1506" s="288"/>
      <c r="H1506" s="63"/>
      <c r="I1506" s="63"/>
      <c r="J1506" s="63"/>
      <c r="K1506" s="17"/>
      <c r="L1506" s="17"/>
      <c r="M1506" s="17"/>
      <c r="N1506" s="17"/>
      <c r="O1506" s="68"/>
      <c r="P1506" s="68"/>
      <c r="Q1506" s="68"/>
      <c r="R1506" s="68"/>
      <c r="S1506" s="68"/>
      <c r="T1506" s="68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64"/>
      <c r="AH1506" s="64"/>
      <c r="AI1506" s="64"/>
      <c r="AJ1506" s="64"/>
      <c r="AK1506" s="64"/>
      <c r="AL1506" s="264"/>
      <c r="AM1506" s="84"/>
      <c r="AN1506" s="18"/>
      <c r="AO1506" s="18"/>
      <c r="AP1506" s="18"/>
      <c r="AQ1506" s="18"/>
      <c r="AR1506" s="18"/>
      <c r="AS1506" s="18"/>
      <c r="AT1506" s="18"/>
      <c r="AU1506" s="18"/>
      <c r="AV1506" s="18"/>
      <c r="AW1506" s="18"/>
      <c r="AX1506" s="18"/>
      <c r="AY1506" s="18"/>
    </row>
    <row r="1507" spans="1:51" s="33" customFormat="1" ht="13.5" thickBot="1" x14ac:dyDescent="0.35">
      <c r="A1507" s="63" t="s">
        <v>194</v>
      </c>
      <c r="B1507" s="17" t="s">
        <v>1432</v>
      </c>
      <c r="C1507" s="295" t="s">
        <v>271</v>
      </c>
      <c r="D1507" s="290" t="s">
        <v>270</v>
      </c>
      <c r="E1507" s="290">
        <v>2</v>
      </c>
      <c r="F1507" s="290">
        <v>15</v>
      </c>
      <c r="G1507" s="290">
        <v>0</v>
      </c>
      <c r="H1507" s="89">
        <v>0</v>
      </c>
      <c r="I1507" s="88" t="s">
        <v>1106</v>
      </c>
      <c r="J1507" s="87"/>
      <c r="K1507" s="84">
        <v>1059305</v>
      </c>
      <c r="L1507" s="91" t="s">
        <v>1377</v>
      </c>
      <c r="M1507" s="17">
        <v>3</v>
      </c>
      <c r="N1507" s="17"/>
      <c r="O1507" s="83"/>
      <c r="P1507" s="83"/>
      <c r="Q1507" s="68"/>
      <c r="R1507" s="68"/>
      <c r="S1507" s="68"/>
      <c r="T1507" s="68"/>
      <c r="U1507" s="17"/>
      <c r="V1507" s="17"/>
      <c r="W1507" s="18" t="s">
        <v>1416</v>
      </c>
      <c r="X1507" s="17">
        <v>0</v>
      </c>
      <c r="Y1507" s="17"/>
      <c r="Z1507" s="17"/>
      <c r="AA1507" s="17"/>
      <c r="AB1507" s="17"/>
      <c r="AC1507" s="17"/>
      <c r="AD1507" s="17"/>
      <c r="AE1507" s="17"/>
      <c r="AF1507" s="17"/>
      <c r="AG1507" s="64"/>
      <c r="AH1507" s="64"/>
      <c r="AI1507" s="64"/>
      <c r="AJ1507" s="64"/>
      <c r="AK1507" s="64"/>
      <c r="AL1507" s="264"/>
      <c r="AM1507" s="84"/>
      <c r="AN1507" s="18"/>
      <c r="AO1507" s="18"/>
      <c r="AP1507" s="18"/>
      <c r="AQ1507" s="18"/>
      <c r="AR1507" s="18"/>
      <c r="AS1507" s="18"/>
      <c r="AT1507" s="18"/>
      <c r="AU1507" s="18"/>
      <c r="AV1507" s="18"/>
      <c r="AW1507" s="18"/>
      <c r="AX1507" s="18"/>
      <c r="AY1507" s="18"/>
    </row>
    <row r="1508" spans="1:51" s="33" customFormat="1" x14ac:dyDescent="0.3">
      <c r="A1508" s="63" t="str">
        <f>+A1507</f>
        <v>BCV131</v>
      </c>
      <c r="B1508" s="18" t="str">
        <f>+B1507</f>
        <v>AX30</v>
      </c>
      <c r="C1508" s="85" t="str">
        <f>+C1507</f>
        <v>SIO1</v>
      </c>
      <c r="D1508" s="85" t="str">
        <f>+D1507</f>
        <v>SLC02</v>
      </c>
      <c r="E1508" s="290">
        <f>+E1507</f>
        <v>2</v>
      </c>
      <c r="F1508" s="290">
        <f>+F1507</f>
        <v>15</v>
      </c>
      <c r="G1508" s="290">
        <f>+G1507</f>
        <v>0</v>
      </c>
      <c r="H1508" s="72">
        <v>1</v>
      </c>
      <c r="I1508" s="77">
        <v>1</v>
      </c>
      <c r="J1508" s="76" t="s">
        <v>269</v>
      </c>
      <c r="K1508" s="65">
        <v>1044125</v>
      </c>
      <c r="L1508" s="79" t="s">
        <v>244</v>
      </c>
      <c r="M1508" s="17">
        <v>3</v>
      </c>
      <c r="N1508" s="18" t="s">
        <v>1429</v>
      </c>
      <c r="O1508" s="296" t="s">
        <v>1431</v>
      </c>
      <c r="P1508" s="296"/>
      <c r="Q1508" s="296" t="s">
        <v>1430</v>
      </c>
      <c r="R1508" s="17" t="s">
        <v>211</v>
      </c>
      <c r="S1508" s="17"/>
      <c r="T1508" s="17" t="s">
        <v>194</v>
      </c>
      <c r="U1508" s="17"/>
      <c r="V1508" s="289" t="str">
        <f>+CONCATENATE(E1508,".",F1508,"\",G1508,".",H1508,":",I1508)</f>
        <v>2.15\0.1:1</v>
      </c>
      <c r="W1508" s="18" t="s">
        <v>1416</v>
      </c>
      <c r="X1508" s="17">
        <v>0</v>
      </c>
      <c r="Y1508" s="17"/>
      <c r="Z1508" s="17"/>
      <c r="AA1508" s="17"/>
      <c r="AB1508" s="17"/>
      <c r="AC1508" s="17"/>
      <c r="AD1508" s="17"/>
      <c r="AE1508" s="17"/>
      <c r="AF1508" s="17"/>
      <c r="AG1508" s="64"/>
      <c r="AH1508" s="64"/>
      <c r="AI1508" s="64"/>
      <c r="AJ1508" s="64"/>
      <c r="AK1508" s="64"/>
      <c r="AL1508" s="264"/>
      <c r="AM1508" s="84"/>
      <c r="AN1508" s="18"/>
      <c r="AO1508" s="18"/>
      <c r="AP1508" s="18"/>
      <c r="AQ1508" s="18"/>
      <c r="AR1508" s="18"/>
      <c r="AS1508" s="18"/>
      <c r="AT1508" s="18"/>
      <c r="AU1508" s="18"/>
      <c r="AV1508" s="18"/>
      <c r="AW1508" s="18"/>
      <c r="AX1508" s="18"/>
      <c r="AY1508" s="18"/>
    </row>
    <row r="1509" spans="1:51" s="33" customFormat="1" x14ac:dyDescent="0.3">
      <c r="A1509" s="63" t="str">
        <f>+A1508</f>
        <v>BCV131</v>
      </c>
      <c r="B1509" s="18" t="str">
        <f>+B1508</f>
        <v>AX30</v>
      </c>
      <c r="C1509" s="85" t="str">
        <f>+C1508</f>
        <v>SIO1</v>
      </c>
      <c r="D1509" s="85" t="str">
        <f>+D1508</f>
        <v>SLC02</v>
      </c>
      <c r="E1509" s="290">
        <f>+E1508</f>
        <v>2</v>
      </c>
      <c r="F1509" s="290">
        <f>+F1508</f>
        <v>15</v>
      </c>
      <c r="G1509" s="290">
        <f>+G1508</f>
        <v>0</v>
      </c>
      <c r="H1509" s="72">
        <f>+H1508</f>
        <v>1</v>
      </c>
      <c r="I1509" s="75">
        <v>2</v>
      </c>
      <c r="J1509" s="74" t="s">
        <v>265</v>
      </c>
      <c r="K1509" s="84">
        <v>1047162</v>
      </c>
      <c r="L1509" s="79" t="s">
        <v>244</v>
      </c>
      <c r="M1509" s="17">
        <v>3</v>
      </c>
      <c r="N1509" s="18" t="s">
        <v>1429</v>
      </c>
      <c r="O1509" s="296" t="s">
        <v>1428</v>
      </c>
      <c r="P1509" s="296"/>
      <c r="Q1509" s="296" t="s">
        <v>1427</v>
      </c>
      <c r="R1509" s="17" t="s">
        <v>211</v>
      </c>
      <c r="S1509" s="17"/>
      <c r="T1509" s="17" t="str">
        <f>+T1508</f>
        <v>BCV131</v>
      </c>
      <c r="U1509" s="17"/>
      <c r="V1509" s="289" t="str">
        <f>+CONCATENATE(E1509,".",F1509,"\",G1509,".",H1509,":",I1509)</f>
        <v>2.15\0.1:2</v>
      </c>
      <c r="W1509" s="18" t="s">
        <v>1416</v>
      </c>
      <c r="X1509" s="17">
        <v>0</v>
      </c>
      <c r="Y1509" s="17"/>
      <c r="Z1509" s="17"/>
      <c r="AA1509" s="17"/>
      <c r="AB1509" s="17"/>
      <c r="AC1509" s="17"/>
      <c r="AD1509" s="17"/>
      <c r="AE1509" s="17"/>
      <c r="AF1509" s="17"/>
      <c r="AG1509" s="64"/>
      <c r="AH1509" s="64"/>
      <c r="AI1509" s="64"/>
      <c r="AJ1509" s="64"/>
      <c r="AK1509" s="64"/>
      <c r="AL1509" s="264"/>
      <c r="AM1509" s="84"/>
      <c r="AN1509" s="18"/>
      <c r="AO1509" s="18"/>
      <c r="AP1509" s="18"/>
      <c r="AQ1509" s="18"/>
      <c r="AR1509" s="18"/>
      <c r="AS1509" s="18"/>
      <c r="AT1509" s="18"/>
      <c r="AU1509" s="18"/>
      <c r="AV1509" s="18"/>
      <c r="AW1509" s="18"/>
      <c r="AX1509" s="18"/>
      <c r="AY1509" s="18"/>
    </row>
    <row r="1510" spans="1:51" s="33" customFormat="1" x14ac:dyDescent="0.3">
      <c r="A1510" s="63" t="str">
        <f>+A1509</f>
        <v>BCV131</v>
      </c>
      <c r="B1510" s="18" t="str">
        <f>+B1509</f>
        <v>AX30</v>
      </c>
      <c r="C1510" s="85" t="str">
        <f>+C1509</f>
        <v>SIO1</v>
      </c>
      <c r="D1510" s="85" t="str">
        <f>+D1509</f>
        <v>SLC02</v>
      </c>
      <c r="E1510" s="290">
        <f>+E1509</f>
        <v>2</v>
      </c>
      <c r="F1510" s="290">
        <f>+F1509</f>
        <v>15</v>
      </c>
      <c r="G1510" s="290">
        <f>+G1509</f>
        <v>0</v>
      </c>
      <c r="H1510" s="72">
        <f>+H1509</f>
        <v>1</v>
      </c>
      <c r="I1510" s="75">
        <v>3</v>
      </c>
      <c r="J1510" s="74" t="s">
        <v>261</v>
      </c>
      <c r="K1510" s="85"/>
      <c r="L1510" s="79" t="s">
        <v>244</v>
      </c>
      <c r="M1510" s="17">
        <v>3</v>
      </c>
      <c r="N1510" s="18" t="s">
        <v>1424</v>
      </c>
      <c r="O1510" s="296" t="s">
        <v>1426</v>
      </c>
      <c r="P1510" s="296"/>
      <c r="Q1510" s="296" t="s">
        <v>1425</v>
      </c>
      <c r="R1510" s="17" t="s">
        <v>211</v>
      </c>
      <c r="S1510" s="17"/>
      <c r="T1510" s="17" t="str">
        <f>+T1509</f>
        <v>BCV131</v>
      </c>
      <c r="U1510" s="17"/>
      <c r="V1510" s="289" t="str">
        <f>+CONCATENATE(E1510,".",F1510,"\",G1510,".",H1510,":",I1510)</f>
        <v>2.15\0.1:3</v>
      </c>
      <c r="W1510" s="18" t="s">
        <v>1416</v>
      </c>
      <c r="X1510" s="17">
        <v>0</v>
      </c>
      <c r="Y1510" s="17"/>
      <c r="Z1510" s="17"/>
      <c r="AA1510" s="17"/>
      <c r="AB1510" s="17"/>
      <c r="AC1510" s="17"/>
      <c r="AD1510" s="17"/>
      <c r="AE1510" s="17"/>
      <c r="AF1510" s="17"/>
      <c r="AG1510" s="64"/>
      <c r="AH1510" s="64"/>
      <c r="AI1510" s="64"/>
      <c r="AJ1510" s="64"/>
      <c r="AK1510" s="64"/>
      <c r="AL1510" s="264"/>
      <c r="AM1510" s="84"/>
      <c r="AN1510" s="18"/>
      <c r="AO1510" s="18"/>
      <c r="AP1510" s="18"/>
      <c r="AQ1510" s="18"/>
      <c r="AR1510" s="18"/>
      <c r="AS1510" s="18"/>
      <c r="AT1510" s="18"/>
      <c r="AU1510" s="18"/>
      <c r="AV1510" s="18"/>
      <c r="AW1510" s="18"/>
      <c r="AX1510" s="18"/>
      <c r="AY1510" s="18"/>
    </row>
    <row r="1511" spans="1:51" s="33" customFormat="1" x14ac:dyDescent="0.3">
      <c r="A1511" s="63" t="str">
        <f>+A1510</f>
        <v>BCV131</v>
      </c>
      <c r="B1511" s="18" t="str">
        <f>+B1510</f>
        <v>AX30</v>
      </c>
      <c r="C1511" s="85" t="str">
        <f>+C1510</f>
        <v>SIO1</v>
      </c>
      <c r="D1511" s="85" t="str">
        <f>+D1510</f>
        <v>SLC02</v>
      </c>
      <c r="E1511" s="290">
        <f>+E1510</f>
        <v>2</v>
      </c>
      <c r="F1511" s="290">
        <f>+F1510</f>
        <v>15</v>
      </c>
      <c r="G1511" s="290">
        <f>+G1510</f>
        <v>0</v>
      </c>
      <c r="H1511" s="72">
        <f>+H1510</f>
        <v>1</v>
      </c>
      <c r="I1511" s="75">
        <v>4</v>
      </c>
      <c r="J1511" s="74" t="s">
        <v>257</v>
      </c>
      <c r="K1511" s="85"/>
      <c r="L1511" s="79" t="s">
        <v>244</v>
      </c>
      <c r="M1511" s="17">
        <v>3</v>
      </c>
      <c r="N1511" s="18" t="s">
        <v>1424</v>
      </c>
      <c r="O1511" s="296" t="s">
        <v>1423</v>
      </c>
      <c r="P1511" s="296"/>
      <c r="Q1511" s="296" t="s">
        <v>1422</v>
      </c>
      <c r="R1511" s="17" t="s">
        <v>211</v>
      </c>
      <c r="S1511" s="17"/>
      <c r="T1511" s="17" t="str">
        <f>+T1510</f>
        <v>BCV131</v>
      </c>
      <c r="U1511" s="17"/>
      <c r="V1511" s="289" t="str">
        <f>+CONCATENATE(E1511,".",F1511,"\",G1511,".",H1511,":",I1511)</f>
        <v>2.15\0.1:4</v>
      </c>
      <c r="W1511" s="18" t="s">
        <v>1416</v>
      </c>
      <c r="X1511" s="17">
        <v>0</v>
      </c>
      <c r="Y1511" s="17"/>
      <c r="Z1511" s="17"/>
      <c r="AA1511" s="17"/>
      <c r="AB1511" s="17"/>
      <c r="AC1511" s="17"/>
      <c r="AD1511" s="17"/>
      <c r="AE1511" s="17"/>
      <c r="AF1511" s="17"/>
      <c r="AG1511" s="64"/>
      <c r="AH1511" s="64"/>
      <c r="AI1511" s="64"/>
      <c r="AJ1511" s="64"/>
      <c r="AK1511" s="64"/>
      <c r="AL1511" s="264"/>
      <c r="AM1511" s="84"/>
      <c r="AN1511" s="18"/>
      <c r="AO1511" s="18"/>
      <c r="AP1511" s="18"/>
      <c r="AQ1511" s="18"/>
      <c r="AR1511" s="18"/>
      <c r="AS1511" s="18"/>
      <c r="AT1511" s="18"/>
      <c r="AU1511" s="18"/>
      <c r="AV1511" s="18"/>
      <c r="AW1511" s="18"/>
      <c r="AX1511" s="18"/>
      <c r="AY1511" s="18"/>
    </row>
    <row r="1512" spans="1:51" s="33" customFormat="1" x14ac:dyDescent="0.3">
      <c r="A1512" s="63" t="str">
        <f>+A1511</f>
        <v>BCV131</v>
      </c>
      <c r="B1512" s="18" t="str">
        <f>+B1511</f>
        <v>AX30</v>
      </c>
      <c r="C1512" s="85" t="str">
        <f>+C1511</f>
        <v>SIO1</v>
      </c>
      <c r="D1512" s="85" t="str">
        <f>+D1511</f>
        <v>SLC02</v>
      </c>
      <c r="E1512" s="290">
        <f>+E1511</f>
        <v>2</v>
      </c>
      <c r="F1512" s="290">
        <f>+F1511</f>
        <v>15</v>
      </c>
      <c r="G1512" s="290">
        <f>+G1511</f>
        <v>0</v>
      </c>
      <c r="H1512" s="72">
        <f>+H1511</f>
        <v>1</v>
      </c>
      <c r="I1512" s="75">
        <v>5</v>
      </c>
      <c r="J1512" s="74" t="s">
        <v>1325</v>
      </c>
      <c r="K1512" s="85"/>
      <c r="L1512" s="79" t="s">
        <v>244</v>
      </c>
      <c r="M1512" s="17">
        <v>3</v>
      </c>
      <c r="N1512" s="17"/>
      <c r="O1512" s="296"/>
      <c r="P1512" s="296"/>
      <c r="Q1512" s="296" t="s">
        <v>127</v>
      </c>
      <c r="R1512" s="17"/>
      <c r="S1512" s="17"/>
      <c r="T1512" s="17"/>
      <c r="U1512" s="17"/>
      <c r="V1512" s="289" t="str">
        <f>+CONCATENATE(E1512,".",F1512,"\",G1512,".",H1512,":",I1512)</f>
        <v>2.15\0.1:5</v>
      </c>
      <c r="W1512" s="18" t="s">
        <v>1416</v>
      </c>
      <c r="X1512" s="17">
        <v>0</v>
      </c>
      <c r="Y1512" s="17"/>
      <c r="Z1512" s="17"/>
      <c r="AA1512" s="17"/>
      <c r="AB1512" s="17"/>
      <c r="AC1512" s="17"/>
      <c r="AD1512" s="17"/>
      <c r="AE1512" s="17"/>
      <c r="AF1512" s="17"/>
      <c r="AG1512" s="64"/>
      <c r="AH1512" s="64"/>
      <c r="AI1512" s="64"/>
      <c r="AJ1512" s="64"/>
      <c r="AK1512" s="64"/>
      <c r="AL1512" s="264"/>
      <c r="AM1512" s="84"/>
      <c r="AN1512" s="18"/>
      <c r="AO1512" s="18"/>
      <c r="AP1512" s="18"/>
      <c r="AQ1512" s="18"/>
      <c r="AR1512" s="18"/>
      <c r="AS1512" s="18"/>
      <c r="AT1512" s="18"/>
      <c r="AU1512" s="18"/>
      <c r="AV1512" s="18"/>
      <c r="AW1512" s="18"/>
      <c r="AX1512" s="18"/>
      <c r="AY1512" s="18"/>
    </row>
    <row r="1513" spans="1:51" s="33" customFormat="1" x14ac:dyDescent="0.3">
      <c r="A1513" s="63" t="str">
        <f>+A1512</f>
        <v>BCV131</v>
      </c>
      <c r="B1513" s="18" t="str">
        <f>+B1512</f>
        <v>AX30</v>
      </c>
      <c r="C1513" s="85" t="str">
        <f>+C1512</f>
        <v>SIO1</v>
      </c>
      <c r="D1513" s="85" t="str">
        <f>+D1512</f>
        <v>SLC02</v>
      </c>
      <c r="E1513" s="290">
        <f>+E1512</f>
        <v>2</v>
      </c>
      <c r="F1513" s="290">
        <f>+F1512</f>
        <v>15</v>
      </c>
      <c r="G1513" s="290">
        <f>+G1512</f>
        <v>0</v>
      </c>
      <c r="H1513" s="72">
        <f>+H1512</f>
        <v>1</v>
      </c>
      <c r="I1513" s="75">
        <v>6</v>
      </c>
      <c r="J1513" s="74" t="s">
        <v>1323</v>
      </c>
      <c r="K1513" s="85"/>
      <c r="L1513" s="79" t="s">
        <v>244</v>
      </c>
      <c r="M1513" s="17">
        <v>3</v>
      </c>
      <c r="N1513" s="17"/>
      <c r="O1513" s="296"/>
      <c r="P1513" s="296"/>
      <c r="Q1513" s="296" t="s">
        <v>127</v>
      </c>
      <c r="R1513" s="17"/>
      <c r="S1513" s="17"/>
      <c r="T1513" s="17"/>
      <c r="U1513" s="17"/>
      <c r="V1513" s="289" t="str">
        <f>+CONCATENATE(E1513,".",F1513,"\",G1513,".",H1513,":",I1513)</f>
        <v>2.15\0.1:6</v>
      </c>
      <c r="W1513" s="18" t="s">
        <v>1416</v>
      </c>
      <c r="X1513" s="17">
        <v>0</v>
      </c>
      <c r="Y1513" s="17"/>
      <c r="Z1513" s="17"/>
      <c r="AA1513" s="17"/>
      <c r="AB1513" s="17"/>
      <c r="AC1513" s="17"/>
      <c r="AD1513" s="17"/>
      <c r="AE1513" s="17"/>
      <c r="AF1513" s="17"/>
      <c r="AG1513" s="64"/>
      <c r="AH1513" s="64"/>
      <c r="AI1513" s="64"/>
      <c r="AJ1513" s="64"/>
      <c r="AK1513" s="64"/>
      <c r="AL1513" s="264"/>
      <c r="AM1513" s="84"/>
      <c r="AN1513" s="18"/>
      <c r="AO1513" s="18"/>
      <c r="AP1513" s="18"/>
      <c r="AQ1513" s="18"/>
      <c r="AR1513" s="18"/>
      <c r="AS1513" s="18"/>
      <c r="AT1513" s="18"/>
      <c r="AU1513" s="18"/>
      <c r="AV1513" s="18"/>
      <c r="AW1513" s="18"/>
      <c r="AX1513" s="18"/>
      <c r="AY1513" s="18"/>
    </row>
    <row r="1514" spans="1:51" s="33" customFormat="1" x14ac:dyDescent="0.3">
      <c r="A1514" s="63" t="str">
        <f>+A1513</f>
        <v>BCV131</v>
      </c>
      <c r="B1514" s="18" t="str">
        <f>+B1513</f>
        <v>AX30</v>
      </c>
      <c r="C1514" s="85" t="str">
        <f>+C1513</f>
        <v>SIO1</v>
      </c>
      <c r="D1514" s="85" t="str">
        <f>+D1513</f>
        <v>SLC02</v>
      </c>
      <c r="E1514" s="290">
        <f>+E1513</f>
        <v>2</v>
      </c>
      <c r="F1514" s="290">
        <f>+F1513</f>
        <v>15</v>
      </c>
      <c r="G1514" s="290">
        <f>+G1513</f>
        <v>0</v>
      </c>
      <c r="H1514" s="72">
        <f>+H1513</f>
        <v>1</v>
      </c>
      <c r="I1514" s="75">
        <v>7</v>
      </c>
      <c r="J1514" s="74" t="s">
        <v>246</v>
      </c>
      <c r="K1514" s="85"/>
      <c r="L1514" s="79" t="s">
        <v>244</v>
      </c>
      <c r="M1514" s="17">
        <v>3</v>
      </c>
      <c r="N1514" s="17"/>
      <c r="O1514" s="296"/>
      <c r="P1514" s="296"/>
      <c r="Q1514" s="296" t="s">
        <v>127</v>
      </c>
      <c r="R1514" s="17"/>
      <c r="S1514" s="17"/>
      <c r="T1514" s="17"/>
      <c r="U1514" s="17"/>
      <c r="V1514" s="289" t="str">
        <f>+CONCATENATE(E1514,".",F1514,"\",G1514,".",H1514,":",I1514)</f>
        <v>2.15\0.1:7</v>
      </c>
      <c r="W1514" s="18" t="s">
        <v>1416</v>
      </c>
      <c r="X1514" s="17">
        <v>0</v>
      </c>
      <c r="Y1514" s="17"/>
      <c r="Z1514" s="17"/>
      <c r="AA1514" s="17"/>
      <c r="AB1514" s="17"/>
      <c r="AC1514" s="17"/>
      <c r="AD1514" s="17"/>
      <c r="AE1514" s="17"/>
      <c r="AF1514" s="17"/>
      <c r="AG1514" s="64"/>
      <c r="AH1514" s="64"/>
      <c r="AI1514" s="64"/>
      <c r="AJ1514" s="64"/>
      <c r="AK1514" s="64"/>
      <c r="AL1514" s="264"/>
      <c r="AM1514" s="84"/>
      <c r="AN1514" s="18"/>
      <c r="AO1514" s="18"/>
      <c r="AP1514" s="18"/>
      <c r="AQ1514" s="18"/>
      <c r="AR1514" s="18"/>
      <c r="AS1514" s="18"/>
      <c r="AT1514" s="18"/>
      <c r="AU1514" s="18"/>
      <c r="AV1514" s="18"/>
      <c r="AW1514" s="18"/>
      <c r="AX1514" s="18"/>
      <c r="AY1514" s="18"/>
    </row>
    <row r="1515" spans="1:51" s="33" customFormat="1" x14ac:dyDescent="0.3">
      <c r="A1515" s="63" t="str">
        <f>+A1514</f>
        <v>BCV131</v>
      </c>
      <c r="B1515" s="18" t="str">
        <f>+B1514</f>
        <v>AX30</v>
      </c>
      <c r="C1515" s="85" t="str">
        <f>+C1514</f>
        <v>SIO1</v>
      </c>
      <c r="D1515" s="85" t="str">
        <f>+D1514</f>
        <v>SLC02</v>
      </c>
      <c r="E1515" s="290">
        <f>+E1514</f>
        <v>2</v>
      </c>
      <c r="F1515" s="290">
        <f>+F1514</f>
        <v>15</v>
      </c>
      <c r="G1515" s="290">
        <f>+G1514</f>
        <v>0</v>
      </c>
      <c r="H1515" s="72">
        <f>+H1514</f>
        <v>1</v>
      </c>
      <c r="I1515" s="75">
        <v>8</v>
      </c>
      <c r="J1515" s="74" t="s">
        <v>245</v>
      </c>
      <c r="K1515" s="85"/>
      <c r="L1515" s="79" t="s">
        <v>244</v>
      </c>
      <c r="M1515" s="17">
        <v>3</v>
      </c>
      <c r="N1515" s="17"/>
      <c r="O1515" s="296"/>
      <c r="P1515" s="296"/>
      <c r="Q1515" s="296" t="s">
        <v>127</v>
      </c>
      <c r="R1515" s="17"/>
      <c r="S1515" s="17"/>
      <c r="T1515" s="17"/>
      <c r="U1515" s="17"/>
      <c r="V1515" s="289" t="str">
        <f>+CONCATENATE(E1515,".",F1515,"\",G1515,".",H1515,":",I1515)</f>
        <v>2.15\0.1:8</v>
      </c>
      <c r="W1515" s="18" t="s">
        <v>1416</v>
      </c>
      <c r="X1515" s="17">
        <v>0</v>
      </c>
      <c r="Y1515" s="17"/>
      <c r="Z1515" s="17"/>
      <c r="AA1515" s="17"/>
      <c r="AB1515" s="17"/>
      <c r="AC1515" s="17"/>
      <c r="AD1515" s="17"/>
      <c r="AE1515" s="17"/>
      <c r="AF1515" s="17"/>
      <c r="AG1515" s="64"/>
      <c r="AH1515" s="64"/>
      <c r="AI1515" s="64"/>
      <c r="AJ1515" s="64"/>
      <c r="AK1515" s="64"/>
      <c r="AL1515" s="264"/>
      <c r="AM1515" s="84"/>
      <c r="AN1515" s="18"/>
      <c r="AO1515" s="18"/>
      <c r="AP1515" s="18"/>
      <c r="AQ1515" s="18"/>
      <c r="AR1515" s="18"/>
      <c r="AS1515" s="18"/>
      <c r="AT1515" s="18"/>
      <c r="AU1515" s="18"/>
      <c r="AV1515" s="18"/>
      <c r="AW1515" s="18"/>
      <c r="AX1515" s="18"/>
      <c r="AY1515" s="18"/>
    </row>
    <row r="1516" spans="1:51" s="33" customFormat="1" x14ac:dyDescent="0.3">
      <c r="A1516" s="63" t="str">
        <f>+A1515</f>
        <v>BCV131</v>
      </c>
      <c r="B1516" s="18" t="str">
        <f>+B1515</f>
        <v>AX30</v>
      </c>
      <c r="C1516" s="85" t="str">
        <f>+C1515</f>
        <v>SIO1</v>
      </c>
      <c r="D1516" s="85" t="str">
        <f>+D1515</f>
        <v>SLC02</v>
      </c>
      <c r="E1516" s="290">
        <f>+E1515</f>
        <v>2</v>
      </c>
      <c r="F1516" s="290">
        <f>+F1515</f>
        <v>15</v>
      </c>
      <c r="G1516" s="290">
        <f>+G1515</f>
        <v>0</v>
      </c>
      <c r="H1516" s="72">
        <f>+H1515</f>
        <v>1</v>
      </c>
      <c r="I1516" s="75">
        <v>1</v>
      </c>
      <c r="J1516" s="81" t="s">
        <v>1321</v>
      </c>
      <c r="K1516" s="85" t="s">
        <v>1366</v>
      </c>
      <c r="L1516" s="79" t="s">
        <v>235</v>
      </c>
      <c r="M1516" s="17">
        <v>3</v>
      </c>
      <c r="N1516" s="18" t="s">
        <v>1420</v>
      </c>
      <c r="O1516" s="17" t="s">
        <v>1421</v>
      </c>
      <c r="P1516" s="17"/>
      <c r="Q1516" s="17" t="s">
        <v>1335</v>
      </c>
      <c r="R1516" s="17" t="s">
        <v>922</v>
      </c>
      <c r="S1516" s="17"/>
      <c r="T1516" s="17" t="str">
        <f>+T1508</f>
        <v>BCV131</v>
      </c>
      <c r="U1516" s="17"/>
      <c r="V1516" s="289" t="str">
        <f>+CONCATENATE(E1516,".",F1516,"\",G1516,".",H1516,":",I1516)</f>
        <v>2.15\0.1:1</v>
      </c>
      <c r="W1516" s="18" t="s">
        <v>1416</v>
      </c>
      <c r="X1516" s="17">
        <v>0</v>
      </c>
      <c r="Y1516" s="17"/>
      <c r="Z1516" s="17"/>
      <c r="AA1516" s="17"/>
      <c r="AB1516" s="17"/>
      <c r="AC1516" s="17"/>
      <c r="AD1516" s="17"/>
      <c r="AE1516" s="17"/>
      <c r="AF1516" s="17"/>
      <c r="AG1516" s="64"/>
      <c r="AH1516" s="64"/>
      <c r="AI1516" s="64"/>
      <c r="AJ1516" s="64"/>
      <c r="AK1516" s="64"/>
      <c r="AL1516" s="264"/>
      <c r="AM1516" s="84"/>
      <c r="AN1516" s="18"/>
      <c r="AO1516" s="18"/>
      <c r="AP1516" s="18"/>
      <c r="AQ1516" s="18"/>
      <c r="AR1516" s="18"/>
      <c r="AS1516" s="18"/>
      <c r="AT1516" s="18"/>
      <c r="AU1516" s="18"/>
      <c r="AV1516" s="18"/>
      <c r="AW1516" s="18"/>
      <c r="AX1516" s="18"/>
      <c r="AY1516" s="18"/>
    </row>
    <row r="1517" spans="1:51" s="33" customFormat="1" x14ac:dyDescent="0.3">
      <c r="A1517" s="63" t="str">
        <f>+A1516</f>
        <v>BCV131</v>
      </c>
      <c r="B1517" s="18" t="str">
        <f>+B1516</f>
        <v>AX30</v>
      </c>
      <c r="C1517" s="85" t="str">
        <f>+C1516</f>
        <v>SIO1</v>
      </c>
      <c r="D1517" s="85" t="str">
        <f>+D1516</f>
        <v>SLC02</v>
      </c>
      <c r="E1517" s="290">
        <f>+E1516</f>
        <v>2</v>
      </c>
      <c r="F1517" s="290">
        <f>+F1516</f>
        <v>15</v>
      </c>
      <c r="G1517" s="290">
        <f>+G1516</f>
        <v>0</v>
      </c>
      <c r="H1517" s="72">
        <f>+H1516</f>
        <v>1</v>
      </c>
      <c r="I1517" s="75">
        <v>2</v>
      </c>
      <c r="J1517" s="74" t="s">
        <v>1320</v>
      </c>
      <c r="K1517" s="85"/>
      <c r="L1517" s="79" t="s">
        <v>235</v>
      </c>
      <c r="M1517" s="17">
        <v>3</v>
      </c>
      <c r="N1517" s="18" t="s">
        <v>1420</v>
      </c>
      <c r="O1517" s="17" t="s">
        <v>1419</v>
      </c>
      <c r="P1517" s="17"/>
      <c r="Q1517" s="17" t="s">
        <v>1330</v>
      </c>
      <c r="R1517" s="17" t="s">
        <v>922</v>
      </c>
      <c r="S1517" s="17"/>
      <c r="T1517" s="17" t="str">
        <f>+T1516</f>
        <v>BCV131</v>
      </c>
      <c r="U1517" s="17"/>
      <c r="V1517" s="289" t="str">
        <f>+CONCATENATE(E1517,".",F1517,"\",G1517,".",H1517,":",I1517)</f>
        <v>2.15\0.1:2</v>
      </c>
      <c r="W1517" s="18" t="s">
        <v>1416</v>
      </c>
      <c r="X1517" s="17">
        <v>0</v>
      </c>
      <c r="Y1517" s="17"/>
      <c r="Z1517" s="17"/>
      <c r="AA1517" s="17"/>
      <c r="AB1517" s="17"/>
      <c r="AC1517" s="17"/>
      <c r="AD1517" s="17"/>
      <c r="AE1517" s="17"/>
      <c r="AF1517" s="17"/>
      <c r="AG1517" s="64"/>
      <c r="AH1517" s="64"/>
      <c r="AI1517" s="64"/>
      <c r="AJ1517" s="64"/>
      <c r="AK1517" s="64"/>
      <c r="AL1517" s="264"/>
      <c r="AM1517" s="84"/>
      <c r="AN1517" s="18"/>
      <c r="AO1517" s="18"/>
      <c r="AP1517" s="18"/>
      <c r="AQ1517" s="18"/>
      <c r="AR1517" s="18"/>
      <c r="AS1517" s="18"/>
      <c r="AT1517" s="18"/>
      <c r="AU1517" s="18"/>
      <c r="AV1517" s="18"/>
      <c r="AW1517" s="18"/>
      <c r="AX1517" s="18"/>
      <c r="AY1517" s="18"/>
    </row>
    <row r="1518" spans="1:51" s="33" customFormat="1" x14ac:dyDescent="0.3">
      <c r="A1518" s="63" t="str">
        <f>+A1517</f>
        <v>BCV131</v>
      </c>
      <c r="B1518" s="18" t="str">
        <f>+B1517</f>
        <v>AX30</v>
      </c>
      <c r="C1518" s="85" t="str">
        <f>+C1517</f>
        <v>SIO1</v>
      </c>
      <c r="D1518" s="85" t="str">
        <f>+D1517</f>
        <v>SLC02</v>
      </c>
      <c r="E1518" s="290">
        <f>+E1517</f>
        <v>2</v>
      </c>
      <c r="F1518" s="290">
        <f>+F1517</f>
        <v>15</v>
      </c>
      <c r="G1518" s="290">
        <f>+G1517</f>
        <v>0</v>
      </c>
      <c r="H1518" s="72">
        <f>+H1517</f>
        <v>1</v>
      </c>
      <c r="I1518" s="75">
        <v>3</v>
      </c>
      <c r="J1518" s="74" t="s">
        <v>1319</v>
      </c>
      <c r="K1518" s="85"/>
      <c r="L1518" s="79" t="s">
        <v>235</v>
      </c>
      <c r="M1518" s="17">
        <v>3</v>
      </c>
      <c r="N1518" s="18" t="s">
        <v>1418</v>
      </c>
      <c r="O1518" s="17" t="s">
        <v>1417</v>
      </c>
      <c r="P1518" s="17"/>
      <c r="Q1518" s="17" t="s">
        <v>1330</v>
      </c>
      <c r="R1518" s="17" t="s">
        <v>922</v>
      </c>
      <c r="S1518" s="17"/>
      <c r="T1518" s="17" t="str">
        <f>+T1517</f>
        <v>BCV131</v>
      </c>
      <c r="U1518" s="17"/>
      <c r="V1518" s="289" t="str">
        <f>+CONCATENATE(E1518,".",F1518,"\",G1518,".",H1518,":",I1518)</f>
        <v>2.15\0.1:3</v>
      </c>
      <c r="W1518" s="18" t="s">
        <v>1416</v>
      </c>
      <c r="X1518" s="17">
        <v>0</v>
      </c>
      <c r="Y1518" s="17"/>
      <c r="Z1518" s="17"/>
      <c r="AA1518" s="17"/>
      <c r="AB1518" s="17"/>
      <c r="AC1518" s="17"/>
      <c r="AD1518" s="17"/>
      <c r="AE1518" s="17"/>
      <c r="AF1518" s="17"/>
      <c r="AG1518" s="64"/>
      <c r="AH1518" s="64"/>
      <c r="AI1518" s="64"/>
      <c r="AJ1518" s="64"/>
      <c r="AK1518" s="64"/>
      <c r="AL1518" s="264"/>
      <c r="AM1518" s="84"/>
      <c r="AN1518" s="18"/>
      <c r="AO1518" s="18"/>
      <c r="AP1518" s="18"/>
      <c r="AQ1518" s="18"/>
      <c r="AR1518" s="18"/>
      <c r="AS1518" s="18"/>
      <c r="AT1518" s="18"/>
      <c r="AU1518" s="18"/>
      <c r="AV1518" s="18"/>
      <c r="AW1518" s="18"/>
      <c r="AX1518" s="18"/>
      <c r="AY1518" s="18"/>
    </row>
    <row r="1519" spans="1:51" s="33" customFormat="1" ht="13.5" thickBot="1" x14ac:dyDescent="0.35">
      <c r="A1519" s="63" t="str">
        <f>+A1518</f>
        <v>BCV131</v>
      </c>
      <c r="B1519" s="18" t="str">
        <f>+B1518</f>
        <v>AX30</v>
      </c>
      <c r="C1519" s="85" t="str">
        <f>+C1518</f>
        <v>SIO1</v>
      </c>
      <c r="D1519" s="85" t="str">
        <f>+D1518</f>
        <v>SLC02</v>
      </c>
      <c r="E1519" s="290">
        <f>+E1518</f>
        <v>2</v>
      </c>
      <c r="F1519" s="290">
        <f>+F1518</f>
        <v>15</v>
      </c>
      <c r="G1519" s="290">
        <f>+G1518</f>
        <v>0</v>
      </c>
      <c r="H1519" s="72">
        <f>+H1518</f>
        <v>1</v>
      </c>
      <c r="I1519" s="71">
        <v>4</v>
      </c>
      <c r="J1519" s="70" t="s">
        <v>1318</v>
      </c>
      <c r="K1519" s="85"/>
      <c r="L1519" s="79" t="s">
        <v>235</v>
      </c>
      <c r="M1519" s="17">
        <v>3</v>
      </c>
      <c r="N1519" s="17"/>
      <c r="O1519" s="17"/>
      <c r="P1519" s="17"/>
      <c r="Q1519" s="68"/>
      <c r="R1519" s="68"/>
      <c r="S1519" s="68"/>
      <c r="T1519" s="68"/>
      <c r="U1519" s="17"/>
      <c r="V1519" s="289" t="str">
        <f>+CONCATENATE(E1519,".",F1519,"\",G1519,".",H1519,":",I1519)</f>
        <v>2.15\0.1:4</v>
      </c>
      <c r="W1519" s="18" t="s">
        <v>1416</v>
      </c>
      <c r="X1519" s="17">
        <v>0</v>
      </c>
      <c r="Y1519" s="17"/>
      <c r="Z1519" s="17"/>
      <c r="AA1519" s="17"/>
      <c r="AB1519" s="17"/>
      <c r="AC1519" s="17"/>
      <c r="AD1519" s="17"/>
      <c r="AE1519" s="17"/>
      <c r="AF1519" s="17"/>
      <c r="AG1519" s="64"/>
      <c r="AH1519" s="64"/>
      <c r="AI1519" s="64"/>
      <c r="AJ1519" s="64"/>
      <c r="AK1519" s="64"/>
      <c r="AL1519" s="264"/>
      <c r="AM1519" s="84"/>
      <c r="AN1519" s="18"/>
      <c r="AO1519" s="18"/>
      <c r="AP1519" s="18"/>
      <c r="AQ1519" s="18"/>
      <c r="AR1519" s="18"/>
      <c r="AS1519" s="18"/>
      <c r="AT1519" s="18"/>
      <c r="AU1519" s="18"/>
      <c r="AV1519" s="18"/>
      <c r="AW1519" s="18"/>
      <c r="AX1519" s="18"/>
      <c r="AY1519" s="18"/>
    </row>
    <row r="1520" spans="1:51" s="33" customFormat="1" x14ac:dyDescent="0.3">
      <c r="A1520" s="63"/>
      <c r="B1520" s="63"/>
      <c r="C1520" s="63"/>
      <c r="D1520" s="63"/>
      <c r="E1520" s="288"/>
      <c r="F1520" s="288"/>
      <c r="G1520" s="288"/>
      <c r="H1520" s="63"/>
      <c r="I1520" s="63"/>
      <c r="J1520" s="63"/>
      <c r="K1520" s="17"/>
      <c r="L1520" s="17"/>
      <c r="M1520" s="17"/>
      <c r="N1520" s="17"/>
      <c r="O1520" s="68"/>
      <c r="P1520" s="68"/>
      <c r="Q1520" s="68"/>
      <c r="R1520" s="68"/>
      <c r="S1520" s="68"/>
      <c r="T1520" s="68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64"/>
      <c r="AH1520" s="64"/>
      <c r="AI1520" s="64"/>
      <c r="AJ1520" s="64"/>
      <c r="AK1520" s="64"/>
      <c r="AL1520" s="264"/>
      <c r="AM1520" s="84"/>
      <c r="AN1520" s="18"/>
      <c r="AO1520" s="18"/>
      <c r="AP1520" s="18"/>
      <c r="AQ1520" s="18"/>
      <c r="AR1520" s="18"/>
      <c r="AS1520" s="18"/>
      <c r="AT1520" s="18"/>
      <c r="AU1520" s="18"/>
      <c r="AV1520" s="18"/>
      <c r="AW1520" s="18"/>
      <c r="AX1520" s="18"/>
      <c r="AY1520" s="18"/>
    </row>
    <row r="1521" spans="1:51" s="33" customFormat="1" x14ac:dyDescent="0.3">
      <c r="A1521" s="63"/>
      <c r="B1521" s="63"/>
      <c r="C1521" s="63"/>
      <c r="D1521" s="63"/>
      <c r="E1521" s="288"/>
      <c r="F1521" s="288"/>
      <c r="G1521" s="288"/>
      <c r="H1521" s="63"/>
      <c r="I1521" s="63"/>
      <c r="J1521" s="63"/>
      <c r="K1521" s="17"/>
      <c r="L1521" s="17"/>
      <c r="M1521" s="17"/>
      <c r="N1521" s="17"/>
      <c r="O1521" s="68"/>
      <c r="P1521" s="68"/>
      <c r="Q1521" s="68"/>
      <c r="R1521" s="68"/>
      <c r="S1521" s="68"/>
      <c r="T1521" s="68"/>
      <c r="U1521" s="17"/>
      <c r="V1521" s="17"/>
      <c r="W1521" s="17"/>
      <c r="X1521" s="17"/>
      <c r="Y1521" s="17"/>
      <c r="Z1521" s="17"/>
      <c r="AA1521" s="17"/>
      <c r="AB1521" s="20"/>
      <c r="AC1521" s="17"/>
      <c r="AD1521" s="17"/>
      <c r="AE1521" s="17"/>
      <c r="AF1521" s="17"/>
      <c r="AG1521" s="64"/>
      <c r="AH1521" s="64"/>
      <c r="AI1521" s="64"/>
      <c r="AJ1521" s="64"/>
      <c r="AK1521" s="64"/>
      <c r="AL1521" s="264"/>
      <c r="AM1521" s="84"/>
      <c r="AN1521" s="18"/>
      <c r="AO1521" s="18"/>
      <c r="AP1521" s="18"/>
      <c r="AQ1521" s="18"/>
      <c r="AR1521" s="18"/>
      <c r="AS1521" s="18"/>
      <c r="AT1521" s="18"/>
      <c r="AU1521" s="18"/>
      <c r="AV1521" s="18"/>
      <c r="AW1521" s="18"/>
      <c r="AX1521" s="18"/>
      <c r="AY1521" s="18"/>
    </row>
    <row r="1522" spans="1:51" s="33" customFormat="1" x14ac:dyDescent="0.3">
      <c r="A1522" s="63"/>
      <c r="B1522" s="63"/>
      <c r="C1522" s="63"/>
      <c r="D1522" s="63"/>
      <c r="E1522" s="288"/>
      <c r="F1522" s="288"/>
      <c r="G1522" s="288"/>
      <c r="H1522" s="63"/>
      <c r="I1522" s="63"/>
      <c r="J1522" s="63"/>
      <c r="K1522" s="17"/>
      <c r="L1522" s="17"/>
      <c r="M1522" s="17"/>
      <c r="N1522" s="17"/>
      <c r="O1522" s="68"/>
      <c r="P1522" s="68"/>
      <c r="Q1522" s="68"/>
      <c r="R1522" s="68"/>
      <c r="S1522" s="68"/>
      <c r="T1522" s="68"/>
      <c r="U1522" s="17"/>
      <c r="V1522" s="17"/>
      <c r="W1522" s="17"/>
      <c r="X1522" s="17"/>
      <c r="Y1522" s="17"/>
      <c r="Z1522" s="17"/>
      <c r="AA1522" s="17"/>
      <c r="AB1522" s="20"/>
      <c r="AC1522" s="17"/>
      <c r="AD1522" s="17"/>
      <c r="AE1522" s="17"/>
      <c r="AF1522" s="17"/>
      <c r="AG1522" s="64"/>
      <c r="AH1522" s="64"/>
      <c r="AI1522" s="64"/>
      <c r="AJ1522" s="64"/>
      <c r="AK1522" s="64"/>
      <c r="AL1522" s="264"/>
      <c r="AM1522" s="84"/>
      <c r="AN1522" s="18"/>
      <c r="AO1522" s="18"/>
      <c r="AP1522" s="18"/>
      <c r="AQ1522" s="18"/>
      <c r="AR1522" s="18"/>
      <c r="AS1522" s="18"/>
      <c r="AT1522" s="18"/>
      <c r="AU1522" s="18"/>
      <c r="AV1522" s="18"/>
      <c r="AW1522" s="18"/>
      <c r="AX1522" s="18"/>
      <c r="AY1522" s="18"/>
    </row>
    <row r="1523" spans="1:51" s="33" customFormat="1" ht="15.5" x14ac:dyDescent="0.35">
      <c r="A1523" s="297"/>
      <c r="B1523" s="96" t="s">
        <v>1415</v>
      </c>
      <c r="C1523" s="256"/>
      <c r="D1523" s="256"/>
      <c r="E1523" s="256"/>
      <c r="F1523" s="256"/>
      <c r="G1523" s="256"/>
      <c r="H1523" s="256"/>
      <c r="I1523" s="256"/>
      <c r="J1523" s="256"/>
      <c r="K1523" s="256"/>
      <c r="L1523" s="256"/>
      <c r="M1523" s="256"/>
      <c r="N1523" s="287"/>
      <c r="O1523" s="256"/>
      <c r="P1523" s="287"/>
      <c r="Q1523" s="256"/>
      <c r="R1523" s="256"/>
      <c r="S1523" s="256"/>
      <c r="T1523" s="256"/>
      <c r="U1523" s="256"/>
      <c r="V1523" s="256"/>
      <c r="W1523" s="287"/>
      <c r="X1523" s="256"/>
      <c r="Y1523" s="256"/>
      <c r="Z1523" s="17"/>
      <c r="AA1523" s="17"/>
      <c r="AB1523" s="17"/>
      <c r="AC1523" s="17"/>
      <c r="AD1523" s="17"/>
      <c r="AE1523" s="17"/>
      <c r="AF1523" s="17"/>
      <c r="AG1523" s="64"/>
      <c r="AH1523" s="64"/>
      <c r="AI1523" s="64"/>
      <c r="AJ1523" s="64"/>
      <c r="AK1523" s="64"/>
      <c r="AL1523" s="264"/>
      <c r="AM1523" s="84"/>
      <c r="AN1523" s="18"/>
      <c r="AO1523" s="18"/>
      <c r="AP1523" s="18"/>
      <c r="AQ1523" s="18"/>
      <c r="AR1523" s="18"/>
      <c r="AS1523" s="18"/>
      <c r="AT1523" s="18"/>
      <c r="AU1523" s="18"/>
      <c r="AV1523" s="18"/>
      <c r="AW1523" s="18"/>
      <c r="AX1523" s="18"/>
      <c r="AY1523" s="18"/>
    </row>
    <row r="1524" spans="1:51" s="33" customFormat="1" ht="13.5" thickBot="1" x14ac:dyDescent="0.35">
      <c r="A1524" s="63"/>
      <c r="B1524" s="63"/>
      <c r="C1524" s="63"/>
      <c r="D1524" s="63"/>
      <c r="E1524" s="288"/>
      <c r="F1524" s="288"/>
      <c r="G1524" s="288"/>
      <c r="H1524" s="63"/>
      <c r="I1524" s="63"/>
      <c r="J1524" s="63"/>
      <c r="K1524" s="17"/>
      <c r="L1524" s="17"/>
      <c r="M1524" s="17"/>
      <c r="N1524" s="17"/>
      <c r="O1524" s="68"/>
      <c r="P1524" s="68"/>
      <c r="Q1524" s="68"/>
      <c r="R1524" s="68"/>
      <c r="S1524" s="68"/>
      <c r="T1524" s="68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64"/>
      <c r="AH1524" s="64"/>
      <c r="AI1524" s="64"/>
      <c r="AJ1524" s="64"/>
      <c r="AK1524" s="64"/>
      <c r="AL1524" s="264"/>
      <c r="AM1524" s="84"/>
      <c r="AN1524" s="18"/>
      <c r="AO1524" s="18"/>
      <c r="AP1524" s="18"/>
      <c r="AQ1524" s="18"/>
      <c r="AR1524" s="18"/>
      <c r="AS1524" s="18"/>
      <c r="AT1524" s="18"/>
      <c r="AU1524" s="18"/>
      <c r="AV1524" s="18"/>
      <c r="AW1524" s="18"/>
      <c r="AX1524" s="18"/>
      <c r="AY1524" s="18"/>
    </row>
    <row r="1525" spans="1:51" s="33" customFormat="1" ht="13.5" thickBot="1" x14ac:dyDescent="0.35">
      <c r="A1525" s="63" t="s">
        <v>194</v>
      </c>
      <c r="B1525" s="17" t="s">
        <v>1414</v>
      </c>
      <c r="C1525" s="295" t="s">
        <v>271</v>
      </c>
      <c r="D1525" s="290" t="s">
        <v>285</v>
      </c>
      <c r="E1525" s="290">
        <v>1</v>
      </c>
      <c r="F1525" s="290">
        <v>16</v>
      </c>
      <c r="G1525" s="290">
        <v>0</v>
      </c>
      <c r="H1525" s="89">
        <v>0</v>
      </c>
      <c r="I1525" s="88" t="s">
        <v>1106</v>
      </c>
      <c r="J1525" s="87"/>
      <c r="K1525" s="84">
        <v>1059305</v>
      </c>
      <c r="L1525" s="91" t="s">
        <v>1377</v>
      </c>
      <c r="M1525" s="17">
        <v>3</v>
      </c>
      <c r="N1525" s="17"/>
      <c r="O1525" s="83"/>
      <c r="P1525" s="83"/>
      <c r="Q1525" s="68"/>
      <c r="R1525" s="68"/>
      <c r="S1525" s="68"/>
      <c r="T1525" s="68"/>
      <c r="U1525" s="17"/>
      <c r="V1525" s="17"/>
      <c r="W1525" s="18" t="s">
        <v>1398</v>
      </c>
      <c r="X1525" s="17">
        <v>0</v>
      </c>
      <c r="Y1525" s="17"/>
      <c r="Z1525" s="17"/>
      <c r="AA1525" s="17"/>
      <c r="AB1525" s="17"/>
      <c r="AC1525" s="17"/>
      <c r="AD1525" s="17"/>
      <c r="AE1525" s="17"/>
      <c r="AF1525" s="17"/>
      <c r="AG1525" s="64"/>
      <c r="AH1525" s="64"/>
      <c r="AI1525" s="64"/>
      <c r="AJ1525" s="64"/>
      <c r="AK1525" s="64"/>
      <c r="AL1525" s="264"/>
      <c r="AM1525" s="84"/>
      <c r="AN1525" s="18"/>
      <c r="AO1525" s="18"/>
      <c r="AP1525" s="18"/>
      <c r="AQ1525" s="18"/>
      <c r="AR1525" s="18"/>
      <c r="AS1525" s="18"/>
      <c r="AT1525" s="18"/>
      <c r="AU1525" s="18"/>
      <c r="AV1525" s="18"/>
      <c r="AW1525" s="18"/>
      <c r="AX1525" s="18"/>
      <c r="AY1525" s="18"/>
    </row>
    <row r="1526" spans="1:51" s="33" customFormat="1" x14ac:dyDescent="0.3">
      <c r="A1526" s="63" t="str">
        <f>+A1525</f>
        <v>BCV131</v>
      </c>
      <c r="B1526" s="18" t="str">
        <f>+B1525</f>
        <v>AX31</v>
      </c>
      <c r="C1526" s="85" t="str">
        <f>+C1525</f>
        <v>SIO1</v>
      </c>
      <c r="D1526" s="85" t="str">
        <f>+D1525</f>
        <v>SLC01</v>
      </c>
      <c r="E1526" s="290">
        <f>+E1525</f>
        <v>1</v>
      </c>
      <c r="F1526" s="290">
        <f>+F1525</f>
        <v>16</v>
      </c>
      <c r="G1526" s="290">
        <f>+G1525</f>
        <v>0</v>
      </c>
      <c r="H1526" s="72">
        <v>1</v>
      </c>
      <c r="I1526" s="77">
        <v>1</v>
      </c>
      <c r="J1526" s="76" t="s">
        <v>269</v>
      </c>
      <c r="K1526" s="65">
        <v>1044125</v>
      </c>
      <c r="L1526" s="79" t="s">
        <v>244</v>
      </c>
      <c r="M1526" s="17">
        <v>3</v>
      </c>
      <c r="N1526" s="18" t="s">
        <v>1411</v>
      </c>
      <c r="O1526" s="296" t="s">
        <v>1413</v>
      </c>
      <c r="P1526" s="296"/>
      <c r="Q1526" s="296" t="s">
        <v>1412</v>
      </c>
      <c r="R1526" s="17" t="s">
        <v>211</v>
      </c>
      <c r="S1526" s="17"/>
      <c r="T1526" s="17" t="s">
        <v>194</v>
      </c>
      <c r="U1526" s="17"/>
      <c r="V1526" s="289" t="str">
        <f>+CONCATENATE(E1526,".",F1526,"\",G1526,".",H1526,":",I1526)</f>
        <v>1.16\0.1:1</v>
      </c>
      <c r="W1526" s="18" t="s">
        <v>1398</v>
      </c>
      <c r="X1526" s="17">
        <v>0</v>
      </c>
      <c r="Y1526" s="17"/>
      <c r="Z1526" s="17"/>
      <c r="AA1526" s="17"/>
      <c r="AB1526" s="17"/>
      <c r="AC1526" s="17"/>
      <c r="AD1526" s="17"/>
      <c r="AE1526" s="17"/>
      <c r="AF1526" s="17"/>
      <c r="AG1526" s="64"/>
      <c r="AH1526" s="64"/>
      <c r="AI1526" s="64"/>
      <c r="AJ1526" s="64"/>
      <c r="AK1526" s="64"/>
      <c r="AL1526" s="264"/>
      <c r="AM1526" s="84"/>
      <c r="AN1526" s="18"/>
      <c r="AO1526" s="18"/>
      <c r="AP1526" s="18"/>
      <c r="AQ1526" s="18"/>
      <c r="AR1526" s="18"/>
      <c r="AS1526" s="18"/>
      <c r="AT1526" s="18"/>
      <c r="AU1526" s="18"/>
      <c r="AV1526" s="18"/>
      <c r="AW1526" s="18"/>
      <c r="AX1526" s="18"/>
      <c r="AY1526" s="18"/>
    </row>
    <row r="1527" spans="1:51" s="33" customFormat="1" x14ac:dyDescent="0.3">
      <c r="A1527" s="63" t="str">
        <f>+A1526</f>
        <v>BCV131</v>
      </c>
      <c r="B1527" s="18" t="str">
        <f>+B1526</f>
        <v>AX31</v>
      </c>
      <c r="C1527" s="85" t="str">
        <f>+C1526</f>
        <v>SIO1</v>
      </c>
      <c r="D1527" s="85" t="str">
        <f>+D1526</f>
        <v>SLC01</v>
      </c>
      <c r="E1527" s="290">
        <f>+E1526</f>
        <v>1</v>
      </c>
      <c r="F1527" s="290">
        <f>+F1526</f>
        <v>16</v>
      </c>
      <c r="G1527" s="290">
        <f>+G1526</f>
        <v>0</v>
      </c>
      <c r="H1527" s="72">
        <f>+H1526</f>
        <v>1</v>
      </c>
      <c r="I1527" s="75">
        <v>2</v>
      </c>
      <c r="J1527" s="74" t="s">
        <v>265</v>
      </c>
      <c r="K1527" s="84">
        <v>1047162</v>
      </c>
      <c r="L1527" s="79" t="s">
        <v>244</v>
      </c>
      <c r="M1527" s="17">
        <v>3</v>
      </c>
      <c r="N1527" s="18" t="s">
        <v>1411</v>
      </c>
      <c r="O1527" s="296" t="s">
        <v>1410</v>
      </c>
      <c r="P1527" s="296"/>
      <c r="Q1527" s="296" t="s">
        <v>1409</v>
      </c>
      <c r="R1527" s="17" t="s">
        <v>211</v>
      </c>
      <c r="S1527" s="17"/>
      <c r="T1527" s="17" t="str">
        <f>+T1526</f>
        <v>BCV131</v>
      </c>
      <c r="U1527" s="17"/>
      <c r="V1527" s="289" t="str">
        <f>+CONCATENATE(E1527,".",F1527,"\",G1527,".",H1527,":",I1527)</f>
        <v>1.16\0.1:2</v>
      </c>
      <c r="W1527" s="18" t="s">
        <v>1398</v>
      </c>
      <c r="X1527" s="17">
        <v>0</v>
      </c>
      <c r="Y1527" s="17"/>
      <c r="Z1527" s="17"/>
      <c r="AA1527" s="17"/>
      <c r="AB1527" s="17"/>
      <c r="AC1527" s="17"/>
      <c r="AD1527" s="17"/>
      <c r="AE1527" s="17"/>
      <c r="AF1527" s="17"/>
      <c r="AG1527" s="64"/>
      <c r="AH1527" s="64"/>
      <c r="AI1527" s="64"/>
      <c r="AJ1527" s="64"/>
      <c r="AK1527" s="64"/>
      <c r="AL1527" s="264"/>
      <c r="AM1527" s="84"/>
      <c r="AN1527" s="18"/>
      <c r="AO1527" s="18"/>
      <c r="AP1527" s="18"/>
      <c r="AQ1527" s="18"/>
      <c r="AR1527" s="18"/>
      <c r="AS1527" s="18"/>
      <c r="AT1527" s="18"/>
      <c r="AU1527" s="18"/>
      <c r="AV1527" s="18"/>
      <c r="AW1527" s="18"/>
      <c r="AX1527" s="18"/>
      <c r="AY1527" s="18"/>
    </row>
    <row r="1528" spans="1:51" s="33" customFormat="1" x14ac:dyDescent="0.3">
      <c r="A1528" s="63" t="str">
        <f>+A1527</f>
        <v>BCV131</v>
      </c>
      <c r="B1528" s="18" t="str">
        <f>+B1527</f>
        <v>AX31</v>
      </c>
      <c r="C1528" s="85" t="str">
        <f>+C1527</f>
        <v>SIO1</v>
      </c>
      <c r="D1528" s="85" t="str">
        <f>+D1527</f>
        <v>SLC01</v>
      </c>
      <c r="E1528" s="290">
        <f>+E1527</f>
        <v>1</v>
      </c>
      <c r="F1528" s="290">
        <f>+F1527</f>
        <v>16</v>
      </c>
      <c r="G1528" s="290">
        <f>+G1527</f>
        <v>0</v>
      </c>
      <c r="H1528" s="72">
        <f>+H1527</f>
        <v>1</v>
      </c>
      <c r="I1528" s="75">
        <v>3</v>
      </c>
      <c r="J1528" s="74" t="s">
        <v>261</v>
      </c>
      <c r="K1528" s="85"/>
      <c r="L1528" s="79" t="s">
        <v>244</v>
      </c>
      <c r="M1528" s="17">
        <v>3</v>
      </c>
      <c r="N1528" s="18" t="s">
        <v>1406</v>
      </c>
      <c r="O1528" s="296" t="s">
        <v>1408</v>
      </c>
      <c r="P1528" s="296"/>
      <c r="Q1528" s="296" t="s">
        <v>1407</v>
      </c>
      <c r="R1528" s="17" t="s">
        <v>211</v>
      </c>
      <c r="S1528" s="17"/>
      <c r="T1528" s="17" t="str">
        <f>+T1527</f>
        <v>BCV131</v>
      </c>
      <c r="U1528" s="17"/>
      <c r="V1528" s="289" t="str">
        <f>+CONCATENATE(E1528,".",F1528,"\",G1528,".",H1528,":",I1528)</f>
        <v>1.16\0.1:3</v>
      </c>
      <c r="W1528" s="18" t="s">
        <v>1398</v>
      </c>
      <c r="X1528" s="17">
        <v>0</v>
      </c>
      <c r="Y1528" s="17"/>
      <c r="Z1528" s="17"/>
      <c r="AA1528" s="17"/>
      <c r="AB1528" s="17"/>
      <c r="AC1528" s="17"/>
      <c r="AD1528" s="17"/>
      <c r="AE1528" s="17"/>
      <c r="AF1528" s="17"/>
      <c r="AG1528" s="64"/>
      <c r="AH1528" s="64"/>
      <c r="AI1528" s="64"/>
      <c r="AJ1528" s="64"/>
      <c r="AK1528" s="64"/>
      <c r="AL1528" s="264"/>
      <c r="AM1528" s="84"/>
      <c r="AN1528" s="18"/>
      <c r="AO1528" s="18"/>
      <c r="AP1528" s="18"/>
      <c r="AQ1528" s="18"/>
      <c r="AR1528" s="18"/>
      <c r="AS1528" s="18"/>
      <c r="AT1528" s="18"/>
      <c r="AU1528" s="18"/>
      <c r="AV1528" s="18"/>
      <c r="AW1528" s="18"/>
      <c r="AX1528" s="18"/>
      <c r="AY1528" s="18"/>
    </row>
    <row r="1529" spans="1:51" s="33" customFormat="1" x14ac:dyDescent="0.3">
      <c r="A1529" s="63" t="str">
        <f>+A1528</f>
        <v>BCV131</v>
      </c>
      <c r="B1529" s="18" t="str">
        <f>+B1528</f>
        <v>AX31</v>
      </c>
      <c r="C1529" s="85" t="str">
        <f>+C1528</f>
        <v>SIO1</v>
      </c>
      <c r="D1529" s="85" t="str">
        <f>+D1528</f>
        <v>SLC01</v>
      </c>
      <c r="E1529" s="290">
        <f>+E1528</f>
        <v>1</v>
      </c>
      <c r="F1529" s="290">
        <f>+F1528</f>
        <v>16</v>
      </c>
      <c r="G1529" s="290">
        <f>+G1528</f>
        <v>0</v>
      </c>
      <c r="H1529" s="72">
        <f>+H1528</f>
        <v>1</v>
      </c>
      <c r="I1529" s="75">
        <v>4</v>
      </c>
      <c r="J1529" s="74" t="s">
        <v>257</v>
      </c>
      <c r="K1529" s="85"/>
      <c r="L1529" s="79" t="s">
        <v>244</v>
      </c>
      <c r="M1529" s="17">
        <v>3</v>
      </c>
      <c r="N1529" s="18" t="s">
        <v>1406</v>
      </c>
      <c r="O1529" s="296" t="s">
        <v>1405</v>
      </c>
      <c r="P1529" s="296"/>
      <c r="Q1529" s="296" t="s">
        <v>1404</v>
      </c>
      <c r="R1529" s="17" t="s">
        <v>211</v>
      </c>
      <c r="S1529" s="17"/>
      <c r="T1529" s="17" t="str">
        <f>+T1528</f>
        <v>BCV131</v>
      </c>
      <c r="U1529" s="17"/>
      <c r="V1529" s="289" t="str">
        <f>+CONCATENATE(E1529,".",F1529,"\",G1529,".",H1529,":",I1529)</f>
        <v>1.16\0.1:4</v>
      </c>
      <c r="W1529" s="18" t="s">
        <v>1398</v>
      </c>
      <c r="X1529" s="17">
        <v>0</v>
      </c>
      <c r="Y1529" s="17"/>
      <c r="Z1529" s="17"/>
      <c r="AA1529" s="17"/>
      <c r="AB1529" s="17"/>
      <c r="AC1529" s="17"/>
      <c r="AD1529" s="17"/>
      <c r="AE1529" s="17"/>
      <c r="AF1529" s="17"/>
      <c r="AG1529" s="64"/>
      <c r="AH1529" s="64"/>
      <c r="AI1529" s="64"/>
      <c r="AJ1529" s="64"/>
      <c r="AK1529" s="64"/>
      <c r="AL1529" s="264"/>
      <c r="AM1529" s="84"/>
      <c r="AN1529" s="18"/>
      <c r="AO1529" s="18"/>
      <c r="AP1529" s="18"/>
      <c r="AQ1529" s="18"/>
      <c r="AR1529" s="18"/>
      <c r="AS1529" s="18"/>
      <c r="AT1529" s="18"/>
      <c r="AU1529" s="18"/>
      <c r="AV1529" s="18"/>
      <c r="AW1529" s="18"/>
      <c r="AX1529" s="18"/>
      <c r="AY1529" s="18"/>
    </row>
    <row r="1530" spans="1:51" s="33" customFormat="1" x14ac:dyDescent="0.3">
      <c r="A1530" s="63" t="str">
        <f>+A1529</f>
        <v>BCV131</v>
      </c>
      <c r="B1530" s="18" t="str">
        <f>+B1529</f>
        <v>AX31</v>
      </c>
      <c r="C1530" s="85" t="str">
        <f>+C1529</f>
        <v>SIO1</v>
      </c>
      <c r="D1530" s="85" t="str">
        <f>+D1529</f>
        <v>SLC01</v>
      </c>
      <c r="E1530" s="290">
        <f>+E1529</f>
        <v>1</v>
      </c>
      <c r="F1530" s="290">
        <f>+F1529</f>
        <v>16</v>
      </c>
      <c r="G1530" s="290">
        <f>+G1529</f>
        <v>0</v>
      </c>
      <c r="H1530" s="72">
        <f>+H1529</f>
        <v>1</v>
      </c>
      <c r="I1530" s="75">
        <v>5</v>
      </c>
      <c r="J1530" s="74" t="s">
        <v>1325</v>
      </c>
      <c r="K1530" s="85"/>
      <c r="L1530" s="79" t="s">
        <v>244</v>
      </c>
      <c r="M1530" s="17">
        <v>3</v>
      </c>
      <c r="N1530" s="17"/>
      <c r="O1530" s="296"/>
      <c r="P1530" s="296"/>
      <c r="Q1530" s="296" t="s">
        <v>127</v>
      </c>
      <c r="R1530" s="17"/>
      <c r="S1530" s="17"/>
      <c r="T1530" s="17"/>
      <c r="U1530" s="17"/>
      <c r="V1530" s="289" t="str">
        <f>+CONCATENATE(E1530,".",F1530,"\",G1530,".",H1530,":",I1530)</f>
        <v>1.16\0.1:5</v>
      </c>
      <c r="W1530" s="18" t="s">
        <v>1398</v>
      </c>
      <c r="X1530" s="17">
        <v>0</v>
      </c>
      <c r="Y1530" s="17"/>
      <c r="Z1530" s="17"/>
      <c r="AA1530" s="17"/>
      <c r="AB1530" s="17"/>
      <c r="AC1530" s="17"/>
      <c r="AD1530" s="17"/>
      <c r="AE1530" s="17"/>
      <c r="AF1530" s="17"/>
      <c r="AG1530" s="64"/>
      <c r="AH1530" s="64"/>
      <c r="AI1530" s="64"/>
      <c r="AJ1530" s="64"/>
      <c r="AK1530" s="64"/>
      <c r="AL1530" s="264"/>
      <c r="AM1530" s="84"/>
      <c r="AN1530" s="18"/>
      <c r="AO1530" s="18"/>
      <c r="AP1530" s="18"/>
      <c r="AQ1530" s="18"/>
      <c r="AR1530" s="18"/>
      <c r="AS1530" s="18"/>
      <c r="AT1530" s="18"/>
      <c r="AU1530" s="18"/>
      <c r="AV1530" s="18"/>
      <c r="AW1530" s="18"/>
      <c r="AX1530" s="18"/>
      <c r="AY1530" s="18"/>
    </row>
    <row r="1531" spans="1:51" s="33" customFormat="1" x14ac:dyDescent="0.3">
      <c r="A1531" s="63" t="str">
        <f>+A1530</f>
        <v>BCV131</v>
      </c>
      <c r="B1531" s="18" t="str">
        <f>+B1530</f>
        <v>AX31</v>
      </c>
      <c r="C1531" s="85" t="str">
        <f>+C1530</f>
        <v>SIO1</v>
      </c>
      <c r="D1531" s="85" t="str">
        <f>+D1530</f>
        <v>SLC01</v>
      </c>
      <c r="E1531" s="290">
        <f>+E1530</f>
        <v>1</v>
      </c>
      <c r="F1531" s="290">
        <f>+F1530</f>
        <v>16</v>
      </c>
      <c r="G1531" s="290">
        <f>+G1530</f>
        <v>0</v>
      </c>
      <c r="H1531" s="72">
        <f>+H1530</f>
        <v>1</v>
      </c>
      <c r="I1531" s="75">
        <v>6</v>
      </c>
      <c r="J1531" s="74" t="s">
        <v>1323</v>
      </c>
      <c r="K1531" s="85"/>
      <c r="L1531" s="79" t="s">
        <v>244</v>
      </c>
      <c r="M1531" s="17">
        <v>3</v>
      </c>
      <c r="N1531" s="17"/>
      <c r="O1531" s="296"/>
      <c r="P1531" s="296"/>
      <c r="Q1531" s="296" t="s">
        <v>127</v>
      </c>
      <c r="R1531" s="17"/>
      <c r="S1531" s="17"/>
      <c r="T1531" s="17"/>
      <c r="U1531" s="17"/>
      <c r="V1531" s="289" t="str">
        <f>+CONCATENATE(E1531,".",F1531,"\",G1531,".",H1531,":",I1531)</f>
        <v>1.16\0.1:6</v>
      </c>
      <c r="W1531" s="18" t="s">
        <v>1398</v>
      </c>
      <c r="X1531" s="17">
        <v>0</v>
      </c>
      <c r="Y1531" s="17"/>
      <c r="Z1531" s="17"/>
      <c r="AA1531" s="17"/>
      <c r="AB1531" s="17"/>
      <c r="AC1531" s="17"/>
      <c r="AD1531" s="17"/>
      <c r="AE1531" s="17"/>
      <c r="AF1531" s="17"/>
      <c r="AG1531" s="64"/>
      <c r="AH1531" s="64"/>
      <c r="AI1531" s="64"/>
      <c r="AJ1531" s="64"/>
      <c r="AK1531" s="64"/>
      <c r="AL1531" s="264"/>
      <c r="AM1531" s="84"/>
      <c r="AN1531" s="18"/>
      <c r="AO1531" s="18"/>
      <c r="AP1531" s="18"/>
      <c r="AQ1531" s="18"/>
      <c r="AR1531" s="18"/>
      <c r="AS1531" s="18"/>
      <c r="AT1531" s="18"/>
      <c r="AU1531" s="18"/>
      <c r="AV1531" s="18"/>
      <c r="AW1531" s="18"/>
      <c r="AX1531" s="18"/>
      <c r="AY1531" s="18"/>
    </row>
    <row r="1532" spans="1:51" s="33" customFormat="1" x14ac:dyDescent="0.3">
      <c r="A1532" s="63" t="str">
        <f>+A1531</f>
        <v>BCV131</v>
      </c>
      <c r="B1532" s="18" t="str">
        <f>+B1531</f>
        <v>AX31</v>
      </c>
      <c r="C1532" s="85" t="str">
        <f>+C1531</f>
        <v>SIO1</v>
      </c>
      <c r="D1532" s="85" t="str">
        <f>+D1531</f>
        <v>SLC01</v>
      </c>
      <c r="E1532" s="290">
        <f>+E1531</f>
        <v>1</v>
      </c>
      <c r="F1532" s="290">
        <f>+F1531</f>
        <v>16</v>
      </c>
      <c r="G1532" s="290">
        <f>+G1531</f>
        <v>0</v>
      </c>
      <c r="H1532" s="72">
        <f>+H1531</f>
        <v>1</v>
      </c>
      <c r="I1532" s="75">
        <v>7</v>
      </c>
      <c r="J1532" s="74" t="s">
        <v>246</v>
      </c>
      <c r="K1532" s="85"/>
      <c r="L1532" s="79" t="s">
        <v>244</v>
      </c>
      <c r="M1532" s="17">
        <v>3</v>
      </c>
      <c r="N1532" s="17"/>
      <c r="O1532" s="296"/>
      <c r="P1532" s="296"/>
      <c r="Q1532" s="296" t="s">
        <v>127</v>
      </c>
      <c r="R1532" s="17"/>
      <c r="S1532" s="17"/>
      <c r="T1532" s="17"/>
      <c r="U1532" s="17"/>
      <c r="V1532" s="289" t="str">
        <f>+CONCATENATE(E1532,".",F1532,"\",G1532,".",H1532,":",I1532)</f>
        <v>1.16\0.1:7</v>
      </c>
      <c r="W1532" s="18" t="s">
        <v>1398</v>
      </c>
      <c r="X1532" s="17">
        <v>0</v>
      </c>
      <c r="Y1532" s="17"/>
      <c r="Z1532" s="17"/>
      <c r="AA1532" s="17"/>
      <c r="AB1532" s="17"/>
      <c r="AC1532" s="17"/>
      <c r="AD1532" s="17"/>
      <c r="AE1532" s="17"/>
      <c r="AF1532" s="17"/>
      <c r="AG1532" s="64"/>
      <c r="AH1532" s="64"/>
      <c r="AI1532" s="64"/>
      <c r="AJ1532" s="64"/>
      <c r="AK1532" s="64"/>
      <c r="AL1532" s="264"/>
      <c r="AM1532" s="84"/>
      <c r="AN1532" s="18"/>
      <c r="AO1532" s="18"/>
      <c r="AP1532" s="18"/>
      <c r="AQ1532" s="18"/>
      <c r="AR1532" s="18"/>
      <c r="AS1532" s="18"/>
      <c r="AT1532" s="18"/>
      <c r="AU1532" s="18"/>
      <c r="AV1532" s="18"/>
      <c r="AW1532" s="18"/>
      <c r="AX1532" s="18"/>
      <c r="AY1532" s="18"/>
    </row>
    <row r="1533" spans="1:51" s="33" customFormat="1" x14ac:dyDescent="0.3">
      <c r="A1533" s="63" t="str">
        <f>+A1532</f>
        <v>BCV131</v>
      </c>
      <c r="B1533" s="18" t="str">
        <f>+B1532</f>
        <v>AX31</v>
      </c>
      <c r="C1533" s="85" t="str">
        <f>+C1532</f>
        <v>SIO1</v>
      </c>
      <c r="D1533" s="85" t="str">
        <f>+D1532</f>
        <v>SLC01</v>
      </c>
      <c r="E1533" s="290">
        <f>+E1532</f>
        <v>1</v>
      </c>
      <c r="F1533" s="290">
        <f>+F1532</f>
        <v>16</v>
      </c>
      <c r="G1533" s="290">
        <f>+G1532</f>
        <v>0</v>
      </c>
      <c r="H1533" s="72">
        <f>+H1532</f>
        <v>1</v>
      </c>
      <c r="I1533" s="75">
        <v>8</v>
      </c>
      <c r="J1533" s="74" t="s">
        <v>245</v>
      </c>
      <c r="K1533" s="85"/>
      <c r="L1533" s="79" t="s">
        <v>244</v>
      </c>
      <c r="M1533" s="17">
        <v>3</v>
      </c>
      <c r="N1533" s="17"/>
      <c r="O1533" s="296"/>
      <c r="P1533" s="296"/>
      <c r="Q1533" s="296" t="s">
        <v>127</v>
      </c>
      <c r="R1533" s="17"/>
      <c r="S1533" s="17"/>
      <c r="T1533" s="17"/>
      <c r="U1533" s="17"/>
      <c r="V1533" s="289" t="str">
        <f>+CONCATENATE(E1533,".",F1533,"\",G1533,".",H1533,":",I1533)</f>
        <v>1.16\0.1:8</v>
      </c>
      <c r="W1533" s="18" t="s">
        <v>1398</v>
      </c>
      <c r="X1533" s="17">
        <v>0</v>
      </c>
      <c r="Y1533" s="17"/>
      <c r="Z1533" s="17"/>
      <c r="AA1533" s="17"/>
      <c r="AB1533" s="17"/>
      <c r="AC1533" s="17"/>
      <c r="AD1533" s="17"/>
      <c r="AE1533" s="17"/>
      <c r="AF1533" s="17"/>
      <c r="AG1533" s="64"/>
      <c r="AH1533" s="64"/>
      <c r="AI1533" s="64"/>
      <c r="AJ1533" s="64"/>
      <c r="AK1533" s="64"/>
      <c r="AL1533" s="264"/>
      <c r="AM1533" s="84"/>
      <c r="AN1533" s="18"/>
      <c r="AO1533" s="18"/>
      <c r="AP1533" s="18"/>
      <c r="AQ1533" s="18"/>
      <c r="AR1533" s="18"/>
      <c r="AS1533" s="18"/>
      <c r="AT1533" s="18"/>
      <c r="AU1533" s="18"/>
      <c r="AV1533" s="18"/>
      <c r="AW1533" s="18"/>
      <c r="AX1533" s="18"/>
      <c r="AY1533" s="18"/>
    </row>
    <row r="1534" spans="1:51" s="33" customFormat="1" x14ac:dyDescent="0.3">
      <c r="A1534" s="63" t="str">
        <f>+A1533</f>
        <v>BCV131</v>
      </c>
      <c r="B1534" s="18" t="str">
        <f>+B1533</f>
        <v>AX31</v>
      </c>
      <c r="C1534" s="85" t="str">
        <f>+C1533</f>
        <v>SIO1</v>
      </c>
      <c r="D1534" s="85" t="str">
        <f>+D1533</f>
        <v>SLC01</v>
      </c>
      <c r="E1534" s="290">
        <f>+E1533</f>
        <v>1</v>
      </c>
      <c r="F1534" s="290">
        <f>+F1533</f>
        <v>16</v>
      </c>
      <c r="G1534" s="290">
        <f>+G1533</f>
        <v>0</v>
      </c>
      <c r="H1534" s="72">
        <f>+H1533</f>
        <v>1</v>
      </c>
      <c r="I1534" s="75">
        <v>1</v>
      </c>
      <c r="J1534" s="81" t="s">
        <v>1321</v>
      </c>
      <c r="K1534" s="85" t="s">
        <v>1366</v>
      </c>
      <c r="L1534" s="79" t="s">
        <v>235</v>
      </c>
      <c r="M1534" s="17">
        <v>3</v>
      </c>
      <c r="N1534" s="18" t="s">
        <v>1402</v>
      </c>
      <c r="O1534" s="17" t="s">
        <v>1403</v>
      </c>
      <c r="P1534" s="17"/>
      <c r="Q1534" s="17" t="s">
        <v>1335</v>
      </c>
      <c r="R1534" s="17" t="s">
        <v>922</v>
      </c>
      <c r="S1534" s="17"/>
      <c r="T1534" s="17" t="str">
        <f>+T1526</f>
        <v>BCV131</v>
      </c>
      <c r="U1534" s="17"/>
      <c r="V1534" s="289" t="str">
        <f>+CONCATENATE(E1534,".",F1534,"\",G1534,".",H1534,":",I1534)</f>
        <v>1.16\0.1:1</v>
      </c>
      <c r="W1534" s="18" t="s">
        <v>1398</v>
      </c>
      <c r="X1534" s="17">
        <v>0</v>
      </c>
      <c r="Y1534" s="17"/>
      <c r="Z1534" s="17"/>
      <c r="AA1534" s="17"/>
      <c r="AB1534" s="17"/>
      <c r="AC1534" s="17"/>
      <c r="AD1534" s="17"/>
      <c r="AE1534" s="17"/>
      <c r="AF1534" s="17"/>
      <c r="AG1534" s="64"/>
      <c r="AH1534" s="64"/>
      <c r="AI1534" s="64"/>
      <c r="AJ1534" s="64"/>
      <c r="AK1534" s="64"/>
      <c r="AL1534" s="264"/>
      <c r="AM1534" s="84"/>
      <c r="AN1534" s="18"/>
      <c r="AO1534" s="18"/>
      <c r="AP1534" s="18"/>
      <c r="AQ1534" s="18"/>
      <c r="AR1534" s="18"/>
      <c r="AS1534" s="18"/>
      <c r="AT1534" s="18"/>
      <c r="AU1534" s="18"/>
      <c r="AV1534" s="18"/>
      <c r="AW1534" s="18"/>
      <c r="AX1534" s="18"/>
      <c r="AY1534" s="18"/>
    </row>
    <row r="1535" spans="1:51" s="33" customFormat="1" x14ac:dyDescent="0.3">
      <c r="A1535" s="63" t="str">
        <f>+A1534</f>
        <v>BCV131</v>
      </c>
      <c r="B1535" s="18" t="str">
        <f>+B1534</f>
        <v>AX31</v>
      </c>
      <c r="C1535" s="85" t="str">
        <f>+C1534</f>
        <v>SIO1</v>
      </c>
      <c r="D1535" s="85" t="str">
        <f>+D1534</f>
        <v>SLC01</v>
      </c>
      <c r="E1535" s="290">
        <f>+E1534</f>
        <v>1</v>
      </c>
      <c r="F1535" s="290">
        <f>+F1534</f>
        <v>16</v>
      </c>
      <c r="G1535" s="290">
        <f>+G1534</f>
        <v>0</v>
      </c>
      <c r="H1535" s="72">
        <f>+H1534</f>
        <v>1</v>
      </c>
      <c r="I1535" s="75">
        <v>2</v>
      </c>
      <c r="J1535" s="74" t="s">
        <v>1320</v>
      </c>
      <c r="K1535" s="85"/>
      <c r="L1535" s="79" t="s">
        <v>235</v>
      </c>
      <c r="M1535" s="17">
        <v>3</v>
      </c>
      <c r="N1535" s="18" t="s">
        <v>1402</v>
      </c>
      <c r="O1535" s="17" t="s">
        <v>1401</v>
      </c>
      <c r="P1535" s="17"/>
      <c r="Q1535" s="17" t="s">
        <v>1330</v>
      </c>
      <c r="R1535" s="17" t="s">
        <v>922</v>
      </c>
      <c r="S1535" s="17"/>
      <c r="T1535" s="17" t="str">
        <f>+T1534</f>
        <v>BCV131</v>
      </c>
      <c r="U1535" s="17"/>
      <c r="V1535" s="289" t="str">
        <f>+CONCATENATE(E1535,".",F1535,"\",G1535,".",H1535,":",I1535)</f>
        <v>1.16\0.1:2</v>
      </c>
      <c r="W1535" s="18" t="s">
        <v>1398</v>
      </c>
      <c r="X1535" s="17">
        <v>0</v>
      </c>
      <c r="Y1535" s="17"/>
      <c r="Z1535" s="17"/>
      <c r="AA1535" s="17"/>
      <c r="AB1535" s="17"/>
      <c r="AC1535" s="17"/>
      <c r="AD1535" s="17"/>
      <c r="AE1535" s="17"/>
      <c r="AF1535" s="17"/>
      <c r="AG1535" s="64"/>
      <c r="AH1535" s="64"/>
      <c r="AI1535" s="64"/>
      <c r="AJ1535" s="64"/>
      <c r="AK1535" s="64"/>
      <c r="AL1535" s="264"/>
      <c r="AM1535" s="84"/>
      <c r="AN1535" s="18"/>
      <c r="AO1535" s="18"/>
      <c r="AP1535" s="18"/>
      <c r="AQ1535" s="18"/>
      <c r="AR1535" s="18"/>
      <c r="AS1535" s="18"/>
      <c r="AT1535" s="18"/>
      <c r="AU1535" s="18"/>
      <c r="AV1535" s="18"/>
      <c r="AW1535" s="18"/>
      <c r="AX1535" s="18"/>
      <c r="AY1535" s="18"/>
    </row>
    <row r="1536" spans="1:51" s="33" customFormat="1" x14ac:dyDescent="0.3">
      <c r="A1536" s="63" t="str">
        <f>+A1535</f>
        <v>BCV131</v>
      </c>
      <c r="B1536" s="18" t="str">
        <f>+B1535</f>
        <v>AX31</v>
      </c>
      <c r="C1536" s="85" t="str">
        <f>+C1535</f>
        <v>SIO1</v>
      </c>
      <c r="D1536" s="85" t="str">
        <f>+D1535</f>
        <v>SLC01</v>
      </c>
      <c r="E1536" s="290">
        <f>+E1535</f>
        <v>1</v>
      </c>
      <c r="F1536" s="290">
        <f>+F1535</f>
        <v>16</v>
      </c>
      <c r="G1536" s="290">
        <f>+G1535</f>
        <v>0</v>
      </c>
      <c r="H1536" s="72">
        <f>+H1535</f>
        <v>1</v>
      </c>
      <c r="I1536" s="75">
        <v>3</v>
      </c>
      <c r="J1536" s="74" t="s">
        <v>1319</v>
      </c>
      <c r="K1536" s="85"/>
      <c r="L1536" s="79" t="s">
        <v>235</v>
      </c>
      <c r="M1536" s="17">
        <v>3</v>
      </c>
      <c r="N1536" s="18" t="s">
        <v>1400</v>
      </c>
      <c r="O1536" s="17" t="s">
        <v>1399</v>
      </c>
      <c r="P1536" s="17"/>
      <c r="Q1536" s="17" t="s">
        <v>1330</v>
      </c>
      <c r="R1536" s="17" t="s">
        <v>922</v>
      </c>
      <c r="S1536" s="17"/>
      <c r="T1536" s="17" t="str">
        <f>+T1535</f>
        <v>BCV131</v>
      </c>
      <c r="U1536" s="17"/>
      <c r="V1536" s="289" t="str">
        <f>+CONCATENATE(E1536,".",F1536,"\",G1536,".",H1536,":",I1536)</f>
        <v>1.16\0.1:3</v>
      </c>
      <c r="W1536" s="18" t="s">
        <v>1398</v>
      </c>
      <c r="X1536" s="17">
        <v>0</v>
      </c>
      <c r="Y1536" s="17"/>
      <c r="Z1536" s="17"/>
      <c r="AA1536" s="17"/>
      <c r="AB1536" s="17"/>
      <c r="AC1536" s="17"/>
      <c r="AD1536" s="17"/>
      <c r="AE1536" s="17"/>
      <c r="AF1536" s="17"/>
      <c r="AG1536" s="64"/>
      <c r="AH1536" s="64"/>
      <c r="AI1536" s="64"/>
      <c r="AJ1536" s="64"/>
      <c r="AK1536" s="64"/>
      <c r="AL1536" s="264"/>
      <c r="AM1536" s="84"/>
      <c r="AN1536" s="18"/>
      <c r="AO1536" s="18"/>
      <c r="AP1536" s="18"/>
      <c r="AQ1536" s="18"/>
      <c r="AR1536" s="18"/>
      <c r="AS1536" s="18"/>
      <c r="AT1536" s="18"/>
      <c r="AU1536" s="18"/>
      <c r="AV1536" s="18"/>
      <c r="AW1536" s="18"/>
      <c r="AX1536" s="18"/>
      <c r="AY1536" s="18"/>
    </row>
    <row r="1537" spans="1:51" s="33" customFormat="1" ht="13.5" thickBot="1" x14ac:dyDescent="0.35">
      <c r="A1537" s="63" t="str">
        <f>+A1536</f>
        <v>BCV131</v>
      </c>
      <c r="B1537" s="18" t="str">
        <f>+B1536</f>
        <v>AX31</v>
      </c>
      <c r="C1537" s="85" t="str">
        <f>+C1536</f>
        <v>SIO1</v>
      </c>
      <c r="D1537" s="85" t="str">
        <f>+D1536</f>
        <v>SLC01</v>
      </c>
      <c r="E1537" s="290">
        <f>+E1536</f>
        <v>1</v>
      </c>
      <c r="F1537" s="290">
        <f>+F1536</f>
        <v>16</v>
      </c>
      <c r="G1537" s="290">
        <f>+G1536</f>
        <v>0</v>
      </c>
      <c r="H1537" s="72">
        <f>+H1536</f>
        <v>1</v>
      </c>
      <c r="I1537" s="71">
        <v>4</v>
      </c>
      <c r="J1537" s="70" t="s">
        <v>1318</v>
      </c>
      <c r="K1537" s="85"/>
      <c r="L1537" s="79" t="s">
        <v>235</v>
      </c>
      <c r="M1537" s="17">
        <v>3</v>
      </c>
      <c r="N1537" s="17"/>
      <c r="O1537" s="17"/>
      <c r="P1537" s="17"/>
      <c r="Q1537" s="68"/>
      <c r="R1537" s="68"/>
      <c r="S1537" s="68"/>
      <c r="T1537" s="68"/>
      <c r="U1537" s="17"/>
      <c r="V1537" s="289" t="str">
        <f>+CONCATENATE(E1537,".",F1537,"\",G1537,".",H1537,":",I1537)</f>
        <v>1.16\0.1:4</v>
      </c>
      <c r="W1537" s="18" t="s">
        <v>1398</v>
      </c>
      <c r="X1537" s="17">
        <v>0</v>
      </c>
      <c r="Y1537" s="17"/>
      <c r="Z1537" s="17"/>
      <c r="AA1537" s="17"/>
      <c r="AB1537" s="17"/>
      <c r="AC1537" s="17"/>
      <c r="AD1537" s="17"/>
      <c r="AE1537" s="17"/>
      <c r="AF1537" s="17"/>
      <c r="AG1537" s="64"/>
      <c r="AH1537" s="64"/>
      <c r="AI1537" s="64"/>
      <c r="AJ1537" s="64"/>
      <c r="AK1537" s="64"/>
      <c r="AL1537" s="264"/>
      <c r="AM1537" s="84"/>
      <c r="AN1537" s="18"/>
      <c r="AO1537" s="18"/>
      <c r="AP1537" s="18"/>
      <c r="AQ1537" s="18"/>
      <c r="AR1537" s="18"/>
      <c r="AS1537" s="18"/>
      <c r="AT1537" s="18"/>
      <c r="AU1537" s="18"/>
      <c r="AV1537" s="18"/>
      <c r="AW1537" s="18"/>
      <c r="AX1537" s="18"/>
      <c r="AY1537" s="18"/>
    </row>
    <row r="1538" spans="1:51" s="33" customFormat="1" x14ac:dyDescent="0.3">
      <c r="A1538" s="63"/>
      <c r="B1538" s="63"/>
      <c r="C1538" s="63"/>
      <c r="D1538" s="63"/>
      <c r="E1538" s="288"/>
      <c r="F1538" s="288"/>
      <c r="G1538" s="288"/>
      <c r="H1538" s="63"/>
      <c r="I1538" s="63"/>
      <c r="J1538" s="63"/>
      <c r="K1538" s="17"/>
      <c r="L1538" s="17"/>
      <c r="M1538" s="17"/>
      <c r="N1538" s="17"/>
      <c r="O1538" s="68"/>
      <c r="P1538" s="68"/>
      <c r="Q1538" s="68"/>
      <c r="R1538" s="68"/>
      <c r="S1538" s="68"/>
      <c r="T1538" s="68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64"/>
      <c r="AH1538" s="64"/>
      <c r="AI1538" s="64"/>
      <c r="AJ1538" s="64"/>
      <c r="AK1538" s="64"/>
      <c r="AL1538" s="264"/>
      <c r="AM1538" s="84"/>
      <c r="AN1538" s="18"/>
      <c r="AO1538" s="18"/>
      <c r="AP1538" s="18"/>
      <c r="AQ1538" s="18"/>
      <c r="AR1538" s="18"/>
      <c r="AS1538" s="18"/>
      <c r="AT1538" s="18"/>
      <c r="AU1538" s="18"/>
      <c r="AV1538" s="18"/>
      <c r="AW1538" s="18"/>
      <c r="AX1538" s="18"/>
      <c r="AY1538" s="18"/>
    </row>
    <row r="1539" spans="1:51" s="33" customFormat="1" x14ac:dyDescent="0.3">
      <c r="A1539" s="63"/>
      <c r="B1539" s="63"/>
      <c r="C1539" s="63"/>
      <c r="D1539" s="63"/>
      <c r="E1539" s="288"/>
      <c r="F1539" s="288"/>
      <c r="G1539" s="288"/>
      <c r="H1539" s="63"/>
      <c r="I1539" s="63"/>
      <c r="J1539" s="63"/>
      <c r="K1539" s="17"/>
      <c r="L1539" s="17"/>
      <c r="M1539" s="17"/>
      <c r="N1539" s="17"/>
      <c r="O1539" s="68"/>
      <c r="P1539" s="68"/>
      <c r="Q1539" s="68"/>
      <c r="R1539" s="68"/>
      <c r="S1539" s="68"/>
      <c r="T1539" s="68"/>
      <c r="U1539" s="17"/>
      <c r="V1539" s="17"/>
      <c r="W1539" s="17"/>
      <c r="X1539" s="17"/>
      <c r="Y1539" s="17"/>
      <c r="Z1539" s="17"/>
      <c r="AA1539" s="17"/>
      <c r="AB1539" s="20"/>
      <c r="AC1539" s="17"/>
      <c r="AD1539" s="17"/>
      <c r="AE1539" s="17"/>
      <c r="AF1539" s="17"/>
      <c r="AG1539" s="64"/>
      <c r="AH1539" s="64"/>
      <c r="AI1539" s="64"/>
      <c r="AJ1539" s="64"/>
      <c r="AK1539" s="64"/>
      <c r="AL1539" s="264"/>
      <c r="AM1539" s="84"/>
      <c r="AN1539" s="18"/>
      <c r="AO1539" s="18"/>
      <c r="AP1539" s="18"/>
      <c r="AQ1539" s="18"/>
      <c r="AR1539" s="18"/>
      <c r="AS1539" s="18"/>
      <c r="AT1539" s="18"/>
      <c r="AU1539" s="18"/>
      <c r="AV1539" s="18"/>
      <c r="AW1539" s="18"/>
      <c r="AX1539" s="18"/>
      <c r="AY1539" s="18"/>
    </row>
    <row r="1540" spans="1:51" s="33" customFormat="1" x14ac:dyDescent="0.3">
      <c r="A1540" s="63"/>
      <c r="B1540" s="63"/>
      <c r="C1540" s="63"/>
      <c r="D1540" s="63"/>
      <c r="E1540" s="288"/>
      <c r="F1540" s="288"/>
      <c r="G1540" s="288"/>
      <c r="H1540" s="63"/>
      <c r="I1540" s="63"/>
      <c r="J1540" s="63"/>
      <c r="K1540" s="17"/>
      <c r="L1540" s="17"/>
      <c r="M1540" s="17"/>
      <c r="N1540" s="17"/>
      <c r="O1540" s="68"/>
      <c r="P1540" s="68"/>
      <c r="Q1540" s="68"/>
      <c r="R1540" s="68"/>
      <c r="S1540" s="68"/>
      <c r="T1540" s="68"/>
      <c r="U1540" s="17"/>
      <c r="V1540" s="17"/>
      <c r="W1540" s="17"/>
      <c r="X1540" s="17"/>
      <c r="Y1540" s="17"/>
      <c r="Z1540" s="17"/>
      <c r="AA1540" s="17"/>
      <c r="AB1540" s="20"/>
      <c r="AC1540" s="17"/>
      <c r="AD1540" s="17"/>
      <c r="AE1540" s="17"/>
      <c r="AF1540" s="17"/>
      <c r="AG1540" s="64"/>
      <c r="AH1540" s="64"/>
      <c r="AI1540" s="64"/>
      <c r="AJ1540" s="64"/>
      <c r="AK1540" s="64"/>
      <c r="AL1540" s="264"/>
      <c r="AM1540" s="84"/>
      <c r="AN1540" s="18"/>
      <c r="AO1540" s="18"/>
      <c r="AP1540" s="18"/>
      <c r="AQ1540" s="18"/>
      <c r="AR1540" s="18"/>
      <c r="AS1540" s="18"/>
      <c r="AT1540" s="18"/>
      <c r="AU1540" s="18"/>
      <c r="AV1540" s="18"/>
      <c r="AW1540" s="18"/>
      <c r="AX1540" s="18"/>
      <c r="AY1540" s="18"/>
    </row>
    <row r="1541" spans="1:51" s="33" customFormat="1" ht="15.5" x14ac:dyDescent="0.35">
      <c r="A1541" s="297"/>
      <c r="B1541" s="96" t="s">
        <v>1397</v>
      </c>
      <c r="C1541" s="256"/>
      <c r="D1541" s="256"/>
      <c r="E1541" s="256"/>
      <c r="F1541" s="256"/>
      <c r="G1541" s="256"/>
      <c r="H1541" s="256"/>
      <c r="I1541" s="256"/>
      <c r="J1541" s="256"/>
      <c r="K1541" s="256"/>
      <c r="L1541" s="256"/>
      <c r="M1541" s="256"/>
      <c r="N1541" s="287"/>
      <c r="O1541" s="256"/>
      <c r="P1541" s="287"/>
      <c r="Q1541" s="256"/>
      <c r="R1541" s="256"/>
      <c r="S1541" s="256"/>
      <c r="T1541" s="256"/>
      <c r="U1541" s="256"/>
      <c r="V1541" s="256"/>
      <c r="W1541" s="287"/>
      <c r="X1541" s="256"/>
      <c r="Y1541" s="256"/>
      <c r="Z1541" s="17"/>
      <c r="AA1541" s="17"/>
      <c r="AB1541" s="17"/>
      <c r="AC1541" s="17"/>
      <c r="AD1541" s="17"/>
      <c r="AE1541" s="17"/>
      <c r="AF1541" s="17"/>
      <c r="AG1541" s="64"/>
      <c r="AH1541" s="64"/>
      <c r="AI1541" s="64"/>
      <c r="AJ1541" s="64"/>
      <c r="AK1541" s="64"/>
      <c r="AL1541" s="264"/>
      <c r="AM1541" s="84"/>
      <c r="AN1541" s="18"/>
      <c r="AO1541" s="18"/>
      <c r="AP1541" s="18"/>
      <c r="AQ1541" s="18"/>
      <c r="AR1541" s="18"/>
      <c r="AS1541" s="18"/>
      <c r="AT1541" s="18"/>
      <c r="AU1541" s="18"/>
      <c r="AV1541" s="18"/>
      <c r="AW1541" s="18"/>
      <c r="AX1541" s="18"/>
      <c r="AY1541" s="18"/>
    </row>
    <row r="1542" spans="1:51" s="33" customFormat="1" ht="13.5" thickBot="1" x14ac:dyDescent="0.35">
      <c r="A1542" s="63"/>
      <c r="B1542" s="63"/>
      <c r="C1542" s="63"/>
      <c r="D1542" s="63"/>
      <c r="E1542" s="288"/>
      <c r="F1542" s="288"/>
      <c r="G1542" s="288"/>
      <c r="H1542" s="63"/>
      <c r="I1542" s="63"/>
      <c r="J1542" s="63"/>
      <c r="K1542" s="17"/>
      <c r="L1542" s="17"/>
      <c r="M1542" s="17"/>
      <c r="N1542" s="17"/>
      <c r="O1542" s="68"/>
      <c r="P1542" s="68"/>
      <c r="Q1542" s="68"/>
      <c r="R1542" s="68"/>
      <c r="S1542" s="68"/>
      <c r="T1542" s="68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64"/>
      <c r="AH1542" s="64"/>
      <c r="AI1542" s="64"/>
      <c r="AJ1542" s="64"/>
      <c r="AK1542" s="64"/>
      <c r="AL1542" s="264"/>
      <c r="AM1542" s="84"/>
      <c r="AN1542" s="18"/>
      <c r="AO1542" s="18"/>
      <c r="AP1542" s="18"/>
      <c r="AQ1542" s="18"/>
      <c r="AR1542" s="18"/>
      <c r="AS1542" s="18"/>
      <c r="AT1542" s="18"/>
      <c r="AU1542" s="18"/>
      <c r="AV1542" s="18"/>
      <c r="AW1542" s="18"/>
      <c r="AX1542" s="18"/>
      <c r="AY1542" s="18"/>
    </row>
    <row r="1543" spans="1:51" s="33" customFormat="1" ht="13.5" thickBot="1" x14ac:dyDescent="0.35">
      <c r="A1543" s="63" t="s">
        <v>194</v>
      </c>
      <c r="B1543" s="17" t="s">
        <v>1396</v>
      </c>
      <c r="C1543" s="295" t="s">
        <v>271</v>
      </c>
      <c r="D1543" s="290" t="s">
        <v>270</v>
      </c>
      <c r="E1543" s="290">
        <v>2</v>
      </c>
      <c r="F1543" s="290">
        <v>16</v>
      </c>
      <c r="G1543" s="290">
        <v>0</v>
      </c>
      <c r="H1543" s="89">
        <v>0</v>
      </c>
      <c r="I1543" s="88" t="s">
        <v>1106</v>
      </c>
      <c r="J1543" s="87"/>
      <c r="K1543" s="84">
        <v>1059305</v>
      </c>
      <c r="L1543" s="91" t="s">
        <v>1377</v>
      </c>
      <c r="M1543" s="17">
        <v>3</v>
      </c>
      <c r="N1543" s="17"/>
      <c r="O1543" s="83"/>
      <c r="P1543" s="83"/>
      <c r="Q1543" s="68"/>
      <c r="R1543" s="68"/>
      <c r="S1543" s="68"/>
      <c r="T1543" s="68"/>
      <c r="U1543" s="17"/>
      <c r="V1543" s="17"/>
      <c r="W1543" s="18" t="s">
        <v>1380</v>
      </c>
      <c r="X1543" s="17">
        <v>0</v>
      </c>
      <c r="Y1543" s="17"/>
      <c r="Z1543" s="17"/>
      <c r="AA1543" s="17"/>
      <c r="AB1543" s="17"/>
      <c r="AC1543" s="17"/>
      <c r="AD1543" s="17"/>
      <c r="AE1543" s="17"/>
      <c r="AF1543" s="17"/>
      <c r="AG1543" s="64"/>
      <c r="AH1543" s="64"/>
      <c r="AI1543" s="64"/>
      <c r="AJ1543" s="64"/>
      <c r="AK1543" s="64"/>
      <c r="AL1543" s="264"/>
      <c r="AM1543" s="84"/>
      <c r="AN1543" s="18"/>
      <c r="AO1543" s="18"/>
      <c r="AP1543" s="18"/>
      <c r="AQ1543" s="18"/>
      <c r="AR1543" s="18"/>
      <c r="AS1543" s="18"/>
      <c r="AT1543" s="18"/>
      <c r="AU1543" s="18"/>
      <c r="AV1543" s="18"/>
      <c r="AW1543" s="18"/>
      <c r="AX1543" s="18"/>
      <c r="AY1543" s="18"/>
    </row>
    <row r="1544" spans="1:51" s="33" customFormat="1" x14ac:dyDescent="0.3">
      <c r="A1544" s="63" t="str">
        <f>+A1543</f>
        <v>BCV131</v>
      </c>
      <c r="B1544" s="18" t="str">
        <f>+B1543</f>
        <v>AX32</v>
      </c>
      <c r="C1544" s="85" t="str">
        <f>+C1543</f>
        <v>SIO1</v>
      </c>
      <c r="D1544" s="85" t="str">
        <f>+D1543</f>
        <v>SLC02</v>
      </c>
      <c r="E1544" s="290">
        <f>+E1543</f>
        <v>2</v>
      </c>
      <c r="F1544" s="290">
        <f>+F1543</f>
        <v>16</v>
      </c>
      <c r="G1544" s="290">
        <f>+G1543</f>
        <v>0</v>
      </c>
      <c r="H1544" s="72">
        <v>1</v>
      </c>
      <c r="I1544" s="77">
        <v>1</v>
      </c>
      <c r="J1544" s="76" t="s">
        <v>269</v>
      </c>
      <c r="K1544" s="65">
        <v>1044125</v>
      </c>
      <c r="L1544" s="79" t="s">
        <v>244</v>
      </c>
      <c r="M1544" s="17">
        <v>3</v>
      </c>
      <c r="N1544" s="18" t="s">
        <v>1393</v>
      </c>
      <c r="O1544" s="296" t="s">
        <v>1395</v>
      </c>
      <c r="P1544" s="296"/>
      <c r="Q1544" s="296" t="s">
        <v>1394</v>
      </c>
      <c r="R1544" s="17" t="s">
        <v>211</v>
      </c>
      <c r="S1544" s="17"/>
      <c r="T1544" s="17" t="s">
        <v>194</v>
      </c>
      <c r="U1544" s="17"/>
      <c r="V1544" s="289" t="str">
        <f>+CONCATENATE(E1544,".",F1544,"\",G1544,".",H1544,":",I1544)</f>
        <v>2.16\0.1:1</v>
      </c>
      <c r="W1544" s="18" t="s">
        <v>1380</v>
      </c>
      <c r="X1544" s="17">
        <v>0</v>
      </c>
      <c r="Y1544" s="17"/>
      <c r="Z1544" s="17"/>
      <c r="AA1544" s="17"/>
      <c r="AB1544" s="17"/>
      <c r="AC1544" s="17"/>
      <c r="AD1544" s="17"/>
      <c r="AE1544" s="17"/>
      <c r="AF1544" s="17"/>
      <c r="AG1544" s="64"/>
      <c r="AH1544" s="64"/>
      <c r="AI1544" s="64"/>
      <c r="AJ1544" s="64"/>
      <c r="AK1544" s="64"/>
      <c r="AL1544" s="264"/>
      <c r="AM1544" s="84"/>
      <c r="AN1544" s="18"/>
      <c r="AO1544" s="18"/>
      <c r="AP1544" s="18"/>
      <c r="AQ1544" s="18"/>
      <c r="AR1544" s="18"/>
      <c r="AS1544" s="18"/>
      <c r="AT1544" s="18"/>
      <c r="AU1544" s="18"/>
      <c r="AV1544" s="18"/>
      <c r="AW1544" s="18"/>
      <c r="AX1544" s="18"/>
      <c r="AY1544" s="18"/>
    </row>
    <row r="1545" spans="1:51" s="33" customFormat="1" x14ac:dyDescent="0.3">
      <c r="A1545" s="63" t="str">
        <f>+A1544</f>
        <v>BCV131</v>
      </c>
      <c r="B1545" s="18" t="str">
        <f>+B1544</f>
        <v>AX32</v>
      </c>
      <c r="C1545" s="85" t="str">
        <f>+C1544</f>
        <v>SIO1</v>
      </c>
      <c r="D1545" s="85" t="str">
        <f>+D1544</f>
        <v>SLC02</v>
      </c>
      <c r="E1545" s="290">
        <f>+E1544</f>
        <v>2</v>
      </c>
      <c r="F1545" s="290">
        <f>+F1544</f>
        <v>16</v>
      </c>
      <c r="G1545" s="290">
        <f>+G1544</f>
        <v>0</v>
      </c>
      <c r="H1545" s="72">
        <f>+H1544</f>
        <v>1</v>
      </c>
      <c r="I1545" s="75">
        <v>2</v>
      </c>
      <c r="J1545" s="74" t="s">
        <v>265</v>
      </c>
      <c r="K1545" s="84">
        <v>1047162</v>
      </c>
      <c r="L1545" s="79" t="s">
        <v>244</v>
      </c>
      <c r="M1545" s="17">
        <v>3</v>
      </c>
      <c r="N1545" s="18" t="s">
        <v>1393</v>
      </c>
      <c r="O1545" s="296" t="s">
        <v>1392</v>
      </c>
      <c r="P1545" s="296"/>
      <c r="Q1545" s="296" t="s">
        <v>1391</v>
      </c>
      <c r="R1545" s="17" t="s">
        <v>211</v>
      </c>
      <c r="S1545" s="17"/>
      <c r="T1545" s="17" t="str">
        <f>+T1544</f>
        <v>BCV131</v>
      </c>
      <c r="U1545" s="17"/>
      <c r="V1545" s="289" t="str">
        <f>+CONCATENATE(E1545,".",F1545,"\",G1545,".",H1545,":",I1545)</f>
        <v>2.16\0.1:2</v>
      </c>
      <c r="W1545" s="18" t="s">
        <v>1380</v>
      </c>
      <c r="X1545" s="17">
        <v>0</v>
      </c>
      <c r="Y1545" s="17"/>
      <c r="Z1545" s="17"/>
      <c r="AA1545" s="17"/>
      <c r="AB1545" s="17"/>
      <c r="AC1545" s="17"/>
      <c r="AD1545" s="17"/>
      <c r="AE1545" s="17"/>
      <c r="AF1545" s="17"/>
      <c r="AG1545" s="64"/>
      <c r="AH1545" s="64"/>
      <c r="AI1545" s="64"/>
      <c r="AJ1545" s="64"/>
      <c r="AK1545" s="64"/>
      <c r="AL1545" s="264"/>
      <c r="AM1545" s="84"/>
      <c r="AN1545" s="18"/>
      <c r="AO1545" s="18"/>
      <c r="AP1545" s="18"/>
      <c r="AQ1545" s="18"/>
      <c r="AR1545" s="18"/>
      <c r="AS1545" s="18"/>
      <c r="AT1545" s="18"/>
      <c r="AU1545" s="18"/>
      <c r="AV1545" s="18"/>
      <c r="AW1545" s="18"/>
      <c r="AX1545" s="18"/>
      <c r="AY1545" s="18"/>
    </row>
    <row r="1546" spans="1:51" s="33" customFormat="1" x14ac:dyDescent="0.3">
      <c r="A1546" s="63" t="str">
        <f>+A1545</f>
        <v>BCV131</v>
      </c>
      <c r="B1546" s="18" t="str">
        <f>+B1545</f>
        <v>AX32</v>
      </c>
      <c r="C1546" s="85" t="str">
        <f>+C1545</f>
        <v>SIO1</v>
      </c>
      <c r="D1546" s="85" t="str">
        <f>+D1545</f>
        <v>SLC02</v>
      </c>
      <c r="E1546" s="290">
        <f>+E1545</f>
        <v>2</v>
      </c>
      <c r="F1546" s="290">
        <f>+F1545</f>
        <v>16</v>
      </c>
      <c r="G1546" s="290">
        <f>+G1545</f>
        <v>0</v>
      </c>
      <c r="H1546" s="72">
        <f>+H1545</f>
        <v>1</v>
      </c>
      <c r="I1546" s="75">
        <v>3</v>
      </c>
      <c r="J1546" s="74" t="s">
        <v>261</v>
      </c>
      <c r="K1546" s="85"/>
      <c r="L1546" s="79" t="s">
        <v>244</v>
      </c>
      <c r="M1546" s="17">
        <v>3</v>
      </c>
      <c r="N1546" s="18" t="s">
        <v>1388</v>
      </c>
      <c r="O1546" s="296" t="s">
        <v>1390</v>
      </c>
      <c r="P1546" s="296"/>
      <c r="Q1546" s="296" t="s">
        <v>1389</v>
      </c>
      <c r="R1546" s="17" t="s">
        <v>211</v>
      </c>
      <c r="S1546" s="17"/>
      <c r="T1546" s="17" t="str">
        <f>+T1545</f>
        <v>BCV131</v>
      </c>
      <c r="U1546" s="17"/>
      <c r="V1546" s="289" t="str">
        <f>+CONCATENATE(E1546,".",F1546,"\",G1546,".",H1546,":",I1546)</f>
        <v>2.16\0.1:3</v>
      </c>
      <c r="W1546" s="18" t="s">
        <v>1380</v>
      </c>
      <c r="X1546" s="17">
        <v>0</v>
      </c>
      <c r="Y1546" s="17"/>
      <c r="Z1546" s="17"/>
      <c r="AA1546" s="17"/>
      <c r="AB1546" s="17"/>
      <c r="AC1546" s="17"/>
      <c r="AD1546" s="17"/>
      <c r="AE1546" s="17"/>
      <c r="AF1546" s="17"/>
      <c r="AG1546" s="64"/>
      <c r="AH1546" s="64"/>
      <c r="AI1546" s="64"/>
      <c r="AJ1546" s="64"/>
      <c r="AK1546" s="64"/>
      <c r="AL1546" s="264"/>
      <c r="AM1546" s="84"/>
      <c r="AN1546" s="18"/>
      <c r="AO1546" s="18"/>
      <c r="AP1546" s="18"/>
      <c r="AQ1546" s="18"/>
      <c r="AR1546" s="18"/>
      <c r="AS1546" s="18"/>
      <c r="AT1546" s="18"/>
      <c r="AU1546" s="18"/>
      <c r="AV1546" s="18"/>
      <c r="AW1546" s="18"/>
      <c r="AX1546" s="18"/>
      <c r="AY1546" s="18"/>
    </row>
    <row r="1547" spans="1:51" s="33" customFormat="1" x14ac:dyDescent="0.3">
      <c r="A1547" s="63" t="str">
        <f>+A1546</f>
        <v>BCV131</v>
      </c>
      <c r="B1547" s="18" t="str">
        <f>+B1546</f>
        <v>AX32</v>
      </c>
      <c r="C1547" s="85" t="str">
        <f>+C1546</f>
        <v>SIO1</v>
      </c>
      <c r="D1547" s="85" t="str">
        <f>+D1546</f>
        <v>SLC02</v>
      </c>
      <c r="E1547" s="290">
        <f>+E1546</f>
        <v>2</v>
      </c>
      <c r="F1547" s="290">
        <f>+F1546</f>
        <v>16</v>
      </c>
      <c r="G1547" s="290">
        <f>+G1546</f>
        <v>0</v>
      </c>
      <c r="H1547" s="72">
        <f>+H1546</f>
        <v>1</v>
      </c>
      <c r="I1547" s="75">
        <v>4</v>
      </c>
      <c r="J1547" s="74" t="s">
        <v>257</v>
      </c>
      <c r="K1547" s="85"/>
      <c r="L1547" s="79" t="s">
        <v>244</v>
      </c>
      <c r="M1547" s="17">
        <v>3</v>
      </c>
      <c r="N1547" s="18" t="s">
        <v>1388</v>
      </c>
      <c r="O1547" s="296" t="s">
        <v>1387</v>
      </c>
      <c r="P1547" s="296"/>
      <c r="Q1547" s="296" t="s">
        <v>1386</v>
      </c>
      <c r="R1547" s="17" t="s">
        <v>211</v>
      </c>
      <c r="S1547" s="17"/>
      <c r="T1547" s="17" t="str">
        <f>+T1546</f>
        <v>BCV131</v>
      </c>
      <c r="U1547" s="17"/>
      <c r="V1547" s="289" t="str">
        <f>+CONCATENATE(E1547,".",F1547,"\",G1547,".",H1547,":",I1547)</f>
        <v>2.16\0.1:4</v>
      </c>
      <c r="W1547" s="18" t="s">
        <v>1380</v>
      </c>
      <c r="X1547" s="17">
        <v>0</v>
      </c>
      <c r="Y1547" s="17"/>
      <c r="Z1547" s="17"/>
      <c r="AA1547" s="17"/>
      <c r="AB1547" s="17"/>
      <c r="AC1547" s="17"/>
      <c r="AD1547" s="17"/>
      <c r="AE1547" s="17"/>
      <c r="AF1547" s="17"/>
      <c r="AG1547" s="64"/>
      <c r="AH1547" s="64"/>
      <c r="AI1547" s="64"/>
      <c r="AJ1547" s="64"/>
      <c r="AK1547" s="64"/>
      <c r="AL1547" s="264"/>
      <c r="AM1547" s="84"/>
      <c r="AN1547" s="18"/>
      <c r="AO1547" s="18"/>
      <c r="AP1547" s="18"/>
      <c r="AQ1547" s="18"/>
      <c r="AR1547" s="18"/>
      <c r="AS1547" s="18"/>
      <c r="AT1547" s="18"/>
      <c r="AU1547" s="18"/>
      <c r="AV1547" s="18"/>
      <c r="AW1547" s="18"/>
      <c r="AX1547" s="18"/>
      <c r="AY1547" s="18"/>
    </row>
    <row r="1548" spans="1:51" s="33" customFormat="1" x14ac:dyDescent="0.3">
      <c r="A1548" s="63" t="str">
        <f>+A1547</f>
        <v>BCV131</v>
      </c>
      <c r="B1548" s="18" t="str">
        <f>+B1547</f>
        <v>AX32</v>
      </c>
      <c r="C1548" s="85" t="str">
        <f>+C1547</f>
        <v>SIO1</v>
      </c>
      <c r="D1548" s="85" t="str">
        <f>+D1547</f>
        <v>SLC02</v>
      </c>
      <c r="E1548" s="290">
        <f>+E1547</f>
        <v>2</v>
      </c>
      <c r="F1548" s="290">
        <f>+F1547</f>
        <v>16</v>
      </c>
      <c r="G1548" s="290">
        <f>+G1547</f>
        <v>0</v>
      </c>
      <c r="H1548" s="72">
        <f>+H1547</f>
        <v>1</v>
      </c>
      <c r="I1548" s="75">
        <v>5</v>
      </c>
      <c r="J1548" s="74" t="s">
        <v>1325</v>
      </c>
      <c r="K1548" s="85"/>
      <c r="L1548" s="79" t="s">
        <v>244</v>
      </c>
      <c r="M1548" s="17">
        <v>3</v>
      </c>
      <c r="N1548" s="17"/>
      <c r="O1548" s="296"/>
      <c r="P1548" s="296"/>
      <c r="Q1548" s="296" t="s">
        <v>127</v>
      </c>
      <c r="R1548" s="17"/>
      <c r="S1548" s="17"/>
      <c r="T1548" s="17"/>
      <c r="U1548" s="17"/>
      <c r="V1548" s="289" t="str">
        <f>+CONCATENATE(E1548,".",F1548,"\",G1548,".",H1548,":",I1548)</f>
        <v>2.16\0.1:5</v>
      </c>
      <c r="W1548" s="18" t="s">
        <v>1380</v>
      </c>
      <c r="X1548" s="17">
        <v>0</v>
      </c>
      <c r="Y1548" s="17"/>
      <c r="Z1548" s="17"/>
      <c r="AA1548" s="17"/>
      <c r="AB1548" s="17"/>
      <c r="AC1548" s="17"/>
      <c r="AD1548" s="17"/>
      <c r="AE1548" s="17"/>
      <c r="AF1548" s="17"/>
      <c r="AG1548" s="64"/>
      <c r="AH1548" s="64"/>
      <c r="AI1548" s="64"/>
      <c r="AJ1548" s="64"/>
      <c r="AK1548" s="64"/>
      <c r="AL1548" s="264"/>
      <c r="AM1548" s="84"/>
      <c r="AN1548" s="18"/>
      <c r="AO1548" s="18"/>
      <c r="AP1548" s="18"/>
      <c r="AQ1548" s="18"/>
      <c r="AR1548" s="18"/>
      <c r="AS1548" s="18"/>
      <c r="AT1548" s="18"/>
      <c r="AU1548" s="18"/>
      <c r="AV1548" s="18"/>
      <c r="AW1548" s="18"/>
      <c r="AX1548" s="18"/>
      <c r="AY1548" s="18"/>
    </row>
    <row r="1549" spans="1:51" s="33" customFormat="1" x14ac:dyDescent="0.3">
      <c r="A1549" s="63" t="str">
        <f>+A1548</f>
        <v>BCV131</v>
      </c>
      <c r="B1549" s="18" t="str">
        <f>+B1548</f>
        <v>AX32</v>
      </c>
      <c r="C1549" s="85" t="str">
        <f>+C1548</f>
        <v>SIO1</v>
      </c>
      <c r="D1549" s="85" t="str">
        <f>+D1548</f>
        <v>SLC02</v>
      </c>
      <c r="E1549" s="290">
        <f>+E1548</f>
        <v>2</v>
      </c>
      <c r="F1549" s="290">
        <f>+F1548</f>
        <v>16</v>
      </c>
      <c r="G1549" s="290">
        <f>+G1548</f>
        <v>0</v>
      </c>
      <c r="H1549" s="72">
        <f>+H1548</f>
        <v>1</v>
      </c>
      <c r="I1549" s="75">
        <v>6</v>
      </c>
      <c r="J1549" s="74" t="s">
        <v>1323</v>
      </c>
      <c r="K1549" s="85"/>
      <c r="L1549" s="79" t="s">
        <v>244</v>
      </c>
      <c r="M1549" s="17">
        <v>3</v>
      </c>
      <c r="N1549" s="17"/>
      <c r="O1549" s="296"/>
      <c r="P1549" s="296"/>
      <c r="Q1549" s="296" t="s">
        <v>127</v>
      </c>
      <c r="R1549" s="17"/>
      <c r="S1549" s="17"/>
      <c r="T1549" s="17"/>
      <c r="U1549" s="17"/>
      <c r="V1549" s="289" t="str">
        <f>+CONCATENATE(E1549,".",F1549,"\",G1549,".",H1549,":",I1549)</f>
        <v>2.16\0.1:6</v>
      </c>
      <c r="W1549" s="18" t="s">
        <v>1380</v>
      </c>
      <c r="X1549" s="17">
        <v>0</v>
      </c>
      <c r="Y1549" s="17"/>
      <c r="Z1549" s="17"/>
      <c r="AA1549" s="17"/>
      <c r="AB1549" s="17"/>
      <c r="AC1549" s="17"/>
      <c r="AD1549" s="17"/>
      <c r="AE1549" s="17"/>
      <c r="AF1549" s="17"/>
      <c r="AG1549" s="64"/>
      <c r="AH1549" s="64"/>
      <c r="AI1549" s="64"/>
      <c r="AJ1549" s="64"/>
      <c r="AK1549" s="64"/>
      <c r="AL1549" s="264"/>
      <c r="AM1549" s="84"/>
      <c r="AN1549" s="18"/>
      <c r="AO1549" s="18"/>
      <c r="AP1549" s="18"/>
      <c r="AQ1549" s="18"/>
      <c r="AR1549" s="18"/>
      <c r="AS1549" s="18"/>
      <c r="AT1549" s="18"/>
      <c r="AU1549" s="18"/>
      <c r="AV1549" s="18"/>
      <c r="AW1549" s="18"/>
      <c r="AX1549" s="18"/>
      <c r="AY1549" s="18"/>
    </row>
    <row r="1550" spans="1:51" s="33" customFormat="1" x14ac:dyDescent="0.3">
      <c r="A1550" s="63" t="str">
        <f>+A1549</f>
        <v>BCV131</v>
      </c>
      <c r="B1550" s="18" t="str">
        <f>+B1549</f>
        <v>AX32</v>
      </c>
      <c r="C1550" s="85" t="str">
        <f>+C1549</f>
        <v>SIO1</v>
      </c>
      <c r="D1550" s="85" t="str">
        <f>+D1549</f>
        <v>SLC02</v>
      </c>
      <c r="E1550" s="290">
        <f>+E1549</f>
        <v>2</v>
      </c>
      <c r="F1550" s="290">
        <f>+F1549</f>
        <v>16</v>
      </c>
      <c r="G1550" s="290">
        <f>+G1549</f>
        <v>0</v>
      </c>
      <c r="H1550" s="72">
        <f>+H1549</f>
        <v>1</v>
      </c>
      <c r="I1550" s="75">
        <v>7</v>
      </c>
      <c r="J1550" s="74" t="s">
        <v>246</v>
      </c>
      <c r="K1550" s="85"/>
      <c r="L1550" s="79" t="s">
        <v>244</v>
      </c>
      <c r="M1550" s="17">
        <v>3</v>
      </c>
      <c r="N1550" s="17"/>
      <c r="O1550" s="296"/>
      <c r="P1550" s="296"/>
      <c r="Q1550" s="296" t="s">
        <v>127</v>
      </c>
      <c r="R1550" s="17"/>
      <c r="S1550" s="17"/>
      <c r="T1550" s="17"/>
      <c r="U1550" s="17"/>
      <c r="V1550" s="289" t="str">
        <f>+CONCATENATE(E1550,".",F1550,"\",G1550,".",H1550,":",I1550)</f>
        <v>2.16\0.1:7</v>
      </c>
      <c r="W1550" s="18" t="s">
        <v>1380</v>
      </c>
      <c r="X1550" s="17">
        <v>0</v>
      </c>
      <c r="Y1550" s="17"/>
      <c r="Z1550" s="17"/>
      <c r="AA1550" s="17"/>
      <c r="AB1550" s="17"/>
      <c r="AC1550" s="17"/>
      <c r="AD1550" s="17"/>
      <c r="AE1550" s="17"/>
      <c r="AF1550" s="17"/>
      <c r="AG1550" s="64"/>
      <c r="AH1550" s="64"/>
      <c r="AI1550" s="64"/>
      <c r="AJ1550" s="64"/>
      <c r="AK1550" s="64"/>
      <c r="AL1550" s="264"/>
      <c r="AM1550" s="84"/>
      <c r="AN1550" s="18"/>
      <c r="AO1550" s="18"/>
      <c r="AP1550" s="18"/>
      <c r="AQ1550" s="18"/>
      <c r="AR1550" s="18"/>
      <c r="AS1550" s="18"/>
      <c r="AT1550" s="18"/>
      <c r="AU1550" s="18"/>
      <c r="AV1550" s="18"/>
      <c r="AW1550" s="18"/>
      <c r="AX1550" s="18"/>
      <c r="AY1550" s="18"/>
    </row>
    <row r="1551" spans="1:51" s="33" customFormat="1" x14ac:dyDescent="0.3">
      <c r="A1551" s="63" t="str">
        <f>+A1550</f>
        <v>BCV131</v>
      </c>
      <c r="B1551" s="18" t="str">
        <f>+B1550</f>
        <v>AX32</v>
      </c>
      <c r="C1551" s="85" t="str">
        <f>+C1550</f>
        <v>SIO1</v>
      </c>
      <c r="D1551" s="85" t="str">
        <f>+D1550</f>
        <v>SLC02</v>
      </c>
      <c r="E1551" s="290">
        <f>+E1550</f>
        <v>2</v>
      </c>
      <c r="F1551" s="290">
        <f>+F1550</f>
        <v>16</v>
      </c>
      <c r="G1551" s="290">
        <f>+G1550</f>
        <v>0</v>
      </c>
      <c r="H1551" s="72">
        <f>+H1550</f>
        <v>1</v>
      </c>
      <c r="I1551" s="75">
        <v>8</v>
      </c>
      <c r="J1551" s="74" t="s">
        <v>245</v>
      </c>
      <c r="K1551" s="85"/>
      <c r="L1551" s="79" t="s">
        <v>244</v>
      </c>
      <c r="M1551" s="17">
        <v>3</v>
      </c>
      <c r="N1551" s="17"/>
      <c r="O1551" s="296"/>
      <c r="P1551" s="296"/>
      <c r="Q1551" s="296" t="s">
        <v>127</v>
      </c>
      <c r="R1551" s="17"/>
      <c r="S1551" s="17"/>
      <c r="T1551" s="17"/>
      <c r="U1551" s="17"/>
      <c r="V1551" s="289" t="str">
        <f>+CONCATENATE(E1551,".",F1551,"\",G1551,".",H1551,":",I1551)</f>
        <v>2.16\0.1:8</v>
      </c>
      <c r="W1551" s="18" t="s">
        <v>1380</v>
      </c>
      <c r="X1551" s="17">
        <v>0</v>
      </c>
      <c r="Y1551" s="17"/>
      <c r="Z1551" s="17"/>
      <c r="AA1551" s="17"/>
      <c r="AB1551" s="17"/>
      <c r="AC1551" s="17"/>
      <c r="AD1551" s="17"/>
      <c r="AE1551" s="17"/>
      <c r="AF1551" s="17"/>
      <c r="AG1551" s="64"/>
      <c r="AH1551" s="64"/>
      <c r="AI1551" s="64"/>
      <c r="AJ1551" s="64"/>
      <c r="AK1551" s="64"/>
      <c r="AL1551" s="264"/>
      <c r="AM1551" s="84"/>
      <c r="AN1551" s="18"/>
      <c r="AO1551" s="18"/>
      <c r="AP1551" s="18"/>
      <c r="AQ1551" s="18"/>
      <c r="AR1551" s="18"/>
      <c r="AS1551" s="18"/>
      <c r="AT1551" s="18"/>
      <c r="AU1551" s="18"/>
      <c r="AV1551" s="18"/>
      <c r="AW1551" s="18"/>
      <c r="AX1551" s="18"/>
      <c r="AY1551" s="18"/>
    </row>
    <row r="1552" spans="1:51" s="33" customFormat="1" x14ac:dyDescent="0.3">
      <c r="A1552" s="63" t="str">
        <f>+A1551</f>
        <v>BCV131</v>
      </c>
      <c r="B1552" s="18" t="str">
        <f>+B1551</f>
        <v>AX32</v>
      </c>
      <c r="C1552" s="85" t="str">
        <f>+C1551</f>
        <v>SIO1</v>
      </c>
      <c r="D1552" s="85" t="str">
        <f>+D1551</f>
        <v>SLC02</v>
      </c>
      <c r="E1552" s="290">
        <f>+E1551</f>
        <v>2</v>
      </c>
      <c r="F1552" s="290">
        <f>+F1551</f>
        <v>16</v>
      </c>
      <c r="G1552" s="290">
        <f>+G1551</f>
        <v>0</v>
      </c>
      <c r="H1552" s="72">
        <f>+H1551</f>
        <v>1</v>
      </c>
      <c r="I1552" s="75">
        <v>1</v>
      </c>
      <c r="J1552" s="81" t="s">
        <v>1321</v>
      </c>
      <c r="K1552" s="85" t="s">
        <v>1366</v>
      </c>
      <c r="L1552" s="79" t="s">
        <v>235</v>
      </c>
      <c r="M1552" s="17">
        <v>3</v>
      </c>
      <c r="N1552" s="18" t="s">
        <v>1384</v>
      </c>
      <c r="O1552" s="17" t="s">
        <v>1385</v>
      </c>
      <c r="P1552" s="17"/>
      <c r="Q1552" s="17" t="s">
        <v>1335</v>
      </c>
      <c r="R1552" s="17" t="s">
        <v>922</v>
      </c>
      <c r="S1552" s="17"/>
      <c r="T1552" s="17" t="str">
        <f>+T1544</f>
        <v>BCV131</v>
      </c>
      <c r="U1552" s="17"/>
      <c r="V1552" s="289" t="str">
        <f>+CONCATENATE(E1552,".",F1552,"\",G1552,".",H1552,":",I1552)</f>
        <v>2.16\0.1:1</v>
      </c>
      <c r="W1552" s="18" t="s">
        <v>1380</v>
      </c>
      <c r="X1552" s="17">
        <v>0</v>
      </c>
      <c r="Y1552" s="17"/>
      <c r="Z1552" s="17"/>
      <c r="AA1552" s="17"/>
      <c r="AB1552" s="17"/>
      <c r="AC1552" s="17"/>
      <c r="AD1552" s="17"/>
      <c r="AE1552" s="17"/>
      <c r="AF1552" s="17"/>
      <c r="AG1552" s="64"/>
      <c r="AH1552" s="64"/>
      <c r="AI1552" s="64"/>
      <c r="AJ1552" s="64"/>
      <c r="AK1552" s="64"/>
      <c r="AL1552" s="264"/>
      <c r="AM1552" s="84"/>
      <c r="AN1552" s="18"/>
      <c r="AO1552" s="18"/>
      <c r="AP1552" s="18"/>
      <c r="AQ1552" s="18"/>
      <c r="AR1552" s="18"/>
      <c r="AS1552" s="18"/>
      <c r="AT1552" s="18"/>
      <c r="AU1552" s="18"/>
      <c r="AV1552" s="18"/>
      <c r="AW1552" s="18"/>
      <c r="AX1552" s="18"/>
      <c r="AY1552" s="18"/>
    </row>
    <row r="1553" spans="1:51" s="33" customFormat="1" x14ac:dyDescent="0.3">
      <c r="A1553" s="63" t="str">
        <f>+A1552</f>
        <v>BCV131</v>
      </c>
      <c r="B1553" s="18" t="str">
        <f>+B1552</f>
        <v>AX32</v>
      </c>
      <c r="C1553" s="85" t="str">
        <f>+C1552</f>
        <v>SIO1</v>
      </c>
      <c r="D1553" s="85" t="str">
        <f>+D1552</f>
        <v>SLC02</v>
      </c>
      <c r="E1553" s="290">
        <f>+E1552</f>
        <v>2</v>
      </c>
      <c r="F1553" s="290">
        <f>+F1552</f>
        <v>16</v>
      </c>
      <c r="G1553" s="290">
        <f>+G1552</f>
        <v>0</v>
      </c>
      <c r="H1553" s="72">
        <f>+H1552</f>
        <v>1</v>
      </c>
      <c r="I1553" s="75">
        <v>2</v>
      </c>
      <c r="J1553" s="74" t="s">
        <v>1320</v>
      </c>
      <c r="K1553" s="85"/>
      <c r="L1553" s="79" t="s">
        <v>235</v>
      </c>
      <c r="M1553" s="17">
        <v>3</v>
      </c>
      <c r="N1553" s="18" t="s">
        <v>1384</v>
      </c>
      <c r="O1553" s="17" t="s">
        <v>1383</v>
      </c>
      <c r="P1553" s="17"/>
      <c r="Q1553" s="17" t="s">
        <v>1330</v>
      </c>
      <c r="R1553" s="17" t="s">
        <v>922</v>
      </c>
      <c r="S1553" s="17"/>
      <c r="T1553" s="17" t="str">
        <f>+T1552</f>
        <v>BCV131</v>
      </c>
      <c r="U1553" s="17"/>
      <c r="V1553" s="289" t="str">
        <f>+CONCATENATE(E1553,".",F1553,"\",G1553,".",H1553,":",I1553)</f>
        <v>2.16\0.1:2</v>
      </c>
      <c r="W1553" s="18" t="s">
        <v>1380</v>
      </c>
      <c r="X1553" s="17">
        <v>0</v>
      </c>
      <c r="Y1553" s="17"/>
      <c r="Z1553" s="17"/>
      <c r="AA1553" s="17"/>
      <c r="AB1553" s="17"/>
      <c r="AC1553" s="17"/>
      <c r="AD1553" s="17"/>
      <c r="AE1553" s="17"/>
      <c r="AF1553" s="17"/>
      <c r="AG1553" s="64"/>
      <c r="AH1553" s="64"/>
      <c r="AI1553" s="64"/>
      <c r="AJ1553" s="64"/>
      <c r="AK1553" s="64"/>
      <c r="AL1553" s="264"/>
      <c r="AM1553" s="84"/>
      <c r="AN1553" s="18"/>
      <c r="AO1553" s="18"/>
      <c r="AP1553" s="18"/>
      <c r="AQ1553" s="18"/>
      <c r="AR1553" s="18"/>
      <c r="AS1553" s="18"/>
      <c r="AT1553" s="18"/>
      <c r="AU1553" s="18"/>
      <c r="AV1553" s="18"/>
      <c r="AW1553" s="18"/>
      <c r="AX1553" s="18"/>
      <c r="AY1553" s="18"/>
    </row>
    <row r="1554" spans="1:51" s="33" customFormat="1" x14ac:dyDescent="0.3">
      <c r="A1554" s="63" t="str">
        <f>+A1553</f>
        <v>BCV131</v>
      </c>
      <c r="B1554" s="18" t="str">
        <f>+B1553</f>
        <v>AX32</v>
      </c>
      <c r="C1554" s="85" t="str">
        <f>+C1553</f>
        <v>SIO1</v>
      </c>
      <c r="D1554" s="85" t="str">
        <f>+D1553</f>
        <v>SLC02</v>
      </c>
      <c r="E1554" s="290">
        <f>+E1553</f>
        <v>2</v>
      </c>
      <c r="F1554" s="290">
        <f>+F1553</f>
        <v>16</v>
      </c>
      <c r="G1554" s="290">
        <f>+G1553</f>
        <v>0</v>
      </c>
      <c r="H1554" s="72">
        <f>+H1553</f>
        <v>1</v>
      </c>
      <c r="I1554" s="75">
        <v>3</v>
      </c>
      <c r="J1554" s="74" t="s">
        <v>1319</v>
      </c>
      <c r="K1554" s="85"/>
      <c r="L1554" s="79" t="s">
        <v>235</v>
      </c>
      <c r="M1554" s="17">
        <v>3</v>
      </c>
      <c r="N1554" s="18" t="s">
        <v>1382</v>
      </c>
      <c r="O1554" s="17" t="s">
        <v>1381</v>
      </c>
      <c r="P1554" s="17"/>
      <c r="Q1554" s="17" t="s">
        <v>1330</v>
      </c>
      <c r="R1554" s="17" t="s">
        <v>922</v>
      </c>
      <c r="S1554" s="17"/>
      <c r="T1554" s="17" t="str">
        <f>+T1553</f>
        <v>BCV131</v>
      </c>
      <c r="U1554" s="17"/>
      <c r="V1554" s="289" t="str">
        <f>+CONCATENATE(E1554,".",F1554,"\",G1554,".",H1554,":",I1554)</f>
        <v>2.16\0.1:3</v>
      </c>
      <c r="W1554" s="18" t="s">
        <v>1380</v>
      </c>
      <c r="X1554" s="17">
        <v>0</v>
      </c>
      <c r="Y1554" s="17"/>
      <c r="Z1554" s="17"/>
      <c r="AA1554" s="17"/>
      <c r="AB1554" s="17"/>
      <c r="AC1554" s="17"/>
      <c r="AD1554" s="17"/>
      <c r="AE1554" s="17"/>
      <c r="AF1554" s="17"/>
      <c r="AG1554" s="64"/>
      <c r="AH1554" s="64"/>
      <c r="AI1554" s="64"/>
      <c r="AJ1554" s="64"/>
      <c r="AK1554" s="64"/>
      <c r="AL1554" s="264"/>
      <c r="AM1554" s="84"/>
      <c r="AN1554" s="18"/>
      <c r="AO1554" s="18"/>
      <c r="AP1554" s="18"/>
      <c r="AQ1554" s="18"/>
      <c r="AR1554" s="18"/>
      <c r="AS1554" s="18"/>
      <c r="AT1554" s="18"/>
      <c r="AU1554" s="18"/>
      <c r="AV1554" s="18"/>
      <c r="AW1554" s="18"/>
      <c r="AX1554" s="18"/>
      <c r="AY1554" s="18"/>
    </row>
    <row r="1555" spans="1:51" s="33" customFormat="1" ht="13.5" thickBot="1" x14ac:dyDescent="0.35">
      <c r="A1555" s="63" t="str">
        <f>+A1554</f>
        <v>BCV131</v>
      </c>
      <c r="B1555" s="18" t="str">
        <f>+B1554</f>
        <v>AX32</v>
      </c>
      <c r="C1555" s="85" t="str">
        <f>+C1554</f>
        <v>SIO1</v>
      </c>
      <c r="D1555" s="85" t="str">
        <f>+D1554</f>
        <v>SLC02</v>
      </c>
      <c r="E1555" s="290">
        <f>+E1554</f>
        <v>2</v>
      </c>
      <c r="F1555" s="290">
        <f>+F1554</f>
        <v>16</v>
      </c>
      <c r="G1555" s="290">
        <f>+G1554</f>
        <v>0</v>
      </c>
      <c r="H1555" s="72">
        <f>+H1554</f>
        <v>1</v>
      </c>
      <c r="I1555" s="71">
        <v>4</v>
      </c>
      <c r="J1555" s="70" t="s">
        <v>1318</v>
      </c>
      <c r="K1555" s="85"/>
      <c r="L1555" s="79" t="s">
        <v>235</v>
      </c>
      <c r="M1555" s="17">
        <v>3</v>
      </c>
      <c r="N1555" s="17"/>
      <c r="O1555" s="17"/>
      <c r="P1555" s="17"/>
      <c r="Q1555" s="68"/>
      <c r="R1555" s="68"/>
      <c r="S1555" s="68"/>
      <c r="T1555" s="68"/>
      <c r="U1555" s="17"/>
      <c r="V1555" s="289" t="str">
        <f>+CONCATENATE(E1555,".",F1555,"\",G1555,".",H1555,":",I1555)</f>
        <v>2.16\0.1:4</v>
      </c>
      <c r="W1555" s="18" t="s">
        <v>1380</v>
      </c>
      <c r="X1555" s="17">
        <v>0</v>
      </c>
      <c r="Y1555" s="17"/>
      <c r="Z1555" s="17"/>
      <c r="AA1555" s="17"/>
      <c r="AB1555" s="17"/>
      <c r="AC1555" s="17"/>
      <c r="AD1555" s="17"/>
      <c r="AE1555" s="17"/>
      <c r="AF1555" s="17"/>
      <c r="AG1555" s="64"/>
      <c r="AH1555" s="64"/>
      <c r="AI1555" s="64"/>
      <c r="AJ1555" s="64"/>
      <c r="AK1555" s="64"/>
      <c r="AL1555" s="264"/>
      <c r="AM1555" s="84"/>
      <c r="AN1555" s="18"/>
      <c r="AO1555" s="18"/>
      <c r="AP1555" s="18"/>
      <c r="AQ1555" s="18"/>
      <c r="AR1555" s="18"/>
      <c r="AS1555" s="18"/>
      <c r="AT1555" s="18"/>
      <c r="AU1555" s="18"/>
      <c r="AV1555" s="18"/>
      <c r="AW1555" s="18"/>
      <c r="AX1555" s="18"/>
      <c r="AY1555" s="18"/>
    </row>
    <row r="1556" spans="1:51" s="33" customFormat="1" x14ac:dyDescent="0.3">
      <c r="A1556" s="63"/>
      <c r="B1556" s="63"/>
      <c r="C1556" s="63"/>
      <c r="D1556" s="63"/>
      <c r="E1556" s="288"/>
      <c r="F1556" s="288"/>
      <c r="G1556" s="288"/>
      <c r="H1556" s="63"/>
      <c r="I1556" s="63"/>
      <c r="J1556" s="63"/>
      <c r="K1556" s="17"/>
      <c r="L1556" s="17"/>
      <c r="M1556" s="17"/>
      <c r="N1556" s="17"/>
      <c r="O1556" s="68"/>
      <c r="P1556" s="68"/>
      <c r="Q1556" s="68"/>
      <c r="R1556" s="68"/>
      <c r="S1556" s="68"/>
      <c r="T1556" s="68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64"/>
      <c r="AH1556" s="64"/>
      <c r="AI1556" s="64"/>
      <c r="AJ1556" s="64"/>
      <c r="AK1556" s="64"/>
      <c r="AL1556" s="264"/>
      <c r="AM1556" s="84"/>
      <c r="AN1556" s="18"/>
      <c r="AO1556" s="18"/>
      <c r="AP1556" s="18"/>
      <c r="AQ1556" s="18"/>
      <c r="AR1556" s="18"/>
      <c r="AS1556" s="18"/>
      <c r="AT1556" s="18"/>
      <c r="AU1556" s="18"/>
      <c r="AV1556" s="18"/>
      <c r="AW1556" s="18"/>
      <c r="AX1556" s="18"/>
      <c r="AY1556" s="18"/>
    </row>
    <row r="1557" spans="1:51" s="33" customFormat="1" x14ac:dyDescent="0.3">
      <c r="A1557" s="63"/>
      <c r="B1557" s="63"/>
      <c r="C1557" s="63"/>
      <c r="D1557" s="63"/>
      <c r="E1557" s="288"/>
      <c r="F1557" s="288"/>
      <c r="G1557" s="288"/>
      <c r="H1557" s="63"/>
      <c r="I1557" s="63"/>
      <c r="J1557" s="63"/>
      <c r="K1557" s="17"/>
      <c r="L1557" s="17"/>
      <c r="M1557" s="17"/>
      <c r="N1557" s="17"/>
      <c r="O1557" s="68"/>
      <c r="P1557" s="68"/>
      <c r="Q1557" s="68"/>
      <c r="R1557" s="68"/>
      <c r="S1557" s="68"/>
      <c r="T1557" s="68"/>
      <c r="U1557" s="17"/>
      <c r="V1557" s="17"/>
      <c r="W1557" s="17"/>
      <c r="X1557" s="17"/>
      <c r="Y1557" s="17"/>
      <c r="Z1557" s="17"/>
      <c r="AA1557" s="17"/>
      <c r="AB1557" s="20"/>
      <c r="AC1557" s="17"/>
      <c r="AD1557" s="17"/>
      <c r="AE1557" s="17"/>
      <c r="AF1557" s="17"/>
      <c r="AG1557" s="64"/>
      <c r="AH1557" s="64"/>
      <c r="AI1557" s="64"/>
      <c r="AJ1557" s="64"/>
      <c r="AK1557" s="64"/>
      <c r="AL1557" s="264"/>
      <c r="AM1557" s="84"/>
      <c r="AN1557" s="18"/>
      <c r="AO1557" s="18"/>
      <c r="AP1557" s="18"/>
      <c r="AQ1557" s="18"/>
      <c r="AR1557" s="18"/>
      <c r="AS1557" s="18"/>
      <c r="AT1557" s="18"/>
      <c r="AU1557" s="18"/>
      <c r="AV1557" s="18"/>
      <c r="AW1557" s="18"/>
      <c r="AX1557" s="18"/>
      <c r="AY1557" s="18"/>
    </row>
    <row r="1558" spans="1:51" s="33" customFormat="1" x14ac:dyDescent="0.3">
      <c r="A1558" s="63"/>
      <c r="B1558" s="63"/>
      <c r="C1558" s="63"/>
      <c r="D1558" s="63"/>
      <c r="E1558" s="288"/>
      <c r="F1558" s="288"/>
      <c r="G1558" s="288"/>
      <c r="H1558" s="63"/>
      <c r="I1558" s="63"/>
      <c r="J1558" s="63"/>
      <c r="K1558" s="17"/>
      <c r="L1558" s="17"/>
      <c r="M1558" s="17"/>
      <c r="N1558" s="17"/>
      <c r="O1558" s="68"/>
      <c r="P1558" s="68"/>
      <c r="Q1558" s="68"/>
      <c r="R1558" s="68"/>
      <c r="S1558" s="68"/>
      <c r="T1558" s="68"/>
      <c r="U1558" s="17"/>
      <c r="V1558" s="17"/>
      <c r="W1558" s="17"/>
      <c r="X1558" s="17"/>
      <c r="Y1558" s="17"/>
      <c r="Z1558" s="17"/>
      <c r="AA1558" s="17"/>
      <c r="AB1558" s="20"/>
      <c r="AC1558" s="17"/>
      <c r="AD1558" s="17"/>
      <c r="AE1558" s="17"/>
      <c r="AF1558" s="17"/>
      <c r="AG1558" s="64"/>
      <c r="AH1558" s="64"/>
      <c r="AI1558" s="64"/>
      <c r="AJ1558" s="64"/>
      <c r="AK1558" s="64"/>
      <c r="AL1558" s="264"/>
      <c r="AM1558" s="84"/>
      <c r="AN1558" s="18"/>
      <c r="AO1558" s="18"/>
      <c r="AP1558" s="18"/>
      <c r="AQ1558" s="18"/>
      <c r="AR1558" s="18"/>
      <c r="AS1558" s="18"/>
      <c r="AT1558" s="18"/>
      <c r="AU1558" s="18"/>
      <c r="AV1558" s="18"/>
      <c r="AW1558" s="18"/>
      <c r="AX1558" s="18"/>
      <c r="AY1558" s="18"/>
    </row>
    <row r="1559" spans="1:51" s="33" customFormat="1" ht="15.5" x14ac:dyDescent="0.35">
      <c r="A1559" s="297"/>
      <c r="B1559" s="96" t="s">
        <v>1379</v>
      </c>
      <c r="C1559" s="256"/>
      <c r="D1559" s="256"/>
      <c r="E1559" s="256"/>
      <c r="F1559" s="256"/>
      <c r="G1559" s="256"/>
      <c r="H1559" s="256"/>
      <c r="I1559" s="256"/>
      <c r="J1559" s="256"/>
      <c r="K1559" s="256"/>
      <c r="L1559" s="256"/>
      <c r="M1559" s="256"/>
      <c r="N1559" s="287"/>
      <c r="O1559" s="256"/>
      <c r="P1559" s="287"/>
      <c r="Q1559" s="256"/>
      <c r="R1559" s="256"/>
      <c r="S1559" s="256"/>
      <c r="T1559" s="256"/>
      <c r="U1559" s="256"/>
      <c r="V1559" s="256"/>
      <c r="W1559" s="287"/>
      <c r="X1559" s="256"/>
      <c r="Y1559" s="256"/>
      <c r="Z1559" s="17"/>
      <c r="AA1559" s="17"/>
      <c r="AB1559" s="17"/>
      <c r="AC1559" s="17"/>
      <c r="AD1559" s="17"/>
      <c r="AE1559" s="17"/>
      <c r="AF1559" s="17"/>
      <c r="AG1559" s="64"/>
      <c r="AH1559" s="64"/>
      <c r="AI1559" s="64"/>
      <c r="AJ1559" s="64"/>
      <c r="AK1559" s="64"/>
      <c r="AL1559" s="264"/>
      <c r="AM1559" s="84"/>
      <c r="AN1559" s="18"/>
      <c r="AO1559" s="18"/>
      <c r="AP1559" s="18"/>
      <c r="AQ1559" s="18"/>
      <c r="AR1559" s="18"/>
      <c r="AS1559" s="18"/>
      <c r="AT1559" s="18"/>
      <c r="AU1559" s="18"/>
      <c r="AV1559" s="18"/>
      <c r="AW1559" s="18"/>
      <c r="AX1559" s="18"/>
      <c r="AY1559" s="18"/>
    </row>
    <row r="1560" spans="1:51" s="33" customFormat="1" ht="13.5" thickBot="1" x14ac:dyDescent="0.35">
      <c r="A1560" s="63"/>
      <c r="B1560" s="63"/>
      <c r="C1560" s="63"/>
      <c r="D1560" s="63"/>
      <c r="E1560" s="288"/>
      <c r="F1560" s="288"/>
      <c r="G1560" s="288"/>
      <c r="H1560" s="63"/>
      <c r="I1560" s="63"/>
      <c r="J1560" s="63"/>
      <c r="K1560" s="17"/>
      <c r="L1560" s="17"/>
      <c r="M1560" s="17"/>
      <c r="N1560" s="17"/>
      <c r="O1560" s="68"/>
      <c r="P1560" s="68"/>
      <c r="Q1560" s="68"/>
      <c r="R1560" s="68"/>
      <c r="S1560" s="68"/>
      <c r="T1560" s="68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64"/>
      <c r="AH1560" s="64"/>
      <c r="AI1560" s="64"/>
      <c r="AJ1560" s="64"/>
      <c r="AK1560" s="64"/>
      <c r="AL1560" s="264"/>
      <c r="AM1560" s="84"/>
      <c r="AN1560" s="18"/>
      <c r="AO1560" s="18"/>
      <c r="AP1560" s="18"/>
      <c r="AQ1560" s="18"/>
      <c r="AR1560" s="18"/>
      <c r="AS1560" s="18"/>
      <c r="AT1560" s="18"/>
      <c r="AU1560" s="18"/>
      <c r="AV1560" s="18"/>
      <c r="AW1560" s="18"/>
      <c r="AX1560" s="18"/>
      <c r="AY1560" s="18"/>
    </row>
    <row r="1561" spans="1:51" s="33" customFormat="1" ht="13.5" thickBot="1" x14ac:dyDescent="0.35">
      <c r="A1561" s="63" t="s">
        <v>194</v>
      </c>
      <c r="B1561" s="17" t="s">
        <v>1378</v>
      </c>
      <c r="C1561" s="295" t="s">
        <v>271</v>
      </c>
      <c r="D1561" s="290" t="s">
        <v>285</v>
      </c>
      <c r="E1561" s="290">
        <v>1</v>
      </c>
      <c r="F1561" s="290">
        <v>17</v>
      </c>
      <c r="G1561" s="290">
        <v>0</v>
      </c>
      <c r="H1561" s="89">
        <v>0</v>
      </c>
      <c r="I1561" s="88" t="s">
        <v>1106</v>
      </c>
      <c r="J1561" s="87"/>
      <c r="K1561" s="84">
        <v>1059305</v>
      </c>
      <c r="L1561" s="91" t="s">
        <v>1377</v>
      </c>
      <c r="M1561" s="17">
        <v>3</v>
      </c>
      <c r="N1561" s="17"/>
      <c r="O1561" s="83"/>
      <c r="P1561" s="83"/>
      <c r="Q1561" s="68"/>
      <c r="R1561" s="68"/>
      <c r="S1561" s="68"/>
      <c r="T1561" s="68"/>
      <c r="U1561" s="17"/>
      <c r="V1561" s="17"/>
      <c r="W1561" s="18" t="s">
        <v>1360</v>
      </c>
      <c r="X1561" s="17">
        <v>0</v>
      </c>
      <c r="Y1561" s="17"/>
      <c r="Z1561" s="17"/>
      <c r="AA1561" s="17"/>
      <c r="AB1561" s="17"/>
      <c r="AC1561" s="17"/>
      <c r="AD1561" s="17"/>
      <c r="AE1561" s="17"/>
      <c r="AF1561" s="17"/>
      <c r="AG1561" s="64"/>
      <c r="AH1561" s="64"/>
      <c r="AI1561" s="64"/>
      <c r="AJ1561" s="64"/>
      <c r="AK1561" s="64"/>
      <c r="AL1561" s="264"/>
      <c r="AM1561" s="84"/>
      <c r="AN1561" s="18"/>
      <c r="AO1561" s="18"/>
      <c r="AP1561" s="18"/>
      <c r="AQ1561" s="18"/>
      <c r="AR1561" s="18"/>
      <c r="AS1561" s="18"/>
      <c r="AT1561" s="18"/>
      <c r="AU1561" s="18"/>
      <c r="AV1561" s="18"/>
      <c r="AW1561" s="18"/>
      <c r="AX1561" s="18"/>
      <c r="AY1561" s="18"/>
    </row>
    <row r="1562" spans="1:51" s="33" customFormat="1" x14ac:dyDescent="0.3">
      <c r="A1562" s="63" t="str">
        <f>+A1561</f>
        <v>BCV131</v>
      </c>
      <c r="B1562" s="18" t="str">
        <f>+B1561</f>
        <v>AX33</v>
      </c>
      <c r="C1562" s="85" t="str">
        <f>+C1561</f>
        <v>SIO1</v>
      </c>
      <c r="D1562" s="85" t="str">
        <f>+D1561</f>
        <v>SLC01</v>
      </c>
      <c r="E1562" s="290">
        <f>+E1561</f>
        <v>1</v>
      </c>
      <c r="F1562" s="290">
        <f>+F1561</f>
        <v>17</v>
      </c>
      <c r="G1562" s="290">
        <f>+G1561</f>
        <v>0</v>
      </c>
      <c r="H1562" s="72">
        <v>1</v>
      </c>
      <c r="I1562" s="77">
        <v>1</v>
      </c>
      <c r="J1562" s="76" t="s">
        <v>269</v>
      </c>
      <c r="K1562" s="65">
        <v>1044125</v>
      </c>
      <c r="L1562" s="79" t="s">
        <v>244</v>
      </c>
      <c r="M1562" s="17">
        <v>3</v>
      </c>
      <c r="N1562" s="18" t="s">
        <v>1374</v>
      </c>
      <c r="O1562" s="296" t="s">
        <v>1376</v>
      </c>
      <c r="P1562" s="296"/>
      <c r="Q1562" s="296" t="s">
        <v>1375</v>
      </c>
      <c r="R1562" s="17" t="s">
        <v>211</v>
      </c>
      <c r="S1562" s="17"/>
      <c r="T1562" s="17" t="s">
        <v>194</v>
      </c>
      <c r="U1562" s="17"/>
      <c r="V1562" s="289" t="str">
        <f>+CONCATENATE(E1562,".",F1562,"\",G1562,".",H1562,":",I1562)</f>
        <v>1.17\0.1:1</v>
      </c>
      <c r="W1562" s="18" t="s">
        <v>1360</v>
      </c>
      <c r="X1562" s="17">
        <v>0</v>
      </c>
      <c r="Y1562" s="17"/>
      <c r="Z1562" s="17"/>
      <c r="AA1562" s="17"/>
      <c r="AB1562" s="17"/>
      <c r="AC1562" s="17"/>
      <c r="AD1562" s="17"/>
      <c r="AE1562" s="17"/>
      <c r="AF1562" s="17"/>
      <c r="AG1562" s="64"/>
      <c r="AH1562" s="64"/>
      <c r="AI1562" s="64"/>
      <c r="AJ1562" s="64"/>
      <c r="AK1562" s="64"/>
      <c r="AL1562" s="264"/>
      <c r="AM1562" s="84"/>
      <c r="AN1562" s="18"/>
      <c r="AO1562" s="18"/>
      <c r="AP1562" s="18"/>
      <c r="AQ1562" s="18"/>
      <c r="AR1562" s="18"/>
      <c r="AS1562" s="18"/>
      <c r="AT1562" s="18"/>
      <c r="AU1562" s="18"/>
      <c r="AV1562" s="18"/>
      <c r="AW1562" s="18"/>
      <c r="AX1562" s="18"/>
      <c r="AY1562" s="18"/>
    </row>
    <row r="1563" spans="1:51" s="33" customFormat="1" x14ac:dyDescent="0.3">
      <c r="A1563" s="63" t="str">
        <f>+A1562</f>
        <v>BCV131</v>
      </c>
      <c r="B1563" s="18" t="str">
        <f>+B1562</f>
        <v>AX33</v>
      </c>
      <c r="C1563" s="85" t="str">
        <f>+C1562</f>
        <v>SIO1</v>
      </c>
      <c r="D1563" s="85" t="str">
        <f>+D1562</f>
        <v>SLC01</v>
      </c>
      <c r="E1563" s="290">
        <f>+E1562</f>
        <v>1</v>
      </c>
      <c r="F1563" s="290">
        <f>+F1562</f>
        <v>17</v>
      </c>
      <c r="G1563" s="290">
        <f>+G1562</f>
        <v>0</v>
      </c>
      <c r="H1563" s="72">
        <f>+H1562</f>
        <v>1</v>
      </c>
      <c r="I1563" s="75">
        <v>2</v>
      </c>
      <c r="J1563" s="74" t="s">
        <v>265</v>
      </c>
      <c r="K1563" s="84">
        <v>1047162</v>
      </c>
      <c r="L1563" s="79" t="s">
        <v>244</v>
      </c>
      <c r="M1563" s="17">
        <v>3</v>
      </c>
      <c r="N1563" s="18" t="s">
        <v>1374</v>
      </c>
      <c r="O1563" s="296" t="s">
        <v>1373</v>
      </c>
      <c r="P1563" s="296"/>
      <c r="Q1563" s="296" t="s">
        <v>1372</v>
      </c>
      <c r="R1563" s="17" t="s">
        <v>211</v>
      </c>
      <c r="S1563" s="17"/>
      <c r="T1563" s="17" t="str">
        <f>+T1562</f>
        <v>BCV131</v>
      </c>
      <c r="U1563" s="17"/>
      <c r="V1563" s="289" t="str">
        <f>+CONCATENATE(E1563,".",F1563,"\",G1563,".",H1563,":",I1563)</f>
        <v>1.17\0.1:2</v>
      </c>
      <c r="W1563" s="18" t="s">
        <v>1360</v>
      </c>
      <c r="X1563" s="17">
        <v>0</v>
      </c>
      <c r="Y1563" s="17"/>
      <c r="Z1563" s="17"/>
      <c r="AA1563" s="17"/>
      <c r="AB1563" s="17"/>
      <c r="AC1563" s="17"/>
      <c r="AD1563" s="17"/>
      <c r="AE1563" s="17"/>
      <c r="AF1563" s="17"/>
      <c r="AG1563" s="64"/>
      <c r="AH1563" s="64"/>
      <c r="AI1563" s="64"/>
      <c r="AJ1563" s="64"/>
      <c r="AK1563" s="64"/>
      <c r="AL1563" s="264"/>
      <c r="AM1563" s="84"/>
      <c r="AN1563" s="18"/>
      <c r="AO1563" s="18"/>
      <c r="AP1563" s="18"/>
      <c r="AQ1563" s="18"/>
      <c r="AR1563" s="18"/>
      <c r="AS1563" s="18"/>
      <c r="AT1563" s="18"/>
      <c r="AU1563" s="18"/>
      <c r="AV1563" s="18"/>
      <c r="AW1563" s="18"/>
      <c r="AX1563" s="18"/>
      <c r="AY1563" s="18"/>
    </row>
    <row r="1564" spans="1:51" s="33" customFormat="1" x14ac:dyDescent="0.3">
      <c r="A1564" s="63" t="str">
        <f>+A1563</f>
        <v>BCV131</v>
      </c>
      <c r="B1564" s="18" t="str">
        <f>+B1563</f>
        <v>AX33</v>
      </c>
      <c r="C1564" s="85" t="str">
        <f>+C1563</f>
        <v>SIO1</v>
      </c>
      <c r="D1564" s="85" t="str">
        <f>+D1563</f>
        <v>SLC01</v>
      </c>
      <c r="E1564" s="290">
        <f>+E1563</f>
        <v>1</v>
      </c>
      <c r="F1564" s="290">
        <f>+F1563</f>
        <v>17</v>
      </c>
      <c r="G1564" s="290">
        <f>+G1563</f>
        <v>0</v>
      </c>
      <c r="H1564" s="72">
        <f>+H1563</f>
        <v>1</v>
      </c>
      <c r="I1564" s="75">
        <v>3</v>
      </c>
      <c r="J1564" s="74" t="s">
        <v>261</v>
      </c>
      <c r="K1564" s="85"/>
      <c r="L1564" s="79" t="s">
        <v>244</v>
      </c>
      <c r="M1564" s="17">
        <v>3</v>
      </c>
      <c r="N1564" s="18" t="s">
        <v>1369</v>
      </c>
      <c r="O1564" s="296" t="s">
        <v>1371</v>
      </c>
      <c r="P1564" s="296"/>
      <c r="Q1564" s="296" t="s">
        <v>1370</v>
      </c>
      <c r="R1564" s="17" t="s">
        <v>211</v>
      </c>
      <c r="S1564" s="17"/>
      <c r="T1564" s="17" t="str">
        <f>+T1563</f>
        <v>BCV131</v>
      </c>
      <c r="U1564" s="17"/>
      <c r="V1564" s="289" t="str">
        <f>+CONCATENATE(E1564,".",F1564,"\",G1564,".",H1564,":",I1564)</f>
        <v>1.17\0.1:3</v>
      </c>
      <c r="W1564" s="18" t="s">
        <v>1360</v>
      </c>
      <c r="X1564" s="17">
        <v>0</v>
      </c>
      <c r="Y1564" s="17"/>
      <c r="Z1564" s="17"/>
      <c r="AA1564" s="17"/>
      <c r="AB1564" s="17"/>
      <c r="AC1564" s="17"/>
      <c r="AD1564" s="17"/>
      <c r="AE1564" s="17"/>
      <c r="AF1564" s="17"/>
      <c r="AG1564" s="64"/>
      <c r="AH1564" s="64"/>
      <c r="AI1564" s="64"/>
      <c r="AJ1564" s="64"/>
      <c r="AK1564" s="64"/>
      <c r="AL1564" s="264"/>
      <c r="AM1564" s="84"/>
      <c r="AN1564" s="18"/>
      <c r="AO1564" s="18"/>
      <c r="AP1564" s="18"/>
      <c r="AQ1564" s="18"/>
      <c r="AR1564" s="18"/>
      <c r="AS1564" s="18"/>
      <c r="AT1564" s="18"/>
      <c r="AU1564" s="18"/>
      <c r="AV1564" s="18"/>
      <c r="AW1564" s="18"/>
      <c r="AX1564" s="18"/>
      <c r="AY1564" s="18"/>
    </row>
    <row r="1565" spans="1:51" s="33" customFormat="1" x14ac:dyDescent="0.3">
      <c r="A1565" s="63" t="str">
        <f>+A1564</f>
        <v>BCV131</v>
      </c>
      <c r="B1565" s="18" t="str">
        <f>+B1564</f>
        <v>AX33</v>
      </c>
      <c r="C1565" s="85" t="str">
        <f>+C1564</f>
        <v>SIO1</v>
      </c>
      <c r="D1565" s="85" t="str">
        <f>+D1564</f>
        <v>SLC01</v>
      </c>
      <c r="E1565" s="290">
        <f>+E1564</f>
        <v>1</v>
      </c>
      <c r="F1565" s="290">
        <f>+F1564</f>
        <v>17</v>
      </c>
      <c r="G1565" s="290">
        <f>+G1564</f>
        <v>0</v>
      </c>
      <c r="H1565" s="72">
        <f>+H1564</f>
        <v>1</v>
      </c>
      <c r="I1565" s="75">
        <v>4</v>
      </c>
      <c r="J1565" s="74" t="s">
        <v>257</v>
      </c>
      <c r="K1565" s="85"/>
      <c r="L1565" s="79" t="s">
        <v>244</v>
      </c>
      <c r="M1565" s="17">
        <v>3</v>
      </c>
      <c r="N1565" s="18" t="s">
        <v>1369</v>
      </c>
      <c r="O1565" s="296" t="s">
        <v>1368</v>
      </c>
      <c r="P1565" s="296"/>
      <c r="Q1565" s="296" t="s">
        <v>1367</v>
      </c>
      <c r="R1565" s="17" t="s">
        <v>211</v>
      </c>
      <c r="S1565" s="17"/>
      <c r="T1565" s="17" t="str">
        <f>+T1564</f>
        <v>BCV131</v>
      </c>
      <c r="U1565" s="17"/>
      <c r="V1565" s="289" t="str">
        <f>+CONCATENATE(E1565,".",F1565,"\",G1565,".",H1565,":",I1565)</f>
        <v>1.17\0.1:4</v>
      </c>
      <c r="W1565" s="18" t="s">
        <v>1360</v>
      </c>
      <c r="X1565" s="17">
        <v>0</v>
      </c>
      <c r="Y1565" s="17"/>
      <c r="Z1565" s="17"/>
      <c r="AA1565" s="17"/>
      <c r="AB1565" s="17"/>
      <c r="AC1565" s="17"/>
      <c r="AD1565" s="17"/>
      <c r="AE1565" s="17"/>
      <c r="AF1565" s="17"/>
      <c r="AG1565" s="64"/>
      <c r="AH1565" s="64"/>
      <c r="AI1565" s="64"/>
      <c r="AJ1565" s="64"/>
      <c r="AK1565" s="64"/>
      <c r="AL1565" s="264"/>
      <c r="AM1565" s="84"/>
      <c r="AN1565" s="18"/>
      <c r="AO1565" s="18"/>
      <c r="AP1565" s="18"/>
      <c r="AQ1565" s="18"/>
      <c r="AR1565" s="18"/>
      <c r="AS1565" s="18"/>
      <c r="AT1565" s="18"/>
      <c r="AU1565" s="18"/>
      <c r="AV1565" s="18"/>
      <c r="AW1565" s="18"/>
      <c r="AX1565" s="18"/>
      <c r="AY1565" s="18"/>
    </row>
    <row r="1566" spans="1:51" s="33" customFormat="1" x14ac:dyDescent="0.3">
      <c r="A1566" s="63" t="str">
        <f>+A1565</f>
        <v>BCV131</v>
      </c>
      <c r="B1566" s="18" t="str">
        <f>+B1565</f>
        <v>AX33</v>
      </c>
      <c r="C1566" s="85" t="str">
        <f>+C1565</f>
        <v>SIO1</v>
      </c>
      <c r="D1566" s="85" t="str">
        <f>+D1565</f>
        <v>SLC01</v>
      </c>
      <c r="E1566" s="290">
        <f>+E1565</f>
        <v>1</v>
      </c>
      <c r="F1566" s="290">
        <f>+F1565</f>
        <v>17</v>
      </c>
      <c r="G1566" s="290">
        <f>+G1565</f>
        <v>0</v>
      </c>
      <c r="H1566" s="72">
        <f>+H1565</f>
        <v>1</v>
      </c>
      <c r="I1566" s="75">
        <v>5</v>
      </c>
      <c r="J1566" s="74" t="s">
        <v>1325</v>
      </c>
      <c r="K1566" s="85"/>
      <c r="L1566" s="79" t="s">
        <v>244</v>
      </c>
      <c r="M1566" s="17">
        <v>3</v>
      </c>
      <c r="N1566" s="17"/>
      <c r="O1566" s="296"/>
      <c r="P1566" s="296"/>
      <c r="Q1566" s="296" t="s">
        <v>127</v>
      </c>
      <c r="R1566" s="17"/>
      <c r="S1566" s="17"/>
      <c r="T1566" s="17"/>
      <c r="U1566" s="17"/>
      <c r="V1566" s="289" t="str">
        <f>+CONCATENATE(E1566,".",F1566,"\",G1566,".",H1566,":",I1566)</f>
        <v>1.17\0.1:5</v>
      </c>
      <c r="W1566" s="18" t="s">
        <v>1360</v>
      </c>
      <c r="X1566" s="17">
        <v>0</v>
      </c>
      <c r="Y1566" s="17"/>
      <c r="Z1566" s="17"/>
      <c r="AA1566" s="17"/>
      <c r="AB1566" s="17"/>
      <c r="AC1566" s="17"/>
      <c r="AD1566" s="17"/>
      <c r="AE1566" s="17"/>
      <c r="AF1566" s="17"/>
      <c r="AG1566" s="64"/>
      <c r="AH1566" s="64"/>
      <c r="AI1566" s="64"/>
      <c r="AJ1566" s="64"/>
      <c r="AK1566" s="64"/>
      <c r="AL1566" s="264"/>
      <c r="AM1566" s="84"/>
      <c r="AN1566" s="18"/>
      <c r="AO1566" s="18"/>
      <c r="AP1566" s="18"/>
      <c r="AQ1566" s="18"/>
      <c r="AR1566" s="18"/>
      <c r="AS1566" s="18"/>
      <c r="AT1566" s="18"/>
      <c r="AU1566" s="18"/>
      <c r="AV1566" s="18"/>
      <c r="AW1566" s="18"/>
      <c r="AX1566" s="18"/>
      <c r="AY1566" s="18"/>
    </row>
    <row r="1567" spans="1:51" s="33" customFormat="1" x14ac:dyDescent="0.3">
      <c r="A1567" s="63" t="str">
        <f>+A1566</f>
        <v>BCV131</v>
      </c>
      <c r="B1567" s="18" t="str">
        <f>+B1566</f>
        <v>AX33</v>
      </c>
      <c r="C1567" s="85" t="str">
        <f>+C1566</f>
        <v>SIO1</v>
      </c>
      <c r="D1567" s="85" t="str">
        <f>+D1566</f>
        <v>SLC01</v>
      </c>
      <c r="E1567" s="290">
        <f>+E1566</f>
        <v>1</v>
      </c>
      <c r="F1567" s="290">
        <f>+F1566</f>
        <v>17</v>
      </c>
      <c r="G1567" s="290">
        <f>+G1566</f>
        <v>0</v>
      </c>
      <c r="H1567" s="72">
        <f>+H1566</f>
        <v>1</v>
      </c>
      <c r="I1567" s="75">
        <v>6</v>
      </c>
      <c r="J1567" s="74" t="s">
        <v>1323</v>
      </c>
      <c r="K1567" s="85"/>
      <c r="L1567" s="79" t="s">
        <v>244</v>
      </c>
      <c r="M1567" s="17">
        <v>3</v>
      </c>
      <c r="N1567" s="17"/>
      <c r="O1567" s="296"/>
      <c r="P1567" s="296"/>
      <c r="Q1567" s="296" t="s">
        <v>127</v>
      </c>
      <c r="R1567" s="17"/>
      <c r="S1567" s="17"/>
      <c r="T1567" s="17"/>
      <c r="U1567" s="17"/>
      <c r="V1567" s="289" t="str">
        <f>+CONCATENATE(E1567,".",F1567,"\",G1567,".",H1567,":",I1567)</f>
        <v>1.17\0.1:6</v>
      </c>
      <c r="W1567" s="18" t="s">
        <v>1360</v>
      </c>
      <c r="X1567" s="17">
        <v>0</v>
      </c>
      <c r="Y1567" s="17"/>
      <c r="Z1567" s="17"/>
      <c r="AA1567" s="17"/>
      <c r="AB1567" s="17"/>
      <c r="AC1567" s="17"/>
      <c r="AD1567" s="17"/>
      <c r="AE1567" s="17"/>
      <c r="AF1567" s="17"/>
      <c r="AG1567" s="64"/>
      <c r="AH1567" s="64"/>
      <c r="AI1567" s="64"/>
      <c r="AJ1567" s="64"/>
      <c r="AK1567" s="64"/>
      <c r="AL1567" s="264"/>
      <c r="AM1567" s="84"/>
      <c r="AN1567" s="18"/>
      <c r="AO1567" s="18"/>
      <c r="AP1567" s="18"/>
      <c r="AQ1567" s="18"/>
      <c r="AR1567" s="18"/>
      <c r="AS1567" s="18"/>
      <c r="AT1567" s="18"/>
      <c r="AU1567" s="18"/>
      <c r="AV1567" s="18"/>
      <c r="AW1567" s="18"/>
      <c r="AX1567" s="18"/>
      <c r="AY1567" s="18"/>
    </row>
    <row r="1568" spans="1:51" s="33" customFormat="1" x14ac:dyDescent="0.3">
      <c r="A1568" s="63" t="str">
        <f>+A1567</f>
        <v>BCV131</v>
      </c>
      <c r="B1568" s="18" t="str">
        <f>+B1567</f>
        <v>AX33</v>
      </c>
      <c r="C1568" s="85" t="str">
        <f>+C1567</f>
        <v>SIO1</v>
      </c>
      <c r="D1568" s="85" t="str">
        <f>+D1567</f>
        <v>SLC01</v>
      </c>
      <c r="E1568" s="290">
        <f>+E1567</f>
        <v>1</v>
      </c>
      <c r="F1568" s="290">
        <f>+F1567</f>
        <v>17</v>
      </c>
      <c r="G1568" s="290">
        <f>+G1567</f>
        <v>0</v>
      </c>
      <c r="H1568" s="72">
        <f>+H1567</f>
        <v>1</v>
      </c>
      <c r="I1568" s="75">
        <v>7</v>
      </c>
      <c r="J1568" s="74" t="s">
        <v>246</v>
      </c>
      <c r="K1568" s="85"/>
      <c r="L1568" s="79" t="s">
        <v>244</v>
      </c>
      <c r="M1568" s="17">
        <v>3</v>
      </c>
      <c r="N1568" s="17"/>
      <c r="O1568" s="296"/>
      <c r="P1568" s="296"/>
      <c r="Q1568" s="296" t="s">
        <v>127</v>
      </c>
      <c r="R1568" s="17"/>
      <c r="S1568" s="17"/>
      <c r="T1568" s="17"/>
      <c r="U1568" s="17"/>
      <c r="V1568" s="289" t="str">
        <f>+CONCATENATE(E1568,".",F1568,"\",G1568,".",H1568,":",I1568)</f>
        <v>1.17\0.1:7</v>
      </c>
      <c r="W1568" s="18" t="s">
        <v>1360</v>
      </c>
      <c r="X1568" s="17">
        <v>0</v>
      </c>
      <c r="Y1568" s="17"/>
      <c r="Z1568" s="17"/>
      <c r="AA1568" s="17"/>
      <c r="AB1568" s="17"/>
      <c r="AC1568" s="17"/>
      <c r="AD1568" s="17"/>
      <c r="AE1568" s="17"/>
      <c r="AF1568" s="17"/>
      <c r="AG1568" s="64"/>
      <c r="AH1568" s="64"/>
      <c r="AI1568" s="64"/>
      <c r="AJ1568" s="64"/>
      <c r="AK1568" s="64"/>
      <c r="AL1568" s="264"/>
      <c r="AM1568" s="84"/>
      <c r="AN1568" s="18"/>
      <c r="AO1568" s="18"/>
      <c r="AP1568" s="18"/>
      <c r="AQ1568" s="18"/>
      <c r="AR1568" s="18"/>
      <c r="AS1568" s="18"/>
      <c r="AT1568" s="18"/>
      <c r="AU1568" s="18"/>
      <c r="AV1568" s="18"/>
      <c r="AW1568" s="18"/>
      <c r="AX1568" s="18"/>
      <c r="AY1568" s="18"/>
    </row>
    <row r="1569" spans="1:51" s="33" customFormat="1" x14ac:dyDescent="0.3">
      <c r="A1569" s="63" t="str">
        <f>+A1568</f>
        <v>BCV131</v>
      </c>
      <c r="B1569" s="18" t="str">
        <f>+B1568</f>
        <v>AX33</v>
      </c>
      <c r="C1569" s="85" t="str">
        <f>+C1568</f>
        <v>SIO1</v>
      </c>
      <c r="D1569" s="85" t="str">
        <f>+D1568</f>
        <v>SLC01</v>
      </c>
      <c r="E1569" s="290">
        <f>+E1568</f>
        <v>1</v>
      </c>
      <c r="F1569" s="290">
        <f>+F1568</f>
        <v>17</v>
      </c>
      <c r="G1569" s="290">
        <f>+G1568</f>
        <v>0</v>
      </c>
      <c r="H1569" s="72">
        <f>+H1568</f>
        <v>1</v>
      </c>
      <c r="I1569" s="75">
        <v>8</v>
      </c>
      <c r="J1569" s="74" t="s">
        <v>245</v>
      </c>
      <c r="K1569" s="85"/>
      <c r="L1569" s="79" t="s">
        <v>244</v>
      </c>
      <c r="M1569" s="17">
        <v>3</v>
      </c>
      <c r="N1569" s="17"/>
      <c r="O1569" s="296"/>
      <c r="P1569" s="296"/>
      <c r="Q1569" s="296" t="s">
        <v>127</v>
      </c>
      <c r="R1569" s="17"/>
      <c r="S1569" s="17"/>
      <c r="T1569" s="17"/>
      <c r="U1569" s="17"/>
      <c r="V1569" s="289" t="str">
        <f>+CONCATENATE(E1569,".",F1569,"\",G1569,".",H1569,":",I1569)</f>
        <v>1.17\0.1:8</v>
      </c>
      <c r="W1569" s="18" t="s">
        <v>1360</v>
      </c>
      <c r="X1569" s="17">
        <v>0</v>
      </c>
      <c r="Y1569" s="17"/>
      <c r="Z1569" s="17"/>
      <c r="AA1569" s="17"/>
      <c r="AB1569" s="17"/>
      <c r="AC1569" s="17"/>
      <c r="AD1569" s="17"/>
      <c r="AE1569" s="17"/>
      <c r="AF1569" s="17"/>
      <c r="AG1569" s="64"/>
      <c r="AH1569" s="64"/>
      <c r="AI1569" s="64"/>
      <c r="AJ1569" s="64"/>
      <c r="AK1569" s="64"/>
      <c r="AL1569" s="264"/>
      <c r="AM1569" s="84"/>
      <c r="AN1569" s="18"/>
      <c r="AO1569" s="18"/>
      <c r="AP1569" s="18"/>
      <c r="AQ1569" s="18"/>
      <c r="AR1569" s="18"/>
      <c r="AS1569" s="18"/>
      <c r="AT1569" s="18"/>
      <c r="AU1569" s="18"/>
      <c r="AV1569" s="18"/>
      <c r="AW1569" s="18"/>
      <c r="AX1569" s="18"/>
      <c r="AY1569" s="18"/>
    </row>
    <row r="1570" spans="1:51" s="33" customFormat="1" x14ac:dyDescent="0.3">
      <c r="A1570" s="63" t="str">
        <f>+A1569</f>
        <v>BCV131</v>
      </c>
      <c r="B1570" s="18" t="str">
        <f>+B1569</f>
        <v>AX33</v>
      </c>
      <c r="C1570" s="85" t="str">
        <f>+C1569</f>
        <v>SIO1</v>
      </c>
      <c r="D1570" s="85" t="str">
        <f>+D1569</f>
        <v>SLC01</v>
      </c>
      <c r="E1570" s="290">
        <f>+E1569</f>
        <v>1</v>
      </c>
      <c r="F1570" s="290">
        <f>+F1569</f>
        <v>17</v>
      </c>
      <c r="G1570" s="290">
        <f>+G1569</f>
        <v>0</v>
      </c>
      <c r="H1570" s="72">
        <f>+H1569</f>
        <v>1</v>
      </c>
      <c r="I1570" s="75">
        <v>1</v>
      </c>
      <c r="J1570" s="81" t="s">
        <v>1321</v>
      </c>
      <c r="K1570" s="85" t="s">
        <v>1366</v>
      </c>
      <c r="L1570" s="79" t="s">
        <v>235</v>
      </c>
      <c r="M1570" s="17">
        <v>3</v>
      </c>
      <c r="N1570" s="18" t="s">
        <v>1364</v>
      </c>
      <c r="O1570" s="17" t="s">
        <v>1365</v>
      </c>
      <c r="P1570" s="17"/>
      <c r="Q1570" s="17" t="s">
        <v>1335</v>
      </c>
      <c r="R1570" s="17" t="s">
        <v>922</v>
      </c>
      <c r="S1570" s="17"/>
      <c r="T1570" s="17" t="str">
        <f>+T1562</f>
        <v>BCV131</v>
      </c>
      <c r="U1570" s="17"/>
      <c r="V1570" s="289" t="str">
        <f>+CONCATENATE(E1570,".",F1570,"\",G1570,".",H1570,":",I1570)</f>
        <v>1.17\0.1:1</v>
      </c>
      <c r="W1570" s="18" t="s">
        <v>1360</v>
      </c>
      <c r="X1570" s="17">
        <v>0</v>
      </c>
      <c r="Y1570" s="17"/>
      <c r="Z1570" s="17"/>
      <c r="AA1570" s="17"/>
      <c r="AB1570" s="17"/>
      <c r="AC1570" s="17"/>
      <c r="AD1570" s="17"/>
      <c r="AE1570" s="17"/>
      <c r="AF1570" s="17"/>
      <c r="AG1570" s="64"/>
      <c r="AH1570" s="64"/>
      <c r="AI1570" s="64"/>
      <c r="AJ1570" s="64"/>
      <c r="AK1570" s="64"/>
      <c r="AL1570" s="264"/>
      <c r="AM1570" s="84"/>
      <c r="AN1570" s="18"/>
      <c r="AO1570" s="18"/>
      <c r="AP1570" s="18"/>
      <c r="AQ1570" s="18"/>
      <c r="AR1570" s="18"/>
      <c r="AS1570" s="18"/>
      <c r="AT1570" s="18"/>
      <c r="AU1570" s="18"/>
      <c r="AV1570" s="18"/>
      <c r="AW1570" s="18"/>
      <c r="AX1570" s="18"/>
      <c r="AY1570" s="18"/>
    </row>
    <row r="1571" spans="1:51" s="33" customFormat="1" x14ac:dyDescent="0.3">
      <c r="A1571" s="63" t="str">
        <f>+A1570</f>
        <v>BCV131</v>
      </c>
      <c r="B1571" s="18" t="str">
        <f>+B1570</f>
        <v>AX33</v>
      </c>
      <c r="C1571" s="85" t="str">
        <f>+C1570</f>
        <v>SIO1</v>
      </c>
      <c r="D1571" s="85" t="str">
        <f>+D1570</f>
        <v>SLC01</v>
      </c>
      <c r="E1571" s="290">
        <f>+E1570</f>
        <v>1</v>
      </c>
      <c r="F1571" s="290">
        <f>+F1570</f>
        <v>17</v>
      </c>
      <c r="G1571" s="290">
        <f>+G1570</f>
        <v>0</v>
      </c>
      <c r="H1571" s="72">
        <f>+H1570</f>
        <v>1</v>
      </c>
      <c r="I1571" s="75">
        <v>2</v>
      </c>
      <c r="J1571" s="74" t="s">
        <v>1320</v>
      </c>
      <c r="K1571" s="85"/>
      <c r="L1571" s="79" t="s">
        <v>235</v>
      </c>
      <c r="M1571" s="17">
        <v>3</v>
      </c>
      <c r="N1571" s="18" t="s">
        <v>1364</v>
      </c>
      <c r="O1571" s="17" t="s">
        <v>1363</v>
      </c>
      <c r="P1571" s="17"/>
      <c r="Q1571" s="17" t="s">
        <v>1330</v>
      </c>
      <c r="R1571" s="17" t="s">
        <v>922</v>
      </c>
      <c r="S1571" s="17"/>
      <c r="T1571" s="17" t="str">
        <f>+T1570</f>
        <v>BCV131</v>
      </c>
      <c r="U1571" s="17"/>
      <c r="V1571" s="289" t="str">
        <f>+CONCATENATE(E1571,".",F1571,"\",G1571,".",H1571,":",I1571)</f>
        <v>1.17\0.1:2</v>
      </c>
      <c r="W1571" s="18" t="s">
        <v>1360</v>
      </c>
      <c r="X1571" s="17">
        <v>0</v>
      </c>
      <c r="Y1571" s="17"/>
      <c r="Z1571" s="17"/>
      <c r="AA1571" s="17"/>
      <c r="AB1571" s="17"/>
      <c r="AC1571" s="17"/>
      <c r="AD1571" s="17"/>
      <c r="AE1571" s="17"/>
      <c r="AF1571" s="17"/>
      <c r="AG1571" s="64"/>
      <c r="AH1571" s="64"/>
      <c r="AI1571" s="64"/>
      <c r="AJ1571" s="64"/>
      <c r="AK1571" s="64"/>
      <c r="AL1571" s="264"/>
      <c r="AM1571" s="84"/>
      <c r="AN1571" s="18"/>
      <c r="AO1571" s="18"/>
      <c r="AP1571" s="18"/>
      <c r="AQ1571" s="18"/>
      <c r="AR1571" s="18"/>
      <c r="AS1571" s="18"/>
      <c r="AT1571" s="18"/>
      <c r="AU1571" s="18"/>
      <c r="AV1571" s="18"/>
      <c r="AW1571" s="18"/>
      <c r="AX1571" s="18"/>
      <c r="AY1571" s="18"/>
    </row>
    <row r="1572" spans="1:51" s="33" customFormat="1" x14ac:dyDescent="0.3">
      <c r="A1572" s="63" t="str">
        <f>+A1571</f>
        <v>BCV131</v>
      </c>
      <c r="B1572" s="18" t="str">
        <f>+B1571</f>
        <v>AX33</v>
      </c>
      <c r="C1572" s="85" t="str">
        <f>+C1571</f>
        <v>SIO1</v>
      </c>
      <c r="D1572" s="85" t="str">
        <f>+D1571</f>
        <v>SLC01</v>
      </c>
      <c r="E1572" s="290">
        <f>+E1571</f>
        <v>1</v>
      </c>
      <c r="F1572" s="290">
        <f>+F1571</f>
        <v>17</v>
      </c>
      <c r="G1572" s="290">
        <f>+G1571</f>
        <v>0</v>
      </c>
      <c r="H1572" s="72">
        <f>+H1571</f>
        <v>1</v>
      </c>
      <c r="I1572" s="75">
        <v>3</v>
      </c>
      <c r="J1572" s="74" t="s">
        <v>1319</v>
      </c>
      <c r="K1572" s="85"/>
      <c r="L1572" s="79" t="s">
        <v>235</v>
      </c>
      <c r="M1572" s="17">
        <v>3</v>
      </c>
      <c r="N1572" s="18" t="s">
        <v>1362</v>
      </c>
      <c r="O1572" s="17" t="s">
        <v>1361</v>
      </c>
      <c r="P1572" s="17"/>
      <c r="Q1572" s="17" t="s">
        <v>1330</v>
      </c>
      <c r="R1572" s="17" t="s">
        <v>922</v>
      </c>
      <c r="S1572" s="17"/>
      <c r="T1572" s="17" t="str">
        <f>+T1571</f>
        <v>BCV131</v>
      </c>
      <c r="U1572" s="17"/>
      <c r="V1572" s="289" t="str">
        <f>+CONCATENATE(E1572,".",F1572,"\",G1572,".",H1572,":",I1572)</f>
        <v>1.17\0.1:3</v>
      </c>
      <c r="W1572" s="18" t="s">
        <v>1360</v>
      </c>
      <c r="X1572" s="17">
        <v>0</v>
      </c>
      <c r="Y1572" s="17"/>
      <c r="Z1572" s="17"/>
      <c r="AA1572" s="17"/>
      <c r="AB1572" s="17"/>
      <c r="AC1572" s="17"/>
      <c r="AD1572" s="17"/>
      <c r="AE1572" s="17"/>
      <c r="AF1572" s="17"/>
      <c r="AG1572" s="64"/>
      <c r="AH1572" s="64"/>
      <c r="AI1572" s="64"/>
      <c r="AJ1572" s="64"/>
      <c r="AK1572" s="64"/>
      <c r="AL1572" s="264"/>
      <c r="AM1572" s="84"/>
      <c r="AN1572" s="18"/>
      <c r="AO1572" s="18"/>
      <c r="AP1572" s="18"/>
      <c r="AQ1572" s="18"/>
      <c r="AR1572" s="18"/>
      <c r="AS1572" s="18"/>
      <c r="AT1572" s="18"/>
      <c r="AU1572" s="18"/>
      <c r="AV1572" s="18"/>
      <c r="AW1572" s="18"/>
      <c r="AX1572" s="18"/>
      <c r="AY1572" s="18"/>
    </row>
    <row r="1573" spans="1:51" s="33" customFormat="1" ht="13.5" thickBot="1" x14ac:dyDescent="0.35">
      <c r="A1573" s="63" t="str">
        <f>+A1572</f>
        <v>BCV131</v>
      </c>
      <c r="B1573" s="18" t="str">
        <f>+B1572</f>
        <v>AX33</v>
      </c>
      <c r="C1573" s="85" t="str">
        <f>+C1572</f>
        <v>SIO1</v>
      </c>
      <c r="D1573" s="85" t="str">
        <f>+D1572</f>
        <v>SLC01</v>
      </c>
      <c r="E1573" s="290">
        <f>+E1572</f>
        <v>1</v>
      </c>
      <c r="F1573" s="290">
        <f>+F1572</f>
        <v>17</v>
      </c>
      <c r="G1573" s="290">
        <f>+G1572</f>
        <v>0</v>
      </c>
      <c r="H1573" s="72">
        <f>+H1572</f>
        <v>1</v>
      </c>
      <c r="I1573" s="71">
        <v>4</v>
      </c>
      <c r="J1573" s="70" t="s">
        <v>1318</v>
      </c>
      <c r="K1573" s="85"/>
      <c r="L1573" s="79" t="s">
        <v>235</v>
      </c>
      <c r="M1573" s="17">
        <v>3</v>
      </c>
      <c r="N1573" s="17"/>
      <c r="O1573" s="17"/>
      <c r="P1573" s="17"/>
      <c r="Q1573" s="68"/>
      <c r="R1573" s="68"/>
      <c r="S1573" s="68"/>
      <c r="T1573" s="68"/>
      <c r="U1573" s="17"/>
      <c r="V1573" s="289" t="str">
        <f>+CONCATENATE(E1573,".",F1573,"\",G1573,".",H1573,":",I1573)</f>
        <v>1.17\0.1:4</v>
      </c>
      <c r="W1573" s="18" t="s">
        <v>1360</v>
      </c>
      <c r="X1573" s="17">
        <v>0</v>
      </c>
      <c r="Y1573" s="17"/>
      <c r="Z1573" s="17"/>
      <c r="AA1573" s="17"/>
      <c r="AB1573" s="17"/>
      <c r="AC1573" s="17"/>
      <c r="AD1573" s="17"/>
      <c r="AE1573" s="17"/>
      <c r="AF1573" s="17"/>
      <c r="AG1573" s="64"/>
      <c r="AH1573" s="64"/>
      <c r="AI1573" s="64"/>
      <c r="AJ1573" s="64"/>
      <c r="AK1573" s="64"/>
      <c r="AL1573" s="264"/>
      <c r="AM1573" s="84"/>
      <c r="AN1573" s="18"/>
      <c r="AO1573" s="18"/>
      <c r="AP1573" s="18"/>
      <c r="AQ1573" s="18"/>
      <c r="AR1573" s="18"/>
      <c r="AS1573" s="18"/>
      <c r="AT1573" s="18"/>
      <c r="AU1573" s="18"/>
      <c r="AV1573" s="18"/>
      <c r="AW1573" s="18"/>
      <c r="AX1573" s="18"/>
      <c r="AY1573" s="18"/>
    </row>
    <row r="1574" spans="1:51" s="33" customFormat="1" x14ac:dyDescent="0.3">
      <c r="A1574" s="63"/>
      <c r="B1574" s="63"/>
      <c r="C1574" s="63"/>
      <c r="D1574" s="63"/>
      <c r="E1574" s="288"/>
      <c r="F1574" s="288"/>
      <c r="G1574" s="288"/>
      <c r="H1574" s="63"/>
      <c r="I1574" s="63"/>
      <c r="J1574" s="63"/>
      <c r="K1574" s="17"/>
      <c r="L1574" s="17"/>
      <c r="M1574" s="17"/>
      <c r="N1574" s="17"/>
      <c r="O1574" s="68"/>
      <c r="P1574" s="68"/>
      <c r="Q1574" s="68"/>
      <c r="R1574" s="68"/>
      <c r="S1574" s="68"/>
      <c r="T1574" s="68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64"/>
      <c r="AH1574" s="64"/>
      <c r="AI1574" s="64"/>
      <c r="AJ1574" s="64"/>
      <c r="AK1574" s="64"/>
      <c r="AL1574" s="264"/>
      <c r="AM1574" s="84"/>
      <c r="AN1574" s="18"/>
      <c r="AO1574" s="18"/>
      <c r="AP1574" s="18"/>
      <c r="AQ1574" s="18"/>
      <c r="AR1574" s="18"/>
      <c r="AS1574" s="18"/>
      <c r="AT1574" s="18"/>
      <c r="AU1574" s="18"/>
      <c r="AV1574" s="18"/>
      <c r="AW1574" s="18"/>
      <c r="AX1574" s="18"/>
      <c r="AY1574" s="18"/>
    </row>
    <row r="1575" spans="1:51" s="33" customFormat="1" x14ac:dyDescent="0.3">
      <c r="A1575" s="63"/>
      <c r="B1575" s="63"/>
      <c r="C1575" s="63"/>
      <c r="D1575" s="63"/>
      <c r="E1575" s="288"/>
      <c r="F1575" s="288"/>
      <c r="G1575" s="288"/>
      <c r="H1575" s="63"/>
      <c r="I1575" s="63"/>
      <c r="J1575" s="63"/>
      <c r="K1575" s="17"/>
      <c r="L1575" s="17"/>
      <c r="M1575" s="17"/>
      <c r="N1575" s="17"/>
      <c r="O1575" s="68"/>
      <c r="P1575" s="68"/>
      <c r="Q1575" s="68"/>
      <c r="R1575" s="68"/>
      <c r="S1575" s="68"/>
      <c r="T1575" s="68"/>
      <c r="U1575" s="17"/>
      <c r="V1575" s="17"/>
      <c r="W1575" s="17"/>
      <c r="X1575" s="17"/>
      <c r="Y1575" s="17"/>
      <c r="Z1575" s="17"/>
      <c r="AA1575" s="17"/>
      <c r="AB1575" s="20"/>
      <c r="AC1575" s="17"/>
      <c r="AD1575" s="17"/>
      <c r="AE1575" s="17"/>
      <c r="AF1575" s="17"/>
      <c r="AG1575" s="64"/>
      <c r="AH1575" s="64"/>
      <c r="AI1575" s="64"/>
      <c r="AJ1575" s="64"/>
      <c r="AK1575" s="64"/>
      <c r="AL1575" s="264"/>
      <c r="AM1575" s="84"/>
      <c r="AN1575" s="18"/>
      <c r="AO1575" s="18"/>
      <c r="AP1575" s="18"/>
      <c r="AQ1575" s="18"/>
      <c r="AR1575" s="18"/>
      <c r="AS1575" s="18"/>
      <c r="AT1575" s="18"/>
      <c r="AU1575" s="18"/>
      <c r="AV1575" s="18"/>
      <c r="AW1575" s="18"/>
      <c r="AX1575" s="18"/>
      <c r="AY1575" s="18"/>
    </row>
    <row r="1576" spans="1:51" s="33" customFormat="1" x14ac:dyDescent="0.3">
      <c r="A1576" s="63"/>
      <c r="B1576" s="63"/>
      <c r="C1576" s="63"/>
      <c r="D1576" s="63"/>
      <c r="E1576" s="288"/>
      <c r="F1576" s="288"/>
      <c r="G1576" s="288"/>
      <c r="H1576" s="63"/>
      <c r="I1576" s="63"/>
      <c r="J1576" s="63"/>
      <c r="K1576" s="17"/>
      <c r="L1576" s="17"/>
      <c r="M1576" s="17"/>
      <c r="N1576" s="17"/>
      <c r="O1576" s="68"/>
      <c r="P1576" s="68"/>
      <c r="Q1576" s="68"/>
      <c r="R1576" s="68"/>
      <c r="S1576" s="68"/>
      <c r="T1576" s="68"/>
      <c r="U1576" s="17"/>
      <c r="V1576" s="17"/>
      <c r="W1576" s="17"/>
      <c r="X1576" s="17"/>
      <c r="Y1576" s="17"/>
      <c r="Z1576" s="17"/>
      <c r="AA1576" s="17"/>
      <c r="AB1576" s="20"/>
      <c r="AC1576" s="17"/>
      <c r="AD1576" s="17"/>
      <c r="AE1576" s="17"/>
      <c r="AF1576" s="17"/>
      <c r="AG1576" s="64"/>
      <c r="AH1576" s="64"/>
      <c r="AI1576" s="64"/>
      <c r="AJ1576" s="64"/>
      <c r="AK1576" s="64"/>
      <c r="AL1576" s="264"/>
      <c r="AM1576" s="84"/>
      <c r="AN1576" s="18"/>
      <c r="AO1576" s="18"/>
      <c r="AP1576" s="18"/>
      <c r="AQ1576" s="18"/>
      <c r="AR1576" s="18"/>
      <c r="AS1576" s="18"/>
      <c r="AT1576" s="18"/>
      <c r="AU1576" s="18"/>
      <c r="AV1576" s="18"/>
      <c r="AW1576" s="18"/>
      <c r="AX1576" s="18"/>
      <c r="AY1576" s="18"/>
    </row>
    <row r="1577" spans="1:51" s="33" customFormat="1" ht="15.5" x14ac:dyDescent="0.35">
      <c r="A1577" s="256"/>
      <c r="B1577" s="96" t="s">
        <v>1359</v>
      </c>
      <c r="C1577" s="256"/>
      <c r="D1577" s="256"/>
      <c r="E1577" s="256"/>
      <c r="F1577" s="256"/>
      <c r="G1577" s="256"/>
      <c r="H1577" s="256"/>
      <c r="I1577" s="256"/>
      <c r="J1577" s="256"/>
      <c r="K1577" s="256"/>
      <c r="L1577" s="256"/>
      <c r="M1577" s="256"/>
      <c r="N1577" s="287"/>
      <c r="O1577" s="256"/>
      <c r="P1577" s="287"/>
      <c r="Q1577" s="256"/>
      <c r="R1577" s="256"/>
      <c r="S1577" s="256"/>
      <c r="T1577" s="256"/>
      <c r="U1577" s="256"/>
      <c r="V1577" s="256"/>
      <c r="W1577" s="287"/>
      <c r="X1577" s="256"/>
      <c r="Y1577" s="256"/>
      <c r="Z1577" s="17"/>
      <c r="AA1577" s="17"/>
      <c r="AB1577" s="17"/>
      <c r="AC1577" s="17"/>
      <c r="AD1577" s="17"/>
      <c r="AE1577" s="17"/>
      <c r="AF1577" s="17"/>
      <c r="AG1577" s="64"/>
      <c r="AH1577" s="64"/>
      <c r="AI1577" s="64"/>
      <c r="AJ1577" s="64"/>
      <c r="AK1577" s="64"/>
      <c r="AL1577" s="264"/>
      <c r="AM1577" s="84"/>
      <c r="AN1577" s="18"/>
      <c r="AO1577" s="18"/>
      <c r="AP1577" s="18"/>
      <c r="AQ1577" s="18"/>
      <c r="AR1577" s="18"/>
      <c r="AS1577" s="18"/>
      <c r="AT1577" s="18"/>
      <c r="AU1577" s="18"/>
      <c r="AV1577" s="18"/>
      <c r="AW1577" s="18"/>
      <c r="AX1577" s="18"/>
      <c r="AY1577" s="18"/>
    </row>
    <row r="1578" spans="1:51" s="33" customFormat="1" ht="13.5" thickBot="1" x14ac:dyDescent="0.35">
      <c r="A1578" s="63"/>
      <c r="B1578" s="63"/>
      <c r="C1578" s="63"/>
      <c r="D1578" s="63"/>
      <c r="E1578" s="288"/>
      <c r="F1578" s="288"/>
      <c r="G1578" s="288"/>
      <c r="H1578" s="63"/>
      <c r="I1578" s="63"/>
      <c r="J1578" s="63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64"/>
      <c r="AH1578" s="64"/>
      <c r="AI1578" s="64"/>
      <c r="AJ1578" s="64"/>
      <c r="AK1578" s="64"/>
      <c r="AL1578" s="264"/>
      <c r="AM1578" s="17"/>
      <c r="AN1578" s="18"/>
      <c r="AO1578" s="18"/>
      <c r="AP1578" s="18"/>
      <c r="AQ1578" s="18"/>
      <c r="AR1578" s="18"/>
      <c r="AS1578" s="18"/>
      <c r="AT1578" s="18"/>
      <c r="AU1578" s="18"/>
      <c r="AV1578" s="18"/>
      <c r="AW1578" s="18"/>
      <c r="AX1578" s="18"/>
      <c r="AY1578" s="18"/>
    </row>
    <row r="1579" spans="1:51" s="33" customFormat="1" ht="13.5" thickBot="1" x14ac:dyDescent="0.35">
      <c r="A1579" s="17" t="s">
        <v>194</v>
      </c>
      <c r="B1579" s="17" t="s">
        <v>1358</v>
      </c>
      <c r="C1579" s="295" t="s">
        <v>271</v>
      </c>
      <c r="D1579" s="290" t="s">
        <v>270</v>
      </c>
      <c r="E1579" s="290">
        <v>2</v>
      </c>
      <c r="F1579" s="290">
        <v>17</v>
      </c>
      <c r="G1579" s="290">
        <v>0</v>
      </c>
      <c r="H1579" s="89">
        <v>0</v>
      </c>
      <c r="I1579" s="294" t="s">
        <v>1106</v>
      </c>
      <c r="J1579" s="293"/>
      <c r="K1579" s="84">
        <v>1059305</v>
      </c>
      <c r="L1579" s="91" t="s">
        <v>1357</v>
      </c>
      <c r="M1579" s="17"/>
      <c r="N1579" s="17"/>
      <c r="O1579" s="83"/>
      <c r="P1579" s="83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64"/>
      <c r="AH1579" s="64"/>
      <c r="AI1579" s="64"/>
      <c r="AJ1579" s="64"/>
      <c r="AK1579" s="64"/>
      <c r="AL1579" s="264"/>
      <c r="AM1579" s="17"/>
      <c r="AN1579" s="18"/>
      <c r="AO1579" s="18"/>
      <c r="AP1579" s="18"/>
      <c r="AQ1579" s="18"/>
      <c r="AR1579" s="18"/>
      <c r="AS1579" s="18"/>
      <c r="AT1579" s="18"/>
      <c r="AU1579" s="18"/>
      <c r="AV1579" s="18"/>
      <c r="AW1579" s="18"/>
      <c r="AX1579" s="18"/>
      <c r="AY1579" s="18"/>
    </row>
    <row r="1580" spans="1:51" s="33" customFormat="1" x14ac:dyDescent="0.3">
      <c r="A1580" s="63" t="str">
        <f>+A1579</f>
        <v>BCV131</v>
      </c>
      <c r="B1580" s="18" t="str">
        <f>+B1579</f>
        <v>AX34</v>
      </c>
      <c r="C1580" s="85" t="str">
        <f>+C1579</f>
        <v>SIO1</v>
      </c>
      <c r="D1580" s="85" t="str">
        <f>+D1579</f>
        <v>SLC02</v>
      </c>
      <c r="E1580" s="290">
        <f>+E1579</f>
        <v>2</v>
      </c>
      <c r="F1580" s="290">
        <f>+F1579</f>
        <v>17</v>
      </c>
      <c r="G1580" s="290">
        <f>+G1579</f>
        <v>0</v>
      </c>
      <c r="H1580" s="72">
        <v>1</v>
      </c>
      <c r="I1580" s="77">
        <v>1</v>
      </c>
      <c r="J1580" s="76" t="s">
        <v>269</v>
      </c>
      <c r="K1580" s="65">
        <v>1044125</v>
      </c>
      <c r="L1580" s="79" t="s">
        <v>244</v>
      </c>
      <c r="M1580" s="18">
        <v>3</v>
      </c>
      <c r="N1580" s="17" t="s">
        <v>1354</v>
      </c>
      <c r="O1580" s="17" t="s">
        <v>1356</v>
      </c>
      <c r="P1580" s="17"/>
      <c r="Q1580" s="17" t="s">
        <v>1355</v>
      </c>
      <c r="R1580" s="17" t="s">
        <v>211</v>
      </c>
      <c r="S1580" s="17"/>
      <c r="T1580" s="17" t="s">
        <v>194</v>
      </c>
      <c r="U1580" s="17"/>
      <c r="V1580" s="289" t="str">
        <f>+CONCATENATE(E1580,".",F1580,"\",G1580,".",H1580,":",I1580)</f>
        <v>2.17\0.1:1</v>
      </c>
      <c r="W1580" s="17" t="s">
        <v>1317</v>
      </c>
      <c r="X1580" s="17">
        <v>0</v>
      </c>
      <c r="Y1580" s="17"/>
      <c r="Z1580" s="17"/>
      <c r="AA1580" s="17"/>
      <c r="AB1580" s="17"/>
      <c r="AC1580" s="17"/>
      <c r="AD1580" s="17"/>
      <c r="AE1580" s="17"/>
      <c r="AF1580" s="17"/>
      <c r="AG1580" s="64"/>
      <c r="AH1580" s="64"/>
      <c r="AI1580" s="64"/>
      <c r="AJ1580" s="64"/>
      <c r="AK1580" s="64"/>
      <c r="AL1580" s="264"/>
      <c r="AM1580" s="17"/>
      <c r="AN1580" s="18"/>
      <c r="AO1580" s="18"/>
      <c r="AP1580" s="18"/>
      <c r="AQ1580" s="18"/>
      <c r="AR1580" s="18"/>
      <c r="AS1580" s="18"/>
      <c r="AT1580" s="18"/>
      <c r="AU1580" s="18"/>
      <c r="AV1580" s="18"/>
      <c r="AW1580" s="18"/>
      <c r="AX1580" s="18"/>
      <c r="AY1580" s="18"/>
    </row>
    <row r="1581" spans="1:51" s="33" customFormat="1" x14ac:dyDescent="0.3">
      <c r="A1581" s="63" t="str">
        <f>+A1580</f>
        <v>BCV131</v>
      </c>
      <c r="B1581" s="18" t="str">
        <f>+B1580</f>
        <v>AX34</v>
      </c>
      <c r="C1581" s="85" t="str">
        <f>+C1580</f>
        <v>SIO1</v>
      </c>
      <c r="D1581" s="85" t="str">
        <f>+D1580</f>
        <v>SLC02</v>
      </c>
      <c r="E1581" s="290">
        <f>+E1580</f>
        <v>2</v>
      </c>
      <c r="F1581" s="290">
        <f>+F1580</f>
        <v>17</v>
      </c>
      <c r="G1581" s="290">
        <f>+G1580</f>
        <v>0</v>
      </c>
      <c r="H1581" s="72">
        <f>+H1580</f>
        <v>1</v>
      </c>
      <c r="I1581" s="75">
        <v>2</v>
      </c>
      <c r="J1581" s="74" t="s">
        <v>265</v>
      </c>
      <c r="K1581" s="84">
        <v>1047162</v>
      </c>
      <c r="L1581" s="79" t="s">
        <v>244</v>
      </c>
      <c r="M1581" s="18">
        <v>3</v>
      </c>
      <c r="N1581" s="18" t="s">
        <v>1354</v>
      </c>
      <c r="O1581" s="17" t="s">
        <v>1353</v>
      </c>
      <c r="P1581" s="17"/>
      <c r="Q1581" s="17" t="s">
        <v>1352</v>
      </c>
      <c r="R1581" s="17" t="s">
        <v>211</v>
      </c>
      <c r="S1581" s="17"/>
      <c r="T1581" s="17" t="str">
        <f>+T1580</f>
        <v>BCV131</v>
      </c>
      <c r="U1581" s="17"/>
      <c r="V1581" s="289" t="str">
        <f>+CONCATENATE(E1581,".",F1581,"\",G1581,".",H1581,":",I1581)</f>
        <v>2.17\0.1:2</v>
      </c>
      <c r="W1581" s="18" t="s">
        <v>1317</v>
      </c>
      <c r="X1581" s="17">
        <v>0</v>
      </c>
      <c r="Y1581" s="17"/>
      <c r="Z1581" s="17"/>
      <c r="AA1581" s="17"/>
      <c r="AB1581" s="17"/>
      <c r="AC1581" s="17"/>
      <c r="AD1581" s="17"/>
      <c r="AE1581" s="17"/>
      <c r="AF1581" s="17"/>
      <c r="AG1581" s="64"/>
      <c r="AH1581" s="64"/>
      <c r="AI1581" s="64"/>
      <c r="AJ1581" s="64"/>
      <c r="AK1581" s="64"/>
      <c r="AL1581" s="264"/>
      <c r="AM1581" s="17"/>
      <c r="AN1581" s="18"/>
      <c r="AO1581" s="18"/>
      <c r="AP1581" s="18"/>
      <c r="AQ1581" s="18"/>
      <c r="AR1581" s="18"/>
      <c r="AS1581" s="18"/>
      <c r="AT1581" s="18"/>
      <c r="AU1581" s="18"/>
      <c r="AV1581" s="18"/>
      <c r="AW1581" s="18"/>
      <c r="AX1581" s="18"/>
      <c r="AY1581" s="18"/>
    </row>
    <row r="1582" spans="1:51" s="33" customFormat="1" x14ac:dyDescent="0.3">
      <c r="A1582" s="63" t="str">
        <f>+A1581</f>
        <v>BCV131</v>
      </c>
      <c r="B1582" s="18" t="str">
        <f>+B1581</f>
        <v>AX34</v>
      </c>
      <c r="C1582" s="85" t="str">
        <f>+C1581</f>
        <v>SIO1</v>
      </c>
      <c r="D1582" s="85" t="str">
        <f>+D1581</f>
        <v>SLC02</v>
      </c>
      <c r="E1582" s="290">
        <f>+E1581</f>
        <v>2</v>
      </c>
      <c r="F1582" s="290">
        <f>+F1581</f>
        <v>17</v>
      </c>
      <c r="G1582" s="290">
        <f>+G1581</f>
        <v>0</v>
      </c>
      <c r="H1582" s="72">
        <f>+H1581</f>
        <v>1</v>
      </c>
      <c r="I1582" s="75">
        <v>3</v>
      </c>
      <c r="J1582" s="74" t="s">
        <v>261</v>
      </c>
      <c r="K1582" s="85"/>
      <c r="L1582" s="79" t="s">
        <v>244</v>
      </c>
      <c r="M1582" s="18">
        <v>3</v>
      </c>
      <c r="N1582" s="18" t="s">
        <v>1349</v>
      </c>
      <c r="O1582" s="17" t="s">
        <v>1351</v>
      </c>
      <c r="P1582" s="17"/>
      <c r="Q1582" s="17" t="s">
        <v>1350</v>
      </c>
      <c r="R1582" s="17" t="s">
        <v>211</v>
      </c>
      <c r="S1582" s="17"/>
      <c r="T1582" s="17" t="str">
        <f>+T1581</f>
        <v>BCV131</v>
      </c>
      <c r="U1582" s="17"/>
      <c r="V1582" s="289" t="str">
        <f>+CONCATENATE(E1582,".",F1582,"\",G1582,".",H1582,":",I1582)</f>
        <v>2.17\0.1:3</v>
      </c>
      <c r="W1582" s="18" t="s">
        <v>1317</v>
      </c>
      <c r="X1582" s="17">
        <v>0</v>
      </c>
      <c r="Y1582" s="17"/>
      <c r="Z1582" s="17"/>
      <c r="AA1582" s="17"/>
      <c r="AB1582" s="17"/>
      <c r="AC1582" s="17"/>
      <c r="AD1582" s="17"/>
      <c r="AE1582" s="17"/>
      <c r="AF1582" s="17"/>
      <c r="AG1582" s="64"/>
      <c r="AH1582" s="64"/>
      <c r="AI1582" s="64"/>
      <c r="AJ1582" s="64"/>
      <c r="AK1582" s="64"/>
      <c r="AL1582" s="264"/>
      <c r="AM1582" s="17"/>
      <c r="AN1582" s="18"/>
      <c r="AO1582" s="18"/>
      <c r="AP1582" s="18"/>
      <c r="AQ1582" s="18"/>
      <c r="AR1582" s="18"/>
      <c r="AS1582" s="18"/>
      <c r="AT1582" s="18"/>
      <c r="AU1582" s="18"/>
      <c r="AV1582" s="18"/>
      <c r="AW1582" s="18"/>
      <c r="AX1582" s="18"/>
      <c r="AY1582" s="18"/>
    </row>
    <row r="1583" spans="1:51" s="33" customFormat="1" x14ac:dyDescent="0.3">
      <c r="A1583" s="63" t="str">
        <f>+A1582</f>
        <v>BCV131</v>
      </c>
      <c r="B1583" s="18" t="str">
        <f>+B1582</f>
        <v>AX34</v>
      </c>
      <c r="C1583" s="85" t="str">
        <f>+C1582</f>
        <v>SIO1</v>
      </c>
      <c r="D1583" s="85" t="str">
        <f>+D1582</f>
        <v>SLC02</v>
      </c>
      <c r="E1583" s="290">
        <f>+E1582</f>
        <v>2</v>
      </c>
      <c r="F1583" s="290">
        <f>+F1582</f>
        <v>17</v>
      </c>
      <c r="G1583" s="290">
        <f>+G1582</f>
        <v>0</v>
      </c>
      <c r="H1583" s="72">
        <f>+H1582</f>
        <v>1</v>
      </c>
      <c r="I1583" s="75">
        <v>4</v>
      </c>
      <c r="J1583" s="74" t="s">
        <v>257</v>
      </c>
      <c r="K1583" s="85"/>
      <c r="L1583" s="79" t="s">
        <v>244</v>
      </c>
      <c r="M1583" s="18">
        <v>3</v>
      </c>
      <c r="N1583" s="18" t="s">
        <v>1349</v>
      </c>
      <c r="O1583" s="17" t="s">
        <v>1348</v>
      </c>
      <c r="P1583" s="17"/>
      <c r="Q1583" s="17" t="s">
        <v>1347</v>
      </c>
      <c r="R1583" s="17" t="s">
        <v>211</v>
      </c>
      <c r="S1583" s="17"/>
      <c r="T1583" s="17" t="str">
        <f>+T1582</f>
        <v>BCV131</v>
      </c>
      <c r="U1583" s="17"/>
      <c r="V1583" s="289" t="str">
        <f>+CONCATENATE(E1583,".",F1583,"\",G1583,".",H1583,":",I1583)</f>
        <v>2.17\0.1:4</v>
      </c>
      <c r="W1583" s="18" t="s">
        <v>1317</v>
      </c>
      <c r="X1583" s="17">
        <v>0</v>
      </c>
      <c r="Y1583" s="17"/>
      <c r="Z1583" s="17"/>
      <c r="AA1583" s="17"/>
      <c r="AB1583" s="17"/>
      <c r="AC1583" s="17"/>
      <c r="AD1583" s="17"/>
      <c r="AE1583" s="17"/>
      <c r="AF1583" s="17"/>
      <c r="AG1583" s="64"/>
      <c r="AH1583" s="64"/>
      <c r="AI1583" s="64"/>
      <c r="AJ1583" s="64"/>
      <c r="AK1583" s="64"/>
      <c r="AL1583" s="264"/>
      <c r="AM1583" s="17"/>
      <c r="AN1583" s="18"/>
      <c r="AO1583" s="18"/>
      <c r="AP1583" s="18"/>
      <c r="AQ1583" s="18"/>
      <c r="AR1583" s="18"/>
      <c r="AS1583" s="18"/>
      <c r="AT1583" s="18"/>
      <c r="AU1583" s="18"/>
      <c r="AV1583" s="18"/>
      <c r="AW1583" s="18"/>
      <c r="AX1583" s="18"/>
      <c r="AY1583" s="18"/>
    </row>
    <row r="1584" spans="1:51" s="33" customFormat="1" x14ac:dyDescent="0.3">
      <c r="A1584" s="63" t="str">
        <f>+A1583</f>
        <v>BCV131</v>
      </c>
      <c r="B1584" s="18" t="str">
        <f>+B1583</f>
        <v>AX34</v>
      </c>
      <c r="C1584" s="85" t="str">
        <f>+C1583</f>
        <v>SIO1</v>
      </c>
      <c r="D1584" s="85" t="str">
        <f>+D1583</f>
        <v>SLC02</v>
      </c>
      <c r="E1584" s="290">
        <f>+E1583</f>
        <v>2</v>
      </c>
      <c r="F1584" s="290">
        <f>+F1583</f>
        <v>17</v>
      </c>
      <c r="G1584" s="290">
        <f>+G1583</f>
        <v>0</v>
      </c>
      <c r="H1584" s="72">
        <f>+H1583</f>
        <v>1</v>
      </c>
      <c r="I1584" s="75">
        <v>5</v>
      </c>
      <c r="J1584" s="74" t="s">
        <v>1325</v>
      </c>
      <c r="K1584" s="85"/>
      <c r="L1584" s="79" t="s">
        <v>244</v>
      </c>
      <c r="M1584" s="18">
        <v>3</v>
      </c>
      <c r="N1584" s="18" t="s">
        <v>1344</v>
      </c>
      <c r="O1584" s="17" t="s">
        <v>1346</v>
      </c>
      <c r="P1584" s="17"/>
      <c r="Q1584" s="17" t="s">
        <v>1345</v>
      </c>
      <c r="R1584" s="17" t="s">
        <v>211</v>
      </c>
      <c r="S1584" s="17"/>
      <c r="T1584" s="17" t="str">
        <f>+T1583</f>
        <v>BCV131</v>
      </c>
      <c r="U1584" s="17"/>
      <c r="V1584" s="289" t="str">
        <f>+CONCATENATE(E1584,".",F1584,"\",G1584,".",H1584,":",I1584)</f>
        <v>2.17\0.1:5</v>
      </c>
      <c r="W1584" s="18" t="s">
        <v>1317</v>
      </c>
      <c r="X1584" s="17">
        <v>0</v>
      </c>
      <c r="Y1584" s="17"/>
      <c r="Z1584" s="17"/>
      <c r="AA1584" s="17"/>
      <c r="AB1584" s="17"/>
      <c r="AC1584" s="17"/>
      <c r="AD1584" s="17"/>
      <c r="AE1584" s="17"/>
      <c r="AF1584" s="17"/>
      <c r="AG1584" s="64"/>
      <c r="AH1584" s="64"/>
      <c r="AI1584" s="64"/>
      <c r="AJ1584" s="64"/>
      <c r="AK1584" s="64"/>
      <c r="AL1584" s="264"/>
      <c r="AM1584" s="17"/>
      <c r="AN1584" s="18"/>
      <c r="AO1584" s="18"/>
      <c r="AP1584" s="18"/>
      <c r="AQ1584" s="18"/>
      <c r="AR1584" s="18"/>
      <c r="AS1584" s="18"/>
      <c r="AT1584" s="18"/>
      <c r="AU1584" s="18"/>
      <c r="AV1584" s="18"/>
      <c r="AW1584" s="18"/>
      <c r="AX1584" s="18"/>
      <c r="AY1584" s="18"/>
    </row>
    <row r="1585" spans="1:51" s="33" customFormat="1" x14ac:dyDescent="0.3">
      <c r="A1585" s="63" t="str">
        <f>+A1584</f>
        <v>BCV131</v>
      </c>
      <c r="B1585" s="18" t="str">
        <f>+B1584</f>
        <v>AX34</v>
      </c>
      <c r="C1585" s="85" t="str">
        <f>+C1584</f>
        <v>SIO1</v>
      </c>
      <c r="D1585" s="85" t="str">
        <f>+D1584</f>
        <v>SLC02</v>
      </c>
      <c r="E1585" s="290">
        <f>+E1584</f>
        <v>2</v>
      </c>
      <c r="F1585" s="290">
        <f>+F1584</f>
        <v>17</v>
      </c>
      <c r="G1585" s="290">
        <f>+G1584</f>
        <v>0</v>
      </c>
      <c r="H1585" s="72">
        <f>+H1584</f>
        <v>1</v>
      </c>
      <c r="I1585" s="75">
        <v>6</v>
      </c>
      <c r="J1585" s="74" t="s">
        <v>1323</v>
      </c>
      <c r="K1585" s="292"/>
      <c r="L1585" s="79" t="s">
        <v>244</v>
      </c>
      <c r="M1585" s="18">
        <v>3</v>
      </c>
      <c r="N1585" s="18" t="s">
        <v>1344</v>
      </c>
      <c r="O1585" s="17" t="s">
        <v>1343</v>
      </c>
      <c r="P1585" s="17"/>
      <c r="Q1585" s="17" t="s">
        <v>1342</v>
      </c>
      <c r="R1585" s="17" t="s">
        <v>211</v>
      </c>
      <c r="S1585" s="17"/>
      <c r="T1585" s="17" t="str">
        <f>+T1584</f>
        <v>BCV131</v>
      </c>
      <c r="U1585" s="17"/>
      <c r="V1585" s="289" t="str">
        <f>+CONCATENATE(E1585,".",F1585,"\",G1585,".",H1585,":",I1585)</f>
        <v>2.17\0.1:6</v>
      </c>
      <c r="W1585" s="18" t="s">
        <v>1317</v>
      </c>
      <c r="X1585" s="17">
        <v>0</v>
      </c>
      <c r="Y1585" s="17"/>
      <c r="Z1585" s="17"/>
      <c r="AA1585" s="17"/>
      <c r="AB1585" s="17"/>
      <c r="AC1585" s="17"/>
      <c r="AD1585" s="17"/>
      <c r="AE1585" s="17"/>
      <c r="AF1585" s="17"/>
      <c r="AG1585" s="64"/>
      <c r="AH1585" s="64"/>
      <c r="AI1585" s="64"/>
      <c r="AJ1585" s="64"/>
      <c r="AK1585" s="64"/>
      <c r="AL1585" s="264"/>
      <c r="AM1585" s="17"/>
      <c r="AN1585" s="18"/>
      <c r="AO1585" s="18"/>
      <c r="AP1585" s="18"/>
      <c r="AQ1585" s="18"/>
      <c r="AR1585" s="18"/>
      <c r="AS1585" s="18"/>
      <c r="AT1585" s="18"/>
      <c r="AU1585" s="18"/>
      <c r="AV1585" s="18"/>
      <c r="AW1585" s="18"/>
      <c r="AX1585" s="18"/>
      <c r="AY1585" s="18"/>
    </row>
    <row r="1586" spans="1:51" s="33" customFormat="1" x14ac:dyDescent="0.3">
      <c r="A1586" s="63" t="str">
        <f>+A1585</f>
        <v>BCV131</v>
      </c>
      <c r="B1586" s="18" t="str">
        <f>+B1585</f>
        <v>AX34</v>
      </c>
      <c r="C1586" s="85" t="str">
        <f>+C1585</f>
        <v>SIO1</v>
      </c>
      <c r="D1586" s="85" t="str">
        <f>+D1585</f>
        <v>SLC02</v>
      </c>
      <c r="E1586" s="290">
        <f>+E1585</f>
        <v>2</v>
      </c>
      <c r="F1586" s="290">
        <f>+F1585</f>
        <v>17</v>
      </c>
      <c r="G1586" s="290">
        <f>+G1585</f>
        <v>0</v>
      </c>
      <c r="H1586" s="72">
        <f>+H1585</f>
        <v>1</v>
      </c>
      <c r="I1586" s="75">
        <v>7</v>
      </c>
      <c r="J1586" s="74" t="s">
        <v>246</v>
      </c>
      <c r="K1586" s="85"/>
      <c r="L1586" s="79" t="s">
        <v>244</v>
      </c>
      <c r="M1586" s="18">
        <v>3</v>
      </c>
      <c r="N1586" s="18" t="s">
        <v>1339</v>
      </c>
      <c r="O1586" s="17" t="s">
        <v>1341</v>
      </c>
      <c r="P1586" s="17"/>
      <c r="Q1586" s="17" t="s">
        <v>1340</v>
      </c>
      <c r="R1586" s="17" t="s">
        <v>211</v>
      </c>
      <c r="S1586" s="17"/>
      <c r="T1586" s="17" t="str">
        <f>+T1585</f>
        <v>BCV131</v>
      </c>
      <c r="U1586" s="17"/>
      <c r="V1586" s="289" t="str">
        <f>+CONCATENATE(E1586,".",F1586,"\",G1586,".",H1586,":",I1586)</f>
        <v>2.17\0.1:7</v>
      </c>
      <c r="W1586" s="18" t="s">
        <v>1317</v>
      </c>
      <c r="X1586" s="17">
        <v>0</v>
      </c>
      <c r="Y1586" s="17"/>
      <c r="Z1586" s="17"/>
      <c r="AA1586" s="17"/>
      <c r="AB1586" s="17"/>
      <c r="AC1586" s="17"/>
      <c r="AD1586" s="17"/>
      <c r="AE1586" s="17"/>
      <c r="AF1586" s="17"/>
      <c r="AG1586" s="64"/>
      <c r="AH1586" s="64"/>
      <c r="AI1586" s="64"/>
      <c r="AJ1586" s="64"/>
      <c r="AK1586" s="64"/>
      <c r="AL1586" s="264"/>
      <c r="AM1586" s="17"/>
      <c r="AN1586" s="18"/>
      <c r="AO1586" s="18"/>
      <c r="AP1586" s="18"/>
      <c r="AQ1586" s="18"/>
      <c r="AR1586" s="18"/>
      <c r="AS1586" s="18"/>
      <c r="AT1586" s="18"/>
      <c r="AU1586" s="18"/>
      <c r="AV1586" s="18"/>
      <c r="AW1586" s="18"/>
      <c r="AX1586" s="18"/>
      <c r="AY1586" s="18"/>
    </row>
    <row r="1587" spans="1:51" s="33" customFormat="1" x14ac:dyDescent="0.3">
      <c r="A1587" s="63" t="str">
        <f>+A1586</f>
        <v>BCV131</v>
      </c>
      <c r="B1587" s="18" t="str">
        <f>+B1586</f>
        <v>AX34</v>
      </c>
      <c r="C1587" s="85" t="str">
        <f>+C1586</f>
        <v>SIO1</v>
      </c>
      <c r="D1587" s="85" t="str">
        <f>+D1586</f>
        <v>SLC02</v>
      </c>
      <c r="E1587" s="290">
        <f>+E1586</f>
        <v>2</v>
      </c>
      <c r="F1587" s="290">
        <f>+F1586</f>
        <v>17</v>
      </c>
      <c r="G1587" s="290">
        <f>+G1586</f>
        <v>0</v>
      </c>
      <c r="H1587" s="72">
        <f>+H1586</f>
        <v>1</v>
      </c>
      <c r="I1587" s="75">
        <v>8</v>
      </c>
      <c r="J1587" s="74" t="s">
        <v>245</v>
      </c>
      <c r="K1587" s="85"/>
      <c r="L1587" s="79" t="s">
        <v>244</v>
      </c>
      <c r="M1587" s="18">
        <v>3</v>
      </c>
      <c r="N1587" s="17" t="s">
        <v>1339</v>
      </c>
      <c r="O1587" s="17" t="s">
        <v>1338</v>
      </c>
      <c r="P1587" s="17"/>
      <c r="Q1587" s="17" t="s">
        <v>1337</v>
      </c>
      <c r="R1587" s="17" t="s">
        <v>211</v>
      </c>
      <c r="S1587" s="17"/>
      <c r="T1587" s="17" t="str">
        <f>+T1586</f>
        <v>BCV131</v>
      </c>
      <c r="U1587" s="17"/>
      <c r="V1587" s="289" t="str">
        <f>+CONCATENATE(E1587,".",F1587,"\",G1587,".",H1587,":",I1587)</f>
        <v>2.17\0.1:8</v>
      </c>
      <c r="W1587" s="18" t="s">
        <v>1317</v>
      </c>
      <c r="X1587" s="17">
        <v>0</v>
      </c>
      <c r="Y1587" s="17"/>
      <c r="Z1587" s="17"/>
      <c r="AA1587" s="17"/>
      <c r="AB1587" s="17"/>
      <c r="AC1587" s="17"/>
      <c r="AD1587" s="17"/>
      <c r="AE1587" s="17"/>
      <c r="AF1587" s="17"/>
      <c r="AG1587" s="64"/>
      <c r="AH1587" s="64"/>
      <c r="AI1587" s="64"/>
      <c r="AJ1587" s="64"/>
      <c r="AK1587" s="64"/>
      <c r="AL1587" s="264"/>
      <c r="AM1587" s="17"/>
      <c r="AN1587" s="18"/>
      <c r="AO1587" s="18"/>
      <c r="AP1587" s="18"/>
      <c r="AQ1587" s="18"/>
      <c r="AR1587" s="18"/>
      <c r="AS1587" s="18"/>
      <c r="AT1587" s="18"/>
      <c r="AU1587" s="18"/>
      <c r="AV1587" s="18"/>
      <c r="AW1587" s="18"/>
      <c r="AX1587" s="18"/>
      <c r="AY1587" s="18"/>
    </row>
    <row r="1588" spans="1:51" s="33" customFormat="1" x14ac:dyDescent="0.3">
      <c r="A1588" s="63" t="str">
        <f>+A1587</f>
        <v>BCV131</v>
      </c>
      <c r="B1588" s="18" t="str">
        <f>+B1587</f>
        <v>AX34</v>
      </c>
      <c r="C1588" s="85" t="str">
        <f>+C1587</f>
        <v>SIO1</v>
      </c>
      <c r="D1588" s="85" t="str">
        <f>+D1587</f>
        <v>SLC02</v>
      </c>
      <c r="E1588" s="290">
        <f>+E1587</f>
        <v>2</v>
      </c>
      <c r="F1588" s="290">
        <f>+F1587</f>
        <v>17</v>
      </c>
      <c r="G1588" s="290">
        <f>+G1587</f>
        <v>0</v>
      </c>
      <c r="H1588" s="72">
        <f>+H1587</f>
        <v>1</v>
      </c>
      <c r="I1588" s="75">
        <v>1</v>
      </c>
      <c r="J1588" s="81" t="s">
        <v>1321</v>
      </c>
      <c r="K1588" s="85"/>
      <c r="L1588" s="79" t="s">
        <v>235</v>
      </c>
      <c r="M1588" s="18">
        <v>3</v>
      </c>
      <c r="N1588" s="18" t="s">
        <v>1334</v>
      </c>
      <c r="O1588" s="17" t="s">
        <v>1336</v>
      </c>
      <c r="P1588" s="17"/>
      <c r="Q1588" s="17" t="s">
        <v>1335</v>
      </c>
      <c r="R1588" s="17" t="s">
        <v>922</v>
      </c>
      <c r="S1588" s="17"/>
      <c r="T1588" s="17" t="str">
        <f>+T1587</f>
        <v>BCV131</v>
      </c>
      <c r="U1588" s="17"/>
      <c r="V1588" s="289" t="str">
        <f>+CONCATENATE(E1588,".",F1588,"\",G1588,".",H1588,":",I1588)</f>
        <v>2.17\0.1:1</v>
      </c>
      <c r="W1588" s="18" t="s">
        <v>1317</v>
      </c>
      <c r="X1588" s="17">
        <v>0</v>
      </c>
      <c r="Y1588" s="17"/>
      <c r="Z1588" s="17"/>
      <c r="AA1588" s="17"/>
      <c r="AB1588" s="17"/>
      <c r="AC1588" s="17"/>
      <c r="AD1588" s="17"/>
      <c r="AE1588" s="17"/>
      <c r="AF1588" s="17"/>
      <c r="AG1588" s="64"/>
      <c r="AH1588" s="64"/>
      <c r="AI1588" s="64"/>
      <c r="AJ1588" s="64"/>
      <c r="AK1588" s="64"/>
      <c r="AL1588" s="264"/>
      <c r="AM1588" s="17"/>
      <c r="AN1588" s="18"/>
      <c r="AO1588" s="18"/>
      <c r="AP1588" s="18"/>
      <c r="AQ1588" s="18"/>
      <c r="AR1588" s="18"/>
      <c r="AS1588" s="18"/>
      <c r="AT1588" s="18"/>
      <c r="AU1588" s="18"/>
      <c r="AV1588" s="18"/>
      <c r="AW1588" s="18"/>
      <c r="AX1588" s="18"/>
      <c r="AY1588" s="18"/>
    </row>
    <row r="1589" spans="1:51" s="33" customFormat="1" x14ac:dyDescent="0.3">
      <c r="A1589" s="63" t="str">
        <f>+A1588</f>
        <v>BCV131</v>
      </c>
      <c r="B1589" s="18" t="str">
        <f>+B1588</f>
        <v>AX34</v>
      </c>
      <c r="C1589" s="85" t="str">
        <f>+C1588</f>
        <v>SIO1</v>
      </c>
      <c r="D1589" s="85" t="str">
        <f>+D1588</f>
        <v>SLC02</v>
      </c>
      <c r="E1589" s="290">
        <f>+E1588</f>
        <v>2</v>
      </c>
      <c r="F1589" s="290">
        <f>+F1588</f>
        <v>17</v>
      </c>
      <c r="G1589" s="290">
        <f>+G1588</f>
        <v>0</v>
      </c>
      <c r="H1589" s="72">
        <f>+H1588</f>
        <v>1</v>
      </c>
      <c r="I1589" s="75">
        <v>2</v>
      </c>
      <c r="J1589" s="74" t="s">
        <v>1320</v>
      </c>
      <c r="K1589" s="85"/>
      <c r="L1589" s="79" t="s">
        <v>235</v>
      </c>
      <c r="M1589" s="18">
        <v>3</v>
      </c>
      <c r="N1589" s="18" t="s">
        <v>1334</v>
      </c>
      <c r="O1589" s="17" t="s">
        <v>1333</v>
      </c>
      <c r="P1589" s="17"/>
      <c r="Q1589" s="17" t="s">
        <v>1330</v>
      </c>
      <c r="R1589" s="17" t="s">
        <v>922</v>
      </c>
      <c r="S1589" s="17"/>
      <c r="T1589" s="17" t="str">
        <f>+T1588</f>
        <v>BCV131</v>
      </c>
      <c r="U1589" s="17"/>
      <c r="V1589" s="289" t="str">
        <f>+CONCATENATE(E1589,".",F1589,"\",G1589,".",H1589,":",I1589)</f>
        <v>2.17\0.1:2</v>
      </c>
      <c r="W1589" s="18" t="s">
        <v>1317</v>
      </c>
      <c r="X1589" s="17">
        <v>0</v>
      </c>
      <c r="Y1589" s="17"/>
      <c r="Z1589" s="17"/>
      <c r="AA1589" s="17"/>
      <c r="AB1589" s="17"/>
      <c r="AC1589" s="17"/>
      <c r="AD1589" s="17"/>
      <c r="AE1589" s="17"/>
      <c r="AF1589" s="17"/>
      <c r="AG1589" s="64"/>
      <c r="AH1589" s="64"/>
      <c r="AI1589" s="64"/>
      <c r="AJ1589" s="64"/>
      <c r="AK1589" s="64"/>
      <c r="AL1589" s="264"/>
      <c r="AM1589" s="17"/>
      <c r="AN1589" s="18"/>
      <c r="AO1589" s="18"/>
      <c r="AP1589" s="18"/>
      <c r="AQ1589" s="18"/>
      <c r="AR1589" s="18"/>
      <c r="AS1589" s="18"/>
      <c r="AT1589" s="18"/>
      <c r="AU1589" s="18"/>
      <c r="AV1589" s="18"/>
      <c r="AW1589" s="18"/>
      <c r="AX1589" s="18"/>
      <c r="AY1589" s="18"/>
    </row>
    <row r="1590" spans="1:51" s="33" customFormat="1" x14ac:dyDescent="0.3">
      <c r="A1590" s="63" t="str">
        <f>+A1589</f>
        <v>BCV131</v>
      </c>
      <c r="B1590" s="18" t="str">
        <f>+B1589</f>
        <v>AX34</v>
      </c>
      <c r="C1590" s="85" t="str">
        <f>+C1589</f>
        <v>SIO1</v>
      </c>
      <c r="D1590" s="85" t="str">
        <f>+D1589</f>
        <v>SLC02</v>
      </c>
      <c r="E1590" s="290">
        <f>+E1589</f>
        <v>2</v>
      </c>
      <c r="F1590" s="290">
        <f>+F1589</f>
        <v>17</v>
      </c>
      <c r="G1590" s="290">
        <f>+G1589</f>
        <v>0</v>
      </c>
      <c r="H1590" s="72">
        <f>+H1589</f>
        <v>1</v>
      </c>
      <c r="I1590" s="75">
        <v>3</v>
      </c>
      <c r="J1590" s="74" t="s">
        <v>1319</v>
      </c>
      <c r="K1590" s="85"/>
      <c r="L1590" s="79" t="s">
        <v>235</v>
      </c>
      <c r="M1590" s="18">
        <v>3</v>
      </c>
      <c r="N1590" s="18" t="s">
        <v>1332</v>
      </c>
      <c r="O1590" s="17" t="s">
        <v>1331</v>
      </c>
      <c r="P1590" s="17"/>
      <c r="Q1590" s="17" t="s">
        <v>1330</v>
      </c>
      <c r="R1590" s="17" t="s">
        <v>922</v>
      </c>
      <c r="S1590" s="17"/>
      <c r="T1590" s="17" t="str">
        <f>+T1589</f>
        <v>BCV131</v>
      </c>
      <c r="U1590" s="17"/>
      <c r="V1590" s="289" t="str">
        <f>+CONCATENATE(E1590,".",F1590,"\",G1590,".",H1590,":",I1590)</f>
        <v>2.17\0.1:3</v>
      </c>
      <c r="W1590" s="18" t="s">
        <v>1317</v>
      </c>
      <c r="X1590" s="17">
        <v>0</v>
      </c>
      <c r="Y1590" s="17"/>
      <c r="Z1590" s="17"/>
      <c r="AA1590" s="17"/>
      <c r="AB1590" s="17"/>
      <c r="AC1590" s="17"/>
      <c r="AD1590" s="17"/>
      <c r="AE1590" s="17"/>
      <c r="AF1590" s="17"/>
      <c r="AG1590" s="64"/>
      <c r="AH1590" s="64"/>
      <c r="AI1590" s="64"/>
      <c r="AJ1590" s="64"/>
      <c r="AK1590" s="64"/>
      <c r="AL1590" s="264"/>
      <c r="AM1590" s="17"/>
      <c r="AN1590" s="18"/>
      <c r="AO1590" s="18"/>
      <c r="AP1590" s="18"/>
      <c r="AQ1590" s="18"/>
      <c r="AR1590" s="18"/>
      <c r="AS1590" s="18"/>
      <c r="AT1590" s="18"/>
      <c r="AU1590" s="18"/>
      <c r="AV1590" s="18"/>
      <c r="AW1590" s="18"/>
      <c r="AX1590" s="18"/>
      <c r="AY1590" s="18"/>
    </row>
    <row r="1591" spans="1:51" s="33" customFormat="1" ht="13.5" thickBot="1" x14ac:dyDescent="0.35">
      <c r="A1591" s="63" t="str">
        <f>+A1590</f>
        <v>BCV131</v>
      </c>
      <c r="B1591" s="18" t="str">
        <f>+B1590</f>
        <v>AX34</v>
      </c>
      <c r="C1591" s="85" t="str">
        <f>+C1590</f>
        <v>SIO1</v>
      </c>
      <c r="D1591" s="85" t="str">
        <f>+D1590</f>
        <v>SLC02</v>
      </c>
      <c r="E1591" s="290">
        <f>+E1590</f>
        <v>2</v>
      </c>
      <c r="F1591" s="290">
        <f>+F1590</f>
        <v>17</v>
      </c>
      <c r="G1591" s="290">
        <f>+G1590</f>
        <v>0</v>
      </c>
      <c r="H1591" s="72">
        <f>+H1590</f>
        <v>1</v>
      </c>
      <c r="I1591" s="71">
        <v>4</v>
      </c>
      <c r="J1591" s="70" t="s">
        <v>1318</v>
      </c>
      <c r="K1591" s="85"/>
      <c r="L1591" s="79" t="s">
        <v>235</v>
      </c>
      <c r="M1591" s="18">
        <v>3</v>
      </c>
      <c r="N1591" s="18"/>
      <c r="O1591" s="17"/>
      <c r="P1591" s="17"/>
      <c r="Q1591" s="17" t="s">
        <v>127</v>
      </c>
      <c r="R1591" s="17"/>
      <c r="S1591" s="17"/>
      <c r="T1591" s="17"/>
      <c r="U1591" s="17"/>
      <c r="V1591" s="289" t="str">
        <f>+CONCATENATE(E1591,".",F1591,"\",G1591,".",H1591,":",I1591)</f>
        <v>2.17\0.1:4</v>
      </c>
      <c r="W1591" s="18" t="s">
        <v>1317</v>
      </c>
      <c r="X1591" s="17">
        <v>0</v>
      </c>
      <c r="Y1591" s="17"/>
      <c r="Z1591" s="17"/>
      <c r="AA1591" s="17"/>
      <c r="AB1591" s="17"/>
      <c r="AC1591" s="17"/>
      <c r="AD1591" s="17"/>
      <c r="AE1591" s="17"/>
      <c r="AF1591" s="17"/>
      <c r="AG1591" s="64"/>
      <c r="AH1591" s="64"/>
      <c r="AI1591" s="64"/>
      <c r="AJ1591" s="64"/>
      <c r="AK1591" s="64"/>
      <c r="AL1591" s="264"/>
      <c r="AM1591" s="17"/>
      <c r="AN1591" s="18"/>
      <c r="AO1591" s="18"/>
      <c r="AP1591" s="18"/>
      <c r="AQ1591" s="18"/>
      <c r="AR1591" s="18"/>
      <c r="AS1591" s="18"/>
      <c r="AT1591" s="18"/>
      <c r="AU1591" s="18"/>
      <c r="AV1591" s="18"/>
      <c r="AW1591" s="18"/>
      <c r="AX1591" s="18"/>
      <c r="AY1591" s="18"/>
    </row>
    <row r="1592" spans="1:51" s="33" customFormat="1" x14ac:dyDescent="0.3">
      <c r="A1592" s="63" t="str">
        <f>+A1591</f>
        <v>BCV131</v>
      </c>
      <c r="B1592" s="18" t="str">
        <f>+B1591</f>
        <v>AX34</v>
      </c>
      <c r="C1592" s="85" t="str">
        <f>+C1591</f>
        <v>SIO1</v>
      </c>
      <c r="D1592" s="85" t="str">
        <f>+D1591</f>
        <v>SLC02</v>
      </c>
      <c r="E1592" s="290">
        <f>+E1591</f>
        <v>2</v>
      </c>
      <c r="F1592" s="290">
        <f>+F1591</f>
        <v>17</v>
      </c>
      <c r="G1592" s="290">
        <f>+G1591</f>
        <v>0</v>
      </c>
      <c r="H1592" s="72">
        <v>2</v>
      </c>
      <c r="I1592" s="77">
        <v>1</v>
      </c>
      <c r="J1592" s="76" t="s">
        <v>269</v>
      </c>
      <c r="K1592" s="85">
        <v>1044125</v>
      </c>
      <c r="L1592" s="79" t="s">
        <v>244</v>
      </c>
      <c r="M1592" s="18">
        <v>3</v>
      </c>
      <c r="N1592" s="18" t="s">
        <v>1267</v>
      </c>
      <c r="O1592" s="291" t="s">
        <v>1329</v>
      </c>
      <c r="P1592" s="291"/>
      <c r="Q1592" s="291" t="s">
        <v>1328</v>
      </c>
      <c r="R1592" s="17" t="s">
        <v>211</v>
      </c>
      <c r="S1592" s="17"/>
      <c r="T1592" s="17" t="str">
        <f>+T1583</f>
        <v>BCV131</v>
      </c>
      <c r="U1592" s="17"/>
      <c r="V1592" s="289" t="str">
        <f>+CONCATENATE(E1592,".",F1592,"\",G1592,".",H1592,":",I1592)</f>
        <v>2.17\0.2:1</v>
      </c>
      <c r="W1592" s="18" t="s">
        <v>1317</v>
      </c>
      <c r="X1592" s="17">
        <v>0</v>
      </c>
      <c r="Y1592" s="17"/>
      <c r="Z1592" s="17"/>
      <c r="AA1592" s="17"/>
      <c r="AB1592" s="17"/>
      <c r="AC1592" s="17"/>
      <c r="AD1592" s="17"/>
      <c r="AE1592" s="17"/>
      <c r="AF1592" s="17"/>
      <c r="AG1592" s="64"/>
      <c r="AH1592" s="64"/>
      <c r="AI1592" s="64"/>
      <c r="AJ1592" s="64"/>
      <c r="AK1592" s="64"/>
      <c r="AL1592" s="264"/>
      <c r="AM1592" s="17"/>
      <c r="AN1592" s="18"/>
      <c r="AO1592" s="18"/>
      <c r="AP1592" s="18"/>
      <c r="AQ1592" s="18"/>
      <c r="AR1592" s="18"/>
      <c r="AS1592" s="18"/>
      <c r="AT1592" s="18"/>
      <c r="AU1592" s="18"/>
      <c r="AV1592" s="18"/>
      <c r="AW1592" s="18"/>
      <c r="AX1592" s="18"/>
      <c r="AY1592" s="18"/>
    </row>
    <row r="1593" spans="1:51" s="33" customFormat="1" x14ac:dyDescent="0.3">
      <c r="A1593" s="63" t="str">
        <f>+A1592</f>
        <v>BCV131</v>
      </c>
      <c r="B1593" s="18" t="str">
        <f>+B1592</f>
        <v>AX34</v>
      </c>
      <c r="C1593" s="85" t="str">
        <f>+C1592</f>
        <v>SIO1</v>
      </c>
      <c r="D1593" s="85" t="str">
        <f>+D1592</f>
        <v>SLC02</v>
      </c>
      <c r="E1593" s="290">
        <f>+E1592</f>
        <v>2</v>
      </c>
      <c r="F1593" s="290">
        <f>+F1592</f>
        <v>17</v>
      </c>
      <c r="G1593" s="290">
        <f>+G1592</f>
        <v>0</v>
      </c>
      <c r="H1593" s="72">
        <f>+H1592</f>
        <v>2</v>
      </c>
      <c r="I1593" s="75">
        <v>2</v>
      </c>
      <c r="J1593" s="74" t="s">
        <v>265</v>
      </c>
      <c r="K1593" s="85"/>
      <c r="L1593" s="79" t="s">
        <v>244</v>
      </c>
      <c r="M1593" s="18">
        <v>3</v>
      </c>
      <c r="N1593" s="18" t="s">
        <v>1267</v>
      </c>
      <c r="O1593" s="291" t="s">
        <v>1327</v>
      </c>
      <c r="P1593" s="291"/>
      <c r="Q1593" s="291" t="s">
        <v>1326</v>
      </c>
      <c r="R1593" s="17" t="s">
        <v>211</v>
      </c>
      <c r="S1593" s="17"/>
      <c r="T1593" s="17" t="str">
        <f>+T1592</f>
        <v>BCV131</v>
      </c>
      <c r="U1593" s="17"/>
      <c r="V1593" s="289" t="str">
        <f>+CONCATENATE(E1593,".",F1593,"\",G1593,".",H1593,":",I1593)</f>
        <v>2.17\0.2:2</v>
      </c>
      <c r="W1593" s="18" t="s">
        <v>1317</v>
      </c>
      <c r="X1593" s="17">
        <v>0</v>
      </c>
      <c r="Y1593" s="17"/>
      <c r="Z1593" s="17"/>
      <c r="AA1593" s="17"/>
      <c r="AB1593" s="17"/>
      <c r="AC1593" s="17"/>
      <c r="AD1593" s="17"/>
      <c r="AE1593" s="17"/>
      <c r="AF1593" s="17"/>
      <c r="AG1593" s="64"/>
      <c r="AH1593" s="64"/>
      <c r="AI1593" s="64"/>
      <c r="AJ1593" s="64"/>
      <c r="AK1593" s="64"/>
      <c r="AL1593" s="264"/>
      <c r="AM1593" s="17"/>
      <c r="AN1593" s="18"/>
      <c r="AO1593" s="18"/>
      <c r="AP1593" s="18"/>
      <c r="AQ1593" s="18"/>
      <c r="AR1593" s="18"/>
      <c r="AS1593" s="18"/>
      <c r="AT1593" s="18"/>
      <c r="AU1593" s="18"/>
      <c r="AV1593" s="18"/>
      <c r="AW1593" s="18"/>
      <c r="AX1593" s="18"/>
      <c r="AY1593" s="18"/>
    </row>
    <row r="1594" spans="1:51" s="33" customFormat="1" x14ac:dyDescent="0.3">
      <c r="A1594" s="63" t="str">
        <f>+A1593</f>
        <v>BCV131</v>
      </c>
      <c r="B1594" s="18" t="str">
        <f>+B1593</f>
        <v>AX34</v>
      </c>
      <c r="C1594" s="85" t="str">
        <f>+C1593</f>
        <v>SIO1</v>
      </c>
      <c r="D1594" s="85" t="str">
        <f>+D1593</f>
        <v>SLC02</v>
      </c>
      <c r="E1594" s="290">
        <f>+E1593</f>
        <v>2</v>
      </c>
      <c r="F1594" s="290">
        <f>+F1593</f>
        <v>17</v>
      </c>
      <c r="G1594" s="290">
        <f>+G1593</f>
        <v>0</v>
      </c>
      <c r="H1594" s="72">
        <f>+H1593</f>
        <v>2</v>
      </c>
      <c r="I1594" s="75">
        <v>3</v>
      </c>
      <c r="J1594" s="74" t="s">
        <v>261</v>
      </c>
      <c r="K1594" s="85"/>
      <c r="L1594" s="79" t="s">
        <v>244</v>
      </c>
      <c r="M1594" s="18">
        <v>3</v>
      </c>
      <c r="N1594" s="18" t="s">
        <v>1256</v>
      </c>
      <c r="O1594" s="291" t="s">
        <v>284</v>
      </c>
      <c r="P1594" s="291"/>
      <c r="Q1594" s="291" t="s">
        <v>283</v>
      </c>
      <c r="R1594" s="17" t="s">
        <v>211</v>
      </c>
      <c r="S1594" s="17"/>
      <c r="T1594" s="17" t="s">
        <v>1202</v>
      </c>
      <c r="U1594" s="17"/>
      <c r="V1594" s="289" t="str">
        <f>+CONCATENATE(E1594,".",F1594,"\",G1594,".",H1594,":",I1594)</f>
        <v>2.17\0.2:3</v>
      </c>
      <c r="W1594" s="18" t="s">
        <v>1317</v>
      </c>
      <c r="X1594" s="17">
        <v>0</v>
      </c>
      <c r="Y1594" s="17"/>
      <c r="Z1594" s="17"/>
      <c r="AA1594" s="17"/>
      <c r="AB1594" s="17"/>
      <c r="AC1594" s="17"/>
      <c r="AD1594" s="17"/>
      <c r="AE1594" s="17"/>
      <c r="AF1594" s="17"/>
      <c r="AG1594" s="64"/>
      <c r="AH1594" s="64"/>
      <c r="AI1594" s="64"/>
      <c r="AJ1594" s="64"/>
      <c r="AK1594" s="64"/>
      <c r="AL1594" s="264"/>
      <c r="AM1594" s="17"/>
      <c r="AN1594" s="18"/>
      <c r="AO1594" s="18"/>
      <c r="AP1594" s="18"/>
      <c r="AQ1594" s="18"/>
      <c r="AR1594" s="18"/>
      <c r="AS1594" s="18"/>
      <c r="AT1594" s="18"/>
      <c r="AU1594" s="18"/>
      <c r="AV1594" s="18"/>
      <c r="AW1594" s="18"/>
      <c r="AX1594" s="18"/>
      <c r="AY1594" s="18"/>
    </row>
    <row r="1595" spans="1:51" s="33" customFormat="1" x14ac:dyDescent="0.3">
      <c r="A1595" s="63" t="str">
        <f>+A1594</f>
        <v>BCV131</v>
      </c>
      <c r="B1595" s="18" t="str">
        <f>+B1594</f>
        <v>AX34</v>
      </c>
      <c r="C1595" s="85" t="str">
        <f>+C1594</f>
        <v>SIO1</v>
      </c>
      <c r="D1595" s="85" t="str">
        <f>+D1594</f>
        <v>SLC02</v>
      </c>
      <c r="E1595" s="290">
        <f>+E1594</f>
        <v>2</v>
      </c>
      <c r="F1595" s="290">
        <f>+F1594</f>
        <v>17</v>
      </c>
      <c r="G1595" s="290">
        <f>+G1594</f>
        <v>0</v>
      </c>
      <c r="H1595" s="72">
        <f>+H1594</f>
        <v>2</v>
      </c>
      <c r="I1595" s="75">
        <v>4</v>
      </c>
      <c r="J1595" s="74" t="s">
        <v>257</v>
      </c>
      <c r="K1595" s="85"/>
      <c r="L1595" s="79" t="s">
        <v>244</v>
      </c>
      <c r="M1595" s="18">
        <v>3</v>
      </c>
      <c r="N1595" s="18" t="s">
        <v>1256</v>
      </c>
      <c r="O1595" s="291" t="s">
        <v>281</v>
      </c>
      <c r="P1595" s="291"/>
      <c r="Q1595" s="17" t="s">
        <v>280</v>
      </c>
      <c r="R1595" s="17" t="s">
        <v>211</v>
      </c>
      <c r="S1595" s="17"/>
      <c r="T1595" s="17" t="str">
        <f>T1594</f>
        <v>BCV131BK01</v>
      </c>
      <c r="U1595" s="17"/>
      <c r="V1595" s="289" t="str">
        <f>+CONCATENATE(E1595,".",F1595,"\",G1595,".",H1595,":",I1595)</f>
        <v>2.17\0.2:4</v>
      </c>
      <c r="W1595" s="18" t="s">
        <v>1317</v>
      </c>
      <c r="X1595" s="17">
        <v>0</v>
      </c>
      <c r="Y1595" s="17"/>
      <c r="Z1595" s="17"/>
      <c r="AA1595" s="17"/>
      <c r="AB1595" s="17"/>
      <c r="AC1595" s="17"/>
      <c r="AD1595" s="17"/>
      <c r="AE1595" s="17"/>
      <c r="AF1595" s="17"/>
      <c r="AG1595" s="64"/>
      <c r="AH1595" s="64"/>
      <c r="AI1595" s="64"/>
      <c r="AJ1595" s="64"/>
      <c r="AK1595" s="64"/>
      <c r="AL1595" s="264"/>
      <c r="AM1595" s="17"/>
      <c r="AN1595" s="18"/>
      <c r="AO1595" s="18"/>
      <c r="AP1595" s="18"/>
      <c r="AQ1595" s="18"/>
      <c r="AR1595" s="18"/>
      <c r="AS1595" s="18"/>
      <c r="AT1595" s="18"/>
      <c r="AU1595" s="18"/>
      <c r="AV1595" s="18"/>
      <c r="AW1595" s="18"/>
      <c r="AX1595" s="18"/>
      <c r="AY1595" s="18"/>
    </row>
    <row r="1596" spans="1:51" s="33" customFormat="1" x14ac:dyDescent="0.3">
      <c r="A1596" s="63" t="str">
        <f>+A1595</f>
        <v>BCV131</v>
      </c>
      <c r="B1596" s="18" t="str">
        <f>+B1595</f>
        <v>AX34</v>
      </c>
      <c r="C1596" s="85" t="str">
        <f>+C1595</f>
        <v>SIO1</v>
      </c>
      <c r="D1596" s="85" t="str">
        <f>+D1595</f>
        <v>SLC02</v>
      </c>
      <c r="E1596" s="290">
        <f>+E1595</f>
        <v>2</v>
      </c>
      <c r="F1596" s="290">
        <f>+F1595</f>
        <v>17</v>
      </c>
      <c r="G1596" s="290">
        <f>+G1595</f>
        <v>0</v>
      </c>
      <c r="H1596" s="72">
        <f>+H1595</f>
        <v>2</v>
      </c>
      <c r="I1596" s="75">
        <v>5</v>
      </c>
      <c r="J1596" s="74" t="s">
        <v>1325</v>
      </c>
      <c r="K1596" s="85"/>
      <c r="L1596" s="79" t="s">
        <v>244</v>
      </c>
      <c r="M1596" s="18">
        <v>3</v>
      </c>
      <c r="N1596" s="18" t="s">
        <v>1240</v>
      </c>
      <c r="O1596" s="291" t="s">
        <v>284</v>
      </c>
      <c r="P1596" s="291"/>
      <c r="Q1596" s="291" t="s">
        <v>1324</v>
      </c>
      <c r="R1596" s="17" t="s">
        <v>211</v>
      </c>
      <c r="S1596" s="17"/>
      <c r="T1596" s="17" t="s">
        <v>1192</v>
      </c>
      <c r="U1596" s="17"/>
      <c r="V1596" s="289" t="str">
        <f>+CONCATENATE(E1596,".",F1596,"\",G1596,".",H1596,":",I1596)</f>
        <v>2.17\0.2:5</v>
      </c>
      <c r="W1596" s="18" t="s">
        <v>1317</v>
      </c>
      <c r="X1596" s="17">
        <v>0</v>
      </c>
      <c r="Y1596" s="17"/>
      <c r="Z1596" s="17"/>
      <c r="AA1596" s="17"/>
      <c r="AB1596" s="17"/>
      <c r="AC1596" s="17"/>
      <c r="AD1596" s="17"/>
      <c r="AE1596" s="17"/>
      <c r="AF1596" s="17"/>
      <c r="AG1596" s="64"/>
      <c r="AH1596" s="64"/>
      <c r="AI1596" s="64"/>
      <c r="AJ1596" s="64"/>
      <c r="AK1596" s="64"/>
      <c r="AL1596" s="264"/>
      <c r="AM1596" s="17"/>
      <c r="AN1596" s="18"/>
      <c r="AO1596" s="18"/>
      <c r="AP1596" s="18"/>
      <c r="AQ1596" s="18"/>
      <c r="AR1596" s="18"/>
      <c r="AS1596" s="18"/>
      <c r="AT1596" s="18"/>
      <c r="AU1596" s="18"/>
      <c r="AV1596" s="18"/>
      <c r="AW1596" s="18"/>
      <c r="AX1596" s="18"/>
      <c r="AY1596" s="18"/>
    </row>
    <row r="1597" spans="1:51" s="33" customFormat="1" x14ac:dyDescent="0.3">
      <c r="A1597" s="63" t="str">
        <f>+A1596</f>
        <v>BCV131</v>
      </c>
      <c r="B1597" s="18" t="str">
        <f>+B1596</f>
        <v>AX34</v>
      </c>
      <c r="C1597" s="85" t="str">
        <f>+C1596</f>
        <v>SIO1</v>
      </c>
      <c r="D1597" s="85" t="str">
        <f>+D1596</f>
        <v>SLC02</v>
      </c>
      <c r="E1597" s="290">
        <f>+E1596</f>
        <v>2</v>
      </c>
      <c r="F1597" s="290">
        <f>+F1596</f>
        <v>17</v>
      </c>
      <c r="G1597" s="290">
        <f>+G1596</f>
        <v>0</v>
      </c>
      <c r="H1597" s="72">
        <f>+H1596</f>
        <v>2</v>
      </c>
      <c r="I1597" s="75">
        <v>6</v>
      </c>
      <c r="J1597" s="74" t="s">
        <v>1323</v>
      </c>
      <c r="K1597" s="85"/>
      <c r="L1597" s="79" t="s">
        <v>244</v>
      </c>
      <c r="M1597" s="18">
        <v>3</v>
      </c>
      <c r="N1597" s="18" t="s">
        <v>1240</v>
      </c>
      <c r="O1597" s="291" t="s">
        <v>281</v>
      </c>
      <c r="P1597" s="291"/>
      <c r="Q1597" s="291" t="s">
        <v>1322</v>
      </c>
      <c r="R1597" s="17" t="s">
        <v>211</v>
      </c>
      <c r="S1597" s="17"/>
      <c r="T1597" s="17" t="str">
        <f>T1596</f>
        <v>BCV131BK02</v>
      </c>
      <c r="U1597" s="17"/>
      <c r="V1597" s="289" t="str">
        <f>+CONCATENATE(E1597,".",F1597,"\",G1597,".",H1597,":",I1597)</f>
        <v>2.17\0.2:6</v>
      </c>
      <c r="W1597" s="18" t="s">
        <v>1317</v>
      </c>
      <c r="X1597" s="17">
        <v>0</v>
      </c>
      <c r="Y1597" s="17"/>
      <c r="Z1597" s="17"/>
      <c r="AA1597" s="17"/>
      <c r="AB1597" s="17"/>
      <c r="AC1597" s="17"/>
      <c r="AD1597" s="17"/>
      <c r="AE1597" s="17"/>
      <c r="AF1597" s="17"/>
      <c r="AG1597" s="64"/>
      <c r="AH1597" s="64"/>
      <c r="AI1597" s="64"/>
      <c r="AJ1597" s="64"/>
      <c r="AK1597" s="64"/>
      <c r="AL1597" s="264"/>
      <c r="AM1597" s="17"/>
      <c r="AN1597" s="18"/>
      <c r="AO1597" s="18"/>
      <c r="AP1597" s="18"/>
      <c r="AQ1597" s="18"/>
      <c r="AR1597" s="18"/>
      <c r="AS1597" s="18"/>
      <c r="AT1597" s="18"/>
      <c r="AU1597" s="18"/>
      <c r="AV1597" s="18"/>
      <c r="AW1597" s="18"/>
      <c r="AX1597" s="18"/>
      <c r="AY1597" s="18"/>
    </row>
    <row r="1598" spans="1:51" s="33" customFormat="1" x14ac:dyDescent="0.3">
      <c r="A1598" s="63" t="str">
        <f>+A1597</f>
        <v>BCV131</v>
      </c>
      <c r="B1598" s="18" t="str">
        <f>+B1597</f>
        <v>AX34</v>
      </c>
      <c r="C1598" s="85" t="str">
        <f>+C1597</f>
        <v>SIO1</v>
      </c>
      <c r="D1598" s="85" t="str">
        <f>+D1597</f>
        <v>SLC02</v>
      </c>
      <c r="E1598" s="290">
        <f>+E1597</f>
        <v>2</v>
      </c>
      <c r="F1598" s="290">
        <f>+F1597</f>
        <v>17</v>
      </c>
      <c r="G1598" s="290">
        <f>+G1597</f>
        <v>0</v>
      </c>
      <c r="H1598" s="72">
        <f>+H1597</f>
        <v>2</v>
      </c>
      <c r="I1598" s="75">
        <v>7</v>
      </c>
      <c r="J1598" s="74" t="s">
        <v>246</v>
      </c>
      <c r="K1598" s="85"/>
      <c r="L1598" s="79" t="s">
        <v>244</v>
      </c>
      <c r="M1598" s="18">
        <v>3</v>
      </c>
      <c r="N1598" s="18"/>
      <c r="O1598" s="291"/>
      <c r="P1598" s="291"/>
      <c r="Q1598" s="291"/>
      <c r="R1598" s="17"/>
      <c r="S1598" s="17"/>
      <c r="T1598" s="17"/>
      <c r="U1598" s="17"/>
      <c r="V1598" s="289" t="str">
        <f>+CONCATENATE(E1598,".",F1598,"\",G1598,".",H1598,":",I1598)</f>
        <v>2.17\0.2:7</v>
      </c>
      <c r="W1598" s="18" t="s">
        <v>1317</v>
      </c>
      <c r="X1598" s="17">
        <v>0</v>
      </c>
      <c r="Y1598" s="17"/>
      <c r="Z1598" s="17"/>
      <c r="AA1598" s="17"/>
      <c r="AB1598" s="17"/>
      <c r="AC1598" s="17"/>
      <c r="AD1598" s="17"/>
      <c r="AE1598" s="17"/>
      <c r="AF1598" s="17"/>
      <c r="AG1598" s="64"/>
      <c r="AH1598" s="64"/>
      <c r="AI1598" s="64"/>
      <c r="AJ1598" s="64"/>
      <c r="AK1598" s="64"/>
      <c r="AL1598" s="264"/>
      <c r="AM1598" s="17"/>
      <c r="AN1598" s="18"/>
      <c r="AO1598" s="18"/>
      <c r="AP1598" s="18"/>
      <c r="AQ1598" s="18"/>
      <c r="AR1598" s="18"/>
      <c r="AS1598" s="18"/>
      <c r="AT1598" s="18"/>
      <c r="AU1598" s="18"/>
      <c r="AV1598" s="18"/>
      <c r="AW1598" s="18"/>
      <c r="AX1598" s="18"/>
      <c r="AY1598" s="18"/>
    </row>
    <row r="1599" spans="1:51" s="33" customFormat="1" x14ac:dyDescent="0.3">
      <c r="A1599" s="63" t="str">
        <f>+A1598</f>
        <v>BCV131</v>
      </c>
      <c r="B1599" s="18" t="str">
        <f>+B1598</f>
        <v>AX34</v>
      </c>
      <c r="C1599" s="85" t="str">
        <f>+C1598</f>
        <v>SIO1</v>
      </c>
      <c r="D1599" s="85" t="str">
        <f>+D1598</f>
        <v>SLC02</v>
      </c>
      <c r="E1599" s="290">
        <f>+E1598</f>
        <v>2</v>
      </c>
      <c r="F1599" s="290">
        <f>+F1598</f>
        <v>17</v>
      </c>
      <c r="G1599" s="290">
        <f>+G1598</f>
        <v>0</v>
      </c>
      <c r="H1599" s="72">
        <f>+H1598</f>
        <v>2</v>
      </c>
      <c r="I1599" s="75">
        <v>8</v>
      </c>
      <c r="J1599" s="74" t="s">
        <v>245</v>
      </c>
      <c r="K1599" s="85"/>
      <c r="L1599" s="79" t="s">
        <v>244</v>
      </c>
      <c r="M1599" s="18">
        <v>3</v>
      </c>
      <c r="N1599" s="18"/>
      <c r="O1599" s="291"/>
      <c r="P1599" s="291"/>
      <c r="Q1599" s="291"/>
      <c r="R1599" s="17"/>
      <c r="S1599" s="17"/>
      <c r="T1599" s="17"/>
      <c r="U1599" s="17"/>
      <c r="V1599" s="289" t="str">
        <f>+CONCATENATE(E1599,".",F1599,"\",G1599,".",H1599,":",I1599)</f>
        <v>2.17\0.2:8</v>
      </c>
      <c r="W1599" s="18" t="s">
        <v>1317</v>
      </c>
      <c r="X1599" s="17">
        <v>0</v>
      </c>
      <c r="Y1599" s="17"/>
      <c r="Z1599" s="17"/>
      <c r="AA1599" s="17"/>
      <c r="AB1599" s="17"/>
      <c r="AC1599" s="17"/>
      <c r="AD1599" s="17"/>
      <c r="AE1599" s="17"/>
      <c r="AF1599" s="17"/>
      <c r="AG1599" s="64"/>
      <c r="AH1599" s="64"/>
      <c r="AI1599" s="64"/>
      <c r="AJ1599" s="64"/>
      <c r="AK1599" s="64"/>
      <c r="AL1599" s="264"/>
      <c r="AM1599" s="17"/>
      <c r="AN1599" s="18"/>
      <c r="AO1599" s="18"/>
      <c r="AP1599" s="18"/>
      <c r="AQ1599" s="18"/>
      <c r="AR1599" s="18"/>
      <c r="AS1599" s="18"/>
      <c r="AT1599" s="18"/>
      <c r="AU1599" s="18"/>
      <c r="AV1599" s="18"/>
      <c r="AW1599" s="18"/>
      <c r="AX1599" s="18"/>
      <c r="AY1599" s="18"/>
    </row>
    <row r="1600" spans="1:51" s="33" customFormat="1" x14ac:dyDescent="0.3">
      <c r="A1600" s="63" t="str">
        <f>+A1599</f>
        <v>BCV131</v>
      </c>
      <c r="B1600" s="18" t="str">
        <f>+B1599</f>
        <v>AX34</v>
      </c>
      <c r="C1600" s="85" t="str">
        <f>+C1599</f>
        <v>SIO1</v>
      </c>
      <c r="D1600" s="85" t="str">
        <f>+D1599</f>
        <v>SLC02</v>
      </c>
      <c r="E1600" s="290">
        <f>+E1599</f>
        <v>2</v>
      </c>
      <c r="F1600" s="290">
        <f>+F1599</f>
        <v>17</v>
      </c>
      <c r="G1600" s="290">
        <f>+G1599</f>
        <v>0</v>
      </c>
      <c r="H1600" s="72">
        <f>+H1599</f>
        <v>2</v>
      </c>
      <c r="I1600" s="75">
        <v>1</v>
      </c>
      <c r="J1600" s="81" t="s">
        <v>1321</v>
      </c>
      <c r="K1600" s="85"/>
      <c r="L1600" s="79" t="s">
        <v>235</v>
      </c>
      <c r="M1600" s="18">
        <v>3</v>
      </c>
      <c r="N1600" s="18"/>
      <c r="O1600" s="78"/>
      <c r="P1600" s="78"/>
      <c r="Q1600" s="78"/>
      <c r="R1600" s="78"/>
      <c r="S1600" s="78"/>
      <c r="T1600" s="78"/>
      <c r="U1600" s="17"/>
      <c r="V1600" s="289" t="str">
        <f>+CONCATENATE(E1600,".",F1600,"\",G1600,".",H1600,":",I1600)</f>
        <v>2.17\0.2:1</v>
      </c>
      <c r="W1600" s="18" t="s">
        <v>1317</v>
      </c>
      <c r="X1600" s="17">
        <v>0</v>
      </c>
      <c r="Y1600" s="17"/>
      <c r="Z1600" s="17"/>
      <c r="AA1600" s="17"/>
      <c r="AB1600" s="46"/>
      <c r="AC1600" s="17"/>
      <c r="AD1600" s="17"/>
      <c r="AE1600" s="17"/>
      <c r="AF1600" s="17"/>
      <c r="AG1600" s="64"/>
      <c r="AH1600" s="64"/>
      <c r="AI1600" s="64"/>
      <c r="AJ1600" s="64"/>
      <c r="AK1600" s="64"/>
      <c r="AL1600" s="264"/>
      <c r="AM1600" s="17"/>
      <c r="AN1600" s="18"/>
      <c r="AO1600" s="18"/>
      <c r="AP1600" s="18"/>
      <c r="AQ1600" s="18"/>
      <c r="AR1600" s="18"/>
      <c r="AS1600" s="18"/>
      <c r="AT1600" s="18"/>
      <c r="AU1600" s="18"/>
      <c r="AV1600" s="18"/>
      <c r="AW1600" s="18"/>
      <c r="AX1600" s="18"/>
      <c r="AY1600" s="18"/>
    </row>
    <row r="1601" spans="1:51" s="33" customFormat="1" x14ac:dyDescent="0.3">
      <c r="A1601" s="63" t="str">
        <f>+A1600</f>
        <v>BCV131</v>
      </c>
      <c r="B1601" s="18" t="str">
        <f>+B1600</f>
        <v>AX34</v>
      </c>
      <c r="C1601" s="85" t="str">
        <f>+C1600</f>
        <v>SIO1</v>
      </c>
      <c r="D1601" s="85" t="str">
        <f>+D1600</f>
        <v>SLC02</v>
      </c>
      <c r="E1601" s="290">
        <f>+E1600</f>
        <v>2</v>
      </c>
      <c r="F1601" s="290">
        <f>+F1600</f>
        <v>17</v>
      </c>
      <c r="G1601" s="290">
        <f>+G1600</f>
        <v>0</v>
      </c>
      <c r="H1601" s="72">
        <f>+H1600</f>
        <v>2</v>
      </c>
      <c r="I1601" s="75">
        <v>2</v>
      </c>
      <c r="J1601" s="74" t="s">
        <v>1320</v>
      </c>
      <c r="K1601" s="85"/>
      <c r="L1601" s="79" t="s">
        <v>235</v>
      </c>
      <c r="M1601" s="18">
        <v>3</v>
      </c>
      <c r="N1601" s="18"/>
      <c r="O1601" s="78"/>
      <c r="P1601" s="78"/>
      <c r="Q1601" s="78"/>
      <c r="R1601" s="78"/>
      <c r="S1601" s="78"/>
      <c r="T1601" s="78"/>
      <c r="U1601" s="17"/>
      <c r="V1601" s="289" t="str">
        <f>+CONCATENATE(E1601,".",F1601,"\",G1601,".",H1601,":",I1601)</f>
        <v>2.17\0.2:2</v>
      </c>
      <c r="W1601" s="18" t="s">
        <v>1317</v>
      </c>
      <c r="X1601" s="17">
        <v>0</v>
      </c>
      <c r="Y1601" s="17"/>
      <c r="Z1601" s="17"/>
      <c r="AA1601" s="17"/>
      <c r="AB1601" s="46"/>
      <c r="AC1601" s="17"/>
      <c r="AD1601" s="17"/>
      <c r="AE1601" s="17"/>
      <c r="AF1601" s="17"/>
      <c r="AG1601" s="64"/>
      <c r="AH1601" s="64"/>
      <c r="AI1601" s="64"/>
      <c r="AJ1601" s="64"/>
      <c r="AK1601" s="64"/>
      <c r="AL1601" s="264"/>
      <c r="AM1601" s="17"/>
      <c r="AN1601" s="18"/>
      <c r="AO1601" s="18"/>
      <c r="AP1601" s="18"/>
      <c r="AQ1601" s="18"/>
      <c r="AR1601" s="18"/>
      <c r="AS1601" s="18"/>
      <c r="AT1601" s="18"/>
      <c r="AU1601" s="18"/>
      <c r="AV1601" s="18"/>
      <c r="AW1601" s="18"/>
      <c r="AX1601" s="18"/>
      <c r="AY1601" s="18"/>
    </row>
    <row r="1602" spans="1:51" s="33" customFormat="1" x14ac:dyDescent="0.3">
      <c r="A1602" s="63" t="str">
        <f>+A1601</f>
        <v>BCV131</v>
      </c>
      <c r="B1602" s="18" t="str">
        <f>+B1601</f>
        <v>AX34</v>
      </c>
      <c r="C1602" s="85" t="str">
        <f>+C1601</f>
        <v>SIO1</v>
      </c>
      <c r="D1602" s="85" t="str">
        <f>+D1601</f>
        <v>SLC02</v>
      </c>
      <c r="E1602" s="290">
        <f>+E1601</f>
        <v>2</v>
      </c>
      <c r="F1602" s="290">
        <f>+F1601</f>
        <v>17</v>
      </c>
      <c r="G1602" s="290">
        <f>+G1601</f>
        <v>0</v>
      </c>
      <c r="H1602" s="72">
        <f>+H1601</f>
        <v>2</v>
      </c>
      <c r="I1602" s="75">
        <v>3</v>
      </c>
      <c r="J1602" s="74" t="s">
        <v>1319</v>
      </c>
      <c r="K1602" s="85"/>
      <c r="L1602" s="79" t="s">
        <v>235</v>
      </c>
      <c r="M1602" s="18">
        <v>3</v>
      </c>
      <c r="N1602" s="18"/>
      <c r="O1602" s="78"/>
      <c r="P1602" s="78"/>
      <c r="Q1602" s="78"/>
      <c r="R1602" s="78"/>
      <c r="S1602" s="78"/>
      <c r="T1602" s="78"/>
      <c r="U1602" s="17"/>
      <c r="V1602" s="289" t="str">
        <f>+CONCATENATE(E1602,".",F1602,"\",G1602,".",H1602,":",I1602)</f>
        <v>2.17\0.2:3</v>
      </c>
      <c r="W1602" s="18" t="s">
        <v>1317</v>
      </c>
      <c r="X1602" s="17">
        <v>0</v>
      </c>
      <c r="Y1602" s="17"/>
      <c r="Z1602" s="17"/>
      <c r="AA1602" s="17"/>
      <c r="AB1602" s="46"/>
      <c r="AC1602" s="17"/>
      <c r="AD1602" s="17"/>
      <c r="AE1602" s="17"/>
      <c r="AF1602" s="17"/>
      <c r="AG1602" s="64"/>
      <c r="AH1602" s="64"/>
      <c r="AI1602" s="64"/>
      <c r="AJ1602" s="64"/>
      <c r="AK1602" s="64"/>
      <c r="AL1602" s="264"/>
      <c r="AM1602" s="17"/>
      <c r="AN1602" s="18"/>
      <c r="AO1602" s="18"/>
      <c r="AP1602" s="18"/>
      <c r="AQ1602" s="18"/>
      <c r="AR1602" s="18"/>
      <c r="AS1602" s="18"/>
      <c r="AT1602" s="18"/>
      <c r="AU1602" s="18"/>
      <c r="AV1602" s="18"/>
      <c r="AW1602" s="18"/>
      <c r="AX1602" s="18"/>
      <c r="AY1602" s="18"/>
    </row>
    <row r="1603" spans="1:51" s="33" customFormat="1" ht="13.5" thickBot="1" x14ac:dyDescent="0.35">
      <c r="A1603" s="63" t="str">
        <f>+A1602</f>
        <v>BCV131</v>
      </c>
      <c r="B1603" s="18" t="str">
        <f>+B1602</f>
        <v>AX34</v>
      </c>
      <c r="C1603" s="85" t="str">
        <f>+C1602</f>
        <v>SIO1</v>
      </c>
      <c r="D1603" s="85" t="str">
        <f>+D1602</f>
        <v>SLC02</v>
      </c>
      <c r="E1603" s="290">
        <f>+E1602</f>
        <v>2</v>
      </c>
      <c r="F1603" s="290">
        <f>+F1602</f>
        <v>17</v>
      </c>
      <c r="G1603" s="290">
        <f>+G1602</f>
        <v>0</v>
      </c>
      <c r="H1603" s="72">
        <f>+H1602</f>
        <v>2</v>
      </c>
      <c r="I1603" s="71">
        <v>4</v>
      </c>
      <c r="J1603" s="70" t="s">
        <v>1318</v>
      </c>
      <c r="K1603" s="85"/>
      <c r="L1603" s="79" t="s">
        <v>235</v>
      </c>
      <c r="M1603" s="18">
        <v>3</v>
      </c>
      <c r="N1603" s="18"/>
      <c r="O1603" s="17"/>
      <c r="P1603" s="17"/>
      <c r="Q1603" s="17"/>
      <c r="R1603" s="17"/>
      <c r="S1603" s="17"/>
      <c r="T1603" s="17"/>
      <c r="U1603" s="17"/>
      <c r="V1603" s="289" t="str">
        <f>+CONCATENATE(E1603,".",F1603,"\",G1603,".",H1603,":",I1603)</f>
        <v>2.17\0.2:4</v>
      </c>
      <c r="W1603" s="18" t="s">
        <v>1317</v>
      </c>
      <c r="X1603" s="17">
        <v>0</v>
      </c>
      <c r="Y1603" s="17"/>
      <c r="Z1603" s="17"/>
      <c r="AA1603" s="17"/>
      <c r="AB1603" s="46"/>
      <c r="AC1603" s="17"/>
      <c r="AD1603" s="17"/>
      <c r="AE1603" s="17"/>
      <c r="AF1603" s="17"/>
      <c r="AG1603" s="64"/>
      <c r="AH1603" s="64"/>
      <c r="AI1603" s="64"/>
      <c r="AJ1603" s="64"/>
      <c r="AK1603" s="64"/>
      <c r="AL1603" s="264"/>
      <c r="AM1603" s="17"/>
      <c r="AN1603" s="18"/>
      <c r="AO1603" s="18"/>
      <c r="AP1603" s="18"/>
      <c r="AQ1603" s="18"/>
      <c r="AR1603" s="18"/>
      <c r="AS1603" s="18"/>
      <c r="AT1603" s="18"/>
      <c r="AU1603" s="18"/>
      <c r="AV1603" s="18"/>
      <c r="AW1603" s="18"/>
      <c r="AX1603" s="18"/>
      <c r="AY1603" s="18"/>
    </row>
    <row r="1604" spans="1:51" s="33" customFormat="1" x14ac:dyDescent="0.3">
      <c r="A1604" s="63"/>
      <c r="B1604" s="63"/>
      <c r="C1604" s="63"/>
      <c r="D1604" s="18"/>
      <c r="E1604" s="288"/>
      <c r="F1604" s="288"/>
      <c r="G1604" s="288"/>
      <c r="H1604" s="63"/>
      <c r="I1604" s="63"/>
      <c r="J1604" s="63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64"/>
      <c r="AH1604" s="64"/>
      <c r="AI1604" s="64"/>
      <c r="AJ1604" s="64"/>
      <c r="AK1604" s="64"/>
      <c r="AL1604" s="264"/>
      <c r="AM1604" s="17"/>
      <c r="AN1604" s="18"/>
      <c r="AO1604" s="18"/>
      <c r="AP1604" s="18"/>
      <c r="AQ1604" s="18"/>
      <c r="AR1604" s="18"/>
      <c r="AS1604" s="18"/>
      <c r="AT1604" s="18"/>
      <c r="AU1604" s="18"/>
      <c r="AV1604" s="18"/>
      <c r="AW1604" s="18"/>
      <c r="AX1604" s="18"/>
      <c r="AY1604" s="18"/>
    </row>
    <row r="1605" spans="1:51" s="33" customFormat="1" x14ac:dyDescent="0.3">
      <c r="A1605" s="63"/>
      <c r="B1605" s="63"/>
      <c r="C1605" s="63"/>
      <c r="D1605" s="18"/>
      <c r="E1605" s="288"/>
      <c r="F1605" s="288"/>
      <c r="G1605" s="288"/>
      <c r="H1605" s="63"/>
      <c r="I1605" s="63"/>
      <c r="J1605" s="63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64"/>
      <c r="AH1605" s="64"/>
      <c r="AI1605" s="64"/>
      <c r="AJ1605" s="64"/>
      <c r="AK1605" s="64"/>
      <c r="AL1605" s="264"/>
      <c r="AM1605" s="17"/>
      <c r="AN1605" s="18"/>
      <c r="AO1605" s="18"/>
      <c r="AP1605" s="18"/>
      <c r="AQ1605" s="18"/>
      <c r="AR1605" s="18"/>
      <c r="AS1605" s="18"/>
      <c r="AT1605" s="18"/>
      <c r="AU1605" s="18"/>
      <c r="AV1605" s="18"/>
      <c r="AW1605" s="18"/>
      <c r="AX1605" s="18"/>
      <c r="AY1605" s="18"/>
    </row>
    <row r="1606" spans="1:51" s="33" customFormat="1" x14ac:dyDescent="0.3">
      <c r="A1606" s="63"/>
      <c r="B1606" s="63"/>
      <c r="C1606" s="63"/>
      <c r="D1606" s="18"/>
      <c r="E1606" s="288"/>
      <c r="F1606" s="288"/>
      <c r="G1606" s="288"/>
      <c r="H1606" s="63"/>
      <c r="I1606" s="63"/>
      <c r="J1606" s="63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20"/>
      <c r="AC1606" s="17"/>
      <c r="AD1606" s="17"/>
      <c r="AE1606" s="17"/>
      <c r="AF1606" s="17"/>
      <c r="AG1606" s="64"/>
      <c r="AH1606" s="64"/>
      <c r="AI1606" s="64"/>
      <c r="AJ1606" s="64"/>
      <c r="AK1606" s="64"/>
      <c r="AL1606" s="264"/>
      <c r="AM1606" s="17"/>
      <c r="AN1606" s="18"/>
      <c r="AO1606" s="18"/>
      <c r="AP1606" s="18"/>
      <c r="AQ1606" s="18"/>
      <c r="AR1606" s="18"/>
      <c r="AS1606" s="18"/>
      <c r="AT1606" s="18"/>
      <c r="AU1606" s="18"/>
      <c r="AV1606" s="18"/>
      <c r="AW1606" s="18"/>
      <c r="AX1606" s="18"/>
      <c r="AY1606" s="18"/>
    </row>
    <row r="1607" spans="1:51" s="83" customFormat="1" ht="15.5" x14ac:dyDescent="0.35">
      <c r="A1607" s="256"/>
      <c r="B1607" s="96" t="s">
        <v>1316</v>
      </c>
      <c r="C1607" s="256"/>
      <c r="D1607" s="256"/>
      <c r="E1607" s="256"/>
      <c r="F1607" s="256"/>
      <c r="G1607" s="256"/>
      <c r="H1607" s="256"/>
      <c r="I1607" s="256"/>
      <c r="J1607" s="256"/>
      <c r="K1607" s="256"/>
      <c r="L1607" s="256"/>
      <c r="M1607" s="256"/>
      <c r="N1607" s="287"/>
      <c r="O1607" s="256"/>
      <c r="P1607" s="287"/>
      <c r="Q1607" s="256"/>
      <c r="R1607" s="256"/>
      <c r="S1607" s="256"/>
      <c r="T1607" s="256"/>
      <c r="U1607" s="256"/>
      <c r="V1607" s="256"/>
      <c r="W1607" s="287"/>
      <c r="X1607" s="256"/>
      <c r="Y1607" s="256"/>
      <c r="Z1607" s="46"/>
      <c r="AA1607" s="46"/>
      <c r="AB1607" s="46"/>
      <c r="AC1607" s="46"/>
      <c r="AD1607" s="46"/>
      <c r="AE1607" s="46"/>
      <c r="AF1607" s="46"/>
      <c r="AG1607" s="92"/>
      <c r="AH1607" s="92"/>
      <c r="AI1607" s="92"/>
      <c r="AJ1607" s="92"/>
      <c r="AK1607" s="92"/>
      <c r="AL1607" s="284"/>
      <c r="AM1607" s="94"/>
      <c r="AN1607" s="18"/>
      <c r="AO1607" s="18"/>
      <c r="AP1607" s="18"/>
      <c r="AQ1607" s="18"/>
      <c r="AR1607" s="18"/>
      <c r="AS1607" s="18"/>
      <c r="AT1607" s="18"/>
      <c r="AU1607" s="18"/>
      <c r="AV1607" s="18"/>
      <c r="AW1607" s="18"/>
      <c r="AX1607" s="18"/>
      <c r="AY1607" s="18"/>
    </row>
    <row r="1608" spans="1:51" s="83" customFormat="1" ht="15.5" x14ac:dyDescent="0.35">
      <c r="B1608" s="286"/>
      <c r="E1608" s="95"/>
      <c r="F1608" s="94"/>
      <c r="G1608" s="94"/>
      <c r="M1608" s="17"/>
      <c r="N1608" s="17"/>
      <c r="O1608" s="17"/>
      <c r="P1608" s="17"/>
      <c r="AB1608" s="20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285"/>
      <c r="AM1608" s="285"/>
      <c r="AN1608" s="18"/>
      <c r="AO1608" s="18"/>
      <c r="AP1608" s="18"/>
      <c r="AQ1608" s="18"/>
      <c r="AR1608" s="18"/>
      <c r="AS1608" s="18"/>
      <c r="AT1608" s="18"/>
      <c r="AU1608" s="18"/>
      <c r="AV1608" s="18"/>
      <c r="AW1608" s="18"/>
      <c r="AX1608" s="18"/>
      <c r="AY1608" s="18"/>
    </row>
    <row r="1609" spans="1:51" s="83" customFormat="1" ht="13.5" thickBot="1" x14ac:dyDescent="0.35">
      <c r="E1609" s="95"/>
      <c r="F1609" s="94"/>
      <c r="G1609" s="94"/>
      <c r="Y1609" s="46"/>
      <c r="Z1609" s="46"/>
      <c r="AA1609" s="46"/>
      <c r="AB1609" s="20"/>
      <c r="AC1609" s="46"/>
      <c r="AD1609" s="46"/>
      <c r="AE1609" s="46"/>
      <c r="AF1609" s="46"/>
      <c r="AG1609" s="92"/>
      <c r="AH1609" s="92"/>
      <c r="AI1609" s="92"/>
      <c r="AJ1609" s="92"/>
      <c r="AK1609" s="92"/>
      <c r="AL1609" s="284"/>
      <c r="AM1609" s="94"/>
      <c r="AN1609" s="18"/>
      <c r="AO1609" s="18"/>
      <c r="AP1609" s="18"/>
      <c r="AQ1609" s="18"/>
      <c r="AR1609" s="18"/>
      <c r="AS1609" s="18"/>
      <c r="AT1609" s="18"/>
      <c r="AU1609" s="18"/>
      <c r="AV1609" s="18"/>
      <c r="AW1609" s="18"/>
      <c r="AX1609" s="18"/>
      <c r="AY1609" s="18"/>
    </row>
    <row r="1610" spans="1:51" s="33" customFormat="1" ht="13.5" thickBot="1" x14ac:dyDescent="0.35">
      <c r="A1610" s="162" t="s">
        <v>1315</v>
      </c>
      <c r="B1610" s="17" t="s">
        <v>1158</v>
      </c>
      <c r="C1610" s="18" t="s">
        <v>723</v>
      </c>
      <c r="D1610" s="18">
        <v>132</v>
      </c>
      <c r="E1610" s="84">
        <v>2</v>
      </c>
      <c r="F1610" s="84">
        <v>12</v>
      </c>
      <c r="G1610" s="84">
        <v>0</v>
      </c>
      <c r="H1610" s="214"/>
      <c r="I1610" s="245"/>
      <c r="J1610" s="244"/>
      <c r="K1610" s="18"/>
      <c r="L1610" s="83"/>
      <c r="M1610" s="83"/>
      <c r="N1610" s="83"/>
      <c r="O1610" s="83"/>
      <c r="P1610" s="83"/>
      <c r="Q1610" s="83"/>
      <c r="R1610" s="83"/>
      <c r="S1610" s="83"/>
      <c r="T1610" s="83"/>
      <c r="U1610" s="83"/>
      <c r="V1610" s="83"/>
      <c r="W1610" s="83"/>
      <c r="X1610" s="83"/>
      <c r="Y1610" s="20"/>
      <c r="Z1610" s="20"/>
      <c r="AA1610" s="20"/>
      <c r="AB1610" s="20"/>
      <c r="AC1610" s="20"/>
      <c r="AD1610" s="20"/>
      <c r="AE1610" s="20"/>
      <c r="AF1610" s="20"/>
      <c r="AG1610" s="92"/>
      <c r="AH1610" s="92"/>
      <c r="AI1610" s="92"/>
      <c r="AJ1610" s="92"/>
      <c r="AK1610" s="92"/>
      <c r="AL1610" s="284"/>
      <c r="AM1610" s="17"/>
      <c r="AN1610" s="18"/>
      <c r="AO1610" s="18"/>
      <c r="AP1610" s="18"/>
      <c r="AQ1610" s="18"/>
      <c r="AR1610" s="18"/>
      <c r="AS1610" s="18"/>
      <c r="AT1610" s="18"/>
      <c r="AU1610" s="18"/>
      <c r="AV1610" s="18"/>
      <c r="AW1610" s="18"/>
      <c r="AX1610" s="18"/>
      <c r="AY1610" s="18"/>
    </row>
    <row r="1611" spans="1:51" s="33" customFormat="1" ht="13.5" thickBot="1" x14ac:dyDescent="0.35">
      <c r="A1611" s="268" t="s">
        <v>194</v>
      </c>
      <c r="B1611" s="17" t="s">
        <v>1158</v>
      </c>
      <c r="C1611" s="18" t="str">
        <f>+C1610</f>
        <v>DIO1</v>
      </c>
      <c r="D1611" s="18">
        <v>132</v>
      </c>
      <c r="E1611" s="84">
        <f>+E1610</f>
        <v>2</v>
      </c>
      <c r="F1611" s="84">
        <f>+F1610</f>
        <v>12</v>
      </c>
      <c r="G1611" s="84">
        <v>0</v>
      </c>
      <c r="H1611" s="83"/>
      <c r="I1611" s="245" t="s">
        <v>1090</v>
      </c>
      <c r="J1611" s="246"/>
      <c r="K1611" s="17" t="s">
        <v>1089</v>
      </c>
      <c r="L1611" s="83"/>
      <c r="M1611" s="83"/>
      <c r="N1611" s="83"/>
      <c r="O1611" s="83"/>
      <c r="P1611" s="83"/>
      <c r="Q1611" s="83"/>
      <c r="R1611" s="83"/>
      <c r="S1611" s="83"/>
      <c r="T1611" s="83"/>
      <c r="U1611" s="83"/>
      <c r="V1611" s="83"/>
      <c r="W1611" s="83"/>
      <c r="X1611" s="83"/>
      <c r="Y1611" s="20"/>
      <c r="Z1611" s="20"/>
      <c r="AA1611" s="20"/>
      <c r="AB1611" s="20"/>
      <c r="AC1611" s="20"/>
      <c r="AD1611" s="20"/>
      <c r="AE1611" s="20"/>
      <c r="AF1611" s="20"/>
      <c r="AG1611" s="92"/>
      <c r="AH1611" s="92"/>
      <c r="AI1611" s="92"/>
      <c r="AJ1611" s="92"/>
      <c r="AK1611" s="92"/>
      <c r="AL1611" s="284"/>
      <c r="AM1611" s="17"/>
      <c r="AN1611" s="18"/>
      <c r="AO1611" s="18"/>
      <c r="AP1611" s="18"/>
      <c r="AQ1611" s="18"/>
      <c r="AR1611" s="18"/>
      <c r="AS1611" s="18"/>
      <c r="AT1611" s="18"/>
      <c r="AU1611" s="18"/>
      <c r="AV1611" s="18"/>
      <c r="AW1611" s="18"/>
      <c r="AX1611" s="18"/>
      <c r="AY1611" s="18"/>
    </row>
    <row r="1612" spans="1:51" s="33" customFormat="1" ht="13.5" thickBot="1" x14ac:dyDescent="0.35">
      <c r="A1612" s="268" t="s">
        <v>194</v>
      </c>
      <c r="B1612" s="17" t="s">
        <v>1158</v>
      </c>
      <c r="C1612" s="18" t="str">
        <f>+C1611</f>
        <v>DIO1</v>
      </c>
      <c r="D1612" s="18">
        <v>132</v>
      </c>
      <c r="E1612" s="84">
        <f>+E1611</f>
        <v>2</v>
      </c>
      <c r="F1612" s="84">
        <f>+F1611</f>
        <v>12</v>
      </c>
      <c r="G1612" s="84">
        <v>0</v>
      </c>
      <c r="H1612" s="83"/>
      <c r="I1612" s="245" t="s">
        <v>1088</v>
      </c>
      <c r="J1612" s="246"/>
      <c r="K1612" s="18" t="s">
        <v>1087</v>
      </c>
      <c r="L1612" s="83"/>
      <c r="M1612" s="242" t="s">
        <v>1086</v>
      </c>
      <c r="N1612" s="84"/>
      <c r="O1612" s="242" t="s">
        <v>1085</v>
      </c>
      <c r="P1612" s="84"/>
      <c r="Q1612" s="242" t="s">
        <v>1084</v>
      </c>
      <c r="R1612" s="83"/>
      <c r="S1612" s="83"/>
      <c r="T1612" s="83"/>
      <c r="U1612" s="83"/>
      <c r="V1612" s="83"/>
      <c r="W1612" s="83"/>
      <c r="X1612" s="83"/>
      <c r="Y1612" s="20"/>
      <c r="Z1612" s="20"/>
      <c r="AA1612" s="20"/>
      <c r="AB1612" s="20"/>
      <c r="AC1612" s="20"/>
      <c r="AD1612" s="20"/>
      <c r="AE1612" s="20"/>
      <c r="AF1612" s="20"/>
      <c r="AG1612" s="92"/>
      <c r="AH1612" s="92"/>
      <c r="AI1612" s="92"/>
      <c r="AJ1612" s="92"/>
      <c r="AK1612" s="92"/>
      <c r="AL1612" s="284"/>
      <c r="AM1612" s="17"/>
      <c r="AN1612" s="18"/>
      <c r="AO1612" s="18"/>
      <c r="AP1612" s="18"/>
      <c r="AQ1612" s="18"/>
      <c r="AR1612" s="18"/>
      <c r="AS1612" s="18"/>
      <c r="AT1612" s="18"/>
      <c r="AU1612" s="18"/>
      <c r="AV1612" s="18"/>
      <c r="AW1612" s="18"/>
      <c r="AX1612" s="18"/>
      <c r="AY1612" s="18"/>
    </row>
    <row r="1613" spans="1:51" s="33" customFormat="1" ht="13.5" thickBot="1" x14ac:dyDescent="0.35">
      <c r="A1613" s="268" t="s">
        <v>194</v>
      </c>
      <c r="B1613" s="17" t="s">
        <v>1158</v>
      </c>
      <c r="C1613" s="18" t="str">
        <f>+C1612</f>
        <v>DIO1</v>
      </c>
      <c r="D1613" s="18">
        <v>132</v>
      </c>
      <c r="E1613" s="84">
        <f>+E1612</f>
        <v>2</v>
      </c>
      <c r="F1613" s="84">
        <f>+F1612</f>
        <v>12</v>
      </c>
      <c r="G1613" s="84">
        <v>0</v>
      </c>
      <c r="H1613" s="65">
        <v>0</v>
      </c>
      <c r="I1613" s="245" t="s">
        <v>1083</v>
      </c>
      <c r="J1613" s="244"/>
      <c r="K1613" s="17" t="s">
        <v>1082</v>
      </c>
      <c r="L1613" s="99" t="s">
        <v>1314</v>
      </c>
      <c r="M1613" s="242">
        <f>+COUNTA(L1614:L1733)</f>
        <v>96</v>
      </c>
      <c r="N1613" s="84"/>
      <c r="O1613" s="242">
        <f>+COUNTBLANK(O1614:O1733)</f>
        <v>60</v>
      </c>
      <c r="P1613" s="84"/>
      <c r="Q1613" s="241">
        <f>+O1613/M1613</f>
        <v>0.625</v>
      </c>
      <c r="R1613" s="17"/>
      <c r="S1613" s="17"/>
      <c r="T1613" s="17"/>
      <c r="U1613" s="17"/>
      <c r="V1613" s="17"/>
      <c r="W1613" s="17"/>
      <c r="X1613" s="17"/>
      <c r="Y1613" s="20"/>
      <c r="Z1613" s="20"/>
      <c r="AA1613" s="20"/>
      <c r="AB1613" s="20"/>
      <c r="AC1613" s="20"/>
      <c r="AD1613" s="20"/>
      <c r="AE1613" s="20"/>
      <c r="AF1613" s="20"/>
      <c r="AG1613" s="64"/>
      <c r="AH1613" s="64"/>
      <c r="AI1613" s="64"/>
      <c r="AJ1613" s="64"/>
      <c r="AK1613" s="64"/>
      <c r="AL1613" s="264"/>
      <c r="AM1613" s="17"/>
      <c r="AN1613" s="18"/>
      <c r="AO1613" s="18"/>
      <c r="AP1613" s="18"/>
      <c r="AQ1613" s="18"/>
      <c r="AR1613" s="18"/>
      <c r="AS1613" s="18"/>
      <c r="AT1613" s="18"/>
      <c r="AU1613" s="18"/>
      <c r="AV1613" s="18"/>
      <c r="AW1613" s="18"/>
      <c r="AX1613" s="18"/>
      <c r="AY1613" s="18"/>
    </row>
    <row r="1614" spans="1:51" s="33" customFormat="1" ht="14.5" x14ac:dyDescent="0.35">
      <c r="A1614" s="268" t="s">
        <v>194</v>
      </c>
      <c r="B1614" s="17" t="s">
        <v>1158</v>
      </c>
      <c r="C1614" s="18" t="str">
        <f>+C1613</f>
        <v>DIO1</v>
      </c>
      <c r="D1614" s="18">
        <v>132</v>
      </c>
      <c r="E1614" s="84">
        <f>+E1613</f>
        <v>2</v>
      </c>
      <c r="F1614" s="84">
        <f>+F1613</f>
        <v>12</v>
      </c>
      <c r="G1614" s="84">
        <v>0</v>
      </c>
      <c r="H1614" s="214">
        <f>+H1613+1</f>
        <v>1</v>
      </c>
      <c r="I1614" s="188">
        <v>0</v>
      </c>
      <c r="J1614" s="205" t="s">
        <v>767</v>
      </c>
      <c r="K1614" s="18" t="s">
        <v>766</v>
      </c>
      <c r="L1614" s="17" t="s">
        <v>323</v>
      </c>
      <c r="M1614" s="18">
        <v>3</v>
      </c>
      <c r="N1614" s="59"/>
      <c r="O1614" s="18" t="s">
        <v>646</v>
      </c>
      <c r="P1614" s="59"/>
      <c r="Q1614" s="18" t="s">
        <v>1313</v>
      </c>
      <c r="R1614" s="18" t="s">
        <v>247</v>
      </c>
      <c r="S1614" s="97" t="s">
        <v>1312</v>
      </c>
      <c r="T1614" s="17" t="s">
        <v>1293</v>
      </c>
      <c r="U1614" s="17"/>
      <c r="V1614" s="17" t="str">
        <f>+CONCATENATE(E1614,".",F1614,"\",G1614,".",H1614,":",I1614)</f>
        <v>2.12\0.1:0</v>
      </c>
      <c r="W1614" s="17" t="s">
        <v>1292</v>
      </c>
      <c r="X1614" s="17">
        <v>0</v>
      </c>
      <c r="Y1614" s="20"/>
      <c r="Z1614" s="20" t="s">
        <v>1200</v>
      </c>
      <c r="AA1614" s="20"/>
      <c r="AB1614" s="20"/>
      <c r="AC1614" s="20"/>
      <c r="AD1614" s="20"/>
      <c r="AE1614" s="20"/>
      <c r="AF1614" s="20"/>
      <c r="AG1614" s="64" t="s">
        <v>1079</v>
      </c>
      <c r="AH1614" s="64"/>
      <c r="AI1614" s="64">
        <v>1</v>
      </c>
      <c r="AJ1614" s="64"/>
      <c r="AK1614" s="64"/>
      <c r="AL1614" s="264"/>
      <c r="AM1614" s="84"/>
      <c r="AN1614" s="18"/>
      <c r="AO1614" s="18"/>
      <c r="AP1614" s="18"/>
      <c r="AQ1614" s="18"/>
      <c r="AR1614" s="18"/>
      <c r="AS1614" s="18"/>
      <c r="AT1614" s="18"/>
      <c r="AU1614" s="18"/>
      <c r="AV1614" s="18"/>
      <c r="AW1614" s="18"/>
      <c r="AX1614" s="18"/>
      <c r="AY1614" s="18"/>
    </row>
    <row r="1615" spans="1:51" s="33" customFormat="1" ht="14.5" x14ac:dyDescent="0.35">
      <c r="A1615" s="63" t="s">
        <v>194</v>
      </c>
      <c r="B1615" s="17" t="s">
        <v>1158</v>
      </c>
      <c r="C1615" s="18" t="str">
        <f>+C1614</f>
        <v>DIO1</v>
      </c>
      <c r="D1615" s="18">
        <v>132</v>
      </c>
      <c r="E1615" s="84">
        <f>+E1614</f>
        <v>2</v>
      </c>
      <c r="F1615" s="84">
        <f>+F1614</f>
        <v>12</v>
      </c>
      <c r="G1615" s="84">
        <v>0</v>
      </c>
      <c r="H1615" s="200">
        <f>H1614</f>
        <v>1</v>
      </c>
      <c r="I1615" s="187">
        <f>+I1614+1</f>
        <v>1</v>
      </c>
      <c r="J1615" s="205"/>
      <c r="K1615" s="17"/>
      <c r="L1615" s="17" t="s">
        <v>323</v>
      </c>
      <c r="M1615" s="18">
        <v>3</v>
      </c>
      <c r="N1615" s="59"/>
      <c r="O1615" s="97" t="s">
        <v>770</v>
      </c>
      <c r="P1615" s="59"/>
      <c r="Q1615" s="283" t="s">
        <v>1311</v>
      </c>
      <c r="R1615" s="97" t="s">
        <v>211</v>
      </c>
      <c r="S1615" s="97" t="s">
        <v>1310</v>
      </c>
      <c r="T1615" s="17" t="s">
        <v>1293</v>
      </c>
      <c r="U1615" s="17"/>
      <c r="V1615" s="17" t="str">
        <f>+CONCATENATE(E1615,".",F1615,"\",G1615,".",H1615,":",I1615)</f>
        <v>2.12\0.1:1</v>
      </c>
      <c r="W1615" s="17" t="s">
        <v>1292</v>
      </c>
      <c r="X1615" s="17">
        <v>0</v>
      </c>
      <c r="Y1615" s="20"/>
      <c r="Z1615" s="20" t="s">
        <v>1200</v>
      </c>
      <c r="AA1615" s="20"/>
      <c r="AB1615" s="20"/>
      <c r="AC1615" s="20"/>
      <c r="AD1615" s="20"/>
      <c r="AE1615" s="20"/>
      <c r="AF1615" s="20"/>
      <c r="AG1615" s="64" t="s">
        <v>1079</v>
      </c>
      <c r="AH1615" s="64"/>
      <c r="AI1615" s="64">
        <v>2</v>
      </c>
      <c r="AJ1615" s="64"/>
      <c r="AK1615" s="64"/>
      <c r="AL1615" s="282"/>
      <c r="AM1615" s="84"/>
      <c r="AN1615" s="18"/>
      <c r="AO1615" s="18"/>
      <c r="AP1615" s="18"/>
      <c r="AQ1615" s="18"/>
      <c r="AR1615" s="18"/>
      <c r="AS1615" s="18"/>
      <c r="AT1615" s="18"/>
      <c r="AU1615" s="18"/>
      <c r="AV1615" s="18"/>
      <c r="AW1615" s="18"/>
      <c r="AX1615" s="18"/>
      <c r="AY1615" s="18"/>
    </row>
    <row r="1616" spans="1:51" s="33" customFormat="1" ht="14.5" x14ac:dyDescent="0.35">
      <c r="A1616" s="63" t="str">
        <f>A1615</f>
        <v>BCV131</v>
      </c>
      <c r="B1616" s="17" t="s">
        <v>1158</v>
      </c>
      <c r="C1616" s="18" t="str">
        <f>+C1615</f>
        <v>DIO1</v>
      </c>
      <c r="D1616" s="18">
        <v>132</v>
      </c>
      <c r="E1616" s="84">
        <f>+E1615</f>
        <v>2</v>
      </c>
      <c r="F1616" s="84">
        <f>+F1615</f>
        <v>12</v>
      </c>
      <c r="G1616" s="84">
        <v>0</v>
      </c>
      <c r="H1616" s="200">
        <f>H1614</f>
        <v>1</v>
      </c>
      <c r="I1616" s="187">
        <f>+I1615+1</f>
        <v>2</v>
      </c>
      <c r="J1616" s="205"/>
      <c r="K1616" s="79"/>
      <c r="L1616" s="17" t="s">
        <v>323</v>
      </c>
      <c r="M1616" s="18">
        <v>3</v>
      </c>
      <c r="N1616" s="59"/>
      <c r="O1616" s="97" t="s">
        <v>837</v>
      </c>
      <c r="P1616" s="59"/>
      <c r="Q1616" s="17" t="s">
        <v>1309</v>
      </c>
      <c r="R1616" s="97" t="s">
        <v>211</v>
      </c>
      <c r="S1616" s="97" t="s">
        <v>1308</v>
      </c>
      <c r="T1616" s="17" t="s">
        <v>1293</v>
      </c>
      <c r="U1616" s="17"/>
      <c r="V1616" s="17" t="str">
        <f>+CONCATENATE(E1616,".",F1616,"\",G1616,".",H1616,":",I1616)</f>
        <v>2.12\0.1:2</v>
      </c>
      <c r="W1616" s="17" t="s">
        <v>1292</v>
      </c>
      <c r="X1616" s="17">
        <v>0</v>
      </c>
      <c r="Y1616" s="20"/>
      <c r="Z1616" s="20" t="s">
        <v>1200</v>
      </c>
      <c r="AA1616" s="20"/>
      <c r="AB1616" s="20"/>
      <c r="AC1616" s="20"/>
      <c r="AD1616" s="20"/>
      <c r="AE1616" s="20"/>
      <c r="AF1616" s="20"/>
      <c r="AG1616" s="64" t="s">
        <v>1079</v>
      </c>
      <c r="AH1616" s="64"/>
      <c r="AI1616" s="64">
        <v>3</v>
      </c>
      <c r="AJ1616" s="64"/>
      <c r="AK1616" s="64"/>
      <c r="AL1616" s="282"/>
      <c r="AM1616" s="84"/>
      <c r="AN1616" s="18"/>
      <c r="AO1616" s="18"/>
      <c r="AP1616" s="18"/>
      <c r="AQ1616" s="18"/>
      <c r="AR1616" s="18"/>
      <c r="AS1616" s="18"/>
      <c r="AT1616" s="18"/>
      <c r="AU1616" s="18"/>
      <c r="AV1616" s="18"/>
      <c r="AW1616" s="18"/>
      <c r="AX1616" s="18"/>
      <c r="AY1616" s="18"/>
    </row>
    <row r="1617" spans="1:51" s="33" customFormat="1" ht="14.5" x14ac:dyDescent="0.35">
      <c r="A1617" s="63" t="str">
        <f>A1616</f>
        <v>BCV131</v>
      </c>
      <c r="B1617" s="17" t="s">
        <v>1158</v>
      </c>
      <c r="C1617" s="18" t="str">
        <f>+C1616</f>
        <v>DIO1</v>
      </c>
      <c r="D1617" s="18">
        <v>132</v>
      </c>
      <c r="E1617" s="84">
        <f>+E1616</f>
        <v>2</v>
      </c>
      <c r="F1617" s="84">
        <f>+F1616</f>
        <v>12</v>
      </c>
      <c r="G1617" s="84">
        <v>0</v>
      </c>
      <c r="H1617" s="200">
        <f>H1614</f>
        <v>1</v>
      </c>
      <c r="I1617" s="187">
        <f>+I1616+1</f>
        <v>3</v>
      </c>
      <c r="J1617" s="205"/>
      <c r="K1617" s="79"/>
      <c r="L1617" s="17" t="s">
        <v>323</v>
      </c>
      <c r="M1617" s="18">
        <v>3</v>
      </c>
      <c r="N1617" s="59"/>
      <c r="O1617" s="97" t="s">
        <v>832</v>
      </c>
      <c r="P1617" s="59"/>
      <c r="Q1617" s="17" t="s">
        <v>1307</v>
      </c>
      <c r="R1617" s="97" t="s">
        <v>211</v>
      </c>
      <c r="S1617" s="97" t="s">
        <v>1306</v>
      </c>
      <c r="T1617" s="17" t="s">
        <v>1293</v>
      </c>
      <c r="U1617" s="17"/>
      <c r="V1617" s="17" t="str">
        <f>+CONCATENATE(E1617,".",F1617,"\",G1617,".",H1617,":",I1617)</f>
        <v>2.12\0.1:3</v>
      </c>
      <c r="W1617" s="17" t="s">
        <v>1292</v>
      </c>
      <c r="X1617" s="17">
        <v>0</v>
      </c>
      <c r="Y1617" s="20"/>
      <c r="Z1617" s="20" t="s">
        <v>1200</v>
      </c>
      <c r="AA1617" s="20"/>
      <c r="AB1617" s="20"/>
      <c r="AC1617" s="20"/>
      <c r="AD1617" s="20"/>
      <c r="AE1617" s="20"/>
      <c r="AF1617" s="20"/>
      <c r="AG1617" s="64" t="s">
        <v>1079</v>
      </c>
      <c r="AH1617" s="64"/>
      <c r="AI1617" s="64">
        <v>4</v>
      </c>
      <c r="AJ1617" s="64"/>
      <c r="AK1617" s="64"/>
      <c r="AL1617" s="282"/>
      <c r="AM1617" s="84"/>
      <c r="AN1617" s="18"/>
      <c r="AO1617" s="18"/>
      <c r="AP1617" s="18"/>
      <c r="AQ1617" s="18"/>
      <c r="AR1617" s="18"/>
      <c r="AS1617" s="18"/>
      <c r="AT1617" s="18"/>
      <c r="AU1617" s="18"/>
      <c r="AV1617" s="18"/>
      <c r="AW1617" s="18"/>
      <c r="AX1617" s="18"/>
      <c r="AY1617" s="18"/>
    </row>
    <row r="1618" spans="1:51" s="33" customFormat="1" ht="14.5" x14ac:dyDescent="0.35">
      <c r="A1618" s="63" t="str">
        <f>A1617</f>
        <v>BCV131</v>
      </c>
      <c r="B1618" s="17" t="s">
        <v>1158</v>
      </c>
      <c r="C1618" s="18" t="str">
        <f>+C1617</f>
        <v>DIO1</v>
      </c>
      <c r="D1618" s="18">
        <v>132</v>
      </c>
      <c r="E1618" s="84">
        <f>+E1617</f>
        <v>2</v>
      </c>
      <c r="F1618" s="84">
        <f>+F1617</f>
        <v>12</v>
      </c>
      <c r="G1618" s="84">
        <v>0</v>
      </c>
      <c r="H1618" s="200">
        <f>H1615</f>
        <v>1</v>
      </c>
      <c r="I1618" s="187">
        <f>+I1617+1</f>
        <v>4</v>
      </c>
      <c r="J1618" s="205"/>
      <c r="K1618" s="79"/>
      <c r="L1618" s="17" t="s">
        <v>323</v>
      </c>
      <c r="M1618" s="18">
        <v>3</v>
      </c>
      <c r="N1618" s="59"/>
      <c r="O1618" s="97" t="s">
        <v>828</v>
      </c>
      <c r="P1618" s="59"/>
      <c r="Q1618" s="17" t="s">
        <v>1305</v>
      </c>
      <c r="R1618" s="97" t="s">
        <v>211</v>
      </c>
      <c r="S1618" s="97" t="s">
        <v>1304</v>
      </c>
      <c r="T1618" s="17" t="s">
        <v>1293</v>
      </c>
      <c r="U1618" s="17"/>
      <c r="V1618" s="17" t="str">
        <f>+CONCATENATE(E1618,".",F1618,"\",G1618,".",H1618,":",I1618)</f>
        <v>2.12\0.1:4</v>
      </c>
      <c r="W1618" s="17" t="s">
        <v>1292</v>
      </c>
      <c r="X1618" s="17">
        <v>0</v>
      </c>
      <c r="Y1618" s="20"/>
      <c r="Z1618" s="20" t="s">
        <v>1200</v>
      </c>
      <c r="AA1618" s="20"/>
      <c r="AB1618" s="20"/>
      <c r="AC1618" s="20"/>
      <c r="AD1618" s="20"/>
      <c r="AE1618" s="20"/>
      <c r="AF1618" s="20"/>
      <c r="AG1618" s="64" t="s">
        <v>1079</v>
      </c>
      <c r="AH1618" s="64"/>
      <c r="AI1618" s="64">
        <v>5</v>
      </c>
      <c r="AJ1618" s="64"/>
      <c r="AK1618" s="64"/>
      <c r="AL1618" s="264"/>
      <c r="AM1618" s="84"/>
      <c r="AN1618" s="18"/>
      <c r="AO1618" s="18"/>
      <c r="AP1618" s="18"/>
      <c r="AQ1618" s="18"/>
      <c r="AR1618" s="18"/>
      <c r="AS1618" s="18"/>
      <c r="AT1618" s="18"/>
      <c r="AU1618" s="18"/>
      <c r="AV1618" s="18"/>
      <c r="AW1618" s="18"/>
      <c r="AX1618" s="18"/>
      <c r="AY1618" s="18"/>
    </row>
    <row r="1619" spans="1:51" s="33" customFormat="1" ht="14.5" x14ac:dyDescent="0.35">
      <c r="A1619" s="63" t="str">
        <f>A1618</f>
        <v>BCV131</v>
      </c>
      <c r="B1619" s="17" t="s">
        <v>1158</v>
      </c>
      <c r="C1619" s="18" t="str">
        <f>+C1618</f>
        <v>DIO1</v>
      </c>
      <c r="D1619" s="18">
        <v>132</v>
      </c>
      <c r="E1619" s="84">
        <f>+E1618</f>
        <v>2</v>
      </c>
      <c r="F1619" s="84">
        <f>+F1618</f>
        <v>12</v>
      </c>
      <c r="G1619" s="84">
        <v>0</v>
      </c>
      <c r="H1619" s="200">
        <f>H1616</f>
        <v>1</v>
      </c>
      <c r="I1619" s="187">
        <f>+I1618+1</f>
        <v>5</v>
      </c>
      <c r="J1619" s="205"/>
      <c r="K1619" s="79"/>
      <c r="L1619" s="17" t="s">
        <v>323</v>
      </c>
      <c r="M1619" s="18">
        <v>3</v>
      </c>
      <c r="N1619" s="59"/>
      <c r="O1619" s="97" t="s">
        <v>824</v>
      </c>
      <c r="P1619" s="59"/>
      <c r="Q1619" s="17" t="s">
        <v>1303</v>
      </c>
      <c r="R1619" s="97" t="s">
        <v>211</v>
      </c>
      <c r="S1619" s="97" t="s">
        <v>1302</v>
      </c>
      <c r="T1619" s="17" t="s">
        <v>1293</v>
      </c>
      <c r="U1619" s="17"/>
      <c r="V1619" s="17" t="str">
        <f>+CONCATENATE(E1619,".",F1619,"\",G1619,".",H1619,":",I1619)</f>
        <v>2.12\0.1:5</v>
      </c>
      <c r="W1619" s="17" t="s">
        <v>1292</v>
      </c>
      <c r="X1619" s="17">
        <v>0</v>
      </c>
      <c r="Y1619" s="20"/>
      <c r="Z1619" s="20" t="s">
        <v>1200</v>
      </c>
      <c r="AA1619" s="20"/>
      <c r="AB1619" s="20"/>
      <c r="AC1619" s="20"/>
      <c r="AD1619" s="20"/>
      <c r="AE1619" s="20"/>
      <c r="AF1619" s="20"/>
      <c r="AG1619" s="64" t="s">
        <v>1079</v>
      </c>
      <c r="AH1619" s="64"/>
      <c r="AI1619" s="64">
        <v>6</v>
      </c>
      <c r="AJ1619" s="64"/>
      <c r="AK1619" s="64"/>
      <c r="AL1619" s="264"/>
      <c r="AM1619" s="84"/>
      <c r="AN1619" s="18"/>
      <c r="AO1619" s="18"/>
      <c r="AP1619" s="18"/>
      <c r="AQ1619" s="18"/>
      <c r="AR1619" s="18"/>
      <c r="AS1619" s="18"/>
      <c r="AT1619" s="18"/>
      <c r="AU1619" s="18"/>
      <c r="AV1619" s="18"/>
      <c r="AW1619" s="18"/>
      <c r="AX1619" s="18"/>
      <c r="AY1619" s="18"/>
    </row>
    <row r="1620" spans="1:51" s="33" customFormat="1" ht="14.5" x14ac:dyDescent="0.35">
      <c r="A1620" s="63" t="str">
        <f>A1619</f>
        <v>BCV131</v>
      </c>
      <c r="B1620" s="17" t="s">
        <v>1158</v>
      </c>
      <c r="C1620" s="18" t="str">
        <f>+C1619</f>
        <v>DIO1</v>
      </c>
      <c r="D1620" s="18">
        <v>132</v>
      </c>
      <c r="E1620" s="84">
        <f>+E1619</f>
        <v>2</v>
      </c>
      <c r="F1620" s="84">
        <f>+F1619</f>
        <v>12</v>
      </c>
      <c r="G1620" s="84">
        <v>0</v>
      </c>
      <c r="H1620" s="200">
        <f>H1617</f>
        <v>1</v>
      </c>
      <c r="I1620" s="187">
        <f>+I1619+1</f>
        <v>6</v>
      </c>
      <c r="J1620" s="205"/>
      <c r="K1620" s="79"/>
      <c r="L1620" s="17" t="s">
        <v>323</v>
      </c>
      <c r="M1620" s="18">
        <v>3</v>
      </c>
      <c r="N1620" s="59"/>
      <c r="O1620" s="97" t="s">
        <v>820</v>
      </c>
      <c r="P1620" s="59"/>
      <c r="Q1620" s="17" t="s">
        <v>1301</v>
      </c>
      <c r="R1620" s="97" t="s">
        <v>211</v>
      </c>
      <c r="S1620" s="97" t="s">
        <v>1300</v>
      </c>
      <c r="T1620" s="17" t="s">
        <v>1293</v>
      </c>
      <c r="U1620" s="17"/>
      <c r="V1620" s="17" t="str">
        <f>+CONCATENATE(E1620,".",F1620,"\",G1620,".",H1620,":",I1620)</f>
        <v>2.12\0.1:6</v>
      </c>
      <c r="W1620" s="17" t="s">
        <v>1292</v>
      </c>
      <c r="X1620" s="17">
        <v>0</v>
      </c>
      <c r="Y1620" s="20"/>
      <c r="Z1620" s="20" t="s">
        <v>1200</v>
      </c>
      <c r="AA1620" s="20"/>
      <c r="AB1620" s="20"/>
      <c r="AC1620" s="20"/>
      <c r="AD1620" s="20"/>
      <c r="AE1620" s="20"/>
      <c r="AF1620" s="20"/>
      <c r="AG1620" s="64" t="s">
        <v>1079</v>
      </c>
      <c r="AH1620" s="64"/>
      <c r="AI1620" s="64">
        <v>7</v>
      </c>
      <c r="AJ1620" s="64"/>
      <c r="AK1620" s="64"/>
      <c r="AL1620" s="264"/>
      <c r="AM1620" s="84"/>
      <c r="AN1620" s="18"/>
      <c r="AO1620" s="18"/>
      <c r="AP1620" s="18"/>
      <c r="AQ1620" s="18"/>
      <c r="AR1620" s="18"/>
      <c r="AS1620" s="18"/>
      <c r="AT1620" s="18"/>
      <c r="AU1620" s="18"/>
      <c r="AV1620" s="18"/>
      <c r="AW1620" s="18"/>
      <c r="AX1620" s="18"/>
      <c r="AY1620" s="18"/>
    </row>
    <row r="1621" spans="1:51" s="33" customFormat="1" ht="14.5" x14ac:dyDescent="0.35">
      <c r="A1621" s="63" t="str">
        <f>A1620</f>
        <v>BCV131</v>
      </c>
      <c r="B1621" s="17" t="s">
        <v>1158</v>
      </c>
      <c r="C1621" s="18" t="str">
        <f>+C1620</f>
        <v>DIO1</v>
      </c>
      <c r="D1621" s="18">
        <v>132</v>
      </c>
      <c r="E1621" s="84">
        <f>+E1620</f>
        <v>2</v>
      </c>
      <c r="F1621" s="84">
        <f>+F1620</f>
        <v>12</v>
      </c>
      <c r="G1621" s="84">
        <v>0</v>
      </c>
      <c r="H1621" s="200">
        <f>H1618</f>
        <v>1</v>
      </c>
      <c r="I1621" s="187">
        <f>+I1620+1</f>
        <v>7</v>
      </c>
      <c r="J1621" s="205"/>
      <c r="K1621" s="79"/>
      <c r="L1621" s="17" t="s">
        <v>323</v>
      </c>
      <c r="M1621" s="18">
        <v>3</v>
      </c>
      <c r="N1621" s="59"/>
      <c r="O1621" s="97" t="s">
        <v>817</v>
      </c>
      <c r="P1621" s="59"/>
      <c r="Q1621" s="17" t="s">
        <v>1299</v>
      </c>
      <c r="R1621" s="97" t="s">
        <v>211</v>
      </c>
      <c r="S1621" s="97" t="s">
        <v>976</v>
      </c>
      <c r="T1621" s="17" t="s">
        <v>1293</v>
      </c>
      <c r="U1621" s="17"/>
      <c r="V1621" s="17" t="str">
        <f>+CONCATENATE(E1621,".",F1621,"\",G1621,".",H1621,":",I1621)</f>
        <v>2.12\0.1:7</v>
      </c>
      <c r="W1621" s="17" t="s">
        <v>1292</v>
      </c>
      <c r="X1621" s="17">
        <v>0</v>
      </c>
      <c r="Y1621" s="20"/>
      <c r="Z1621" s="20" t="s">
        <v>1200</v>
      </c>
      <c r="AA1621" s="20"/>
      <c r="AB1621" s="20"/>
      <c r="AC1621" s="20"/>
      <c r="AD1621" s="20"/>
      <c r="AE1621" s="20"/>
      <c r="AF1621" s="20"/>
      <c r="AG1621" s="64" t="s">
        <v>1079</v>
      </c>
      <c r="AH1621" s="64"/>
      <c r="AI1621" s="64">
        <v>8</v>
      </c>
      <c r="AJ1621" s="64"/>
      <c r="AK1621" s="64"/>
      <c r="AL1621" s="264"/>
      <c r="AM1621" s="84"/>
      <c r="AN1621" s="18"/>
      <c r="AO1621" s="18"/>
      <c r="AP1621" s="18"/>
      <c r="AQ1621" s="18"/>
      <c r="AR1621" s="18"/>
      <c r="AS1621" s="18"/>
      <c r="AT1621" s="18"/>
      <c r="AU1621" s="18"/>
      <c r="AV1621" s="18"/>
      <c r="AW1621" s="18"/>
      <c r="AX1621" s="18"/>
      <c r="AY1621" s="18"/>
    </row>
    <row r="1622" spans="1:51" s="33" customFormat="1" ht="14.5" x14ac:dyDescent="0.35">
      <c r="A1622" s="63" t="str">
        <f>A1621</f>
        <v>BCV131</v>
      </c>
      <c r="B1622" s="17" t="s">
        <v>1158</v>
      </c>
      <c r="C1622" s="18" t="str">
        <f>+C1621</f>
        <v>DIO1</v>
      </c>
      <c r="D1622" s="18">
        <v>132</v>
      </c>
      <c r="E1622" s="84">
        <f>+E1621</f>
        <v>2</v>
      </c>
      <c r="F1622" s="84">
        <f>+F1621</f>
        <v>12</v>
      </c>
      <c r="G1622" s="84">
        <v>0</v>
      </c>
      <c r="H1622" s="200">
        <f>H1619</f>
        <v>1</v>
      </c>
      <c r="I1622" s="187">
        <f>+I1621+1</f>
        <v>8</v>
      </c>
      <c r="J1622" s="205"/>
      <c r="K1622" s="79"/>
      <c r="L1622" s="17" t="s">
        <v>323</v>
      </c>
      <c r="M1622" s="18">
        <v>3</v>
      </c>
      <c r="N1622" s="59"/>
      <c r="O1622" s="97" t="s">
        <v>814</v>
      </c>
      <c r="P1622" s="59"/>
      <c r="Q1622" s="17" t="s">
        <v>1295</v>
      </c>
      <c r="R1622" s="97" t="s">
        <v>211</v>
      </c>
      <c r="S1622" s="97" t="s">
        <v>1298</v>
      </c>
      <c r="T1622" s="17" t="s">
        <v>1293</v>
      </c>
      <c r="U1622" s="17"/>
      <c r="V1622" s="17" t="str">
        <f>+CONCATENATE(E1622,".",F1622,"\",G1622,".",H1622,":",I1622)</f>
        <v>2.12\0.1:8</v>
      </c>
      <c r="W1622" s="17" t="s">
        <v>1292</v>
      </c>
      <c r="X1622" s="17">
        <v>0</v>
      </c>
      <c r="Y1622" s="20"/>
      <c r="Z1622" s="20" t="s">
        <v>1200</v>
      </c>
      <c r="AA1622" s="20"/>
      <c r="AB1622" s="20"/>
      <c r="AC1622" s="20"/>
      <c r="AD1622" s="20"/>
      <c r="AE1622" s="20"/>
      <c r="AF1622" s="20"/>
      <c r="AG1622" s="64" t="s">
        <v>1079</v>
      </c>
      <c r="AH1622" s="64"/>
      <c r="AI1622" s="64">
        <v>9</v>
      </c>
      <c r="AJ1622" s="64"/>
      <c r="AK1622" s="64"/>
      <c r="AL1622" s="264"/>
      <c r="AM1622" s="84"/>
      <c r="AN1622" s="18"/>
      <c r="AO1622" s="18"/>
      <c r="AP1622" s="18"/>
      <c r="AQ1622" s="18"/>
      <c r="AR1622" s="18"/>
      <c r="AS1622" s="18"/>
      <c r="AT1622" s="18"/>
      <c r="AU1622" s="18"/>
      <c r="AV1622" s="18"/>
      <c r="AW1622" s="18"/>
      <c r="AX1622" s="18"/>
      <c r="AY1622" s="18"/>
    </row>
    <row r="1623" spans="1:51" s="33" customFormat="1" ht="14.5" x14ac:dyDescent="0.35">
      <c r="A1623" s="63" t="str">
        <f>A1622</f>
        <v>BCV131</v>
      </c>
      <c r="B1623" s="17" t="s">
        <v>1158</v>
      </c>
      <c r="C1623" s="18" t="str">
        <f>+C1622</f>
        <v>DIO1</v>
      </c>
      <c r="D1623" s="18">
        <v>132</v>
      </c>
      <c r="E1623" s="84">
        <f>+E1622</f>
        <v>2</v>
      </c>
      <c r="F1623" s="84">
        <f>+F1622</f>
        <v>12</v>
      </c>
      <c r="G1623" s="84">
        <v>0</v>
      </c>
      <c r="H1623" s="200">
        <f>H1620</f>
        <v>1</v>
      </c>
      <c r="I1623" s="187">
        <f>+I1622+1</f>
        <v>9</v>
      </c>
      <c r="J1623" s="205"/>
      <c r="K1623" s="79"/>
      <c r="L1623" s="17" t="s">
        <v>323</v>
      </c>
      <c r="M1623" s="18">
        <v>3</v>
      </c>
      <c r="N1623" s="59"/>
      <c r="O1623" s="97" t="s">
        <v>811</v>
      </c>
      <c r="P1623" s="59"/>
      <c r="Q1623" s="17" t="s">
        <v>1295</v>
      </c>
      <c r="R1623" s="97" t="s">
        <v>211</v>
      </c>
      <c r="S1623" s="97" t="s">
        <v>1297</v>
      </c>
      <c r="T1623" s="17" t="s">
        <v>1293</v>
      </c>
      <c r="U1623" s="17"/>
      <c r="V1623" s="17" t="str">
        <f>+CONCATENATE(E1623,".",F1623,"\",G1623,".",H1623,":",I1623)</f>
        <v>2.12\0.1:9</v>
      </c>
      <c r="W1623" s="17" t="s">
        <v>1292</v>
      </c>
      <c r="X1623" s="17">
        <v>0</v>
      </c>
      <c r="Y1623" s="20"/>
      <c r="Z1623" s="20" t="s">
        <v>1200</v>
      </c>
      <c r="AA1623" s="20"/>
      <c r="AB1623" s="20"/>
      <c r="AC1623" s="20"/>
      <c r="AD1623" s="20"/>
      <c r="AE1623" s="20"/>
      <c r="AF1623" s="20"/>
      <c r="AG1623" s="64" t="s">
        <v>1079</v>
      </c>
      <c r="AH1623" s="64"/>
      <c r="AI1623" s="64">
        <v>10</v>
      </c>
      <c r="AJ1623" s="64"/>
      <c r="AK1623" s="64"/>
      <c r="AL1623" s="264"/>
      <c r="AM1623" s="84"/>
      <c r="AN1623" s="18"/>
      <c r="AO1623" s="18"/>
      <c r="AP1623" s="18"/>
      <c r="AQ1623" s="18"/>
      <c r="AR1623" s="18"/>
      <c r="AS1623" s="18"/>
      <c r="AT1623" s="18"/>
      <c r="AU1623" s="18"/>
      <c r="AV1623" s="18"/>
      <c r="AW1623" s="18"/>
      <c r="AX1623" s="18"/>
      <c r="AY1623" s="18"/>
    </row>
    <row r="1624" spans="1:51" s="33" customFormat="1" ht="14.5" x14ac:dyDescent="0.35">
      <c r="A1624" s="63" t="str">
        <f>A1623</f>
        <v>BCV131</v>
      </c>
      <c r="B1624" s="17" t="s">
        <v>1158</v>
      </c>
      <c r="C1624" s="18" t="str">
        <f>+C1623</f>
        <v>DIO1</v>
      </c>
      <c r="D1624" s="18">
        <v>132</v>
      </c>
      <c r="E1624" s="84">
        <f>+E1623</f>
        <v>2</v>
      </c>
      <c r="F1624" s="84">
        <f>+F1623</f>
        <v>12</v>
      </c>
      <c r="G1624" s="84">
        <v>0</v>
      </c>
      <c r="H1624" s="200">
        <f>H1621</f>
        <v>1</v>
      </c>
      <c r="I1624" s="187">
        <f>+I1623+1</f>
        <v>10</v>
      </c>
      <c r="J1624" s="205"/>
      <c r="K1624" s="79"/>
      <c r="L1624" s="17" t="s">
        <v>323</v>
      </c>
      <c r="M1624" s="18">
        <v>3</v>
      </c>
      <c r="N1624" s="59"/>
      <c r="O1624" s="97" t="s">
        <v>808</v>
      </c>
      <c r="P1624" s="59"/>
      <c r="Q1624" s="17" t="s">
        <v>1295</v>
      </c>
      <c r="R1624" s="97" t="s">
        <v>211</v>
      </c>
      <c r="S1624" s="97" t="s">
        <v>1296</v>
      </c>
      <c r="T1624" s="17" t="s">
        <v>1293</v>
      </c>
      <c r="U1624" s="17"/>
      <c r="V1624" s="17" t="str">
        <f>+CONCATENATE(E1624,".",F1624,"\",G1624,".",H1624,":",I1624)</f>
        <v>2.12\0.1:10</v>
      </c>
      <c r="W1624" s="17" t="s">
        <v>1292</v>
      </c>
      <c r="X1624" s="17">
        <v>0</v>
      </c>
      <c r="Y1624" s="20"/>
      <c r="Z1624" s="20" t="s">
        <v>1200</v>
      </c>
      <c r="AA1624" s="20"/>
      <c r="AB1624" s="20"/>
      <c r="AC1624" s="20"/>
      <c r="AD1624" s="20"/>
      <c r="AE1624" s="20"/>
      <c r="AF1624" s="20"/>
      <c r="AG1624" s="64" t="s">
        <v>1079</v>
      </c>
      <c r="AH1624" s="64"/>
      <c r="AI1624" s="64">
        <v>11</v>
      </c>
      <c r="AJ1624" s="64"/>
      <c r="AK1624" s="64"/>
      <c r="AL1624" s="264"/>
      <c r="AM1624" s="84"/>
      <c r="AN1624" s="18"/>
      <c r="AO1624" s="18"/>
      <c r="AP1624" s="18"/>
      <c r="AQ1624" s="18"/>
      <c r="AR1624" s="18"/>
      <c r="AS1624" s="18"/>
      <c r="AT1624" s="18"/>
      <c r="AU1624" s="18"/>
      <c r="AV1624" s="18"/>
      <c r="AW1624" s="18"/>
      <c r="AX1624" s="18"/>
      <c r="AY1624" s="18"/>
    </row>
    <row r="1625" spans="1:51" s="33" customFormat="1" ht="14.5" x14ac:dyDescent="0.35">
      <c r="A1625" s="63" t="str">
        <f>A1624</f>
        <v>BCV131</v>
      </c>
      <c r="B1625" s="17" t="s">
        <v>1158</v>
      </c>
      <c r="C1625" s="18" t="str">
        <f>+C1624</f>
        <v>DIO1</v>
      </c>
      <c r="D1625" s="18">
        <v>132</v>
      </c>
      <c r="E1625" s="84">
        <f>+E1624</f>
        <v>2</v>
      </c>
      <c r="F1625" s="84">
        <f>+F1624</f>
        <v>12</v>
      </c>
      <c r="G1625" s="84">
        <v>0</v>
      </c>
      <c r="H1625" s="200">
        <f>H1622</f>
        <v>1</v>
      </c>
      <c r="I1625" s="187">
        <f>+I1624+1</f>
        <v>11</v>
      </c>
      <c r="J1625" s="205"/>
      <c r="K1625" s="79"/>
      <c r="L1625" s="17" t="s">
        <v>323</v>
      </c>
      <c r="M1625" s="18">
        <v>3</v>
      </c>
      <c r="N1625" s="59"/>
      <c r="O1625" s="97" t="s">
        <v>805</v>
      </c>
      <c r="P1625" s="59"/>
      <c r="Q1625" s="281" t="s">
        <v>1295</v>
      </c>
      <c r="R1625" s="97" t="s">
        <v>211</v>
      </c>
      <c r="S1625" s="97" t="s">
        <v>1294</v>
      </c>
      <c r="T1625" s="17" t="s">
        <v>1293</v>
      </c>
      <c r="U1625" s="17"/>
      <c r="V1625" s="17" t="str">
        <f>+CONCATENATE(E1625,".",F1625,"\",G1625,".",H1625,":",I1625)</f>
        <v>2.12\0.1:11</v>
      </c>
      <c r="W1625" s="17" t="s">
        <v>1292</v>
      </c>
      <c r="X1625" s="17">
        <v>0</v>
      </c>
      <c r="Y1625" s="20"/>
      <c r="Z1625" s="20" t="s">
        <v>1200</v>
      </c>
      <c r="AA1625" s="20"/>
      <c r="AB1625" s="20"/>
      <c r="AC1625" s="20"/>
      <c r="AD1625" s="20"/>
      <c r="AE1625" s="20"/>
      <c r="AF1625" s="20"/>
      <c r="AG1625" s="64" t="s">
        <v>1079</v>
      </c>
      <c r="AH1625" s="64"/>
      <c r="AI1625" s="64">
        <v>12</v>
      </c>
      <c r="AJ1625" s="64"/>
      <c r="AK1625" s="64"/>
      <c r="AL1625" s="264"/>
      <c r="AM1625" s="84"/>
      <c r="AN1625" s="18"/>
      <c r="AO1625" s="18"/>
      <c r="AP1625" s="18"/>
      <c r="AQ1625" s="18"/>
      <c r="AR1625" s="18"/>
      <c r="AS1625" s="18"/>
      <c r="AT1625" s="18"/>
      <c r="AU1625" s="18"/>
      <c r="AV1625" s="18"/>
      <c r="AW1625" s="18"/>
      <c r="AX1625" s="18"/>
      <c r="AY1625" s="18"/>
    </row>
    <row r="1626" spans="1:51" s="33" customFormat="1" ht="14.5" x14ac:dyDescent="0.35">
      <c r="A1626" s="63" t="str">
        <f>A1625</f>
        <v>BCV131</v>
      </c>
      <c r="B1626" s="17" t="s">
        <v>1158</v>
      </c>
      <c r="C1626" s="18" t="str">
        <f>+C1625</f>
        <v>DIO1</v>
      </c>
      <c r="D1626" s="18">
        <v>132</v>
      </c>
      <c r="E1626" s="84">
        <f>+E1625</f>
        <v>2</v>
      </c>
      <c r="F1626" s="84">
        <f>+F1625</f>
        <v>12</v>
      </c>
      <c r="G1626" s="84">
        <v>0</v>
      </c>
      <c r="H1626" s="200">
        <f>H1623</f>
        <v>1</v>
      </c>
      <c r="I1626" s="187">
        <f>+I1625+1</f>
        <v>12</v>
      </c>
      <c r="J1626" s="205"/>
      <c r="K1626" s="79"/>
      <c r="L1626" s="17" t="s">
        <v>323</v>
      </c>
      <c r="M1626" s="18"/>
      <c r="N1626" s="59"/>
      <c r="O1626" s="97"/>
      <c r="P1626" s="59"/>
      <c r="Q1626" s="17" t="s">
        <v>127</v>
      </c>
      <c r="R1626" s="97" t="s">
        <v>127</v>
      </c>
      <c r="S1626" s="18"/>
      <c r="T1626" s="17"/>
      <c r="U1626" s="17"/>
      <c r="V1626" s="17" t="str">
        <f>+CONCATENATE(E1626,".",F1626,"\",G1626,".",H1626,":",I1626)</f>
        <v>2.12\0.1:12</v>
      </c>
      <c r="W1626" s="17"/>
      <c r="X1626" s="17"/>
      <c r="Y1626" s="20"/>
      <c r="Z1626" s="20" t="s">
        <v>1159</v>
      </c>
      <c r="AA1626" s="20"/>
      <c r="AB1626" s="20"/>
      <c r="AC1626" s="20"/>
      <c r="AD1626" s="20"/>
      <c r="AE1626" s="20"/>
      <c r="AF1626" s="20"/>
      <c r="AG1626" s="64" t="s">
        <v>1079</v>
      </c>
      <c r="AH1626" s="64"/>
      <c r="AI1626" s="64">
        <v>13</v>
      </c>
      <c r="AJ1626" s="64"/>
      <c r="AK1626" s="64"/>
      <c r="AL1626" s="264"/>
      <c r="AM1626" s="84"/>
      <c r="AN1626" s="18"/>
      <c r="AO1626" s="18"/>
      <c r="AP1626" s="18"/>
      <c r="AQ1626" s="18"/>
      <c r="AR1626" s="18"/>
      <c r="AS1626" s="18"/>
      <c r="AT1626" s="18"/>
      <c r="AU1626" s="18"/>
      <c r="AV1626" s="18"/>
      <c r="AW1626" s="18"/>
      <c r="AX1626" s="18"/>
      <c r="AY1626" s="18"/>
    </row>
    <row r="1627" spans="1:51" s="33" customFormat="1" ht="14.5" x14ac:dyDescent="0.35">
      <c r="A1627" s="63" t="str">
        <f>A1626</f>
        <v>BCV131</v>
      </c>
      <c r="B1627" s="17" t="s">
        <v>1158</v>
      </c>
      <c r="C1627" s="18" t="str">
        <f>+C1626</f>
        <v>DIO1</v>
      </c>
      <c r="D1627" s="18">
        <v>132</v>
      </c>
      <c r="E1627" s="84">
        <f>+E1626</f>
        <v>2</v>
      </c>
      <c r="F1627" s="84">
        <f>+F1626</f>
        <v>12</v>
      </c>
      <c r="G1627" s="84">
        <v>0</v>
      </c>
      <c r="H1627" s="200">
        <f>H1624</f>
        <v>1</v>
      </c>
      <c r="I1627" s="187">
        <f>+I1626+1</f>
        <v>13</v>
      </c>
      <c r="J1627" s="205"/>
      <c r="K1627" s="79"/>
      <c r="L1627" s="17" t="s">
        <v>323</v>
      </c>
      <c r="M1627" s="18"/>
      <c r="N1627" s="59"/>
      <c r="O1627" s="97"/>
      <c r="P1627" s="59"/>
      <c r="Q1627" s="17" t="s">
        <v>127</v>
      </c>
      <c r="R1627" s="97" t="s">
        <v>127</v>
      </c>
      <c r="S1627" s="18"/>
      <c r="T1627" s="17"/>
      <c r="U1627" s="17"/>
      <c r="V1627" s="17" t="str">
        <f>+CONCATENATE(E1627,".",F1627,"\",G1627,".",H1627,":",I1627)</f>
        <v>2.12\0.1:13</v>
      </c>
      <c r="W1627" s="17"/>
      <c r="X1627" s="17"/>
      <c r="Y1627" s="20"/>
      <c r="Z1627" s="20" t="s">
        <v>1159</v>
      </c>
      <c r="AA1627" s="20"/>
      <c r="AB1627" s="20"/>
      <c r="AC1627" s="20"/>
      <c r="AD1627" s="20"/>
      <c r="AE1627" s="20"/>
      <c r="AF1627" s="20"/>
      <c r="AG1627" s="64" t="s">
        <v>1079</v>
      </c>
      <c r="AH1627" s="64"/>
      <c r="AI1627" s="64">
        <v>14</v>
      </c>
      <c r="AJ1627" s="64"/>
      <c r="AK1627" s="64"/>
      <c r="AL1627" s="264"/>
      <c r="AM1627" s="84"/>
      <c r="AN1627" s="18"/>
      <c r="AO1627" s="18"/>
      <c r="AP1627" s="18"/>
      <c r="AQ1627" s="18"/>
      <c r="AR1627" s="18"/>
      <c r="AS1627" s="18"/>
      <c r="AT1627" s="18"/>
      <c r="AU1627" s="18"/>
      <c r="AV1627" s="18"/>
      <c r="AW1627" s="18"/>
      <c r="AX1627" s="18"/>
      <c r="AY1627" s="18"/>
    </row>
    <row r="1628" spans="1:51" s="33" customFormat="1" ht="14.5" x14ac:dyDescent="0.35">
      <c r="A1628" s="63" t="str">
        <f>A1627</f>
        <v>BCV131</v>
      </c>
      <c r="B1628" s="17" t="s">
        <v>1158</v>
      </c>
      <c r="C1628" s="18" t="str">
        <f>+C1627</f>
        <v>DIO1</v>
      </c>
      <c r="D1628" s="18">
        <v>132</v>
      </c>
      <c r="E1628" s="84">
        <f>+E1627</f>
        <v>2</v>
      </c>
      <c r="F1628" s="84">
        <f>+F1627</f>
        <v>12</v>
      </c>
      <c r="G1628" s="84">
        <v>0</v>
      </c>
      <c r="H1628" s="200">
        <f>H1625</f>
        <v>1</v>
      </c>
      <c r="I1628" s="187">
        <f>+I1627+1</f>
        <v>14</v>
      </c>
      <c r="J1628" s="205"/>
      <c r="K1628" s="79"/>
      <c r="L1628" s="17" t="s">
        <v>323</v>
      </c>
      <c r="M1628" s="18"/>
      <c r="N1628" s="59"/>
      <c r="O1628" s="97"/>
      <c r="P1628" s="59"/>
      <c r="Q1628" s="17" t="s">
        <v>127</v>
      </c>
      <c r="R1628" s="97" t="s">
        <v>127</v>
      </c>
      <c r="S1628" s="18"/>
      <c r="T1628" s="17"/>
      <c r="U1628" s="17"/>
      <c r="V1628" s="17" t="str">
        <f>+CONCATENATE(E1628,".",F1628,"\",G1628,".",H1628,":",I1628)</f>
        <v>2.12\0.1:14</v>
      </c>
      <c r="W1628" s="17"/>
      <c r="X1628" s="17"/>
      <c r="Y1628" s="20"/>
      <c r="Z1628" s="20" t="s">
        <v>1159</v>
      </c>
      <c r="AA1628" s="20"/>
      <c r="AB1628" s="20"/>
      <c r="AC1628" s="20"/>
      <c r="AD1628" s="20"/>
      <c r="AE1628" s="20"/>
      <c r="AF1628" s="20"/>
      <c r="AG1628" s="64" t="s">
        <v>1079</v>
      </c>
      <c r="AH1628" s="64"/>
      <c r="AI1628" s="64">
        <v>15</v>
      </c>
      <c r="AJ1628" s="64"/>
      <c r="AK1628" s="64"/>
      <c r="AL1628" s="264"/>
      <c r="AM1628" s="84"/>
      <c r="AN1628" s="18"/>
      <c r="AO1628" s="18"/>
      <c r="AP1628" s="18"/>
      <c r="AQ1628" s="18"/>
      <c r="AR1628" s="18"/>
      <c r="AS1628" s="18"/>
      <c r="AT1628" s="18"/>
      <c r="AU1628" s="18"/>
      <c r="AV1628" s="18"/>
      <c r="AW1628" s="18"/>
      <c r="AX1628" s="18"/>
      <c r="AY1628" s="18"/>
    </row>
    <row r="1629" spans="1:51" s="33" customFormat="1" ht="14.5" x14ac:dyDescent="0.35">
      <c r="A1629" s="63" t="str">
        <f>A1628</f>
        <v>BCV131</v>
      </c>
      <c r="B1629" s="17" t="s">
        <v>1158</v>
      </c>
      <c r="C1629" s="18" t="str">
        <f>+C1628</f>
        <v>DIO1</v>
      </c>
      <c r="D1629" s="18">
        <v>132</v>
      </c>
      <c r="E1629" s="84">
        <f>+E1628</f>
        <v>2</v>
      </c>
      <c r="F1629" s="84">
        <f>+F1628</f>
        <v>12</v>
      </c>
      <c r="G1629" s="84">
        <v>0</v>
      </c>
      <c r="H1629" s="200">
        <f>H1625</f>
        <v>1</v>
      </c>
      <c r="I1629" s="187">
        <f>+I1628+1</f>
        <v>15</v>
      </c>
      <c r="J1629" s="205"/>
      <c r="K1629" s="79"/>
      <c r="L1629" s="17" t="s">
        <v>323</v>
      </c>
      <c r="M1629" s="18"/>
      <c r="N1629" s="59"/>
      <c r="O1629" s="97"/>
      <c r="P1629" s="59"/>
      <c r="Q1629" s="18" t="s">
        <v>127</v>
      </c>
      <c r="R1629" s="97" t="s">
        <v>127</v>
      </c>
      <c r="S1629" s="18"/>
      <c r="T1629" s="17"/>
      <c r="U1629" s="17"/>
      <c r="V1629" s="17" t="str">
        <f>+CONCATENATE(E1629,".",F1629,"\",G1629,".",H1629,":",I1629)</f>
        <v>2.12\0.1:15</v>
      </c>
      <c r="W1629" s="17"/>
      <c r="X1629" s="17"/>
      <c r="Y1629" s="20"/>
      <c r="Z1629" s="20" t="s">
        <v>1159</v>
      </c>
      <c r="AA1629" s="20"/>
      <c r="AB1629" s="20"/>
      <c r="AC1629" s="20"/>
      <c r="AD1629" s="20"/>
      <c r="AE1629" s="20"/>
      <c r="AF1629" s="20"/>
      <c r="AG1629" s="64" t="s">
        <v>1079</v>
      </c>
      <c r="AH1629" s="64"/>
      <c r="AI1629" s="64">
        <v>16</v>
      </c>
      <c r="AJ1629" s="64"/>
      <c r="AK1629" s="64"/>
      <c r="AL1629" s="264"/>
      <c r="AM1629" s="84"/>
      <c r="AN1629" s="18"/>
      <c r="AO1629" s="18"/>
      <c r="AP1629" s="18"/>
      <c r="AQ1629" s="18"/>
      <c r="AR1629" s="18"/>
      <c r="AS1629" s="18"/>
      <c r="AT1629" s="18"/>
      <c r="AU1629" s="18"/>
      <c r="AV1629" s="18"/>
      <c r="AW1629" s="18"/>
      <c r="AX1629" s="18"/>
      <c r="AY1629" s="18"/>
    </row>
    <row r="1630" spans="1:51" s="33" customFormat="1" ht="14.5" x14ac:dyDescent="0.35">
      <c r="A1630" s="63" t="str">
        <f>A1629</f>
        <v>BCV131</v>
      </c>
      <c r="B1630" s="17" t="s">
        <v>1158</v>
      </c>
      <c r="C1630" s="18" t="str">
        <f>+C1629</f>
        <v>DIO1</v>
      </c>
      <c r="D1630" s="18">
        <v>132</v>
      </c>
      <c r="E1630" s="84">
        <f>+E1629</f>
        <v>2</v>
      </c>
      <c r="F1630" s="84">
        <f>+F1629</f>
        <v>12</v>
      </c>
      <c r="G1630" s="84">
        <v>0</v>
      </c>
      <c r="H1630" s="200">
        <f>H1626</f>
        <v>1</v>
      </c>
      <c r="I1630" s="187">
        <f>+I1629+1</f>
        <v>16</v>
      </c>
      <c r="J1630" s="205"/>
      <c r="K1630" s="18"/>
      <c r="L1630" s="17" t="s">
        <v>323</v>
      </c>
      <c r="M1630" s="18">
        <v>4</v>
      </c>
      <c r="N1630" s="59" t="s">
        <v>1291</v>
      </c>
      <c r="O1630" s="68" t="s">
        <v>1290</v>
      </c>
      <c r="P1630" s="59"/>
      <c r="Q1630" s="68" t="s">
        <v>1289</v>
      </c>
      <c r="R1630" s="17" t="s">
        <v>211</v>
      </c>
      <c r="S1630" s="68"/>
      <c r="T1630" s="17" t="s">
        <v>194</v>
      </c>
      <c r="U1630" s="17"/>
      <c r="V1630" s="17" t="str">
        <f>+CONCATENATE(E1630,".",F1630,"\",G1630,".",H1630,":",I1630)</f>
        <v>2.12\0.1:16</v>
      </c>
      <c r="W1630" s="272" t="s">
        <v>1247</v>
      </c>
      <c r="X1630" s="272">
        <v>0</v>
      </c>
      <c r="Y1630" s="20"/>
      <c r="Z1630" s="20" t="s">
        <v>1159</v>
      </c>
      <c r="AA1630" s="20"/>
      <c r="AB1630" s="20"/>
      <c r="AC1630" s="20"/>
      <c r="AD1630" s="20"/>
      <c r="AE1630" s="20"/>
      <c r="AF1630" s="20"/>
      <c r="AG1630" s="64" t="s">
        <v>1079</v>
      </c>
      <c r="AH1630" s="64">
        <v>17</v>
      </c>
      <c r="AI1630" s="64">
        <v>18</v>
      </c>
      <c r="AJ1630" s="64"/>
      <c r="AK1630" s="64"/>
      <c r="AL1630" s="264"/>
      <c r="AM1630" s="84"/>
      <c r="AN1630" s="18"/>
      <c r="AO1630" s="18"/>
      <c r="AP1630" s="18"/>
      <c r="AQ1630" s="18"/>
      <c r="AR1630" s="18"/>
      <c r="AS1630" s="18"/>
      <c r="AT1630" s="18"/>
      <c r="AU1630" s="18"/>
      <c r="AV1630" s="18"/>
      <c r="AW1630" s="18"/>
      <c r="AX1630" s="18"/>
      <c r="AY1630" s="18"/>
    </row>
    <row r="1631" spans="1:51" s="33" customFormat="1" ht="14.5" x14ac:dyDescent="0.35">
      <c r="A1631" s="63" t="str">
        <f>A1630</f>
        <v>BCV131</v>
      </c>
      <c r="B1631" s="17" t="s">
        <v>1158</v>
      </c>
      <c r="C1631" s="18" t="str">
        <f>+C1630</f>
        <v>DIO1</v>
      </c>
      <c r="D1631" s="18">
        <v>132</v>
      </c>
      <c r="E1631" s="84">
        <f>+E1630</f>
        <v>2</v>
      </c>
      <c r="F1631" s="84">
        <f>+F1630</f>
        <v>12</v>
      </c>
      <c r="G1631" s="84">
        <v>0</v>
      </c>
      <c r="H1631" s="200">
        <f>H1627</f>
        <v>1</v>
      </c>
      <c r="I1631" s="187">
        <f>+I1630+1</f>
        <v>17</v>
      </c>
      <c r="J1631" s="205"/>
      <c r="K1631" s="79"/>
      <c r="L1631" s="17" t="s">
        <v>323</v>
      </c>
      <c r="M1631" s="18">
        <v>4</v>
      </c>
      <c r="N1631" s="59" t="s">
        <v>1288</v>
      </c>
      <c r="O1631" s="68" t="s">
        <v>1287</v>
      </c>
      <c r="P1631" s="59"/>
      <c r="Q1631" s="68" t="s">
        <v>1286</v>
      </c>
      <c r="R1631" s="17" t="s">
        <v>211</v>
      </c>
      <c r="S1631" s="68"/>
      <c r="T1631" s="17" t="s">
        <v>194</v>
      </c>
      <c r="U1631" s="17"/>
      <c r="V1631" s="17" t="str">
        <f>+CONCATENATE(E1631,".",F1631,"\",G1631,".",H1631,":",I1631)</f>
        <v>2.12\0.1:17</v>
      </c>
      <c r="W1631" s="272" t="s">
        <v>1247</v>
      </c>
      <c r="X1631" s="272">
        <v>0</v>
      </c>
      <c r="Y1631" s="20"/>
      <c r="Z1631" s="20" t="s">
        <v>1159</v>
      </c>
      <c r="AA1631" s="20"/>
      <c r="AB1631" s="20"/>
      <c r="AC1631" s="20"/>
      <c r="AD1631" s="20"/>
      <c r="AE1631" s="20"/>
      <c r="AF1631" s="20"/>
      <c r="AG1631" s="64" t="s">
        <v>1079</v>
      </c>
      <c r="AH1631" s="64">
        <v>19</v>
      </c>
      <c r="AI1631" s="64">
        <v>20</v>
      </c>
      <c r="AJ1631" s="64"/>
      <c r="AK1631" s="64"/>
      <c r="AL1631" s="264"/>
      <c r="AM1631" s="84"/>
      <c r="AN1631" s="18"/>
      <c r="AO1631" s="18"/>
      <c r="AP1631" s="18"/>
      <c r="AQ1631" s="18"/>
      <c r="AR1631" s="18"/>
      <c r="AS1631" s="18"/>
      <c r="AT1631" s="18"/>
      <c r="AU1631" s="18"/>
      <c r="AV1631" s="18"/>
      <c r="AW1631" s="18"/>
      <c r="AX1631" s="18"/>
      <c r="AY1631" s="18"/>
    </row>
    <row r="1632" spans="1:51" s="33" customFormat="1" ht="14.5" x14ac:dyDescent="0.35">
      <c r="A1632" s="63" t="str">
        <f>A1631</f>
        <v>BCV131</v>
      </c>
      <c r="B1632" s="17" t="s">
        <v>1158</v>
      </c>
      <c r="C1632" s="18" t="str">
        <f>+C1631</f>
        <v>DIO1</v>
      </c>
      <c r="D1632" s="18">
        <v>132</v>
      </c>
      <c r="E1632" s="84">
        <f>+E1631</f>
        <v>2</v>
      </c>
      <c r="F1632" s="84">
        <f>+F1631</f>
        <v>12</v>
      </c>
      <c r="G1632" s="84">
        <v>0</v>
      </c>
      <c r="H1632" s="200">
        <f>H1628</f>
        <v>1</v>
      </c>
      <c r="I1632" s="187">
        <f>+I1631+1</f>
        <v>18</v>
      </c>
      <c r="J1632" s="205"/>
      <c r="K1632" s="79"/>
      <c r="L1632" s="17" t="s">
        <v>323</v>
      </c>
      <c r="M1632" s="18">
        <v>4</v>
      </c>
      <c r="N1632" s="59" t="s">
        <v>1285</v>
      </c>
      <c r="O1632" s="17" t="s">
        <v>1284</v>
      </c>
      <c r="P1632" s="59"/>
      <c r="Q1632" s="17" t="s">
        <v>1283</v>
      </c>
      <c r="R1632" s="17" t="s">
        <v>211</v>
      </c>
      <c r="S1632" s="17"/>
      <c r="T1632" s="17" t="s">
        <v>194</v>
      </c>
      <c r="U1632" s="17"/>
      <c r="V1632" s="17" t="str">
        <f>+CONCATENATE(E1632,".",F1632,"\",G1632,".",H1632,":",I1632)</f>
        <v>2.12\0.1:18</v>
      </c>
      <c r="W1632" s="272" t="s">
        <v>1247</v>
      </c>
      <c r="X1632" s="272">
        <v>0</v>
      </c>
      <c r="Y1632" s="20"/>
      <c r="Z1632" s="20" t="s">
        <v>1159</v>
      </c>
      <c r="AA1632" s="20"/>
      <c r="AB1632" s="20"/>
      <c r="AC1632" s="20"/>
      <c r="AD1632" s="20"/>
      <c r="AE1632" s="20"/>
      <c r="AF1632" s="20"/>
      <c r="AG1632" s="64" t="s">
        <v>1079</v>
      </c>
      <c r="AH1632" s="64">
        <v>21</v>
      </c>
      <c r="AI1632" s="64">
        <v>22</v>
      </c>
      <c r="AJ1632" s="64"/>
      <c r="AK1632" s="64"/>
      <c r="AL1632" s="264"/>
      <c r="AM1632" s="84"/>
      <c r="AN1632" s="18"/>
      <c r="AO1632" s="18"/>
      <c r="AP1632" s="18"/>
      <c r="AQ1632" s="18"/>
      <c r="AR1632" s="18"/>
      <c r="AS1632" s="18"/>
      <c r="AT1632" s="18"/>
      <c r="AU1632" s="18"/>
      <c r="AV1632" s="18"/>
      <c r="AW1632" s="18"/>
      <c r="AX1632" s="18"/>
      <c r="AY1632" s="18"/>
    </row>
    <row r="1633" spans="1:51" s="33" customFormat="1" ht="14.5" x14ac:dyDescent="0.35">
      <c r="A1633" s="63" t="str">
        <f>A1632</f>
        <v>BCV131</v>
      </c>
      <c r="B1633" s="17" t="s">
        <v>1158</v>
      </c>
      <c r="C1633" s="18" t="str">
        <f>+C1632</f>
        <v>DIO1</v>
      </c>
      <c r="D1633" s="18">
        <v>132</v>
      </c>
      <c r="E1633" s="84">
        <f>+E1632</f>
        <v>2</v>
      </c>
      <c r="F1633" s="84">
        <f>+F1632</f>
        <v>12</v>
      </c>
      <c r="G1633" s="84">
        <v>0</v>
      </c>
      <c r="H1633" s="200">
        <f>H1629</f>
        <v>1</v>
      </c>
      <c r="I1633" s="187">
        <f>+I1632+1</f>
        <v>19</v>
      </c>
      <c r="J1633" s="205"/>
      <c r="K1633" s="79"/>
      <c r="L1633" s="17" t="s">
        <v>323</v>
      </c>
      <c r="M1633" s="18">
        <v>4</v>
      </c>
      <c r="N1633" s="59" t="s">
        <v>1282</v>
      </c>
      <c r="O1633" s="17" t="s">
        <v>1281</v>
      </c>
      <c r="P1633" s="59"/>
      <c r="Q1633" s="68" t="s">
        <v>1280</v>
      </c>
      <c r="R1633" s="17" t="s">
        <v>211</v>
      </c>
      <c r="S1633" s="17"/>
      <c r="T1633" s="17" t="s">
        <v>194</v>
      </c>
      <c r="U1633" s="17"/>
      <c r="V1633" s="17" t="str">
        <f>+CONCATENATE(E1633,".",F1633,"\",G1633,".",H1633,":",I1633)</f>
        <v>2.12\0.1:19</v>
      </c>
      <c r="W1633" s="272" t="s">
        <v>1247</v>
      </c>
      <c r="X1633" s="272">
        <v>0</v>
      </c>
      <c r="Y1633" s="20"/>
      <c r="Z1633" s="20" t="s">
        <v>1159</v>
      </c>
      <c r="AA1633" s="20"/>
      <c r="AB1633" s="20"/>
      <c r="AC1633" s="20"/>
      <c r="AD1633" s="20"/>
      <c r="AE1633" s="20"/>
      <c r="AF1633" s="20"/>
      <c r="AG1633" s="64" t="s">
        <v>1079</v>
      </c>
      <c r="AH1633" s="64">
        <v>23</v>
      </c>
      <c r="AI1633" s="64">
        <v>24</v>
      </c>
      <c r="AJ1633" s="64"/>
      <c r="AK1633" s="64"/>
      <c r="AL1633" s="264"/>
      <c r="AM1633" s="84"/>
      <c r="AN1633" s="18"/>
      <c r="AO1633" s="18"/>
      <c r="AP1633" s="18"/>
      <c r="AQ1633" s="18"/>
      <c r="AR1633" s="18"/>
      <c r="AS1633" s="18"/>
      <c r="AT1633" s="18"/>
      <c r="AU1633" s="18"/>
      <c r="AV1633" s="18"/>
      <c r="AW1633" s="18"/>
      <c r="AX1633" s="18"/>
      <c r="AY1633" s="18"/>
    </row>
    <row r="1634" spans="1:51" s="33" customFormat="1" ht="14.5" x14ac:dyDescent="0.35">
      <c r="A1634" s="63" t="str">
        <f>A1633</f>
        <v>BCV131</v>
      </c>
      <c r="B1634" s="17" t="s">
        <v>1158</v>
      </c>
      <c r="C1634" s="18" t="str">
        <f>+C1633</f>
        <v>DIO1</v>
      </c>
      <c r="D1634" s="18">
        <v>132</v>
      </c>
      <c r="E1634" s="84">
        <f>+E1633</f>
        <v>2</v>
      </c>
      <c r="F1634" s="84">
        <f>+F1633</f>
        <v>12</v>
      </c>
      <c r="G1634" s="84">
        <v>0</v>
      </c>
      <c r="H1634" s="200">
        <f>H1630</f>
        <v>1</v>
      </c>
      <c r="I1634" s="187">
        <f>+I1633+1</f>
        <v>20</v>
      </c>
      <c r="J1634" s="205"/>
      <c r="K1634" s="79"/>
      <c r="L1634" s="17" t="s">
        <v>323</v>
      </c>
      <c r="M1634" s="18">
        <v>4</v>
      </c>
      <c r="N1634" s="59" t="s">
        <v>1279</v>
      </c>
      <c r="O1634" s="17" t="s">
        <v>1278</v>
      </c>
      <c r="P1634" s="59" t="s">
        <v>1270</v>
      </c>
      <c r="Q1634" s="68" t="s">
        <v>1277</v>
      </c>
      <c r="R1634" s="17" t="s">
        <v>211</v>
      </c>
      <c r="S1634" s="17"/>
      <c r="T1634" s="17" t="s">
        <v>194</v>
      </c>
      <c r="U1634" s="17"/>
      <c r="V1634" s="17" t="str">
        <f>+CONCATENATE(E1634,".",F1634,"\",G1634,".",H1634,":",I1634)</f>
        <v>2.12\0.1:20</v>
      </c>
      <c r="W1634" s="272" t="s">
        <v>1247</v>
      </c>
      <c r="X1634" s="272">
        <v>0</v>
      </c>
      <c r="Y1634" s="20"/>
      <c r="Z1634" s="20" t="s">
        <v>1159</v>
      </c>
      <c r="AA1634" s="20"/>
      <c r="AB1634" s="20"/>
      <c r="AC1634" s="20"/>
      <c r="AD1634" s="20"/>
      <c r="AE1634" s="20"/>
      <c r="AF1634" s="20"/>
      <c r="AG1634" s="64" t="s">
        <v>1079</v>
      </c>
      <c r="AH1634" s="64">
        <v>25</v>
      </c>
      <c r="AI1634" s="64">
        <v>26</v>
      </c>
      <c r="AJ1634" s="64"/>
      <c r="AK1634" s="64"/>
      <c r="AL1634" s="264"/>
      <c r="AM1634" s="84"/>
      <c r="AN1634" s="18"/>
      <c r="AO1634" s="18"/>
      <c r="AP1634" s="18"/>
      <c r="AQ1634" s="18"/>
      <c r="AR1634" s="18"/>
      <c r="AS1634" s="18"/>
      <c r="AT1634" s="18"/>
      <c r="AU1634" s="18"/>
      <c r="AV1634" s="18"/>
      <c r="AW1634" s="18"/>
      <c r="AX1634" s="18"/>
      <c r="AY1634" s="18"/>
    </row>
    <row r="1635" spans="1:51" s="33" customFormat="1" ht="14.5" x14ac:dyDescent="0.35">
      <c r="A1635" s="63" t="str">
        <f>A1634</f>
        <v>BCV131</v>
      </c>
      <c r="B1635" s="17" t="s">
        <v>1158</v>
      </c>
      <c r="C1635" s="18" t="str">
        <f>+C1634</f>
        <v>DIO1</v>
      </c>
      <c r="D1635" s="18">
        <v>132</v>
      </c>
      <c r="E1635" s="84">
        <f>+E1634</f>
        <v>2</v>
      </c>
      <c r="F1635" s="84">
        <f>+F1634</f>
        <v>12</v>
      </c>
      <c r="G1635" s="84">
        <v>0</v>
      </c>
      <c r="H1635" s="200">
        <f>H1631</f>
        <v>1</v>
      </c>
      <c r="I1635" s="187">
        <f>+I1634+1</f>
        <v>21</v>
      </c>
      <c r="J1635" s="205"/>
      <c r="K1635" s="79"/>
      <c r="L1635" s="17" t="s">
        <v>323</v>
      </c>
      <c r="M1635" s="18">
        <v>4</v>
      </c>
      <c r="N1635" s="59" t="s">
        <v>1276</v>
      </c>
      <c r="O1635" s="97" t="s">
        <v>1275</v>
      </c>
      <c r="P1635" s="59" t="s">
        <v>1274</v>
      </c>
      <c r="Q1635" s="17" t="s">
        <v>1273</v>
      </c>
      <c r="R1635" s="17" t="s">
        <v>211</v>
      </c>
      <c r="S1635" s="17"/>
      <c r="T1635" s="17" t="s">
        <v>194</v>
      </c>
      <c r="U1635" s="17"/>
      <c r="V1635" s="17" t="str">
        <f>+CONCATENATE(E1635,".",F1635,"\",G1635,".",H1635,":",I1635)</f>
        <v>2.12\0.1:21</v>
      </c>
      <c r="W1635" s="272" t="s">
        <v>1247</v>
      </c>
      <c r="X1635" s="272">
        <v>0</v>
      </c>
      <c r="Y1635" s="20"/>
      <c r="Z1635" s="20" t="s">
        <v>1159</v>
      </c>
      <c r="AA1635" s="20"/>
      <c r="AB1635" s="20"/>
      <c r="AC1635" s="20"/>
      <c r="AD1635" s="20"/>
      <c r="AE1635" s="20"/>
      <c r="AF1635" s="20"/>
      <c r="AG1635" s="64" t="s">
        <v>1079</v>
      </c>
      <c r="AH1635" s="64">
        <v>27</v>
      </c>
      <c r="AI1635" s="64">
        <v>28</v>
      </c>
      <c r="AJ1635" s="64"/>
      <c r="AK1635" s="64"/>
      <c r="AL1635" s="264"/>
      <c r="AM1635" s="84"/>
      <c r="AN1635" s="18"/>
      <c r="AO1635" s="18"/>
      <c r="AP1635" s="18"/>
      <c r="AQ1635" s="18"/>
      <c r="AR1635" s="18"/>
      <c r="AS1635" s="18"/>
      <c r="AT1635" s="18"/>
      <c r="AU1635" s="18"/>
      <c r="AV1635" s="18"/>
      <c r="AW1635" s="18"/>
      <c r="AX1635" s="18"/>
      <c r="AY1635" s="18"/>
    </row>
    <row r="1636" spans="1:51" s="33" customFormat="1" ht="14.5" x14ac:dyDescent="0.35">
      <c r="A1636" s="63" t="str">
        <f>A1635</f>
        <v>BCV131</v>
      </c>
      <c r="B1636" s="17" t="s">
        <v>1158</v>
      </c>
      <c r="C1636" s="18" t="str">
        <f>+C1635</f>
        <v>DIO1</v>
      </c>
      <c r="D1636" s="18">
        <v>132</v>
      </c>
      <c r="E1636" s="84">
        <f>+E1635</f>
        <v>2</v>
      </c>
      <c r="F1636" s="84">
        <f>+F1635</f>
        <v>12</v>
      </c>
      <c r="G1636" s="84">
        <v>0</v>
      </c>
      <c r="H1636" s="200">
        <f>H1632</f>
        <v>1</v>
      </c>
      <c r="I1636" s="187">
        <f>+I1635+1</f>
        <v>22</v>
      </c>
      <c r="J1636" s="205"/>
      <c r="K1636" s="79"/>
      <c r="L1636" s="17" t="s">
        <v>323</v>
      </c>
      <c r="M1636" s="18">
        <v>4</v>
      </c>
      <c r="N1636" s="59" t="s">
        <v>1272</v>
      </c>
      <c r="O1636" s="17" t="s">
        <v>1271</v>
      </c>
      <c r="P1636" s="59" t="s">
        <v>1270</v>
      </c>
      <c r="Q1636" s="68" t="s">
        <v>1269</v>
      </c>
      <c r="R1636" s="17" t="s">
        <v>211</v>
      </c>
      <c r="S1636" s="17"/>
      <c r="T1636" s="17" t="s">
        <v>194</v>
      </c>
      <c r="U1636" s="17"/>
      <c r="V1636" s="17" t="str">
        <f>+CONCATENATE(E1636,".",F1636,"\",G1636,".",H1636,":",I1636)</f>
        <v>2.12\0.1:22</v>
      </c>
      <c r="W1636" s="272" t="s">
        <v>1247</v>
      </c>
      <c r="X1636" s="272">
        <v>0</v>
      </c>
      <c r="Y1636" s="20"/>
      <c r="Z1636" s="20" t="s">
        <v>1159</v>
      </c>
      <c r="AA1636" s="20"/>
      <c r="AB1636" s="20"/>
      <c r="AC1636" s="20"/>
      <c r="AD1636" s="20"/>
      <c r="AE1636" s="20"/>
      <c r="AF1636" s="20"/>
      <c r="AG1636" s="64" t="s">
        <v>1079</v>
      </c>
      <c r="AH1636" s="64">
        <v>29</v>
      </c>
      <c r="AI1636" s="64">
        <v>30</v>
      </c>
      <c r="AJ1636" s="64"/>
      <c r="AK1636" s="64"/>
      <c r="AL1636" s="264"/>
      <c r="AM1636" s="84"/>
      <c r="AN1636" s="18"/>
      <c r="AO1636" s="18"/>
      <c r="AP1636" s="18"/>
      <c r="AQ1636" s="18"/>
      <c r="AR1636" s="18"/>
      <c r="AS1636" s="18"/>
      <c r="AT1636" s="18"/>
      <c r="AU1636" s="18"/>
      <c r="AV1636" s="18"/>
      <c r="AW1636" s="18"/>
      <c r="AX1636" s="18"/>
      <c r="AY1636" s="18"/>
    </row>
    <row r="1637" spans="1:51" s="33" customFormat="1" ht="14.5" x14ac:dyDescent="0.35">
      <c r="A1637" s="63" t="str">
        <f>A1636</f>
        <v>BCV131</v>
      </c>
      <c r="B1637" s="17" t="s">
        <v>1158</v>
      </c>
      <c r="C1637" s="18" t="str">
        <f>+C1636</f>
        <v>DIO1</v>
      </c>
      <c r="D1637" s="18">
        <v>132</v>
      </c>
      <c r="E1637" s="84">
        <f>+E1636</f>
        <v>2</v>
      </c>
      <c r="F1637" s="84">
        <f>+F1636</f>
        <v>12</v>
      </c>
      <c r="G1637" s="84">
        <v>0</v>
      </c>
      <c r="H1637" s="200">
        <f>H1633</f>
        <v>1</v>
      </c>
      <c r="I1637" s="187">
        <f>+I1636+1</f>
        <v>23</v>
      </c>
      <c r="J1637" s="205"/>
      <c r="K1637" s="79"/>
      <c r="L1637" s="17" t="s">
        <v>323</v>
      </c>
      <c r="M1637" s="18">
        <v>4</v>
      </c>
      <c r="N1637" s="59" t="s">
        <v>1267</v>
      </c>
      <c r="O1637" s="17" t="s">
        <v>1242</v>
      </c>
      <c r="P1637" s="59"/>
      <c r="Q1637" s="68" t="s">
        <v>1268</v>
      </c>
      <c r="R1637" s="17" t="s">
        <v>299</v>
      </c>
      <c r="S1637" s="17"/>
      <c r="T1637" s="17" t="s">
        <v>194</v>
      </c>
      <c r="U1637" s="17"/>
      <c r="V1637" s="17" t="str">
        <f>+CONCATENATE(E1637,".",F1637,"\",G1637,".",H1637,":",I1637)</f>
        <v>2.12\0.1:23</v>
      </c>
      <c r="W1637" s="272" t="s">
        <v>1247</v>
      </c>
      <c r="X1637" s="272">
        <v>0</v>
      </c>
      <c r="Y1637" s="20"/>
      <c r="Z1637" s="20" t="s">
        <v>1159</v>
      </c>
      <c r="AA1637" s="20"/>
      <c r="AB1637" s="20"/>
      <c r="AC1637" s="20"/>
      <c r="AD1637" s="20"/>
      <c r="AE1637" s="20"/>
      <c r="AF1637" s="20"/>
      <c r="AG1637" s="64" t="s">
        <v>1079</v>
      </c>
      <c r="AH1637" s="64">
        <v>31</v>
      </c>
      <c r="AI1637" s="64">
        <v>32</v>
      </c>
      <c r="AJ1637" s="64"/>
      <c r="AK1637" s="64"/>
      <c r="AL1637" s="264"/>
      <c r="AM1637" s="84"/>
      <c r="AN1637" s="18"/>
      <c r="AO1637" s="18"/>
      <c r="AP1637" s="18"/>
      <c r="AQ1637" s="18"/>
      <c r="AR1637" s="18"/>
      <c r="AS1637" s="18"/>
      <c r="AT1637" s="18"/>
      <c r="AU1637" s="18"/>
      <c r="AV1637" s="18"/>
      <c r="AW1637" s="18"/>
      <c r="AX1637" s="18"/>
      <c r="AY1637" s="18"/>
    </row>
    <row r="1638" spans="1:51" s="33" customFormat="1" ht="14.5" x14ac:dyDescent="0.35">
      <c r="A1638" s="63" t="str">
        <f>A1637</f>
        <v>BCV131</v>
      </c>
      <c r="B1638" s="17" t="s">
        <v>1158</v>
      </c>
      <c r="C1638" s="18" t="str">
        <f>+C1637</f>
        <v>DIO1</v>
      </c>
      <c r="D1638" s="18">
        <v>132</v>
      </c>
      <c r="E1638" s="84">
        <f>+E1637</f>
        <v>2</v>
      </c>
      <c r="F1638" s="84">
        <f>+F1637</f>
        <v>12</v>
      </c>
      <c r="G1638" s="84">
        <v>0</v>
      </c>
      <c r="H1638" s="200">
        <f>H1634</f>
        <v>1</v>
      </c>
      <c r="I1638" s="187">
        <f>+I1637+1</f>
        <v>24</v>
      </c>
      <c r="J1638" s="205"/>
      <c r="K1638" s="79"/>
      <c r="L1638" s="17" t="s">
        <v>323</v>
      </c>
      <c r="M1638" s="18">
        <v>4</v>
      </c>
      <c r="N1638" s="59" t="s">
        <v>1267</v>
      </c>
      <c r="O1638" s="17" t="s">
        <v>1239</v>
      </c>
      <c r="P1638" s="59"/>
      <c r="Q1638" s="68" t="s">
        <v>1266</v>
      </c>
      <c r="R1638" s="17" t="s">
        <v>299</v>
      </c>
      <c r="S1638" s="17"/>
      <c r="T1638" s="68" t="s">
        <v>194</v>
      </c>
      <c r="U1638" s="17"/>
      <c r="V1638" s="17" t="str">
        <f>+CONCATENATE(E1638,".",F1638,"\",G1638,".",H1638,":",I1638)</f>
        <v>2.12\0.1:24</v>
      </c>
      <c r="W1638" s="272" t="s">
        <v>1247</v>
      </c>
      <c r="X1638" s="272">
        <v>0</v>
      </c>
      <c r="Y1638" s="18"/>
      <c r="Z1638" s="20" t="s">
        <v>1159</v>
      </c>
      <c r="AA1638" s="20"/>
      <c r="AB1638" s="20"/>
      <c r="AC1638" s="20"/>
      <c r="AD1638" s="20"/>
      <c r="AE1638" s="20"/>
      <c r="AF1638" s="20"/>
      <c r="AG1638" s="64" t="s">
        <v>1079</v>
      </c>
      <c r="AH1638" s="64">
        <v>33</v>
      </c>
      <c r="AI1638" s="64">
        <v>34</v>
      </c>
      <c r="AJ1638" s="64"/>
      <c r="AK1638" s="64"/>
      <c r="AL1638" s="264"/>
      <c r="AM1638" s="84"/>
      <c r="AN1638" s="18"/>
      <c r="AO1638" s="18"/>
      <c r="AP1638" s="18"/>
      <c r="AQ1638" s="18"/>
      <c r="AR1638" s="18"/>
      <c r="AS1638" s="18"/>
      <c r="AT1638" s="18"/>
      <c r="AU1638" s="18"/>
      <c r="AV1638" s="18"/>
      <c r="AW1638" s="18"/>
      <c r="AX1638" s="18"/>
      <c r="AY1638" s="18"/>
    </row>
    <row r="1639" spans="1:51" s="33" customFormat="1" x14ac:dyDescent="0.3">
      <c r="A1639" s="63" t="str">
        <f>A1638</f>
        <v>BCV131</v>
      </c>
      <c r="B1639" s="17" t="s">
        <v>1158</v>
      </c>
      <c r="C1639" s="18" t="str">
        <f>+C1638</f>
        <v>DIO1</v>
      </c>
      <c r="D1639" s="18">
        <v>132</v>
      </c>
      <c r="E1639" s="84">
        <f>+E1638</f>
        <v>2</v>
      </c>
      <c r="F1639" s="84">
        <f>+F1638</f>
        <v>12</v>
      </c>
      <c r="G1639" s="84">
        <v>0</v>
      </c>
      <c r="H1639" s="200">
        <f>H1635</f>
        <v>1</v>
      </c>
      <c r="I1639" s="187">
        <f>+I1638+1</f>
        <v>25</v>
      </c>
      <c r="J1639" s="205"/>
      <c r="K1639" s="79"/>
      <c r="L1639" s="17" t="s">
        <v>323</v>
      </c>
      <c r="M1639" s="17"/>
      <c r="N1639" s="17"/>
      <c r="O1639" s="17"/>
      <c r="P1639" s="17"/>
      <c r="Q1639" s="17"/>
      <c r="R1639" s="17"/>
      <c r="S1639" s="17"/>
      <c r="T1639" s="17"/>
      <c r="U1639" s="17"/>
      <c r="V1639" s="17" t="str">
        <f>+CONCATENATE(E1639,".",F1639,"\",G1639,".",H1639,":",I1639)</f>
        <v>2.12\0.1:25</v>
      </c>
      <c r="W1639" s="18"/>
      <c r="X1639" s="18"/>
      <c r="Y1639" s="18"/>
      <c r="Z1639" s="20" t="s">
        <v>1159</v>
      </c>
      <c r="AA1639" s="20"/>
      <c r="AB1639" s="20"/>
      <c r="AC1639" s="20"/>
      <c r="AD1639" s="20"/>
      <c r="AE1639" s="20"/>
      <c r="AF1639" s="20"/>
      <c r="AG1639" s="64" t="s">
        <v>1079</v>
      </c>
      <c r="AH1639" s="64">
        <v>35</v>
      </c>
      <c r="AI1639" s="64">
        <v>36</v>
      </c>
      <c r="AJ1639" s="64"/>
      <c r="AK1639" s="64"/>
      <c r="AL1639" s="264"/>
      <c r="AM1639" s="84"/>
      <c r="AN1639" s="18"/>
      <c r="AO1639" s="18"/>
      <c r="AP1639" s="18"/>
      <c r="AQ1639" s="18"/>
      <c r="AR1639" s="18"/>
      <c r="AS1639" s="18"/>
      <c r="AT1639" s="18"/>
      <c r="AU1639" s="18"/>
      <c r="AV1639" s="18"/>
      <c r="AW1639" s="18"/>
      <c r="AX1639" s="18"/>
      <c r="AY1639" s="18"/>
    </row>
    <row r="1640" spans="1:51" s="33" customFormat="1" x14ac:dyDescent="0.3">
      <c r="A1640" s="63" t="str">
        <f>A1639</f>
        <v>BCV131</v>
      </c>
      <c r="B1640" s="17" t="s">
        <v>1158</v>
      </c>
      <c r="C1640" s="18" t="str">
        <f>+C1639</f>
        <v>DIO1</v>
      </c>
      <c r="D1640" s="18">
        <v>132</v>
      </c>
      <c r="E1640" s="84">
        <f>+E1639</f>
        <v>2</v>
      </c>
      <c r="F1640" s="84">
        <f>+F1639</f>
        <v>12</v>
      </c>
      <c r="G1640" s="84">
        <v>0</v>
      </c>
      <c r="H1640" s="200">
        <f>H1636</f>
        <v>1</v>
      </c>
      <c r="I1640" s="187">
        <f>+I1639+1</f>
        <v>26</v>
      </c>
      <c r="J1640" s="205"/>
      <c r="K1640" s="79"/>
      <c r="L1640" s="17" t="s">
        <v>323</v>
      </c>
      <c r="M1640" s="18"/>
      <c r="N1640" s="18"/>
      <c r="O1640" s="17"/>
      <c r="P1640" s="17"/>
      <c r="Q1640" s="68"/>
      <c r="R1640" s="17"/>
      <c r="S1640" s="17"/>
      <c r="T1640" s="68"/>
      <c r="U1640" s="17"/>
      <c r="V1640" s="17" t="str">
        <f>+CONCATENATE(E1640,".",F1640,"\",G1640,".",H1640,":",I1640)</f>
        <v>2.12\0.1:26</v>
      </c>
      <c r="W1640" s="18"/>
      <c r="X1640" s="18"/>
      <c r="Y1640" s="18"/>
      <c r="Z1640" s="20" t="s">
        <v>1159</v>
      </c>
      <c r="AA1640" s="20"/>
      <c r="AB1640" s="20"/>
      <c r="AC1640" s="20"/>
      <c r="AD1640" s="20"/>
      <c r="AE1640" s="20"/>
      <c r="AF1640" s="20"/>
      <c r="AG1640" s="64" t="s">
        <v>1079</v>
      </c>
      <c r="AH1640" s="64">
        <v>37</v>
      </c>
      <c r="AI1640" s="64">
        <v>38</v>
      </c>
      <c r="AJ1640" s="64"/>
      <c r="AK1640" s="64"/>
      <c r="AL1640" s="264"/>
      <c r="AM1640" s="84"/>
      <c r="AN1640" s="18"/>
      <c r="AO1640" s="18"/>
      <c r="AP1640" s="18"/>
      <c r="AQ1640" s="18"/>
      <c r="AR1640" s="18"/>
      <c r="AS1640" s="18"/>
      <c r="AT1640" s="18"/>
      <c r="AU1640" s="18"/>
      <c r="AV1640" s="18"/>
      <c r="AW1640" s="18"/>
      <c r="AX1640" s="18"/>
      <c r="AY1640" s="18"/>
    </row>
    <row r="1641" spans="1:51" s="33" customFormat="1" x14ac:dyDescent="0.3">
      <c r="A1641" s="63" t="str">
        <f>A1640</f>
        <v>BCV131</v>
      </c>
      <c r="B1641" s="17" t="s">
        <v>1158</v>
      </c>
      <c r="C1641" s="18" t="str">
        <f>+C1640</f>
        <v>DIO1</v>
      </c>
      <c r="D1641" s="18">
        <v>132</v>
      </c>
      <c r="E1641" s="84">
        <f>+E1640</f>
        <v>2</v>
      </c>
      <c r="F1641" s="84">
        <f>+F1640</f>
        <v>12</v>
      </c>
      <c r="G1641" s="84">
        <v>0</v>
      </c>
      <c r="H1641" s="200">
        <f>H1637</f>
        <v>1</v>
      </c>
      <c r="I1641" s="187">
        <f>+I1640+1</f>
        <v>27</v>
      </c>
      <c r="J1641" s="205"/>
      <c r="K1641" s="79"/>
      <c r="L1641" s="17" t="s">
        <v>323</v>
      </c>
      <c r="M1641" s="18"/>
      <c r="N1641" s="18"/>
      <c r="O1641" s="17"/>
      <c r="P1641" s="17"/>
      <c r="Q1641" s="17"/>
      <c r="R1641" s="17"/>
      <c r="S1641" s="17"/>
      <c r="T1641" s="17"/>
      <c r="U1641" s="17"/>
      <c r="V1641" s="17" t="str">
        <f>+CONCATENATE(E1641,".",F1641,"\",G1641,".",H1641,":",I1641)</f>
        <v>2.12\0.1:27</v>
      </c>
      <c r="W1641" s="18"/>
      <c r="X1641" s="18"/>
      <c r="Y1641" s="18"/>
      <c r="Z1641" s="20" t="s">
        <v>1159</v>
      </c>
      <c r="AA1641" s="20"/>
      <c r="AB1641" s="20"/>
      <c r="AC1641" s="20"/>
      <c r="AD1641" s="20"/>
      <c r="AE1641" s="20"/>
      <c r="AF1641" s="20"/>
      <c r="AG1641" s="64" t="s">
        <v>1079</v>
      </c>
      <c r="AH1641" s="64">
        <v>39</v>
      </c>
      <c r="AI1641" s="64">
        <v>40</v>
      </c>
      <c r="AJ1641" s="64"/>
      <c r="AK1641" s="64"/>
      <c r="AL1641" s="264"/>
      <c r="AM1641" s="84"/>
      <c r="AN1641" s="18"/>
      <c r="AO1641" s="18"/>
      <c r="AP1641" s="18"/>
      <c r="AQ1641" s="18"/>
      <c r="AR1641" s="18"/>
      <c r="AS1641" s="18"/>
      <c r="AT1641" s="18"/>
      <c r="AU1641" s="18"/>
      <c r="AV1641" s="18"/>
      <c r="AW1641" s="18"/>
      <c r="AX1641" s="18"/>
      <c r="AY1641" s="18"/>
    </row>
    <row r="1642" spans="1:51" s="33" customFormat="1" x14ac:dyDescent="0.3">
      <c r="A1642" s="63" t="str">
        <f>A1641</f>
        <v>BCV131</v>
      </c>
      <c r="B1642" s="17" t="s">
        <v>1158</v>
      </c>
      <c r="C1642" s="18" t="str">
        <f>+C1641</f>
        <v>DIO1</v>
      </c>
      <c r="D1642" s="18">
        <v>132</v>
      </c>
      <c r="E1642" s="84">
        <f>+E1641</f>
        <v>2</v>
      </c>
      <c r="F1642" s="84">
        <f>+F1641</f>
        <v>12</v>
      </c>
      <c r="G1642" s="84">
        <v>0</v>
      </c>
      <c r="H1642" s="200">
        <f>H1638</f>
        <v>1</v>
      </c>
      <c r="I1642" s="187">
        <f>+I1641+1</f>
        <v>28</v>
      </c>
      <c r="J1642" s="205"/>
      <c r="K1642" s="79"/>
      <c r="L1642" s="17" t="s">
        <v>323</v>
      </c>
      <c r="M1642" s="18"/>
      <c r="N1642" s="18"/>
      <c r="O1642" s="17"/>
      <c r="P1642" s="17"/>
      <c r="Q1642" s="206"/>
      <c r="R1642" s="280"/>
      <c r="S1642" s="17"/>
      <c r="T1642" s="18"/>
      <c r="U1642" s="17"/>
      <c r="V1642" s="17" t="str">
        <f>+CONCATENATE(E1642,".",F1642,"\",G1642,".",H1642,":",I1642)</f>
        <v>2.12\0.1:28</v>
      </c>
      <c r="W1642" s="18"/>
      <c r="X1642" s="18"/>
      <c r="Y1642" s="18"/>
      <c r="Z1642" s="20" t="s">
        <v>1159</v>
      </c>
      <c r="AA1642" s="20"/>
      <c r="AB1642" s="20"/>
      <c r="AC1642" s="20"/>
      <c r="AD1642" s="20"/>
      <c r="AE1642" s="20"/>
      <c r="AF1642" s="20"/>
      <c r="AG1642" s="64" t="s">
        <v>1079</v>
      </c>
      <c r="AH1642" s="64">
        <v>41</v>
      </c>
      <c r="AI1642" s="64">
        <v>42</v>
      </c>
      <c r="AJ1642" s="64"/>
      <c r="AK1642" s="64"/>
      <c r="AL1642" s="264"/>
      <c r="AM1642" s="84"/>
      <c r="AN1642" s="18"/>
      <c r="AO1642" s="18"/>
      <c r="AP1642" s="18"/>
      <c r="AQ1642" s="18"/>
      <c r="AR1642" s="18"/>
      <c r="AS1642" s="18"/>
      <c r="AT1642" s="18"/>
      <c r="AU1642" s="18"/>
      <c r="AV1642" s="18"/>
      <c r="AW1642" s="18"/>
      <c r="AX1642" s="18"/>
      <c r="AY1642" s="18"/>
    </row>
    <row r="1643" spans="1:51" s="33" customFormat="1" x14ac:dyDescent="0.3">
      <c r="A1643" s="63" t="str">
        <f>A1642</f>
        <v>BCV131</v>
      </c>
      <c r="B1643" s="17" t="s">
        <v>1158</v>
      </c>
      <c r="C1643" s="18" t="str">
        <f>+C1642</f>
        <v>DIO1</v>
      </c>
      <c r="D1643" s="18">
        <v>132</v>
      </c>
      <c r="E1643" s="84">
        <f>+E1642</f>
        <v>2</v>
      </c>
      <c r="F1643" s="84">
        <f>+F1642</f>
        <v>12</v>
      </c>
      <c r="G1643" s="84">
        <v>0</v>
      </c>
      <c r="H1643" s="200">
        <f>H1639</f>
        <v>1</v>
      </c>
      <c r="I1643" s="187">
        <f>+I1642+1</f>
        <v>29</v>
      </c>
      <c r="J1643" s="205"/>
      <c r="K1643" s="79"/>
      <c r="L1643" s="17" t="s">
        <v>323</v>
      </c>
      <c r="M1643" s="18"/>
      <c r="N1643" s="18"/>
      <c r="O1643" s="17"/>
      <c r="P1643" s="17"/>
      <c r="Q1643" s="68"/>
      <c r="R1643" s="17"/>
      <c r="S1643" s="17"/>
      <c r="T1643" s="17"/>
      <c r="U1643" s="17"/>
      <c r="V1643" s="17" t="str">
        <f>+CONCATENATE(E1643,".",F1643,"\",G1643,".",H1643,":",I1643)</f>
        <v>2.12\0.1:29</v>
      </c>
      <c r="W1643" s="18"/>
      <c r="X1643" s="18"/>
      <c r="Y1643" s="18"/>
      <c r="Z1643" s="20" t="s">
        <v>1159</v>
      </c>
      <c r="AA1643" s="20"/>
      <c r="AB1643" s="20"/>
      <c r="AC1643" s="20"/>
      <c r="AD1643" s="20"/>
      <c r="AE1643" s="20"/>
      <c r="AF1643" s="20"/>
      <c r="AG1643" s="64" t="s">
        <v>1079</v>
      </c>
      <c r="AH1643" s="64">
        <v>43</v>
      </c>
      <c r="AI1643" s="64">
        <v>44</v>
      </c>
      <c r="AJ1643" s="64"/>
      <c r="AK1643" s="64"/>
      <c r="AL1643" s="264"/>
      <c r="AM1643" s="84"/>
      <c r="AN1643" s="18"/>
      <c r="AO1643" s="18"/>
      <c r="AP1643" s="18"/>
      <c r="AQ1643" s="18"/>
      <c r="AR1643" s="18"/>
      <c r="AS1643" s="18"/>
      <c r="AT1643" s="18"/>
      <c r="AU1643" s="18"/>
      <c r="AV1643" s="18"/>
      <c r="AW1643" s="18"/>
      <c r="AX1643" s="18"/>
      <c r="AY1643" s="18"/>
    </row>
    <row r="1644" spans="1:51" s="33" customFormat="1" x14ac:dyDescent="0.3">
      <c r="A1644" s="63" t="str">
        <f>A1643</f>
        <v>BCV131</v>
      </c>
      <c r="B1644" s="17" t="s">
        <v>1158</v>
      </c>
      <c r="C1644" s="18" t="str">
        <f>+C1643</f>
        <v>DIO1</v>
      </c>
      <c r="D1644" s="18">
        <v>132</v>
      </c>
      <c r="E1644" s="84">
        <f>+E1643</f>
        <v>2</v>
      </c>
      <c r="F1644" s="84">
        <f>+F1643</f>
        <v>12</v>
      </c>
      <c r="G1644" s="84">
        <v>0</v>
      </c>
      <c r="H1644" s="200">
        <f>H1640</f>
        <v>1</v>
      </c>
      <c r="I1644" s="187">
        <f>+I1643+1</f>
        <v>30</v>
      </c>
      <c r="J1644" s="205"/>
      <c r="K1644" s="79"/>
      <c r="L1644" s="17" t="s">
        <v>323</v>
      </c>
      <c r="M1644" s="18"/>
      <c r="N1644" s="18"/>
      <c r="O1644" s="17"/>
      <c r="P1644" s="17"/>
      <c r="Q1644" s="68"/>
      <c r="R1644" s="17"/>
      <c r="S1644" s="17"/>
      <c r="T1644" s="17"/>
      <c r="U1644" s="17"/>
      <c r="V1644" s="17" t="str">
        <f>+CONCATENATE(E1644,".",F1644,"\",G1644,".",H1644,":",I1644)</f>
        <v>2.12\0.1:30</v>
      </c>
      <c r="W1644" s="18"/>
      <c r="X1644" s="18"/>
      <c r="Y1644" s="18"/>
      <c r="Z1644" s="20" t="s">
        <v>1159</v>
      </c>
      <c r="AA1644" s="20"/>
      <c r="AB1644" s="20"/>
      <c r="AC1644" s="20"/>
      <c r="AD1644" s="20"/>
      <c r="AE1644" s="20"/>
      <c r="AF1644" s="20"/>
      <c r="AG1644" s="64" t="s">
        <v>1079</v>
      </c>
      <c r="AH1644" s="64">
        <v>45</v>
      </c>
      <c r="AI1644" s="64">
        <v>46</v>
      </c>
      <c r="AJ1644" s="64"/>
      <c r="AK1644" s="64"/>
      <c r="AL1644" s="264"/>
      <c r="AM1644" s="84"/>
      <c r="AN1644" s="18"/>
      <c r="AO1644" s="18"/>
      <c r="AP1644" s="18"/>
      <c r="AQ1644" s="18"/>
      <c r="AR1644" s="18"/>
      <c r="AS1644" s="18"/>
      <c r="AT1644" s="18"/>
      <c r="AU1644" s="18"/>
      <c r="AV1644" s="18"/>
      <c r="AW1644" s="18"/>
      <c r="AX1644" s="18"/>
      <c r="AY1644" s="18"/>
    </row>
    <row r="1645" spans="1:51" s="33" customFormat="1" ht="13.5" thickBot="1" x14ac:dyDescent="0.35">
      <c r="A1645" s="63" t="str">
        <f>A1644</f>
        <v>BCV131</v>
      </c>
      <c r="B1645" s="17" t="s">
        <v>1158</v>
      </c>
      <c r="C1645" s="18" t="str">
        <f>+C1644</f>
        <v>DIO1</v>
      </c>
      <c r="D1645" s="18">
        <v>132</v>
      </c>
      <c r="E1645" s="84">
        <f>+E1644</f>
        <v>2</v>
      </c>
      <c r="F1645" s="84">
        <f>+F1644</f>
        <v>12</v>
      </c>
      <c r="G1645" s="84">
        <v>0</v>
      </c>
      <c r="H1645" s="200">
        <f>H1641</f>
        <v>1</v>
      </c>
      <c r="I1645" s="191">
        <f>+I1644+1</f>
        <v>31</v>
      </c>
      <c r="J1645" s="203"/>
      <c r="K1645" s="79"/>
      <c r="L1645" s="17" t="s">
        <v>323</v>
      </c>
      <c r="M1645" s="18"/>
      <c r="N1645" s="18"/>
      <c r="O1645" s="18"/>
      <c r="P1645" s="18"/>
      <c r="Q1645" s="17"/>
      <c r="R1645" s="17"/>
      <c r="S1645" s="18"/>
      <c r="T1645" s="18"/>
      <c r="U1645" s="17"/>
      <c r="V1645" s="17" t="str">
        <f>+CONCATENATE(E1645,".",F1645,"\",G1645,".",H1645,":",I1645)</f>
        <v>2.12\0.1:31</v>
      </c>
      <c r="W1645" s="18"/>
      <c r="X1645" s="18"/>
      <c r="Y1645" s="18"/>
      <c r="Z1645" s="20" t="s">
        <v>1159</v>
      </c>
      <c r="AA1645" s="20"/>
      <c r="AB1645" s="20"/>
      <c r="AC1645" s="20"/>
      <c r="AD1645" s="20"/>
      <c r="AE1645" s="20"/>
      <c r="AF1645" s="20"/>
      <c r="AG1645" s="64" t="s">
        <v>1079</v>
      </c>
      <c r="AH1645" s="64">
        <v>47</v>
      </c>
      <c r="AI1645" s="64">
        <v>48</v>
      </c>
      <c r="AJ1645" s="64"/>
      <c r="AK1645" s="64"/>
      <c r="AL1645" s="264"/>
      <c r="AM1645" s="84"/>
      <c r="AN1645" s="18"/>
      <c r="AO1645" s="18"/>
      <c r="AP1645" s="18"/>
      <c r="AQ1645" s="18"/>
      <c r="AR1645" s="18"/>
      <c r="AS1645" s="18"/>
      <c r="AT1645" s="18"/>
      <c r="AU1645" s="18"/>
      <c r="AV1645" s="18"/>
      <c r="AW1645" s="18"/>
      <c r="AX1645" s="18"/>
      <c r="AY1645" s="18"/>
    </row>
    <row r="1646" spans="1:51" s="33" customFormat="1" ht="14.5" x14ac:dyDescent="0.35">
      <c r="A1646" s="268" t="s">
        <v>194</v>
      </c>
      <c r="B1646" s="17" t="s">
        <v>1158</v>
      </c>
      <c r="C1646" s="18" t="str">
        <f>+C1645</f>
        <v>DIO1</v>
      </c>
      <c r="D1646" s="18">
        <v>132</v>
      </c>
      <c r="E1646" s="84">
        <f>+E1645</f>
        <v>2</v>
      </c>
      <c r="F1646" s="84">
        <f>+F1645</f>
        <v>12</v>
      </c>
      <c r="G1646" s="84">
        <v>0</v>
      </c>
      <c r="H1646" s="202">
        <f>+H1630+1</f>
        <v>2</v>
      </c>
      <c r="I1646" s="188">
        <v>0</v>
      </c>
      <c r="J1646" s="279" t="s">
        <v>767</v>
      </c>
      <c r="K1646" s="18" t="s">
        <v>766</v>
      </c>
      <c r="L1646" s="17" t="s">
        <v>323</v>
      </c>
      <c r="M1646" s="83">
        <v>6</v>
      </c>
      <c r="N1646" s="59" t="s">
        <v>1265</v>
      </c>
      <c r="O1646" s="17" t="s">
        <v>1254</v>
      </c>
      <c r="P1646" s="59" t="s">
        <v>1234</v>
      </c>
      <c r="Q1646" s="17" t="s">
        <v>1219</v>
      </c>
      <c r="R1646" s="17" t="s">
        <v>1216</v>
      </c>
      <c r="S1646" s="78"/>
      <c r="T1646" s="17" t="s">
        <v>1202</v>
      </c>
      <c r="U1646" s="17"/>
      <c r="V1646" s="17" t="str">
        <f>+CONCATENATE(E1646,".",F1646,"\",G1646,".",H1646,":",I1646)</f>
        <v>2.12\0.2:0</v>
      </c>
      <c r="W1646" s="272" t="s">
        <v>1171</v>
      </c>
      <c r="X1646" s="272">
        <v>0</v>
      </c>
      <c r="Y1646" s="20"/>
      <c r="Z1646" s="20" t="s">
        <v>1159</v>
      </c>
      <c r="AA1646" s="20"/>
      <c r="AB1646" s="20"/>
      <c r="AC1646" s="20"/>
      <c r="AD1646" s="20"/>
      <c r="AE1646" s="20"/>
      <c r="AF1646" s="20"/>
      <c r="AG1646" s="64" t="s">
        <v>1045</v>
      </c>
      <c r="AH1646" s="64">
        <v>1</v>
      </c>
      <c r="AI1646" s="64">
        <v>2</v>
      </c>
      <c r="AJ1646" s="64"/>
      <c r="AK1646" s="64"/>
      <c r="AL1646" s="264"/>
      <c r="AM1646" s="84"/>
      <c r="AN1646" s="18"/>
      <c r="AO1646" s="18"/>
      <c r="AP1646" s="18"/>
      <c r="AQ1646" s="18"/>
      <c r="AR1646" s="18"/>
      <c r="AS1646" s="18"/>
      <c r="AT1646" s="18"/>
      <c r="AU1646" s="18"/>
      <c r="AV1646" s="18"/>
      <c r="AW1646" s="18"/>
      <c r="AX1646" s="18"/>
      <c r="AY1646" s="18"/>
    </row>
    <row r="1647" spans="1:51" s="33" customFormat="1" ht="14.5" x14ac:dyDescent="0.35">
      <c r="A1647" s="63" t="str">
        <f>A1646</f>
        <v>BCV131</v>
      </c>
      <c r="B1647" s="17" t="s">
        <v>1158</v>
      </c>
      <c r="C1647" s="18" t="str">
        <f>+C1646</f>
        <v>DIO1</v>
      </c>
      <c r="D1647" s="18">
        <v>132</v>
      </c>
      <c r="E1647" s="84">
        <f>+E1646</f>
        <v>2</v>
      </c>
      <c r="F1647" s="84">
        <f>+F1646</f>
        <v>12</v>
      </c>
      <c r="G1647" s="84">
        <v>0</v>
      </c>
      <c r="H1647" s="200">
        <f>H1646</f>
        <v>2</v>
      </c>
      <c r="I1647" s="187">
        <f>+I1646+1</f>
        <v>1</v>
      </c>
      <c r="J1647" s="205"/>
      <c r="K1647" s="17"/>
      <c r="L1647" s="17" t="s">
        <v>323</v>
      </c>
      <c r="M1647" s="83">
        <v>6</v>
      </c>
      <c r="N1647" s="59" t="s">
        <v>1264</v>
      </c>
      <c r="O1647" s="17" t="s">
        <v>1252</v>
      </c>
      <c r="P1647" s="59" t="s">
        <v>1234</v>
      </c>
      <c r="Q1647" s="17" t="s">
        <v>1219</v>
      </c>
      <c r="R1647" s="17" t="s">
        <v>1211</v>
      </c>
      <c r="S1647" s="78"/>
      <c r="T1647" s="17" t="s">
        <v>1202</v>
      </c>
      <c r="U1647" s="17"/>
      <c r="V1647" s="17" t="str">
        <f>+CONCATENATE(E1647,".",F1647,"\",G1647,".",H1647,":",I1647)</f>
        <v>2.12\0.2:1</v>
      </c>
      <c r="W1647" s="272" t="s">
        <v>1171</v>
      </c>
      <c r="X1647" s="272">
        <v>0</v>
      </c>
      <c r="Y1647" s="20"/>
      <c r="Z1647" s="20" t="s">
        <v>1159</v>
      </c>
      <c r="AA1647" s="20"/>
      <c r="AB1647" s="20"/>
      <c r="AC1647" s="20"/>
      <c r="AD1647" s="20"/>
      <c r="AE1647" s="20"/>
      <c r="AF1647" s="20"/>
      <c r="AG1647" s="64" t="s">
        <v>1045</v>
      </c>
      <c r="AH1647" s="64">
        <v>3</v>
      </c>
      <c r="AI1647" s="64">
        <v>4</v>
      </c>
      <c r="AJ1647" s="64"/>
      <c r="AK1647" s="64"/>
      <c r="AL1647" s="264"/>
      <c r="AM1647" s="84"/>
      <c r="AN1647" s="18"/>
      <c r="AO1647" s="18"/>
      <c r="AP1647" s="18"/>
      <c r="AQ1647" s="18"/>
      <c r="AR1647" s="18"/>
      <c r="AS1647" s="18"/>
      <c r="AT1647" s="18"/>
      <c r="AU1647" s="18"/>
      <c r="AV1647" s="18"/>
      <c r="AW1647" s="18"/>
      <c r="AX1647" s="18"/>
      <c r="AY1647" s="18"/>
    </row>
    <row r="1648" spans="1:51" s="33" customFormat="1" ht="14.5" x14ac:dyDescent="0.35">
      <c r="A1648" s="63" t="str">
        <f>A1647</f>
        <v>BCV131</v>
      </c>
      <c r="B1648" s="17" t="s">
        <v>1158</v>
      </c>
      <c r="C1648" s="18" t="str">
        <f>+C1647</f>
        <v>DIO1</v>
      </c>
      <c r="D1648" s="18">
        <v>132</v>
      </c>
      <c r="E1648" s="84">
        <f>+E1647</f>
        <v>2</v>
      </c>
      <c r="F1648" s="84">
        <f>+F1647</f>
        <v>12</v>
      </c>
      <c r="G1648" s="84">
        <v>0</v>
      </c>
      <c r="H1648" s="200">
        <f>H1646</f>
        <v>2</v>
      </c>
      <c r="I1648" s="187">
        <f>+I1647+1</f>
        <v>2</v>
      </c>
      <c r="J1648" s="205"/>
      <c r="K1648" s="79"/>
      <c r="L1648" s="17" t="s">
        <v>323</v>
      </c>
      <c r="M1648" s="18">
        <v>4</v>
      </c>
      <c r="N1648" s="59" t="s">
        <v>1263</v>
      </c>
      <c r="O1648" s="17" t="s">
        <v>968</v>
      </c>
      <c r="P1648" s="59" t="s">
        <v>1238</v>
      </c>
      <c r="Q1648" s="17" t="s">
        <v>1262</v>
      </c>
      <c r="R1648" s="221" t="s">
        <v>1216</v>
      </c>
      <c r="S1648" s="17"/>
      <c r="T1648" s="17" t="s">
        <v>1202</v>
      </c>
      <c r="U1648" s="17"/>
      <c r="V1648" s="17" t="str">
        <f>+CONCATENATE(E1648,".",F1648,"\",G1648,".",H1648,":",I1648)</f>
        <v>2.12\0.2:2</v>
      </c>
      <c r="W1648" s="272" t="s">
        <v>1161</v>
      </c>
      <c r="X1648" s="272">
        <v>0</v>
      </c>
      <c r="Y1648" s="20"/>
      <c r="Z1648" s="20" t="s">
        <v>1159</v>
      </c>
      <c r="AA1648" s="20"/>
      <c r="AB1648" s="20"/>
      <c r="AC1648" s="20"/>
      <c r="AD1648" s="20"/>
      <c r="AE1648" s="20"/>
      <c r="AF1648" s="20"/>
      <c r="AG1648" s="64" t="s">
        <v>1045</v>
      </c>
      <c r="AH1648" s="64">
        <v>5</v>
      </c>
      <c r="AI1648" s="64">
        <v>6</v>
      </c>
      <c r="AJ1648" s="64"/>
      <c r="AK1648" s="64"/>
      <c r="AL1648" s="264"/>
      <c r="AM1648" s="84"/>
      <c r="AN1648" s="18"/>
      <c r="AO1648" s="18"/>
      <c r="AP1648" s="18"/>
      <c r="AQ1648" s="18"/>
      <c r="AR1648" s="18"/>
      <c r="AS1648" s="18"/>
      <c r="AT1648" s="18"/>
      <c r="AU1648" s="18"/>
      <c r="AV1648" s="18"/>
      <c r="AW1648" s="18"/>
      <c r="AX1648" s="18"/>
      <c r="AY1648" s="18"/>
    </row>
    <row r="1649" spans="1:51" s="33" customFormat="1" ht="14.5" x14ac:dyDescent="0.35">
      <c r="A1649" s="63" t="str">
        <f>A1648</f>
        <v>BCV131</v>
      </c>
      <c r="B1649" s="17" t="s">
        <v>1158</v>
      </c>
      <c r="C1649" s="18" t="str">
        <f>+C1648</f>
        <v>DIO1</v>
      </c>
      <c r="D1649" s="18">
        <v>132</v>
      </c>
      <c r="E1649" s="84">
        <f>+E1648</f>
        <v>2</v>
      </c>
      <c r="F1649" s="84">
        <f>+F1648</f>
        <v>12</v>
      </c>
      <c r="G1649" s="84">
        <v>0</v>
      </c>
      <c r="H1649" s="200">
        <f>H1646</f>
        <v>2</v>
      </c>
      <c r="I1649" s="187">
        <f>+I1648+1</f>
        <v>3</v>
      </c>
      <c r="J1649" s="205"/>
      <c r="K1649" s="79"/>
      <c r="L1649" s="17" t="s">
        <v>323</v>
      </c>
      <c r="M1649" s="18">
        <v>4</v>
      </c>
      <c r="N1649" s="59" t="s">
        <v>1261</v>
      </c>
      <c r="O1649" s="17" t="s">
        <v>1249</v>
      </c>
      <c r="P1649" s="59" t="s">
        <v>1238</v>
      </c>
      <c r="Q1649" s="17" t="s">
        <v>1260</v>
      </c>
      <c r="R1649" s="221" t="s">
        <v>395</v>
      </c>
      <c r="S1649" s="17"/>
      <c r="T1649" s="17" t="s">
        <v>1202</v>
      </c>
      <c r="U1649" s="17"/>
      <c r="V1649" s="17" t="str">
        <f>+CONCATENATE(E1649,".",F1649,"\",G1649,".",H1649,":",I1649)</f>
        <v>2.12\0.2:3</v>
      </c>
      <c r="W1649" s="272" t="s">
        <v>1161</v>
      </c>
      <c r="X1649" s="272">
        <v>0</v>
      </c>
      <c r="Y1649" s="20"/>
      <c r="Z1649" s="20" t="s">
        <v>1159</v>
      </c>
      <c r="AA1649" s="20"/>
      <c r="AB1649" s="20"/>
      <c r="AC1649" s="20"/>
      <c r="AD1649" s="20"/>
      <c r="AE1649" s="20"/>
      <c r="AF1649" s="20"/>
      <c r="AG1649" s="64" t="s">
        <v>1045</v>
      </c>
      <c r="AH1649" s="64">
        <v>7</v>
      </c>
      <c r="AI1649" s="64">
        <v>8</v>
      </c>
      <c r="AJ1649" s="64"/>
      <c r="AK1649" s="64"/>
      <c r="AL1649" s="264"/>
      <c r="AM1649" s="84"/>
      <c r="AN1649" s="18"/>
      <c r="AO1649" s="18"/>
      <c r="AP1649" s="18"/>
      <c r="AQ1649" s="18"/>
      <c r="AR1649" s="18"/>
      <c r="AS1649" s="18"/>
      <c r="AT1649" s="18"/>
      <c r="AU1649" s="18"/>
      <c r="AV1649" s="18"/>
      <c r="AW1649" s="18"/>
      <c r="AX1649" s="18"/>
      <c r="AY1649" s="18"/>
    </row>
    <row r="1650" spans="1:51" s="33" customFormat="1" ht="14.5" x14ac:dyDescent="0.35">
      <c r="A1650" s="63" t="str">
        <f>A1649</f>
        <v>BCV131</v>
      </c>
      <c r="B1650" s="17" t="s">
        <v>1158</v>
      </c>
      <c r="C1650" s="18" t="str">
        <f>+C1649</f>
        <v>DIO1</v>
      </c>
      <c r="D1650" s="18">
        <v>132</v>
      </c>
      <c r="E1650" s="84">
        <f>+E1649</f>
        <v>2</v>
      </c>
      <c r="F1650" s="84">
        <f>+F1649</f>
        <v>12</v>
      </c>
      <c r="G1650" s="84">
        <v>0</v>
      </c>
      <c r="H1650" s="200">
        <f>H1647</f>
        <v>2</v>
      </c>
      <c r="I1650" s="187">
        <f>+I1649+1</f>
        <v>4</v>
      </c>
      <c r="J1650" s="205"/>
      <c r="K1650" s="79"/>
      <c r="L1650" s="17" t="s">
        <v>323</v>
      </c>
      <c r="M1650" s="18">
        <v>4</v>
      </c>
      <c r="N1650" s="59" t="s">
        <v>1257</v>
      </c>
      <c r="O1650" s="17" t="s">
        <v>1246</v>
      </c>
      <c r="P1650" s="59" t="s">
        <v>1238</v>
      </c>
      <c r="Q1650" s="17" t="s">
        <v>1259</v>
      </c>
      <c r="R1650" s="17" t="s">
        <v>395</v>
      </c>
      <c r="S1650" s="17"/>
      <c r="T1650" s="17" t="s">
        <v>1257</v>
      </c>
      <c r="U1650" s="17"/>
      <c r="V1650" s="17" t="str">
        <f>+CONCATENATE(E1650,".",F1650,"\",G1650,".",H1650,":",I1650)</f>
        <v>2.12\0.2:4</v>
      </c>
      <c r="W1650" s="272" t="s">
        <v>1171</v>
      </c>
      <c r="X1650" s="272">
        <v>0</v>
      </c>
      <c r="Y1650" s="20"/>
      <c r="Z1650" s="20" t="s">
        <v>1159</v>
      </c>
      <c r="AA1650" s="20"/>
      <c r="AB1650" s="20"/>
      <c r="AC1650" s="20"/>
      <c r="AD1650" s="20"/>
      <c r="AE1650" s="20"/>
      <c r="AF1650" s="20"/>
      <c r="AG1650" s="64" t="s">
        <v>1045</v>
      </c>
      <c r="AH1650" s="64">
        <v>9</v>
      </c>
      <c r="AI1650" s="64">
        <v>10</v>
      </c>
      <c r="AJ1650" s="64"/>
      <c r="AK1650" s="64"/>
      <c r="AL1650" s="264"/>
      <c r="AM1650" s="84"/>
      <c r="AN1650" s="18"/>
      <c r="AO1650" s="18"/>
      <c r="AP1650" s="18"/>
      <c r="AQ1650" s="18"/>
      <c r="AR1650" s="18"/>
      <c r="AS1650" s="18"/>
      <c r="AT1650" s="18"/>
      <c r="AU1650" s="18"/>
      <c r="AV1650" s="18"/>
      <c r="AW1650" s="18"/>
      <c r="AX1650" s="18"/>
      <c r="AY1650" s="18"/>
    </row>
    <row r="1651" spans="1:51" s="33" customFormat="1" ht="14.5" x14ac:dyDescent="0.35">
      <c r="A1651" s="63" t="str">
        <f>A1650</f>
        <v>BCV131</v>
      </c>
      <c r="B1651" s="17" t="s">
        <v>1158</v>
      </c>
      <c r="C1651" s="18" t="str">
        <f>+C1650</f>
        <v>DIO1</v>
      </c>
      <c r="D1651" s="18">
        <v>132</v>
      </c>
      <c r="E1651" s="84">
        <f>+E1650</f>
        <v>2</v>
      </c>
      <c r="F1651" s="84">
        <f>+F1650</f>
        <v>12</v>
      </c>
      <c r="G1651" s="84">
        <v>0</v>
      </c>
      <c r="H1651" s="200">
        <f>H1648</f>
        <v>2</v>
      </c>
      <c r="I1651" s="187">
        <f>+I1650+1</f>
        <v>5</v>
      </c>
      <c r="J1651" s="205"/>
      <c r="K1651" s="79"/>
      <c r="L1651" s="17" t="s">
        <v>323</v>
      </c>
      <c r="M1651" s="18">
        <v>4</v>
      </c>
      <c r="N1651" s="59" t="s">
        <v>1257</v>
      </c>
      <c r="O1651" s="17" t="s">
        <v>559</v>
      </c>
      <c r="P1651" s="59" t="s">
        <v>1238</v>
      </c>
      <c r="Q1651" s="17" t="s">
        <v>1258</v>
      </c>
      <c r="R1651" s="17" t="s">
        <v>399</v>
      </c>
      <c r="S1651" s="17"/>
      <c r="T1651" s="17" t="s">
        <v>1257</v>
      </c>
      <c r="U1651" s="17"/>
      <c r="V1651" s="17" t="str">
        <f>+CONCATENATE(E1651,".",F1651,"\",G1651,".",H1651,":",I1651)</f>
        <v>2.12\0.2:5</v>
      </c>
      <c r="W1651" s="272" t="s">
        <v>1171</v>
      </c>
      <c r="X1651" s="272">
        <v>0</v>
      </c>
      <c r="Y1651" s="20"/>
      <c r="Z1651" s="20" t="s">
        <v>1159</v>
      </c>
      <c r="AA1651" s="20"/>
      <c r="AB1651" s="20"/>
      <c r="AC1651" s="20"/>
      <c r="AD1651" s="20"/>
      <c r="AE1651" s="20"/>
      <c r="AF1651" s="20"/>
      <c r="AG1651" s="64" t="s">
        <v>1045</v>
      </c>
      <c r="AH1651" s="64">
        <v>11</v>
      </c>
      <c r="AI1651" s="64">
        <v>12</v>
      </c>
      <c r="AJ1651" s="64"/>
      <c r="AK1651" s="64"/>
      <c r="AL1651" s="264"/>
      <c r="AM1651" s="84"/>
      <c r="AN1651" s="18"/>
      <c r="AO1651" s="18"/>
      <c r="AP1651" s="18"/>
      <c r="AQ1651" s="18"/>
      <c r="AR1651" s="18"/>
      <c r="AS1651" s="18"/>
      <c r="AT1651" s="18"/>
      <c r="AU1651" s="18"/>
      <c r="AV1651" s="18"/>
      <c r="AW1651" s="18"/>
      <c r="AX1651" s="18"/>
      <c r="AY1651" s="18"/>
    </row>
    <row r="1652" spans="1:51" s="33" customFormat="1" ht="14.5" x14ac:dyDescent="0.35">
      <c r="A1652" s="63" t="str">
        <f>A1651</f>
        <v>BCV131</v>
      </c>
      <c r="B1652" s="17" t="s">
        <v>1158</v>
      </c>
      <c r="C1652" s="18" t="str">
        <f>+C1651</f>
        <v>DIO1</v>
      </c>
      <c r="D1652" s="18">
        <v>132</v>
      </c>
      <c r="E1652" s="84">
        <f>+E1651</f>
        <v>2</v>
      </c>
      <c r="F1652" s="84">
        <f>+F1651</f>
        <v>12</v>
      </c>
      <c r="G1652" s="84">
        <v>0</v>
      </c>
      <c r="H1652" s="200">
        <f>H1649</f>
        <v>2</v>
      </c>
      <c r="I1652" s="187">
        <f>+I1651+1</f>
        <v>6</v>
      </c>
      <c r="J1652" s="205"/>
      <c r="K1652" s="79"/>
      <c r="L1652" s="17" t="s">
        <v>323</v>
      </c>
      <c r="M1652" s="18">
        <v>4</v>
      </c>
      <c r="N1652" s="59" t="s">
        <v>1256</v>
      </c>
      <c r="O1652" s="17" t="s">
        <v>1242</v>
      </c>
      <c r="P1652" s="59" t="s">
        <v>1238</v>
      </c>
      <c r="Q1652" s="17" t="s">
        <v>1241</v>
      </c>
      <c r="R1652" s="17" t="s">
        <v>299</v>
      </c>
      <c r="S1652" s="17"/>
      <c r="T1652" s="17" t="s">
        <v>1202</v>
      </c>
      <c r="U1652" s="17"/>
      <c r="V1652" s="17" t="str">
        <f>+CONCATENATE(E1652,".",F1652,"\",G1652,".",H1652,":",I1652)</f>
        <v>2.12\0.2:6</v>
      </c>
      <c r="W1652" s="83" t="s">
        <v>649</v>
      </c>
      <c r="X1652" s="83" t="s">
        <v>289</v>
      </c>
      <c r="Y1652" s="20"/>
      <c r="Z1652" s="20" t="s">
        <v>1159</v>
      </c>
      <c r="AA1652" s="20"/>
      <c r="AB1652" s="20"/>
      <c r="AC1652" s="20"/>
      <c r="AD1652" s="20"/>
      <c r="AE1652" s="20"/>
      <c r="AF1652" s="20"/>
      <c r="AG1652" s="64" t="s">
        <v>1045</v>
      </c>
      <c r="AH1652" s="64">
        <v>13</v>
      </c>
      <c r="AI1652" s="64">
        <v>14</v>
      </c>
      <c r="AJ1652" s="64"/>
      <c r="AK1652" s="64"/>
      <c r="AL1652" s="264"/>
      <c r="AM1652" s="84"/>
      <c r="AN1652" s="18"/>
      <c r="AO1652" s="18"/>
      <c r="AP1652" s="18"/>
      <c r="AQ1652" s="18"/>
      <c r="AR1652" s="18"/>
      <c r="AS1652" s="18"/>
      <c r="AT1652" s="18"/>
      <c r="AU1652" s="18"/>
      <c r="AV1652" s="18"/>
      <c r="AW1652" s="18"/>
      <c r="AX1652" s="18"/>
      <c r="AY1652" s="18"/>
    </row>
    <row r="1653" spans="1:51" s="33" customFormat="1" ht="14.5" x14ac:dyDescent="0.35">
      <c r="A1653" s="63" t="str">
        <f>A1652</f>
        <v>BCV131</v>
      </c>
      <c r="B1653" s="17" t="s">
        <v>1158</v>
      </c>
      <c r="C1653" s="18" t="str">
        <f>+C1652</f>
        <v>DIO1</v>
      </c>
      <c r="D1653" s="18">
        <v>132</v>
      </c>
      <c r="E1653" s="84">
        <f>+E1652</f>
        <v>2</v>
      </c>
      <c r="F1653" s="84">
        <f>+F1652</f>
        <v>12</v>
      </c>
      <c r="G1653" s="84">
        <v>0</v>
      </c>
      <c r="H1653" s="200">
        <f>H1650</f>
        <v>2</v>
      </c>
      <c r="I1653" s="187">
        <f>+I1652+1</f>
        <v>7</v>
      </c>
      <c r="J1653" s="205"/>
      <c r="K1653" s="79"/>
      <c r="L1653" s="17" t="s">
        <v>323</v>
      </c>
      <c r="M1653" s="18">
        <v>4</v>
      </c>
      <c r="N1653" s="59" t="s">
        <v>1256</v>
      </c>
      <c r="O1653" s="17" t="s">
        <v>1239</v>
      </c>
      <c r="P1653" s="59" t="s">
        <v>1238</v>
      </c>
      <c r="Q1653" s="17" t="s">
        <v>1237</v>
      </c>
      <c r="R1653" s="17" t="s">
        <v>299</v>
      </c>
      <c r="S1653" s="17"/>
      <c r="T1653" s="17" t="s">
        <v>1202</v>
      </c>
      <c r="U1653" s="17"/>
      <c r="V1653" s="17" t="str">
        <f>+CONCATENATE(E1653,".",F1653,"\",G1653,".",H1653,":",I1653)</f>
        <v>2.12\0.2:7</v>
      </c>
      <c r="W1653" s="83" t="s">
        <v>649</v>
      </c>
      <c r="X1653" s="83" t="s">
        <v>289</v>
      </c>
      <c r="Y1653" s="20"/>
      <c r="Z1653" s="20" t="s">
        <v>1159</v>
      </c>
      <c r="AA1653" s="20"/>
      <c r="AB1653" s="20"/>
      <c r="AC1653" s="20"/>
      <c r="AD1653" s="20"/>
      <c r="AE1653" s="20"/>
      <c r="AF1653" s="20"/>
      <c r="AG1653" s="64" t="s">
        <v>1045</v>
      </c>
      <c r="AH1653" s="64">
        <v>15</v>
      </c>
      <c r="AI1653" s="64">
        <v>16</v>
      </c>
      <c r="AJ1653" s="64"/>
      <c r="AK1653" s="64"/>
      <c r="AL1653" s="264"/>
      <c r="AM1653" s="84"/>
      <c r="AN1653" s="18"/>
      <c r="AO1653" s="18"/>
      <c r="AP1653" s="18"/>
      <c r="AQ1653" s="18"/>
      <c r="AR1653" s="18"/>
      <c r="AS1653" s="18"/>
      <c r="AT1653" s="18"/>
      <c r="AU1653" s="18"/>
      <c r="AV1653" s="18"/>
      <c r="AW1653" s="18"/>
      <c r="AX1653" s="18"/>
      <c r="AY1653" s="18"/>
    </row>
    <row r="1654" spans="1:51" s="33" customFormat="1" ht="14.5" x14ac:dyDescent="0.35">
      <c r="A1654" s="63" t="str">
        <f>A1653</f>
        <v>BCV131</v>
      </c>
      <c r="B1654" s="17" t="s">
        <v>1158</v>
      </c>
      <c r="C1654" s="18" t="str">
        <f>+C1653</f>
        <v>DIO1</v>
      </c>
      <c r="D1654" s="18">
        <v>132</v>
      </c>
      <c r="E1654" s="84">
        <f>+E1653</f>
        <v>2</v>
      </c>
      <c r="F1654" s="84">
        <f>+F1653</f>
        <v>12</v>
      </c>
      <c r="G1654" s="84">
        <v>0</v>
      </c>
      <c r="H1654" s="200">
        <f>H1651</f>
        <v>2</v>
      </c>
      <c r="I1654" s="187">
        <f>+I1653+1</f>
        <v>8</v>
      </c>
      <c r="J1654" s="205"/>
      <c r="K1654" s="79"/>
      <c r="L1654" s="17" t="s">
        <v>323</v>
      </c>
      <c r="M1654" s="83">
        <v>6</v>
      </c>
      <c r="N1654" s="59" t="s">
        <v>1255</v>
      </c>
      <c r="O1654" s="17" t="s">
        <v>1254</v>
      </c>
      <c r="P1654" s="59" t="s">
        <v>1224</v>
      </c>
      <c r="Q1654" s="17" t="s">
        <v>1219</v>
      </c>
      <c r="R1654" s="17" t="s">
        <v>1216</v>
      </c>
      <c r="S1654" s="17"/>
      <c r="T1654" s="17" t="s">
        <v>1192</v>
      </c>
      <c r="U1654" s="17"/>
      <c r="V1654" s="17" t="str">
        <f>+CONCATENATE(E1654,".",F1654,"\",G1654,".",H1654,":",I1654)</f>
        <v>2.12\0.2:8</v>
      </c>
      <c r="W1654" s="272" t="s">
        <v>1171</v>
      </c>
      <c r="X1654" s="272">
        <v>0</v>
      </c>
      <c r="Y1654" s="20"/>
      <c r="Z1654" s="20" t="s">
        <v>1159</v>
      </c>
      <c r="AA1654" s="20"/>
      <c r="AB1654" s="20"/>
      <c r="AC1654" s="20"/>
      <c r="AD1654" s="20"/>
      <c r="AE1654" s="20"/>
      <c r="AF1654" s="20"/>
      <c r="AG1654" s="64" t="s">
        <v>1045</v>
      </c>
      <c r="AH1654" s="64">
        <v>17</v>
      </c>
      <c r="AI1654" s="64">
        <v>18</v>
      </c>
      <c r="AJ1654" s="64"/>
      <c r="AK1654" s="64"/>
      <c r="AL1654" s="264"/>
      <c r="AM1654" s="84"/>
      <c r="AN1654" s="18"/>
      <c r="AO1654" s="18"/>
      <c r="AP1654" s="18"/>
      <c r="AQ1654" s="18"/>
      <c r="AR1654" s="18"/>
      <c r="AS1654" s="18"/>
      <c r="AT1654" s="18"/>
      <c r="AU1654" s="18"/>
      <c r="AV1654" s="18"/>
      <c r="AW1654" s="18"/>
      <c r="AX1654" s="18"/>
      <c r="AY1654" s="18"/>
    </row>
    <row r="1655" spans="1:51" s="33" customFormat="1" ht="14.5" x14ac:dyDescent="0.35">
      <c r="A1655" s="63" t="str">
        <f>A1654</f>
        <v>BCV131</v>
      </c>
      <c r="B1655" s="17" t="s">
        <v>1158</v>
      </c>
      <c r="C1655" s="18" t="str">
        <f>+C1654</f>
        <v>DIO1</v>
      </c>
      <c r="D1655" s="18">
        <v>132</v>
      </c>
      <c r="E1655" s="84">
        <f>+E1654</f>
        <v>2</v>
      </c>
      <c r="F1655" s="84">
        <f>+F1654</f>
        <v>12</v>
      </c>
      <c r="G1655" s="84">
        <v>0</v>
      </c>
      <c r="H1655" s="200">
        <f>H1652</f>
        <v>2</v>
      </c>
      <c r="I1655" s="187">
        <f>+I1654+1</f>
        <v>9</v>
      </c>
      <c r="J1655" s="205"/>
      <c r="K1655" s="79"/>
      <c r="L1655" s="17" t="s">
        <v>323</v>
      </c>
      <c r="M1655" s="83">
        <v>6</v>
      </c>
      <c r="N1655" s="59" t="s">
        <v>1253</v>
      </c>
      <c r="O1655" s="17" t="s">
        <v>1252</v>
      </c>
      <c r="P1655" s="59" t="s">
        <v>1224</v>
      </c>
      <c r="Q1655" s="17" t="s">
        <v>1219</v>
      </c>
      <c r="R1655" s="17" t="s">
        <v>1211</v>
      </c>
      <c r="S1655" s="17"/>
      <c r="T1655" s="17" t="s">
        <v>1192</v>
      </c>
      <c r="U1655" s="17"/>
      <c r="V1655" s="17" t="str">
        <f>+CONCATENATE(E1655,".",F1655,"\",G1655,".",H1655,":",I1655)</f>
        <v>2.12\0.2:9</v>
      </c>
      <c r="W1655" s="272" t="s">
        <v>1171</v>
      </c>
      <c r="X1655" s="272">
        <v>0</v>
      </c>
      <c r="Y1655" s="20"/>
      <c r="Z1655" s="20" t="s">
        <v>1159</v>
      </c>
      <c r="AA1655" s="20"/>
      <c r="AB1655" s="20"/>
      <c r="AC1655" s="20"/>
      <c r="AD1655" s="20"/>
      <c r="AE1655" s="20"/>
      <c r="AF1655" s="20"/>
      <c r="AG1655" s="64" t="s">
        <v>1045</v>
      </c>
      <c r="AH1655" s="64">
        <v>19</v>
      </c>
      <c r="AI1655" s="64">
        <v>20</v>
      </c>
      <c r="AJ1655" s="64"/>
      <c r="AK1655" s="64"/>
      <c r="AL1655" s="264"/>
      <c r="AM1655" s="84"/>
      <c r="AN1655" s="18"/>
      <c r="AO1655" s="18"/>
      <c r="AP1655" s="18"/>
      <c r="AQ1655" s="18"/>
      <c r="AR1655" s="18"/>
      <c r="AS1655" s="18"/>
      <c r="AT1655" s="18"/>
      <c r="AU1655" s="18"/>
      <c r="AV1655" s="18"/>
      <c r="AW1655" s="18"/>
      <c r="AX1655" s="18"/>
      <c r="AY1655" s="18"/>
    </row>
    <row r="1656" spans="1:51" s="33" customFormat="1" ht="14.5" x14ac:dyDescent="0.35">
      <c r="A1656" s="63" t="str">
        <f>A1655</f>
        <v>BCV131</v>
      </c>
      <c r="B1656" s="17" t="s">
        <v>1158</v>
      </c>
      <c r="C1656" s="18" t="str">
        <f>+C1655</f>
        <v>DIO1</v>
      </c>
      <c r="D1656" s="18">
        <v>132</v>
      </c>
      <c r="E1656" s="84">
        <f>+E1655</f>
        <v>2</v>
      </c>
      <c r="F1656" s="84">
        <f>+F1655</f>
        <v>12</v>
      </c>
      <c r="G1656" s="84">
        <v>0</v>
      </c>
      <c r="H1656" s="200">
        <f>H1653</f>
        <v>2</v>
      </c>
      <c r="I1656" s="187">
        <f>+I1655+1</f>
        <v>10</v>
      </c>
      <c r="J1656" s="205"/>
      <c r="K1656" s="79"/>
      <c r="L1656" s="17" t="s">
        <v>323</v>
      </c>
      <c r="M1656" s="18">
        <v>4</v>
      </c>
      <c r="N1656" s="59" t="s">
        <v>1251</v>
      </c>
      <c r="O1656" s="17" t="s">
        <v>968</v>
      </c>
      <c r="P1656" s="59" t="s">
        <v>1238</v>
      </c>
      <c r="Q1656" s="17" t="s">
        <v>1248</v>
      </c>
      <c r="R1656" s="221" t="s">
        <v>1216</v>
      </c>
      <c r="S1656" s="17"/>
      <c r="T1656" s="17" t="s">
        <v>1192</v>
      </c>
      <c r="U1656" s="17"/>
      <c r="V1656" s="17" t="str">
        <f>+CONCATENATE(E1656,".",F1656,"\",G1656,".",H1656,":",I1656)</f>
        <v>2.12\0.2:10</v>
      </c>
      <c r="W1656" s="272" t="s">
        <v>1247</v>
      </c>
      <c r="X1656" s="272">
        <v>0</v>
      </c>
      <c r="Y1656" s="17"/>
      <c r="Z1656" s="20" t="s">
        <v>1159</v>
      </c>
      <c r="AA1656" s="17"/>
      <c r="AB1656" s="20"/>
      <c r="AC1656" s="20"/>
      <c r="AD1656" s="20"/>
      <c r="AE1656" s="20"/>
      <c r="AF1656" s="20"/>
      <c r="AG1656" s="64" t="s">
        <v>1045</v>
      </c>
      <c r="AH1656" s="64">
        <v>21</v>
      </c>
      <c r="AI1656" s="64">
        <v>22</v>
      </c>
      <c r="AJ1656" s="64"/>
      <c r="AK1656" s="64"/>
      <c r="AL1656" s="264"/>
      <c r="AM1656" s="84"/>
      <c r="AN1656" s="18"/>
      <c r="AO1656" s="18"/>
      <c r="AP1656" s="18"/>
      <c r="AQ1656" s="18"/>
      <c r="AR1656" s="18"/>
      <c r="AS1656" s="18"/>
      <c r="AT1656" s="18"/>
      <c r="AU1656" s="18"/>
      <c r="AV1656" s="18"/>
      <c r="AW1656" s="18"/>
      <c r="AX1656" s="18"/>
      <c r="AY1656" s="18"/>
    </row>
    <row r="1657" spans="1:51" s="33" customFormat="1" ht="14.5" x14ac:dyDescent="0.35">
      <c r="A1657" s="63" t="str">
        <f>A1656</f>
        <v>BCV131</v>
      </c>
      <c r="B1657" s="17" t="s">
        <v>1158</v>
      </c>
      <c r="C1657" s="18" t="str">
        <f>+C1656</f>
        <v>DIO1</v>
      </c>
      <c r="D1657" s="18">
        <v>132</v>
      </c>
      <c r="E1657" s="84">
        <f>+E1656</f>
        <v>2</v>
      </c>
      <c r="F1657" s="84">
        <f>+F1656</f>
        <v>12</v>
      </c>
      <c r="G1657" s="84">
        <v>0</v>
      </c>
      <c r="H1657" s="200">
        <f>H1654</f>
        <v>2</v>
      </c>
      <c r="I1657" s="187">
        <f>+I1656+1</f>
        <v>11</v>
      </c>
      <c r="J1657" s="205"/>
      <c r="K1657" s="79"/>
      <c r="L1657" s="17" t="s">
        <v>323</v>
      </c>
      <c r="M1657" s="18">
        <v>4</v>
      </c>
      <c r="N1657" s="59" t="s">
        <v>1250</v>
      </c>
      <c r="O1657" s="17" t="s">
        <v>1249</v>
      </c>
      <c r="P1657" s="59" t="s">
        <v>1238</v>
      </c>
      <c r="Q1657" s="17" t="s">
        <v>1248</v>
      </c>
      <c r="R1657" s="221" t="s">
        <v>395</v>
      </c>
      <c r="S1657" s="17"/>
      <c r="T1657" s="17" t="s">
        <v>1192</v>
      </c>
      <c r="U1657" s="17"/>
      <c r="V1657" s="17" t="str">
        <f>+CONCATENATE(E1657,".",F1657,"\",G1657,".",H1657,":",I1657)</f>
        <v>2.12\0.2:11</v>
      </c>
      <c r="W1657" s="272" t="s">
        <v>1247</v>
      </c>
      <c r="X1657" s="272">
        <v>0</v>
      </c>
      <c r="Y1657" s="17"/>
      <c r="Z1657" s="20" t="s">
        <v>1159</v>
      </c>
      <c r="AA1657" s="17"/>
      <c r="AB1657" s="20"/>
      <c r="AC1657" s="20"/>
      <c r="AD1657" s="20"/>
      <c r="AE1657" s="20"/>
      <c r="AF1657" s="20"/>
      <c r="AG1657" s="64" t="s">
        <v>1045</v>
      </c>
      <c r="AH1657" s="64">
        <v>23</v>
      </c>
      <c r="AI1657" s="64">
        <v>24</v>
      </c>
      <c r="AJ1657" s="64"/>
      <c r="AK1657" s="64"/>
      <c r="AL1657" s="264"/>
      <c r="AM1657" s="84"/>
      <c r="AN1657" s="18"/>
      <c r="AO1657" s="18"/>
      <c r="AP1657" s="18"/>
      <c r="AQ1657" s="18"/>
      <c r="AR1657" s="18"/>
      <c r="AS1657" s="18"/>
      <c r="AT1657" s="18"/>
      <c r="AU1657" s="18"/>
      <c r="AV1657" s="18"/>
      <c r="AW1657" s="18"/>
      <c r="AX1657" s="18"/>
      <c r="AY1657" s="18"/>
    </row>
    <row r="1658" spans="1:51" s="33" customFormat="1" ht="14.5" x14ac:dyDescent="0.35">
      <c r="A1658" s="63" t="str">
        <f>A1657</f>
        <v>BCV131</v>
      </c>
      <c r="B1658" s="17" t="s">
        <v>1158</v>
      </c>
      <c r="C1658" s="18" t="str">
        <f>+C1657</f>
        <v>DIO1</v>
      </c>
      <c r="D1658" s="18">
        <v>132</v>
      </c>
      <c r="E1658" s="84">
        <f>+E1657</f>
        <v>2</v>
      </c>
      <c r="F1658" s="84">
        <f>+F1657</f>
        <v>12</v>
      </c>
      <c r="G1658" s="84">
        <v>0</v>
      </c>
      <c r="H1658" s="200">
        <f>H1655</f>
        <v>2</v>
      </c>
      <c r="I1658" s="187">
        <f>+I1657+1</f>
        <v>12</v>
      </c>
      <c r="J1658" s="205"/>
      <c r="K1658" s="79"/>
      <c r="L1658" s="17" t="s">
        <v>323</v>
      </c>
      <c r="M1658" s="18">
        <v>4</v>
      </c>
      <c r="N1658" s="59" t="s">
        <v>1243</v>
      </c>
      <c r="O1658" s="17" t="s">
        <v>1246</v>
      </c>
      <c r="P1658" s="59" t="s">
        <v>1238</v>
      </c>
      <c r="Q1658" s="17" t="s">
        <v>1245</v>
      </c>
      <c r="R1658" s="17" t="s">
        <v>395</v>
      </c>
      <c r="S1658" s="17"/>
      <c r="T1658" s="17" t="s">
        <v>1243</v>
      </c>
      <c r="U1658" s="17"/>
      <c r="V1658" s="17" t="str">
        <f>+CONCATENATE(E1658,".",F1658,"\",G1658,".",H1658,":",I1658)</f>
        <v>2.12\0.2:12</v>
      </c>
      <c r="W1658" s="272" t="s">
        <v>1171</v>
      </c>
      <c r="X1658" s="272">
        <v>0</v>
      </c>
      <c r="Y1658" s="20"/>
      <c r="Z1658" s="20" t="s">
        <v>1159</v>
      </c>
      <c r="AA1658" s="20"/>
      <c r="AB1658" s="20"/>
      <c r="AC1658" s="20"/>
      <c r="AD1658" s="20"/>
      <c r="AE1658" s="20"/>
      <c r="AF1658" s="20"/>
      <c r="AG1658" s="64" t="s">
        <v>1045</v>
      </c>
      <c r="AH1658" s="64">
        <v>25</v>
      </c>
      <c r="AI1658" s="64">
        <v>26</v>
      </c>
      <c r="AJ1658" s="64"/>
      <c r="AK1658" s="64"/>
      <c r="AL1658" s="264"/>
      <c r="AM1658" s="84"/>
      <c r="AN1658" s="18"/>
      <c r="AO1658" s="18"/>
      <c r="AP1658" s="18"/>
      <c r="AQ1658" s="18"/>
      <c r="AR1658" s="18"/>
      <c r="AS1658" s="18"/>
      <c r="AT1658" s="18"/>
      <c r="AU1658" s="18"/>
      <c r="AV1658" s="18"/>
      <c r="AW1658" s="18"/>
      <c r="AX1658" s="18"/>
      <c r="AY1658" s="18"/>
    </row>
    <row r="1659" spans="1:51" s="33" customFormat="1" ht="14.5" x14ac:dyDescent="0.35">
      <c r="A1659" s="63" t="str">
        <f>A1658</f>
        <v>BCV131</v>
      </c>
      <c r="B1659" s="17" t="s">
        <v>1158</v>
      </c>
      <c r="C1659" s="18" t="str">
        <f>+C1658</f>
        <v>DIO1</v>
      </c>
      <c r="D1659" s="18">
        <v>132</v>
      </c>
      <c r="E1659" s="84">
        <f>+E1658</f>
        <v>2</v>
      </c>
      <c r="F1659" s="84">
        <f>+F1658</f>
        <v>12</v>
      </c>
      <c r="G1659" s="84">
        <v>0</v>
      </c>
      <c r="H1659" s="200">
        <f>H1656</f>
        <v>2</v>
      </c>
      <c r="I1659" s="187">
        <f>+I1658+1</f>
        <v>13</v>
      </c>
      <c r="J1659" s="205"/>
      <c r="K1659" s="79"/>
      <c r="L1659" s="17" t="s">
        <v>323</v>
      </c>
      <c r="M1659" s="18">
        <v>4</v>
      </c>
      <c r="N1659" s="59" t="s">
        <v>1243</v>
      </c>
      <c r="O1659" s="17" t="s">
        <v>559</v>
      </c>
      <c r="P1659" s="59" t="s">
        <v>1238</v>
      </c>
      <c r="Q1659" s="17" t="s">
        <v>1244</v>
      </c>
      <c r="R1659" s="17" t="s">
        <v>399</v>
      </c>
      <c r="S1659" s="17"/>
      <c r="T1659" s="17" t="s">
        <v>1243</v>
      </c>
      <c r="U1659" s="17"/>
      <c r="V1659" s="17" t="str">
        <f>+CONCATENATE(E1659,".",F1659,"\",G1659,".",H1659,":",I1659)</f>
        <v>2.12\0.2:13</v>
      </c>
      <c r="W1659" s="272" t="s">
        <v>1171</v>
      </c>
      <c r="X1659" s="272">
        <v>0</v>
      </c>
      <c r="Y1659" s="20"/>
      <c r="Z1659" s="20" t="s">
        <v>1159</v>
      </c>
      <c r="AA1659" s="20"/>
      <c r="AB1659" s="20"/>
      <c r="AC1659" s="20"/>
      <c r="AD1659" s="20"/>
      <c r="AE1659" s="20"/>
      <c r="AF1659" s="20"/>
      <c r="AG1659" s="64" t="s">
        <v>1045</v>
      </c>
      <c r="AH1659" s="64">
        <v>27</v>
      </c>
      <c r="AI1659" s="64">
        <v>28</v>
      </c>
      <c r="AJ1659" s="64"/>
      <c r="AK1659" s="64"/>
      <c r="AL1659" s="264"/>
      <c r="AM1659" s="84"/>
      <c r="AN1659" s="18"/>
      <c r="AO1659" s="18"/>
      <c r="AP1659" s="18"/>
      <c r="AQ1659" s="18"/>
      <c r="AR1659" s="18"/>
      <c r="AS1659" s="18"/>
      <c r="AT1659" s="18"/>
      <c r="AU1659" s="18"/>
      <c r="AV1659" s="18"/>
      <c r="AW1659" s="18"/>
      <c r="AX1659" s="18"/>
      <c r="AY1659" s="18"/>
    </row>
    <row r="1660" spans="1:51" s="33" customFormat="1" ht="14.5" x14ac:dyDescent="0.35">
      <c r="A1660" s="63" t="str">
        <f>A1659</f>
        <v>BCV131</v>
      </c>
      <c r="B1660" s="17" t="s">
        <v>1158</v>
      </c>
      <c r="C1660" s="18" t="str">
        <f>+C1659</f>
        <v>DIO1</v>
      </c>
      <c r="D1660" s="18">
        <v>132</v>
      </c>
      <c r="E1660" s="84">
        <f>+E1659</f>
        <v>2</v>
      </c>
      <c r="F1660" s="84">
        <f>+F1659</f>
        <v>12</v>
      </c>
      <c r="G1660" s="84">
        <v>0</v>
      </c>
      <c r="H1660" s="200">
        <f>H1657</f>
        <v>2</v>
      </c>
      <c r="I1660" s="187">
        <f>+I1659+1</f>
        <v>14</v>
      </c>
      <c r="J1660" s="205"/>
      <c r="K1660" s="79"/>
      <c r="L1660" s="17" t="s">
        <v>323</v>
      </c>
      <c r="M1660" s="18">
        <v>4</v>
      </c>
      <c r="N1660" s="59" t="s">
        <v>1240</v>
      </c>
      <c r="O1660" s="17" t="s">
        <v>1242</v>
      </c>
      <c r="P1660" s="59" t="s">
        <v>1238</v>
      </c>
      <c r="Q1660" s="17" t="s">
        <v>1241</v>
      </c>
      <c r="R1660" s="17" t="s">
        <v>299</v>
      </c>
      <c r="S1660" s="78"/>
      <c r="T1660" s="17" t="s">
        <v>1192</v>
      </c>
      <c r="U1660" s="17"/>
      <c r="V1660" s="17" t="str">
        <f>+CONCATENATE(E1660,".",F1660,"\",G1660,".",H1660,":",I1660)</f>
        <v>2.12\0.2:14</v>
      </c>
      <c r="W1660" s="83" t="s">
        <v>644</v>
      </c>
      <c r="X1660" s="83" t="s">
        <v>289</v>
      </c>
      <c r="Y1660" s="20"/>
      <c r="Z1660" s="20" t="s">
        <v>1159</v>
      </c>
      <c r="AA1660" s="20"/>
      <c r="AB1660" s="20"/>
      <c r="AC1660" s="20"/>
      <c r="AD1660" s="20"/>
      <c r="AE1660" s="20"/>
      <c r="AF1660" s="20"/>
      <c r="AG1660" s="64" t="s">
        <v>1045</v>
      </c>
      <c r="AH1660" s="64">
        <v>29</v>
      </c>
      <c r="AI1660" s="64">
        <v>30</v>
      </c>
      <c r="AJ1660" s="64"/>
      <c r="AK1660" s="64"/>
      <c r="AL1660" s="264"/>
      <c r="AM1660" s="84"/>
      <c r="AN1660" s="18"/>
      <c r="AO1660" s="18"/>
      <c r="AP1660" s="18"/>
      <c r="AQ1660" s="18"/>
      <c r="AR1660" s="18"/>
      <c r="AS1660" s="18"/>
      <c r="AT1660" s="18"/>
      <c r="AU1660" s="18"/>
      <c r="AV1660" s="18"/>
      <c r="AW1660" s="18"/>
      <c r="AX1660" s="18"/>
      <c r="AY1660" s="18"/>
    </row>
    <row r="1661" spans="1:51" s="33" customFormat="1" ht="14.5" x14ac:dyDescent="0.35">
      <c r="A1661" s="63" t="str">
        <f>A1660</f>
        <v>BCV131</v>
      </c>
      <c r="B1661" s="17" t="s">
        <v>1158</v>
      </c>
      <c r="C1661" s="18" t="str">
        <f>+C1660</f>
        <v>DIO1</v>
      </c>
      <c r="D1661" s="18">
        <v>132</v>
      </c>
      <c r="E1661" s="84">
        <f>+E1660</f>
        <v>2</v>
      </c>
      <c r="F1661" s="84">
        <f>+F1660</f>
        <v>12</v>
      </c>
      <c r="G1661" s="84">
        <v>0</v>
      </c>
      <c r="H1661" s="200">
        <f>H1657</f>
        <v>2</v>
      </c>
      <c r="I1661" s="187">
        <f>+I1660+1</f>
        <v>15</v>
      </c>
      <c r="J1661" s="205"/>
      <c r="K1661" s="79"/>
      <c r="L1661" s="17" t="s">
        <v>323</v>
      </c>
      <c r="M1661" s="18">
        <v>4</v>
      </c>
      <c r="N1661" s="59" t="s">
        <v>1240</v>
      </c>
      <c r="O1661" s="17" t="s">
        <v>1239</v>
      </c>
      <c r="P1661" s="59" t="s">
        <v>1238</v>
      </c>
      <c r="Q1661" s="17" t="s">
        <v>1237</v>
      </c>
      <c r="R1661" s="17" t="s">
        <v>299</v>
      </c>
      <c r="S1661" s="78"/>
      <c r="T1661" s="17" t="s">
        <v>1192</v>
      </c>
      <c r="U1661" s="17"/>
      <c r="V1661" s="17" t="str">
        <f>+CONCATENATE(E1661,".",F1661,"\",G1661,".",H1661,":",I1661)</f>
        <v>2.12\0.2:15</v>
      </c>
      <c r="W1661" s="83" t="s">
        <v>644</v>
      </c>
      <c r="X1661" s="83" t="s">
        <v>289</v>
      </c>
      <c r="Y1661" s="20"/>
      <c r="Z1661" s="20" t="s">
        <v>1159</v>
      </c>
      <c r="AA1661" s="20"/>
      <c r="AB1661" s="20"/>
      <c r="AC1661" s="20"/>
      <c r="AD1661" s="20"/>
      <c r="AE1661" s="20"/>
      <c r="AF1661" s="20"/>
      <c r="AG1661" s="64" t="s">
        <v>1045</v>
      </c>
      <c r="AH1661" s="64">
        <v>31</v>
      </c>
      <c r="AI1661" s="64">
        <v>32</v>
      </c>
      <c r="AJ1661" s="64"/>
      <c r="AK1661" s="64"/>
      <c r="AL1661" s="264"/>
      <c r="AM1661" s="84"/>
      <c r="AN1661" s="18"/>
      <c r="AO1661" s="18"/>
      <c r="AP1661" s="18"/>
      <c r="AQ1661" s="18"/>
      <c r="AR1661" s="18"/>
      <c r="AS1661" s="18"/>
      <c r="AT1661" s="18"/>
      <c r="AU1661" s="18"/>
      <c r="AV1661" s="18"/>
      <c r="AW1661" s="18"/>
      <c r="AX1661" s="18"/>
      <c r="AY1661" s="18"/>
    </row>
    <row r="1662" spans="1:51" s="33" customFormat="1" ht="14.5" x14ac:dyDescent="0.35">
      <c r="A1662" s="63" t="str">
        <f>A1661</f>
        <v>BCV131</v>
      </c>
      <c r="B1662" s="17" t="s">
        <v>1158</v>
      </c>
      <c r="C1662" s="18" t="str">
        <f>+C1661</f>
        <v>DIO1</v>
      </c>
      <c r="D1662" s="18">
        <v>132</v>
      </c>
      <c r="E1662" s="84">
        <f>+E1661</f>
        <v>2</v>
      </c>
      <c r="F1662" s="84">
        <f>+F1661</f>
        <v>12</v>
      </c>
      <c r="G1662" s="84">
        <v>0</v>
      </c>
      <c r="H1662" s="200">
        <f>H1658</f>
        <v>2</v>
      </c>
      <c r="I1662" s="187">
        <f>+I1661+1</f>
        <v>16</v>
      </c>
      <c r="J1662" s="205"/>
      <c r="K1662" s="18"/>
      <c r="L1662" s="17" t="s">
        <v>323</v>
      </c>
      <c r="M1662" s="83">
        <v>6</v>
      </c>
      <c r="N1662" s="59" t="s">
        <v>1236</v>
      </c>
      <c r="O1662" s="17" t="s">
        <v>1227</v>
      </c>
      <c r="P1662" s="59" t="s">
        <v>1234</v>
      </c>
      <c r="Q1662" s="17" t="s">
        <v>1212</v>
      </c>
      <c r="R1662" s="17" t="s">
        <v>1216</v>
      </c>
      <c r="S1662" s="17"/>
      <c r="T1662" s="17" t="s">
        <v>1202</v>
      </c>
      <c r="U1662" s="17"/>
      <c r="V1662" s="17" t="str">
        <f>+CONCATENATE(E1662,".",F1662,"\",G1662,".",H1662,":",I1662)</f>
        <v>2.12\0.2:16</v>
      </c>
      <c r="W1662" s="272" t="s">
        <v>1171</v>
      </c>
      <c r="X1662" s="272">
        <v>0</v>
      </c>
      <c r="Y1662" s="20"/>
      <c r="Z1662" s="20" t="s">
        <v>1159</v>
      </c>
      <c r="AA1662" s="20"/>
      <c r="AB1662" s="20"/>
      <c r="AC1662" s="20"/>
      <c r="AD1662" s="20"/>
      <c r="AE1662" s="20"/>
      <c r="AF1662" s="20"/>
      <c r="AG1662" s="64" t="s">
        <v>985</v>
      </c>
      <c r="AH1662" s="64">
        <v>1</v>
      </c>
      <c r="AI1662" s="64">
        <v>2</v>
      </c>
      <c r="AJ1662" s="64"/>
      <c r="AK1662" s="64"/>
      <c r="AL1662" s="264"/>
      <c r="AM1662" s="84"/>
      <c r="AN1662" s="18"/>
      <c r="AO1662" s="18"/>
      <c r="AP1662" s="18"/>
      <c r="AQ1662" s="18"/>
      <c r="AR1662" s="18"/>
      <c r="AS1662" s="18"/>
      <c r="AT1662" s="18"/>
      <c r="AU1662" s="18"/>
      <c r="AV1662" s="18"/>
      <c r="AW1662" s="18"/>
      <c r="AX1662" s="18"/>
      <c r="AY1662" s="18"/>
    </row>
    <row r="1663" spans="1:51" s="33" customFormat="1" ht="14.5" x14ac:dyDescent="0.35">
      <c r="A1663" s="63" t="str">
        <f>A1662</f>
        <v>BCV131</v>
      </c>
      <c r="B1663" s="17" t="s">
        <v>1158</v>
      </c>
      <c r="C1663" s="18" t="str">
        <f>+C1662</f>
        <v>DIO1</v>
      </c>
      <c r="D1663" s="18">
        <v>132</v>
      </c>
      <c r="E1663" s="84">
        <f>+E1662</f>
        <v>2</v>
      </c>
      <c r="F1663" s="84">
        <f>+F1662</f>
        <v>12</v>
      </c>
      <c r="G1663" s="84">
        <v>0</v>
      </c>
      <c r="H1663" s="200">
        <f>H1659</f>
        <v>2</v>
      </c>
      <c r="I1663" s="187">
        <f>+I1662+1</f>
        <v>17</v>
      </c>
      <c r="J1663" s="205"/>
      <c r="K1663" s="79"/>
      <c r="L1663" s="17" t="s">
        <v>323</v>
      </c>
      <c r="M1663" s="83">
        <v>6</v>
      </c>
      <c r="N1663" s="59" t="s">
        <v>1235</v>
      </c>
      <c r="O1663" s="17" t="s">
        <v>1225</v>
      </c>
      <c r="P1663" s="59" t="s">
        <v>1234</v>
      </c>
      <c r="Q1663" s="17" t="s">
        <v>1212</v>
      </c>
      <c r="R1663" s="17" t="s">
        <v>1211</v>
      </c>
      <c r="S1663" s="17"/>
      <c r="T1663" s="17" t="s">
        <v>1202</v>
      </c>
      <c r="U1663" s="17"/>
      <c r="V1663" s="17" t="str">
        <f>+CONCATENATE(E1663,".",F1663,"\",G1663,".",H1663,":",I1663)</f>
        <v>2.12\0.2:17</v>
      </c>
      <c r="W1663" s="272" t="s">
        <v>1171</v>
      </c>
      <c r="X1663" s="272">
        <v>0</v>
      </c>
      <c r="Y1663" s="20"/>
      <c r="Z1663" s="20" t="s">
        <v>1159</v>
      </c>
      <c r="AA1663" s="20"/>
      <c r="AB1663" s="17"/>
      <c r="AC1663" s="20"/>
      <c r="AD1663" s="20"/>
      <c r="AE1663" s="20"/>
      <c r="AF1663" s="20"/>
      <c r="AG1663" s="64" t="s">
        <v>985</v>
      </c>
      <c r="AH1663" s="64">
        <v>3</v>
      </c>
      <c r="AI1663" s="64">
        <v>4</v>
      </c>
      <c r="AJ1663" s="64"/>
      <c r="AK1663" s="64"/>
      <c r="AL1663" s="264"/>
      <c r="AM1663" s="84"/>
      <c r="AN1663" s="18"/>
      <c r="AO1663" s="18"/>
      <c r="AP1663" s="18"/>
      <c r="AQ1663" s="18"/>
      <c r="AR1663" s="18"/>
      <c r="AS1663" s="18"/>
      <c r="AT1663" s="18"/>
      <c r="AU1663" s="18"/>
      <c r="AV1663" s="18"/>
      <c r="AW1663" s="18"/>
      <c r="AX1663" s="18"/>
      <c r="AY1663" s="18"/>
    </row>
    <row r="1664" spans="1:51" s="33" customFormat="1" ht="14.5" x14ac:dyDescent="0.35">
      <c r="A1664" s="63" t="str">
        <f>A1663</f>
        <v>BCV131</v>
      </c>
      <c r="B1664" s="17" t="s">
        <v>1158</v>
      </c>
      <c r="C1664" s="18" t="str">
        <f>+C1663</f>
        <v>DIO1</v>
      </c>
      <c r="D1664" s="18">
        <v>132</v>
      </c>
      <c r="E1664" s="84">
        <f>+E1663</f>
        <v>2</v>
      </c>
      <c r="F1664" s="84">
        <f>+F1663</f>
        <v>12</v>
      </c>
      <c r="G1664" s="84">
        <v>0</v>
      </c>
      <c r="H1664" s="200">
        <f>H1660</f>
        <v>2</v>
      </c>
      <c r="I1664" s="187">
        <f>+I1663+1</f>
        <v>18</v>
      </c>
      <c r="J1664" s="205"/>
      <c r="K1664" s="79"/>
      <c r="L1664" s="17" t="s">
        <v>323</v>
      </c>
      <c r="M1664" s="83">
        <v>6</v>
      </c>
      <c r="N1664" s="59" t="s">
        <v>1233</v>
      </c>
      <c r="O1664" s="17" t="s">
        <v>1222</v>
      </c>
      <c r="P1664" s="59" t="s">
        <v>1229</v>
      </c>
      <c r="Q1664" s="17" t="s">
        <v>1219</v>
      </c>
      <c r="R1664" s="17" t="s">
        <v>1216</v>
      </c>
      <c r="S1664" s="278"/>
      <c r="T1664" s="17" t="s">
        <v>1202</v>
      </c>
      <c r="U1664" s="17"/>
      <c r="V1664" s="17" t="str">
        <f>+CONCATENATE(E1664,".",F1664,"\",G1664,".",H1664,":",I1664)</f>
        <v>2.12\0.2:18</v>
      </c>
      <c r="W1664" s="272" t="s">
        <v>1171</v>
      </c>
      <c r="X1664" s="272">
        <v>0</v>
      </c>
      <c r="Y1664" s="20"/>
      <c r="Z1664" s="20" t="s">
        <v>1159</v>
      </c>
      <c r="AA1664" s="20"/>
      <c r="AB1664" s="17"/>
      <c r="AC1664" s="20"/>
      <c r="AD1664" s="20"/>
      <c r="AE1664" s="20"/>
      <c r="AF1664" s="20"/>
      <c r="AG1664" s="64" t="s">
        <v>985</v>
      </c>
      <c r="AH1664" s="64">
        <v>5</v>
      </c>
      <c r="AI1664" s="64">
        <v>6</v>
      </c>
      <c r="AJ1664" s="64"/>
      <c r="AK1664" s="64"/>
      <c r="AL1664" s="264"/>
      <c r="AM1664" s="84"/>
      <c r="AN1664" s="18"/>
      <c r="AO1664" s="18"/>
      <c r="AP1664" s="18"/>
      <c r="AQ1664" s="18"/>
      <c r="AR1664" s="18"/>
      <c r="AS1664" s="18"/>
      <c r="AT1664" s="18"/>
      <c r="AU1664" s="18"/>
      <c r="AV1664" s="18"/>
      <c r="AW1664" s="18"/>
      <c r="AX1664" s="18"/>
      <c r="AY1664" s="18"/>
    </row>
    <row r="1665" spans="1:51" s="33" customFormat="1" ht="14.5" x14ac:dyDescent="0.35">
      <c r="A1665" s="63" t="str">
        <f>A1664</f>
        <v>BCV131</v>
      </c>
      <c r="B1665" s="17" t="s">
        <v>1158</v>
      </c>
      <c r="C1665" s="18" t="str">
        <f>+C1664</f>
        <v>DIO1</v>
      </c>
      <c r="D1665" s="18">
        <v>132</v>
      </c>
      <c r="E1665" s="84">
        <f>+E1664</f>
        <v>2</v>
      </c>
      <c r="F1665" s="84">
        <f>+F1664</f>
        <v>12</v>
      </c>
      <c r="G1665" s="84">
        <v>0</v>
      </c>
      <c r="H1665" s="200">
        <f>H1661</f>
        <v>2</v>
      </c>
      <c r="I1665" s="187">
        <f>+I1664+1</f>
        <v>19</v>
      </c>
      <c r="J1665" s="205"/>
      <c r="K1665" s="79"/>
      <c r="L1665" s="17" t="s">
        <v>323</v>
      </c>
      <c r="M1665" s="83">
        <v>6</v>
      </c>
      <c r="N1665" s="59" t="s">
        <v>1232</v>
      </c>
      <c r="O1665" s="17" t="s">
        <v>1220</v>
      </c>
      <c r="P1665" s="59" t="s">
        <v>1229</v>
      </c>
      <c r="Q1665" s="17" t="s">
        <v>1219</v>
      </c>
      <c r="R1665" s="17" t="s">
        <v>1211</v>
      </c>
      <c r="S1665" s="278"/>
      <c r="T1665" s="17" t="s">
        <v>1202</v>
      </c>
      <c r="U1665" s="17"/>
      <c r="V1665" s="17" t="str">
        <f>+CONCATENATE(E1665,".",F1665,"\",G1665,".",H1665,":",I1665)</f>
        <v>2.12\0.2:19</v>
      </c>
      <c r="W1665" s="272" t="s">
        <v>1171</v>
      </c>
      <c r="X1665" s="272">
        <v>0</v>
      </c>
      <c r="Y1665" s="17"/>
      <c r="Z1665" s="20" t="s">
        <v>1159</v>
      </c>
      <c r="AA1665" s="17"/>
      <c r="AB1665" s="17"/>
      <c r="AC1665" s="20"/>
      <c r="AD1665" s="20"/>
      <c r="AE1665" s="20"/>
      <c r="AF1665" s="20"/>
      <c r="AG1665" s="64" t="s">
        <v>985</v>
      </c>
      <c r="AH1665" s="64">
        <v>7</v>
      </c>
      <c r="AI1665" s="64">
        <v>8</v>
      </c>
      <c r="AJ1665" s="64"/>
      <c r="AK1665" s="64"/>
      <c r="AL1665" s="264"/>
      <c r="AM1665" s="84"/>
      <c r="AN1665" s="18"/>
      <c r="AO1665" s="18"/>
      <c r="AP1665" s="18"/>
      <c r="AQ1665" s="18"/>
      <c r="AR1665" s="18"/>
      <c r="AS1665" s="18"/>
      <c r="AT1665" s="18"/>
      <c r="AU1665" s="18"/>
      <c r="AV1665" s="18"/>
      <c r="AW1665" s="18"/>
      <c r="AX1665" s="18"/>
      <c r="AY1665" s="18"/>
    </row>
    <row r="1666" spans="1:51" s="33" customFormat="1" ht="14.5" x14ac:dyDescent="0.35">
      <c r="A1666" s="63" t="str">
        <f>A1665</f>
        <v>BCV131</v>
      </c>
      <c r="B1666" s="17" t="s">
        <v>1158</v>
      </c>
      <c r="C1666" s="18" t="str">
        <f>+C1665</f>
        <v>DIO1</v>
      </c>
      <c r="D1666" s="18">
        <v>132</v>
      </c>
      <c r="E1666" s="84">
        <f>+E1665</f>
        <v>2</v>
      </c>
      <c r="F1666" s="84">
        <f>+F1665</f>
        <v>12</v>
      </c>
      <c r="G1666" s="84">
        <v>0</v>
      </c>
      <c r="H1666" s="200">
        <f>H1662</f>
        <v>2</v>
      </c>
      <c r="I1666" s="187">
        <f>+I1665+1</f>
        <v>20</v>
      </c>
      <c r="J1666" s="205"/>
      <c r="K1666" s="79"/>
      <c r="L1666" s="17" t="s">
        <v>323</v>
      </c>
      <c r="M1666" s="83">
        <v>6</v>
      </c>
      <c r="N1666" s="59" t="s">
        <v>1231</v>
      </c>
      <c r="O1666" s="17" t="s">
        <v>1217</v>
      </c>
      <c r="P1666" s="59" t="s">
        <v>1229</v>
      </c>
      <c r="Q1666" s="17" t="s">
        <v>1212</v>
      </c>
      <c r="R1666" s="17" t="s">
        <v>1216</v>
      </c>
      <c r="S1666" s="221"/>
      <c r="T1666" s="17" t="s">
        <v>1202</v>
      </c>
      <c r="U1666" s="17"/>
      <c r="V1666" s="17" t="str">
        <f>+CONCATENATE(E1666,".",F1666,"\",G1666,".",H1666,":",I1666)</f>
        <v>2.12\0.2:20</v>
      </c>
      <c r="W1666" s="272" t="s">
        <v>1171</v>
      </c>
      <c r="X1666" s="272">
        <v>0</v>
      </c>
      <c r="Y1666" s="20"/>
      <c r="Z1666" s="20" t="s">
        <v>1159</v>
      </c>
      <c r="AA1666" s="20"/>
      <c r="AB1666" s="17"/>
      <c r="AC1666" s="20"/>
      <c r="AD1666" s="20"/>
      <c r="AE1666" s="20"/>
      <c r="AF1666" s="20"/>
      <c r="AG1666" s="64" t="s">
        <v>985</v>
      </c>
      <c r="AH1666" s="64">
        <v>9</v>
      </c>
      <c r="AI1666" s="64">
        <v>10</v>
      </c>
      <c r="AJ1666" s="64"/>
      <c r="AK1666" s="64"/>
      <c r="AL1666" s="264"/>
      <c r="AM1666" s="84"/>
      <c r="AN1666" s="18"/>
      <c r="AO1666" s="18"/>
      <c r="AP1666" s="18"/>
      <c r="AQ1666" s="18"/>
      <c r="AR1666" s="18"/>
      <c r="AS1666" s="18"/>
      <c r="AT1666" s="18"/>
      <c r="AU1666" s="18"/>
      <c r="AV1666" s="18"/>
      <c r="AW1666" s="18"/>
      <c r="AX1666" s="18"/>
      <c r="AY1666" s="18"/>
    </row>
    <row r="1667" spans="1:51" s="33" customFormat="1" ht="14.5" x14ac:dyDescent="0.35">
      <c r="A1667" s="63" t="str">
        <f>A1666</f>
        <v>BCV131</v>
      </c>
      <c r="B1667" s="17" t="s">
        <v>1158</v>
      </c>
      <c r="C1667" s="18" t="str">
        <f>+C1666</f>
        <v>DIO1</v>
      </c>
      <c r="D1667" s="18">
        <v>132</v>
      </c>
      <c r="E1667" s="84">
        <f>+E1666</f>
        <v>2</v>
      </c>
      <c r="F1667" s="84">
        <f>+F1666</f>
        <v>12</v>
      </c>
      <c r="G1667" s="84">
        <v>0</v>
      </c>
      <c r="H1667" s="200">
        <f>H1663</f>
        <v>2</v>
      </c>
      <c r="I1667" s="187">
        <f>+I1666+1</f>
        <v>21</v>
      </c>
      <c r="J1667" s="205"/>
      <c r="K1667" s="79"/>
      <c r="L1667" s="17" t="s">
        <v>323</v>
      </c>
      <c r="M1667" s="83">
        <v>6</v>
      </c>
      <c r="N1667" s="59" t="s">
        <v>1230</v>
      </c>
      <c r="O1667" s="17" t="s">
        <v>1214</v>
      </c>
      <c r="P1667" s="59" t="s">
        <v>1229</v>
      </c>
      <c r="Q1667" s="17" t="s">
        <v>1212</v>
      </c>
      <c r="R1667" s="17" t="s">
        <v>1211</v>
      </c>
      <c r="S1667" s="221"/>
      <c r="T1667" s="17" t="s">
        <v>1202</v>
      </c>
      <c r="U1667" s="17"/>
      <c r="V1667" s="17" t="str">
        <f>+CONCATENATE(E1667,".",F1667,"\",G1667,".",H1667,":",I1667)</f>
        <v>2.12\0.2:21</v>
      </c>
      <c r="W1667" s="272" t="s">
        <v>1171</v>
      </c>
      <c r="X1667" s="272">
        <v>0</v>
      </c>
      <c r="Y1667" s="20"/>
      <c r="Z1667" s="20" t="s">
        <v>1159</v>
      </c>
      <c r="AA1667" s="20"/>
      <c r="AB1667" s="17"/>
      <c r="AC1667" s="20"/>
      <c r="AD1667" s="20"/>
      <c r="AE1667" s="20"/>
      <c r="AF1667" s="20"/>
      <c r="AG1667" s="64" t="s">
        <v>985</v>
      </c>
      <c r="AH1667" s="64">
        <v>11</v>
      </c>
      <c r="AI1667" s="64">
        <v>12</v>
      </c>
      <c r="AJ1667" s="64"/>
      <c r="AK1667" s="64"/>
      <c r="AL1667" s="264"/>
      <c r="AM1667" s="84"/>
      <c r="AN1667" s="18"/>
      <c r="AO1667" s="18"/>
      <c r="AP1667" s="18"/>
      <c r="AQ1667" s="18"/>
      <c r="AR1667" s="18"/>
      <c r="AS1667" s="18"/>
      <c r="AT1667" s="18"/>
      <c r="AU1667" s="18"/>
      <c r="AV1667" s="18"/>
      <c r="AW1667" s="18"/>
      <c r="AX1667" s="18"/>
      <c r="AY1667" s="18"/>
    </row>
    <row r="1668" spans="1:51" s="33" customFormat="1" ht="14.5" x14ac:dyDescent="0.35">
      <c r="A1668" s="63" t="str">
        <f>A1667</f>
        <v>BCV131</v>
      </c>
      <c r="B1668" s="17" t="s">
        <v>1158</v>
      </c>
      <c r="C1668" s="18" t="str">
        <f>+C1667</f>
        <v>DIO1</v>
      </c>
      <c r="D1668" s="18">
        <v>132</v>
      </c>
      <c r="E1668" s="84">
        <f>+E1667</f>
        <v>2</v>
      </c>
      <c r="F1668" s="84">
        <f>+F1667</f>
        <v>12</v>
      </c>
      <c r="G1668" s="84">
        <v>0</v>
      </c>
      <c r="H1668" s="200">
        <f>H1664</f>
        <v>2</v>
      </c>
      <c r="I1668" s="187">
        <f>+I1667+1</f>
        <v>22</v>
      </c>
      <c r="J1668" s="205"/>
      <c r="K1668" s="79"/>
      <c r="L1668" s="17" t="s">
        <v>323</v>
      </c>
      <c r="M1668" s="83">
        <v>6</v>
      </c>
      <c r="N1668" s="59" t="s">
        <v>1228</v>
      </c>
      <c r="O1668" s="17" t="s">
        <v>1227</v>
      </c>
      <c r="P1668" s="59" t="s">
        <v>1224</v>
      </c>
      <c r="Q1668" s="17" t="s">
        <v>1212</v>
      </c>
      <c r="R1668" s="17" t="s">
        <v>1216</v>
      </c>
      <c r="S1668" s="17"/>
      <c r="T1668" s="17" t="s">
        <v>1192</v>
      </c>
      <c r="U1668" s="17"/>
      <c r="V1668" s="17" t="str">
        <f>+CONCATENATE(E1668,".",F1668,"\",G1668,".",H1668,":",I1668)</f>
        <v>2.12\0.2:22</v>
      </c>
      <c r="W1668" s="272" t="s">
        <v>1171</v>
      </c>
      <c r="X1668" s="272">
        <v>0</v>
      </c>
      <c r="Y1668" s="17"/>
      <c r="Z1668" s="20" t="s">
        <v>1159</v>
      </c>
      <c r="AA1668" s="17"/>
      <c r="AB1668" s="17"/>
      <c r="AC1668" s="17"/>
      <c r="AD1668" s="17"/>
      <c r="AE1668" s="17"/>
      <c r="AF1668" s="17"/>
      <c r="AG1668" s="64" t="s">
        <v>985</v>
      </c>
      <c r="AH1668" s="64">
        <v>13</v>
      </c>
      <c r="AI1668" s="64">
        <v>14</v>
      </c>
      <c r="AJ1668" s="64"/>
      <c r="AK1668" s="64"/>
      <c r="AL1668" s="264"/>
      <c r="AM1668" s="84"/>
      <c r="AN1668" s="18"/>
      <c r="AO1668" s="18"/>
      <c r="AP1668" s="18"/>
      <c r="AQ1668" s="18"/>
      <c r="AR1668" s="18"/>
      <c r="AS1668" s="18"/>
      <c r="AT1668" s="18"/>
      <c r="AU1668" s="18"/>
      <c r="AV1668" s="18"/>
      <c r="AW1668" s="18"/>
      <c r="AX1668" s="18"/>
      <c r="AY1668" s="18"/>
    </row>
    <row r="1669" spans="1:51" s="33" customFormat="1" ht="14.5" x14ac:dyDescent="0.35">
      <c r="A1669" s="63" t="str">
        <f>A1668</f>
        <v>BCV131</v>
      </c>
      <c r="B1669" s="17" t="s">
        <v>1158</v>
      </c>
      <c r="C1669" s="18" t="str">
        <f>+C1668</f>
        <v>DIO1</v>
      </c>
      <c r="D1669" s="18">
        <v>132</v>
      </c>
      <c r="E1669" s="84">
        <f>+E1668</f>
        <v>2</v>
      </c>
      <c r="F1669" s="84">
        <f>+F1668</f>
        <v>12</v>
      </c>
      <c r="G1669" s="84">
        <v>0</v>
      </c>
      <c r="H1669" s="200">
        <f>H1665</f>
        <v>2</v>
      </c>
      <c r="I1669" s="187">
        <f>+I1668+1</f>
        <v>23</v>
      </c>
      <c r="J1669" s="205"/>
      <c r="K1669" s="79"/>
      <c r="L1669" s="17" t="s">
        <v>323</v>
      </c>
      <c r="M1669" s="83">
        <v>6</v>
      </c>
      <c r="N1669" s="59" t="s">
        <v>1226</v>
      </c>
      <c r="O1669" s="17" t="s">
        <v>1225</v>
      </c>
      <c r="P1669" s="59" t="s">
        <v>1224</v>
      </c>
      <c r="Q1669" s="17" t="s">
        <v>1212</v>
      </c>
      <c r="R1669" s="17" t="s">
        <v>1211</v>
      </c>
      <c r="S1669" s="17"/>
      <c r="T1669" s="17" t="s">
        <v>1192</v>
      </c>
      <c r="U1669" s="17"/>
      <c r="V1669" s="17" t="str">
        <f>+CONCATENATE(E1669,".",F1669,"\",G1669,".",H1669,":",I1669)</f>
        <v>2.12\0.2:23</v>
      </c>
      <c r="W1669" s="272" t="s">
        <v>1171</v>
      </c>
      <c r="X1669" s="272">
        <v>0</v>
      </c>
      <c r="Y1669" s="17"/>
      <c r="Z1669" s="20" t="s">
        <v>1159</v>
      </c>
      <c r="AA1669" s="17"/>
      <c r="AB1669" s="17"/>
      <c r="AC1669" s="17"/>
      <c r="AD1669" s="17"/>
      <c r="AE1669" s="17"/>
      <c r="AF1669" s="17"/>
      <c r="AG1669" s="64" t="s">
        <v>985</v>
      </c>
      <c r="AH1669" s="64">
        <v>15</v>
      </c>
      <c r="AI1669" s="64">
        <v>16</v>
      </c>
      <c r="AJ1669" s="64"/>
      <c r="AK1669" s="64"/>
      <c r="AL1669" s="264"/>
      <c r="AM1669" s="84"/>
      <c r="AN1669" s="18"/>
      <c r="AO1669" s="18"/>
      <c r="AP1669" s="18"/>
      <c r="AQ1669" s="18"/>
      <c r="AR1669" s="18"/>
      <c r="AS1669" s="18"/>
      <c r="AT1669" s="18"/>
      <c r="AU1669" s="18"/>
      <c r="AV1669" s="18"/>
      <c r="AW1669" s="18"/>
      <c r="AX1669" s="18"/>
      <c r="AY1669" s="18"/>
    </row>
    <row r="1670" spans="1:51" s="33" customFormat="1" ht="14.5" x14ac:dyDescent="0.35">
      <c r="A1670" s="63" t="str">
        <f>A1669</f>
        <v>BCV131</v>
      </c>
      <c r="B1670" s="17" t="s">
        <v>1158</v>
      </c>
      <c r="C1670" s="18" t="str">
        <f>+C1669</f>
        <v>DIO1</v>
      </c>
      <c r="D1670" s="18">
        <v>132</v>
      </c>
      <c r="E1670" s="84">
        <f>+E1669</f>
        <v>2</v>
      </c>
      <c r="F1670" s="84">
        <f>+F1669</f>
        <v>12</v>
      </c>
      <c r="G1670" s="84">
        <v>0</v>
      </c>
      <c r="H1670" s="200">
        <f>H1666</f>
        <v>2</v>
      </c>
      <c r="I1670" s="187">
        <f>+I1669+1</f>
        <v>24</v>
      </c>
      <c r="J1670" s="205"/>
      <c r="K1670" s="79"/>
      <c r="L1670" s="17" t="s">
        <v>323</v>
      </c>
      <c r="M1670" s="83">
        <v>6</v>
      </c>
      <c r="N1670" s="59" t="s">
        <v>1223</v>
      </c>
      <c r="O1670" s="17" t="s">
        <v>1222</v>
      </c>
      <c r="P1670" s="59" t="s">
        <v>1213</v>
      </c>
      <c r="Q1670" s="17" t="s">
        <v>1219</v>
      </c>
      <c r="R1670" s="17" t="s">
        <v>1216</v>
      </c>
      <c r="S1670" s="278"/>
      <c r="T1670" s="17" t="s">
        <v>1192</v>
      </c>
      <c r="U1670" s="17"/>
      <c r="V1670" s="17" t="str">
        <f>+CONCATENATE(E1670,".",F1670,"\",G1670,".",H1670,":",I1670)</f>
        <v>2.12\0.2:24</v>
      </c>
      <c r="W1670" s="272" t="s">
        <v>1171</v>
      </c>
      <c r="X1670" s="272">
        <v>0</v>
      </c>
      <c r="Y1670" s="17"/>
      <c r="Z1670" s="20" t="s">
        <v>1159</v>
      </c>
      <c r="AA1670" s="17"/>
      <c r="AB1670" s="17"/>
      <c r="AC1670" s="17"/>
      <c r="AD1670" s="17"/>
      <c r="AE1670" s="17"/>
      <c r="AF1670" s="17"/>
      <c r="AG1670" s="64" t="s">
        <v>985</v>
      </c>
      <c r="AH1670" s="64">
        <v>17</v>
      </c>
      <c r="AI1670" s="64">
        <v>18</v>
      </c>
      <c r="AJ1670" s="64"/>
      <c r="AK1670" s="64"/>
      <c r="AL1670" s="264"/>
      <c r="AM1670" s="84"/>
      <c r="AN1670" s="18"/>
      <c r="AO1670" s="18"/>
      <c r="AP1670" s="18"/>
      <c r="AQ1670" s="18"/>
      <c r="AR1670" s="18"/>
      <c r="AS1670" s="18"/>
      <c r="AT1670" s="18"/>
      <c r="AU1670" s="18"/>
      <c r="AV1670" s="18"/>
      <c r="AW1670" s="18"/>
      <c r="AX1670" s="18"/>
      <c r="AY1670" s="18"/>
    </row>
    <row r="1671" spans="1:51" s="33" customFormat="1" ht="14.5" x14ac:dyDescent="0.35">
      <c r="A1671" s="63" t="str">
        <f>A1670</f>
        <v>BCV131</v>
      </c>
      <c r="B1671" s="17" t="s">
        <v>1158</v>
      </c>
      <c r="C1671" s="18" t="str">
        <f>+C1670</f>
        <v>DIO1</v>
      </c>
      <c r="D1671" s="18">
        <v>132</v>
      </c>
      <c r="E1671" s="84">
        <f>+E1670</f>
        <v>2</v>
      </c>
      <c r="F1671" s="84">
        <f>+F1670</f>
        <v>12</v>
      </c>
      <c r="G1671" s="84">
        <v>0</v>
      </c>
      <c r="H1671" s="200">
        <f>H1667</f>
        <v>2</v>
      </c>
      <c r="I1671" s="187">
        <f>+I1670+1</f>
        <v>25</v>
      </c>
      <c r="J1671" s="205"/>
      <c r="K1671" s="79"/>
      <c r="L1671" s="17" t="s">
        <v>323</v>
      </c>
      <c r="M1671" s="83">
        <v>6</v>
      </c>
      <c r="N1671" s="59" t="s">
        <v>1221</v>
      </c>
      <c r="O1671" s="17" t="s">
        <v>1220</v>
      </c>
      <c r="P1671" s="59" t="s">
        <v>1213</v>
      </c>
      <c r="Q1671" s="17" t="s">
        <v>1219</v>
      </c>
      <c r="R1671" s="17" t="s">
        <v>1211</v>
      </c>
      <c r="S1671" s="278"/>
      <c r="T1671" s="17" t="s">
        <v>1192</v>
      </c>
      <c r="U1671" s="17"/>
      <c r="V1671" s="17" t="str">
        <f>+CONCATENATE(E1671,".",F1671,"\",G1671,".",H1671,":",I1671)</f>
        <v>2.12\0.2:25</v>
      </c>
      <c r="W1671" s="272" t="s">
        <v>1171</v>
      </c>
      <c r="X1671" s="272">
        <v>0</v>
      </c>
      <c r="Y1671" s="17"/>
      <c r="Z1671" s="20" t="s">
        <v>1159</v>
      </c>
      <c r="AA1671" s="17"/>
      <c r="AB1671" s="17"/>
      <c r="AC1671" s="17"/>
      <c r="AD1671" s="17"/>
      <c r="AE1671" s="17"/>
      <c r="AF1671" s="17"/>
      <c r="AG1671" s="64" t="s">
        <v>985</v>
      </c>
      <c r="AH1671" s="64">
        <v>19</v>
      </c>
      <c r="AI1671" s="64">
        <v>20</v>
      </c>
      <c r="AJ1671" s="64"/>
      <c r="AK1671" s="64"/>
      <c r="AL1671" s="264"/>
      <c r="AM1671" s="84"/>
      <c r="AN1671" s="18"/>
      <c r="AO1671" s="18"/>
      <c r="AP1671" s="18"/>
      <c r="AQ1671" s="18"/>
      <c r="AR1671" s="18"/>
      <c r="AS1671" s="18"/>
      <c r="AT1671" s="18"/>
      <c r="AU1671" s="18"/>
      <c r="AV1671" s="18"/>
      <c r="AW1671" s="18"/>
      <c r="AX1671" s="18"/>
      <c r="AY1671" s="18"/>
    </row>
    <row r="1672" spans="1:51" s="33" customFormat="1" ht="14.5" x14ac:dyDescent="0.35">
      <c r="A1672" s="63" t="str">
        <f>A1671</f>
        <v>BCV131</v>
      </c>
      <c r="B1672" s="17" t="s">
        <v>1158</v>
      </c>
      <c r="C1672" s="18" t="str">
        <f>+C1671</f>
        <v>DIO1</v>
      </c>
      <c r="D1672" s="18">
        <v>132</v>
      </c>
      <c r="E1672" s="84">
        <f>+E1671</f>
        <v>2</v>
      </c>
      <c r="F1672" s="84">
        <f>+F1671</f>
        <v>12</v>
      </c>
      <c r="G1672" s="84">
        <v>0</v>
      </c>
      <c r="H1672" s="200">
        <f>H1668</f>
        <v>2</v>
      </c>
      <c r="I1672" s="187">
        <f>+I1671+1</f>
        <v>26</v>
      </c>
      <c r="J1672" s="205"/>
      <c r="K1672" s="79"/>
      <c r="L1672" s="17" t="s">
        <v>323</v>
      </c>
      <c r="M1672" s="83">
        <v>6</v>
      </c>
      <c r="N1672" s="59" t="s">
        <v>1218</v>
      </c>
      <c r="O1672" s="17" t="s">
        <v>1217</v>
      </c>
      <c r="P1672" s="59" t="s">
        <v>1213</v>
      </c>
      <c r="Q1672" s="17" t="s">
        <v>1212</v>
      </c>
      <c r="R1672" s="17" t="s">
        <v>1216</v>
      </c>
      <c r="S1672" s="221"/>
      <c r="T1672" s="17" t="s">
        <v>1192</v>
      </c>
      <c r="U1672" s="17"/>
      <c r="V1672" s="17" t="str">
        <f>+CONCATENATE(E1672,".",F1672,"\",G1672,".",H1672,":",I1672)</f>
        <v>2.12\0.2:26</v>
      </c>
      <c r="W1672" s="272" t="s">
        <v>1171</v>
      </c>
      <c r="X1672" s="272">
        <v>0</v>
      </c>
      <c r="Y1672" s="17"/>
      <c r="Z1672" s="20" t="s">
        <v>1159</v>
      </c>
      <c r="AA1672" s="17"/>
      <c r="AB1672" s="17"/>
      <c r="AC1672" s="17"/>
      <c r="AD1672" s="17"/>
      <c r="AE1672" s="17"/>
      <c r="AF1672" s="17"/>
      <c r="AG1672" s="64" t="s">
        <v>985</v>
      </c>
      <c r="AH1672" s="64">
        <v>21</v>
      </c>
      <c r="AI1672" s="64">
        <v>22</v>
      </c>
      <c r="AJ1672" s="64"/>
      <c r="AK1672" s="64"/>
      <c r="AL1672" s="264"/>
      <c r="AM1672" s="84"/>
      <c r="AN1672" s="18"/>
      <c r="AO1672" s="18"/>
      <c r="AP1672" s="18"/>
      <c r="AQ1672" s="18"/>
      <c r="AR1672" s="18"/>
      <c r="AS1672" s="18"/>
      <c r="AT1672" s="18"/>
      <c r="AU1672" s="18"/>
      <c r="AV1672" s="18"/>
      <c r="AW1672" s="18"/>
      <c r="AX1672" s="18"/>
      <c r="AY1672" s="18"/>
    </row>
    <row r="1673" spans="1:51" s="33" customFormat="1" ht="14.5" x14ac:dyDescent="0.35">
      <c r="A1673" s="63" t="str">
        <f>A1672</f>
        <v>BCV131</v>
      </c>
      <c r="B1673" s="17" t="s">
        <v>1158</v>
      </c>
      <c r="C1673" s="18" t="str">
        <f>+C1672</f>
        <v>DIO1</v>
      </c>
      <c r="D1673" s="18">
        <v>132</v>
      </c>
      <c r="E1673" s="84">
        <f>+E1672</f>
        <v>2</v>
      </c>
      <c r="F1673" s="84">
        <f>+F1672</f>
        <v>12</v>
      </c>
      <c r="G1673" s="84">
        <v>0</v>
      </c>
      <c r="H1673" s="200">
        <f>H1669</f>
        <v>2</v>
      </c>
      <c r="I1673" s="187">
        <f>+I1672+1</f>
        <v>27</v>
      </c>
      <c r="J1673" s="205"/>
      <c r="K1673" s="79"/>
      <c r="L1673" s="17" t="s">
        <v>323</v>
      </c>
      <c r="M1673" s="83">
        <v>6</v>
      </c>
      <c r="N1673" s="59" t="s">
        <v>1215</v>
      </c>
      <c r="O1673" s="17" t="s">
        <v>1214</v>
      </c>
      <c r="P1673" s="59" t="s">
        <v>1213</v>
      </c>
      <c r="Q1673" s="17" t="s">
        <v>1212</v>
      </c>
      <c r="R1673" s="17" t="s">
        <v>1211</v>
      </c>
      <c r="S1673" s="221"/>
      <c r="T1673" s="17" t="s">
        <v>1192</v>
      </c>
      <c r="U1673" s="17"/>
      <c r="V1673" s="17" t="str">
        <f>+CONCATENATE(E1673,".",F1673,"\",G1673,".",H1673,":",I1673)</f>
        <v>2.12\0.2:27</v>
      </c>
      <c r="W1673" s="272" t="s">
        <v>1171</v>
      </c>
      <c r="X1673" s="272">
        <v>0</v>
      </c>
      <c r="Y1673" s="17"/>
      <c r="Z1673" s="20" t="s">
        <v>1159</v>
      </c>
      <c r="AA1673" s="17"/>
      <c r="AB1673" s="17"/>
      <c r="AC1673" s="17"/>
      <c r="AD1673" s="17"/>
      <c r="AE1673" s="17"/>
      <c r="AF1673" s="17"/>
      <c r="AG1673" s="64" t="s">
        <v>985</v>
      </c>
      <c r="AH1673" s="64">
        <v>23</v>
      </c>
      <c r="AI1673" s="64">
        <v>24</v>
      </c>
      <c r="AJ1673" s="64"/>
      <c r="AK1673" s="64"/>
      <c r="AL1673" s="264"/>
      <c r="AM1673" s="84"/>
      <c r="AN1673" s="18"/>
      <c r="AO1673" s="18"/>
      <c r="AP1673" s="18"/>
      <c r="AQ1673" s="18"/>
      <c r="AR1673" s="18"/>
      <c r="AS1673" s="18"/>
      <c r="AT1673" s="18"/>
      <c r="AU1673" s="18"/>
      <c r="AV1673" s="18"/>
      <c r="AW1673" s="18"/>
      <c r="AX1673" s="18"/>
      <c r="AY1673" s="18"/>
    </row>
    <row r="1674" spans="1:51" s="33" customFormat="1" x14ac:dyDescent="0.3">
      <c r="A1674" s="63" t="str">
        <f>A1673</f>
        <v>BCV131</v>
      </c>
      <c r="B1674" s="17" t="s">
        <v>1158</v>
      </c>
      <c r="C1674" s="18" t="str">
        <f>+C1673</f>
        <v>DIO1</v>
      </c>
      <c r="D1674" s="18">
        <v>132</v>
      </c>
      <c r="E1674" s="84">
        <f>+E1673</f>
        <v>2</v>
      </c>
      <c r="F1674" s="84">
        <f>+F1673</f>
        <v>12</v>
      </c>
      <c r="G1674" s="84">
        <v>0</v>
      </c>
      <c r="H1674" s="200">
        <f>H1670</f>
        <v>2</v>
      </c>
      <c r="I1674" s="187">
        <f>+I1673+1</f>
        <v>28</v>
      </c>
      <c r="J1674" s="205"/>
      <c r="K1674" s="79"/>
      <c r="L1674" s="17" t="s">
        <v>323</v>
      </c>
      <c r="M1674" s="18"/>
      <c r="N1674" s="18"/>
      <c r="O1674" s="17"/>
      <c r="P1674" s="17"/>
      <c r="Q1674" s="17" t="s">
        <v>127</v>
      </c>
      <c r="R1674" s="17" t="s">
        <v>127</v>
      </c>
      <c r="S1674" s="78"/>
      <c r="T1674" s="18"/>
      <c r="U1674" s="17"/>
      <c r="V1674" s="17" t="str">
        <f>+CONCATENATE(E1674,".",F1674,"\",G1674,".",H1674,":",I1674)</f>
        <v>2.12\0.2:28</v>
      </c>
      <c r="W1674" s="17"/>
      <c r="X1674" s="17"/>
      <c r="Y1674" s="17"/>
      <c r="Z1674" s="20" t="s">
        <v>1159</v>
      </c>
      <c r="AA1674" s="17"/>
      <c r="AB1674" s="17"/>
      <c r="AC1674" s="17"/>
      <c r="AD1674" s="17"/>
      <c r="AE1674" s="17"/>
      <c r="AF1674" s="17"/>
      <c r="AG1674" s="64" t="s">
        <v>985</v>
      </c>
      <c r="AH1674" s="64">
        <v>25</v>
      </c>
      <c r="AI1674" s="64">
        <v>26</v>
      </c>
      <c r="AJ1674" s="64"/>
      <c r="AK1674" s="64"/>
      <c r="AL1674" s="264"/>
      <c r="AM1674" s="84"/>
      <c r="AN1674" s="18"/>
      <c r="AO1674" s="18"/>
      <c r="AP1674" s="18"/>
      <c r="AQ1674" s="18"/>
      <c r="AR1674" s="18"/>
      <c r="AS1674" s="18"/>
      <c r="AT1674" s="18"/>
      <c r="AU1674" s="18"/>
      <c r="AV1674" s="18"/>
      <c r="AW1674" s="18"/>
      <c r="AX1674" s="18"/>
      <c r="AY1674" s="18"/>
    </row>
    <row r="1675" spans="1:51" s="33" customFormat="1" ht="14.5" x14ac:dyDescent="0.35">
      <c r="A1675" s="63" t="str">
        <f>A1674</f>
        <v>BCV131</v>
      </c>
      <c r="B1675" s="17" t="s">
        <v>1158</v>
      </c>
      <c r="C1675" s="18" t="str">
        <f>+C1674</f>
        <v>DIO1</v>
      </c>
      <c r="D1675" s="18">
        <v>132</v>
      </c>
      <c r="E1675" s="84">
        <f>+E1674</f>
        <v>2</v>
      </c>
      <c r="F1675" s="84">
        <f>+F1674</f>
        <v>12</v>
      </c>
      <c r="G1675" s="84">
        <v>0</v>
      </c>
      <c r="H1675" s="200">
        <f>H1671</f>
        <v>2</v>
      </c>
      <c r="I1675" s="187">
        <f>+I1674+1</f>
        <v>29</v>
      </c>
      <c r="J1675" s="205"/>
      <c r="K1675" s="79"/>
      <c r="L1675" s="17" t="s">
        <v>323</v>
      </c>
      <c r="M1675" s="18">
        <v>4</v>
      </c>
      <c r="N1675" s="59" t="s">
        <v>1183</v>
      </c>
      <c r="O1675" s="17" t="s">
        <v>1210</v>
      </c>
      <c r="P1675" s="59" t="s">
        <v>1181</v>
      </c>
      <c r="Q1675" s="17" t="s">
        <v>1209</v>
      </c>
      <c r="R1675" s="17" t="s">
        <v>922</v>
      </c>
      <c r="S1675" s="78"/>
      <c r="T1675" s="17" t="s">
        <v>1178</v>
      </c>
      <c r="U1675" s="17"/>
      <c r="V1675" s="17" t="str">
        <f>+CONCATENATE(E1675,".",F1675,"\",G1675,".",H1675,":",I1675)</f>
        <v>2.12\0.2:29</v>
      </c>
      <c r="W1675" s="272" t="s">
        <v>1171</v>
      </c>
      <c r="X1675" s="272">
        <v>0</v>
      </c>
      <c r="Y1675" s="17"/>
      <c r="Z1675" s="20" t="s">
        <v>1159</v>
      </c>
      <c r="AA1675" s="17"/>
      <c r="AB1675" s="17"/>
      <c r="AC1675" s="17"/>
      <c r="AD1675" s="17"/>
      <c r="AE1675" s="17"/>
      <c r="AF1675" s="17"/>
      <c r="AG1675" s="64" t="s">
        <v>985</v>
      </c>
      <c r="AH1675" s="64">
        <v>27</v>
      </c>
      <c r="AI1675" s="64">
        <v>28</v>
      </c>
      <c r="AJ1675" s="64"/>
      <c r="AK1675" s="64"/>
      <c r="AL1675" s="264"/>
      <c r="AM1675" s="84"/>
      <c r="AN1675" s="18"/>
      <c r="AO1675" s="18"/>
      <c r="AP1675" s="18"/>
      <c r="AQ1675" s="18"/>
      <c r="AR1675" s="18"/>
      <c r="AS1675" s="18"/>
      <c r="AT1675" s="18"/>
      <c r="AU1675" s="18"/>
      <c r="AV1675" s="18"/>
      <c r="AW1675" s="18"/>
      <c r="AX1675" s="18"/>
      <c r="AY1675" s="18"/>
    </row>
    <row r="1676" spans="1:51" s="33" customFormat="1" ht="14.5" x14ac:dyDescent="0.35">
      <c r="A1676" s="63" t="str">
        <f>A1675</f>
        <v>BCV131</v>
      </c>
      <c r="B1676" s="17" t="s">
        <v>1158</v>
      </c>
      <c r="C1676" s="18" t="str">
        <f>+C1675</f>
        <v>DIO1</v>
      </c>
      <c r="D1676" s="18">
        <v>132</v>
      </c>
      <c r="E1676" s="84">
        <f>+E1675</f>
        <v>2</v>
      </c>
      <c r="F1676" s="84">
        <f>+F1675</f>
        <v>12</v>
      </c>
      <c r="G1676" s="84">
        <v>0</v>
      </c>
      <c r="H1676" s="200">
        <f>H1672</f>
        <v>2</v>
      </c>
      <c r="I1676" s="187">
        <f>+I1675+1</f>
        <v>30</v>
      </c>
      <c r="J1676" s="205"/>
      <c r="K1676" s="79"/>
      <c r="L1676" s="17" t="s">
        <v>323</v>
      </c>
      <c r="M1676" s="18">
        <v>4</v>
      </c>
      <c r="N1676" s="59" t="s">
        <v>1175</v>
      </c>
      <c r="O1676" s="17" t="s">
        <v>1208</v>
      </c>
      <c r="P1676" s="59" t="s">
        <v>1173</v>
      </c>
      <c r="Q1676" s="17" t="s">
        <v>1207</v>
      </c>
      <c r="R1676" s="17" t="s">
        <v>922</v>
      </c>
      <c r="S1676" s="78"/>
      <c r="T1676" s="17" t="s">
        <v>194</v>
      </c>
      <c r="U1676" s="17"/>
      <c r="V1676" s="17" t="str">
        <f>+CONCATENATE(E1676,".",F1676,"\",G1676,".",H1676,":",I1676)</f>
        <v>2.12\0.2:30</v>
      </c>
      <c r="W1676" s="272" t="s">
        <v>1171</v>
      </c>
      <c r="X1676" s="272">
        <v>0</v>
      </c>
      <c r="Y1676" s="17"/>
      <c r="Z1676" s="20" t="s">
        <v>1159</v>
      </c>
      <c r="AA1676" s="17"/>
      <c r="AB1676" s="17"/>
      <c r="AC1676" s="17"/>
      <c r="AD1676" s="17"/>
      <c r="AE1676" s="17"/>
      <c r="AF1676" s="17"/>
      <c r="AG1676" s="64" t="s">
        <v>985</v>
      </c>
      <c r="AH1676" s="64">
        <v>29</v>
      </c>
      <c r="AI1676" s="64">
        <v>30</v>
      </c>
      <c r="AJ1676" s="64"/>
      <c r="AK1676" s="64"/>
      <c r="AL1676" s="264"/>
      <c r="AM1676" s="84"/>
      <c r="AN1676" s="18"/>
      <c r="AO1676" s="18"/>
      <c r="AP1676" s="18"/>
      <c r="AQ1676" s="18"/>
      <c r="AR1676" s="18"/>
      <c r="AS1676" s="18"/>
      <c r="AT1676" s="18"/>
      <c r="AU1676" s="18"/>
      <c r="AV1676" s="18"/>
      <c r="AW1676" s="18"/>
      <c r="AX1676" s="18"/>
      <c r="AY1676" s="18"/>
    </row>
    <row r="1677" spans="1:51" s="33" customFormat="1" ht="13.5" thickBot="1" x14ac:dyDescent="0.35">
      <c r="A1677" s="63" t="str">
        <f>A1676</f>
        <v>BCV131</v>
      </c>
      <c r="B1677" s="17" t="s">
        <v>1158</v>
      </c>
      <c r="C1677" s="18" t="str">
        <f>+C1676</f>
        <v>DIO1</v>
      </c>
      <c r="D1677" s="18">
        <v>132</v>
      </c>
      <c r="E1677" s="84">
        <f>+E1676</f>
        <v>2</v>
      </c>
      <c r="F1677" s="84">
        <f>+F1676</f>
        <v>12</v>
      </c>
      <c r="G1677" s="84">
        <v>0</v>
      </c>
      <c r="H1677" s="200">
        <f>H1673</f>
        <v>2</v>
      </c>
      <c r="I1677" s="191">
        <f>+I1676+1</f>
        <v>31</v>
      </c>
      <c r="J1677" s="203"/>
      <c r="K1677" s="79"/>
      <c r="L1677" s="17" t="s">
        <v>323</v>
      </c>
      <c r="M1677" s="18"/>
      <c r="N1677" s="18"/>
      <c r="O1677" s="17"/>
      <c r="P1677" s="17"/>
      <c r="Q1677" s="17"/>
      <c r="R1677" s="78"/>
      <c r="S1677" s="78"/>
      <c r="T1677" s="17"/>
      <c r="U1677" s="17"/>
      <c r="V1677" s="17" t="str">
        <f>+CONCATENATE(E1677,".",F1677,"\",G1677,".",H1677,":",I1677)</f>
        <v>2.12\0.2:31</v>
      </c>
      <c r="W1677" s="17"/>
      <c r="X1677" s="17"/>
      <c r="Y1677" s="17"/>
      <c r="Z1677" s="20" t="s">
        <v>1159</v>
      </c>
      <c r="AA1677" s="17"/>
      <c r="AB1677" s="17"/>
      <c r="AC1677" s="17"/>
      <c r="AD1677" s="17"/>
      <c r="AE1677" s="17"/>
      <c r="AF1677" s="17"/>
      <c r="AG1677" s="64" t="s">
        <v>985</v>
      </c>
      <c r="AH1677" s="64">
        <v>31</v>
      </c>
      <c r="AI1677" s="64">
        <v>32</v>
      </c>
      <c r="AJ1677" s="64"/>
      <c r="AK1677" s="64"/>
      <c r="AL1677" s="264"/>
      <c r="AM1677" s="84"/>
      <c r="AN1677" s="18"/>
      <c r="AO1677" s="18"/>
      <c r="AP1677" s="18"/>
      <c r="AQ1677" s="18"/>
      <c r="AR1677" s="18"/>
      <c r="AS1677" s="18"/>
      <c r="AT1677" s="18"/>
      <c r="AU1677" s="18"/>
      <c r="AV1677" s="18"/>
      <c r="AW1677" s="18"/>
      <c r="AX1677" s="18"/>
      <c r="AY1677" s="18"/>
    </row>
    <row r="1678" spans="1:51" s="33" customFormat="1" ht="14.5" x14ac:dyDescent="0.35">
      <c r="A1678" s="268" t="s">
        <v>194</v>
      </c>
      <c r="B1678" s="17" t="s">
        <v>1158</v>
      </c>
      <c r="C1678" s="18" t="str">
        <f>+C1677</f>
        <v>DIO1</v>
      </c>
      <c r="D1678" s="18">
        <v>132</v>
      </c>
      <c r="E1678" s="84">
        <f>+E1677</f>
        <v>2</v>
      </c>
      <c r="F1678" s="84">
        <f>+F1677</f>
        <v>12</v>
      </c>
      <c r="G1678" s="84">
        <v>0</v>
      </c>
      <c r="H1678" s="214">
        <v>3</v>
      </c>
      <c r="I1678" s="188">
        <v>0</v>
      </c>
      <c r="J1678" s="201" t="s">
        <v>722</v>
      </c>
      <c r="K1678" s="18" t="s">
        <v>721</v>
      </c>
      <c r="L1678" s="79" t="s">
        <v>292</v>
      </c>
      <c r="M1678" s="18">
        <v>4</v>
      </c>
      <c r="N1678" s="59" t="s">
        <v>1206</v>
      </c>
      <c r="O1678" s="17" t="s">
        <v>1198</v>
      </c>
      <c r="P1678" s="59" t="s">
        <v>1204</v>
      </c>
      <c r="Q1678" s="17" t="s">
        <v>1203</v>
      </c>
      <c r="R1678" s="17" t="s">
        <v>317</v>
      </c>
      <c r="S1678" s="17"/>
      <c r="T1678" s="17" t="s">
        <v>1202</v>
      </c>
      <c r="U1678" s="17"/>
      <c r="V1678" s="17" t="str">
        <f>+CONCATENATE(E1678,".",F1678,"\",G1678,".",H1678,":",I1678)</f>
        <v>2.12\0.3:0</v>
      </c>
      <c r="W1678" s="272" t="s">
        <v>1171</v>
      </c>
      <c r="X1678" s="272">
        <v>0</v>
      </c>
      <c r="Y1678" s="17"/>
      <c r="Z1678" s="20" t="s">
        <v>1159</v>
      </c>
      <c r="AA1678" s="17"/>
      <c r="AB1678" s="17"/>
      <c r="AC1678" s="17"/>
      <c r="AD1678" s="17"/>
      <c r="AE1678" s="17"/>
      <c r="AF1678" s="17"/>
      <c r="AG1678" s="64" t="s">
        <v>844</v>
      </c>
      <c r="AH1678" s="64">
        <v>1</v>
      </c>
      <c r="AI1678" s="64">
        <v>2</v>
      </c>
      <c r="AJ1678" s="64"/>
      <c r="AK1678" s="64"/>
      <c r="AL1678" s="264"/>
      <c r="AM1678" s="84"/>
      <c r="AN1678" s="18"/>
      <c r="AO1678" s="18"/>
      <c r="AP1678" s="18"/>
      <c r="AQ1678" s="18"/>
      <c r="AR1678" s="18"/>
      <c r="AS1678" s="18"/>
      <c r="AT1678" s="18"/>
      <c r="AU1678" s="18"/>
      <c r="AV1678" s="18"/>
      <c r="AW1678" s="18"/>
      <c r="AX1678" s="18"/>
      <c r="AY1678" s="18"/>
    </row>
    <row r="1679" spans="1:51" s="33" customFormat="1" ht="14.5" x14ac:dyDescent="0.35">
      <c r="A1679" s="63" t="str">
        <f>A1678</f>
        <v>BCV131</v>
      </c>
      <c r="B1679" s="17" t="s">
        <v>1158</v>
      </c>
      <c r="C1679" s="18" t="str">
        <f>+C1678</f>
        <v>DIO1</v>
      </c>
      <c r="D1679" s="18">
        <v>132</v>
      </c>
      <c r="E1679" s="84">
        <f>+E1678</f>
        <v>2</v>
      </c>
      <c r="F1679" s="84">
        <f>+F1678</f>
        <v>12</v>
      </c>
      <c r="G1679" s="84">
        <v>0</v>
      </c>
      <c r="H1679" s="200">
        <f>H1678</f>
        <v>3</v>
      </c>
      <c r="I1679" s="187">
        <f>+I1678+1</f>
        <v>1</v>
      </c>
      <c r="J1679" s="193"/>
      <c r="K1679" s="79"/>
      <c r="L1679" s="79" t="s">
        <v>292</v>
      </c>
      <c r="M1679" s="83">
        <v>6</v>
      </c>
      <c r="N1679" s="59" t="s">
        <v>1205</v>
      </c>
      <c r="O1679" s="17" t="s">
        <v>1196</v>
      </c>
      <c r="P1679" s="59" t="s">
        <v>1204</v>
      </c>
      <c r="Q1679" s="17" t="s">
        <v>1203</v>
      </c>
      <c r="R1679" s="17" t="s">
        <v>1193</v>
      </c>
      <c r="S1679" s="17"/>
      <c r="T1679" s="17" t="s">
        <v>1202</v>
      </c>
      <c r="U1679" s="17"/>
      <c r="V1679" s="17" t="str">
        <f>+CONCATENATE(E1679,".",F1679,"\",G1679,".",H1679,":",I1679)</f>
        <v>2.12\0.3:1</v>
      </c>
      <c r="W1679" s="272" t="s">
        <v>1171</v>
      </c>
      <c r="X1679" s="272">
        <v>0</v>
      </c>
      <c r="Y1679" s="17"/>
      <c r="Z1679" s="20" t="s">
        <v>1159</v>
      </c>
      <c r="AA1679" s="17"/>
      <c r="AB1679" s="17"/>
      <c r="AC1679" s="17"/>
      <c r="AD1679" s="17"/>
      <c r="AE1679" s="17"/>
      <c r="AF1679" s="17"/>
      <c r="AG1679" s="64" t="s">
        <v>844</v>
      </c>
      <c r="AH1679" s="64">
        <v>3</v>
      </c>
      <c r="AI1679" s="64">
        <v>4</v>
      </c>
      <c r="AJ1679" s="64"/>
      <c r="AK1679" s="64"/>
      <c r="AL1679" s="264"/>
      <c r="AM1679" s="84"/>
      <c r="AN1679" s="18"/>
      <c r="AO1679" s="18"/>
      <c r="AP1679" s="18"/>
      <c r="AQ1679" s="18"/>
      <c r="AR1679" s="18"/>
      <c r="AS1679" s="18"/>
      <c r="AT1679" s="18"/>
      <c r="AU1679" s="18"/>
      <c r="AV1679" s="18"/>
      <c r="AW1679" s="18"/>
      <c r="AX1679" s="18"/>
      <c r="AY1679" s="18"/>
    </row>
    <row r="1680" spans="1:51" s="33" customFormat="1" ht="14.5" x14ac:dyDescent="0.35">
      <c r="A1680" s="63" t="str">
        <f>A1679</f>
        <v>BCV131</v>
      </c>
      <c r="B1680" s="17" t="s">
        <v>1158</v>
      </c>
      <c r="C1680" s="18" t="str">
        <f>+C1679</f>
        <v>DIO1</v>
      </c>
      <c r="D1680" s="18">
        <v>132</v>
      </c>
      <c r="E1680" s="84">
        <f>+E1679</f>
        <v>2</v>
      </c>
      <c r="F1680" s="84">
        <f>+F1679</f>
        <v>12</v>
      </c>
      <c r="G1680" s="84">
        <v>0</v>
      </c>
      <c r="H1680" s="186">
        <f>+H1679</f>
        <v>3</v>
      </c>
      <c r="I1680" s="187">
        <f>+I1679+1</f>
        <v>2</v>
      </c>
      <c r="J1680" s="193"/>
      <c r="K1680" s="65"/>
      <c r="L1680" s="79" t="s">
        <v>292</v>
      </c>
      <c r="M1680" s="18">
        <v>5</v>
      </c>
      <c r="N1680" s="213"/>
      <c r="O1680" s="78"/>
      <c r="P1680" s="213"/>
      <c r="Q1680" s="78"/>
      <c r="R1680" s="78"/>
      <c r="S1680" s="78"/>
      <c r="T1680" s="78"/>
      <c r="U1680" s="277"/>
      <c r="V1680" s="17" t="str">
        <f>+CONCATENATE(E1680,".",F1680,"\",G1680,".",H1680,":",I1680)</f>
        <v>2.12\0.3:2</v>
      </c>
      <c r="W1680" s="17" t="s">
        <v>1201</v>
      </c>
      <c r="X1680" s="17" t="s">
        <v>1200</v>
      </c>
      <c r="Y1680" s="17" t="s">
        <v>1191</v>
      </c>
      <c r="Z1680" s="20" t="s">
        <v>1159</v>
      </c>
      <c r="AA1680" s="17"/>
      <c r="AB1680" s="17"/>
      <c r="AC1680" s="17"/>
      <c r="AD1680" s="17"/>
      <c r="AE1680" s="17"/>
      <c r="AF1680" s="17"/>
      <c r="AG1680" s="64" t="s">
        <v>844</v>
      </c>
      <c r="AH1680" s="64">
        <v>5</v>
      </c>
      <c r="AI1680" s="64">
        <v>6</v>
      </c>
      <c r="AJ1680" s="64"/>
      <c r="AK1680" s="64"/>
      <c r="AL1680" s="264"/>
      <c r="AM1680" s="84"/>
      <c r="AN1680" s="18"/>
      <c r="AO1680" s="18"/>
      <c r="AP1680" s="18"/>
      <c r="AQ1680" s="18"/>
      <c r="AR1680" s="18"/>
      <c r="AS1680" s="18"/>
      <c r="AT1680" s="18"/>
      <c r="AU1680" s="18"/>
      <c r="AV1680" s="18"/>
      <c r="AW1680" s="18"/>
      <c r="AX1680" s="18"/>
      <c r="AY1680" s="18"/>
    </row>
    <row r="1681" spans="1:51" s="33" customFormat="1" ht="14.5" x14ac:dyDescent="0.35">
      <c r="A1681" s="63" t="str">
        <f>A1680</f>
        <v>BCV131</v>
      </c>
      <c r="B1681" s="17" t="s">
        <v>1158</v>
      </c>
      <c r="C1681" s="18" t="str">
        <f>+C1680</f>
        <v>DIO1</v>
      </c>
      <c r="D1681" s="18">
        <v>132</v>
      </c>
      <c r="E1681" s="84">
        <f>+E1680</f>
        <v>2</v>
      </c>
      <c r="F1681" s="84">
        <f>+F1680</f>
        <v>12</v>
      </c>
      <c r="G1681" s="84">
        <v>0</v>
      </c>
      <c r="H1681" s="186">
        <f>+H1680</f>
        <v>3</v>
      </c>
      <c r="I1681" s="187">
        <f>+I1680+1</f>
        <v>3</v>
      </c>
      <c r="J1681" s="193"/>
      <c r="K1681" s="65"/>
      <c r="L1681" s="79" t="s">
        <v>292</v>
      </c>
      <c r="M1681" s="18">
        <v>4</v>
      </c>
      <c r="N1681" s="59" t="s">
        <v>1199</v>
      </c>
      <c r="O1681" s="17" t="s">
        <v>1198</v>
      </c>
      <c r="P1681" s="59" t="s">
        <v>1195</v>
      </c>
      <c r="Q1681" s="17" t="s">
        <v>1194</v>
      </c>
      <c r="R1681" s="17" t="s">
        <v>317</v>
      </c>
      <c r="S1681" s="17"/>
      <c r="T1681" s="17" t="s">
        <v>1192</v>
      </c>
      <c r="U1681" s="17"/>
      <c r="V1681" s="17" t="str">
        <f>+CONCATENATE(E1681,".",F1681,"\",G1681,".",H1681,":",I1681)</f>
        <v>2.12\0.3:3</v>
      </c>
      <c r="W1681" s="272" t="s">
        <v>1171</v>
      </c>
      <c r="X1681" s="272">
        <v>0</v>
      </c>
      <c r="Y1681" s="17"/>
      <c r="Z1681" s="20" t="s">
        <v>1159</v>
      </c>
      <c r="AA1681" s="17"/>
      <c r="AB1681" s="17"/>
      <c r="AC1681" s="17"/>
      <c r="AD1681" s="17"/>
      <c r="AE1681" s="17"/>
      <c r="AF1681" s="17"/>
      <c r="AG1681" s="64" t="s">
        <v>844</v>
      </c>
      <c r="AH1681" s="64">
        <v>7</v>
      </c>
      <c r="AI1681" s="64">
        <v>8</v>
      </c>
      <c r="AJ1681" s="64"/>
      <c r="AK1681" s="64"/>
      <c r="AL1681" s="264"/>
      <c r="AM1681" s="84"/>
      <c r="AN1681" s="18"/>
      <c r="AO1681" s="18"/>
      <c r="AP1681" s="18"/>
      <c r="AQ1681" s="18"/>
      <c r="AR1681" s="18"/>
      <c r="AS1681" s="18"/>
      <c r="AT1681" s="18"/>
      <c r="AU1681" s="18"/>
      <c r="AV1681" s="18"/>
      <c r="AW1681" s="18"/>
      <c r="AX1681" s="18"/>
      <c r="AY1681" s="18"/>
    </row>
    <row r="1682" spans="1:51" s="33" customFormat="1" ht="14.5" x14ac:dyDescent="0.35">
      <c r="A1682" s="63" t="str">
        <f>A1681</f>
        <v>BCV131</v>
      </c>
      <c r="B1682" s="17" t="s">
        <v>1158</v>
      </c>
      <c r="C1682" s="18" t="str">
        <f>+C1681</f>
        <v>DIO1</v>
      </c>
      <c r="D1682" s="18">
        <v>132</v>
      </c>
      <c r="E1682" s="84">
        <f>+E1681</f>
        <v>2</v>
      </c>
      <c r="F1682" s="84">
        <f>+F1681</f>
        <v>12</v>
      </c>
      <c r="G1682" s="84">
        <v>0</v>
      </c>
      <c r="H1682" s="186">
        <f>+H1681</f>
        <v>3</v>
      </c>
      <c r="I1682" s="187">
        <f>+I1681+1</f>
        <v>4</v>
      </c>
      <c r="J1682" s="193"/>
      <c r="K1682" s="65"/>
      <c r="L1682" s="79" t="s">
        <v>292</v>
      </c>
      <c r="M1682" s="83">
        <v>6</v>
      </c>
      <c r="N1682" s="59" t="s">
        <v>1197</v>
      </c>
      <c r="O1682" s="17" t="s">
        <v>1196</v>
      </c>
      <c r="P1682" s="59" t="s">
        <v>1195</v>
      </c>
      <c r="Q1682" s="17" t="s">
        <v>1194</v>
      </c>
      <c r="R1682" s="17" t="s">
        <v>1193</v>
      </c>
      <c r="S1682" s="17"/>
      <c r="T1682" s="17" t="s">
        <v>1192</v>
      </c>
      <c r="U1682" s="17"/>
      <c r="V1682" s="17" t="str">
        <f>+CONCATENATE(E1682,".",F1682,"\",G1682,".",H1682,":",I1682)</f>
        <v>2.12\0.3:4</v>
      </c>
      <c r="W1682" s="272" t="s">
        <v>1171</v>
      </c>
      <c r="X1682" s="272">
        <v>0</v>
      </c>
      <c r="Y1682" s="17"/>
      <c r="Z1682" s="20" t="s">
        <v>1159</v>
      </c>
      <c r="AA1682" s="17"/>
      <c r="AB1682" s="17"/>
      <c r="AC1682" s="17"/>
      <c r="AD1682" s="17"/>
      <c r="AE1682" s="17"/>
      <c r="AF1682" s="17"/>
      <c r="AG1682" s="64" t="s">
        <v>844</v>
      </c>
      <c r="AH1682" s="64">
        <v>9</v>
      </c>
      <c r="AI1682" s="64">
        <v>10</v>
      </c>
      <c r="AJ1682" s="64"/>
      <c r="AK1682" s="64"/>
      <c r="AL1682" s="264"/>
      <c r="AM1682" s="84"/>
      <c r="AN1682" s="18"/>
      <c r="AO1682" s="18"/>
      <c r="AP1682" s="18"/>
      <c r="AQ1682" s="18"/>
      <c r="AR1682" s="18"/>
      <c r="AS1682" s="18"/>
      <c r="AT1682" s="18"/>
      <c r="AU1682" s="18"/>
      <c r="AV1682" s="18"/>
      <c r="AW1682" s="18"/>
      <c r="AX1682" s="18"/>
      <c r="AY1682" s="18"/>
    </row>
    <row r="1683" spans="1:51" s="33" customFormat="1" ht="14.5" x14ac:dyDescent="0.35">
      <c r="A1683" s="63" t="str">
        <f>A1682</f>
        <v>BCV131</v>
      </c>
      <c r="B1683" s="17" t="s">
        <v>1158</v>
      </c>
      <c r="C1683" s="18" t="str">
        <f>+C1682</f>
        <v>DIO1</v>
      </c>
      <c r="D1683" s="18">
        <v>132</v>
      </c>
      <c r="E1683" s="84">
        <f>+E1682</f>
        <v>2</v>
      </c>
      <c r="F1683" s="84">
        <f>+F1682</f>
        <v>12</v>
      </c>
      <c r="G1683" s="84">
        <v>0</v>
      </c>
      <c r="H1683" s="186">
        <f>+H1682</f>
        <v>3</v>
      </c>
      <c r="I1683" s="187">
        <f>+I1682+1</f>
        <v>5</v>
      </c>
      <c r="J1683" s="193"/>
      <c r="K1683" s="65"/>
      <c r="L1683" s="79" t="s">
        <v>292</v>
      </c>
      <c r="M1683" s="18">
        <v>5</v>
      </c>
      <c r="N1683" s="213"/>
      <c r="O1683" s="78"/>
      <c r="P1683" s="213"/>
      <c r="Q1683" s="78"/>
      <c r="R1683" s="78"/>
      <c r="S1683" s="78"/>
      <c r="T1683" s="78"/>
      <c r="U1683" s="17"/>
      <c r="V1683" s="17" t="str">
        <f>+CONCATENATE(E1683,".",F1683,"\",G1683,".",H1683,":",I1683)</f>
        <v>2.12\0.3:5</v>
      </c>
      <c r="W1683" s="17"/>
      <c r="X1683" s="17"/>
      <c r="Y1683" s="17" t="s">
        <v>1191</v>
      </c>
      <c r="Z1683" s="20" t="s">
        <v>1159</v>
      </c>
      <c r="AA1683" s="17"/>
      <c r="AB1683" s="17"/>
      <c r="AC1683" s="17"/>
      <c r="AD1683" s="17"/>
      <c r="AE1683" s="17"/>
      <c r="AF1683" s="17"/>
      <c r="AG1683" s="64" t="s">
        <v>844</v>
      </c>
      <c r="AH1683" s="64">
        <v>11</v>
      </c>
      <c r="AI1683" s="64">
        <v>12</v>
      </c>
      <c r="AJ1683" s="64"/>
      <c r="AK1683" s="64"/>
      <c r="AL1683" s="264"/>
      <c r="AM1683" s="84"/>
      <c r="AN1683" s="18"/>
      <c r="AO1683" s="18"/>
      <c r="AP1683" s="18"/>
      <c r="AQ1683" s="18"/>
      <c r="AR1683" s="18"/>
      <c r="AS1683" s="18"/>
      <c r="AT1683" s="18"/>
      <c r="AU1683" s="18"/>
      <c r="AV1683" s="18"/>
      <c r="AW1683" s="18"/>
      <c r="AX1683" s="18"/>
      <c r="AY1683" s="18"/>
    </row>
    <row r="1684" spans="1:51" s="33" customFormat="1" ht="14.5" x14ac:dyDescent="0.35">
      <c r="A1684" s="63" t="str">
        <f>A1683</f>
        <v>BCV131</v>
      </c>
      <c r="B1684" s="17" t="s">
        <v>1158</v>
      </c>
      <c r="C1684" s="18" t="str">
        <f>+C1683</f>
        <v>DIO1</v>
      </c>
      <c r="D1684" s="18">
        <v>132</v>
      </c>
      <c r="E1684" s="84">
        <f>+E1683</f>
        <v>2</v>
      </c>
      <c r="F1684" s="84">
        <f>+F1683</f>
        <v>12</v>
      </c>
      <c r="G1684" s="84">
        <v>0</v>
      </c>
      <c r="H1684" s="186">
        <f>+H1683</f>
        <v>3</v>
      </c>
      <c r="I1684" s="187">
        <f>+I1683+1</f>
        <v>6</v>
      </c>
      <c r="J1684" s="193"/>
      <c r="K1684" s="65"/>
      <c r="L1684" s="79" t="s">
        <v>292</v>
      </c>
      <c r="M1684" s="18">
        <v>4</v>
      </c>
      <c r="N1684" s="59" t="s">
        <v>1190</v>
      </c>
      <c r="O1684" s="18" t="s">
        <v>1189</v>
      </c>
      <c r="P1684" s="59"/>
      <c r="Q1684" s="17" t="s">
        <v>1188</v>
      </c>
      <c r="R1684" s="17" t="s">
        <v>308</v>
      </c>
      <c r="S1684" s="17"/>
      <c r="T1684" s="17" t="s">
        <v>194</v>
      </c>
      <c r="U1684" s="17"/>
      <c r="V1684" s="17" t="str">
        <f>+CONCATENATE(E1684,".",F1684,"\",G1684,".",H1684,":",I1684)</f>
        <v>2.12\0.3:6</v>
      </c>
      <c r="W1684" s="272" t="s">
        <v>1161</v>
      </c>
      <c r="X1684" s="272">
        <v>0</v>
      </c>
      <c r="Y1684" s="17"/>
      <c r="Z1684" s="20" t="s">
        <v>1159</v>
      </c>
      <c r="AA1684" s="17"/>
      <c r="AB1684" s="17"/>
      <c r="AC1684" s="17"/>
      <c r="AD1684" s="17"/>
      <c r="AE1684" s="17"/>
      <c r="AF1684" s="17"/>
      <c r="AG1684" s="64" t="s">
        <v>844</v>
      </c>
      <c r="AH1684" s="64">
        <v>13</v>
      </c>
      <c r="AI1684" s="64">
        <v>14</v>
      </c>
      <c r="AJ1684" s="64"/>
      <c r="AK1684" s="64"/>
      <c r="AL1684" s="264"/>
      <c r="AM1684" s="84"/>
      <c r="AN1684" s="18"/>
      <c r="AO1684" s="18"/>
      <c r="AP1684" s="18"/>
      <c r="AQ1684" s="18"/>
      <c r="AR1684" s="18"/>
      <c r="AS1684" s="18"/>
      <c r="AT1684" s="18"/>
      <c r="AU1684" s="18"/>
      <c r="AV1684" s="18"/>
      <c r="AW1684" s="18"/>
      <c r="AX1684" s="18"/>
      <c r="AY1684" s="18"/>
    </row>
    <row r="1685" spans="1:51" s="33" customFormat="1" ht="14.5" x14ac:dyDescent="0.35">
      <c r="A1685" s="63" t="str">
        <f>A1684</f>
        <v>BCV131</v>
      </c>
      <c r="B1685" s="17" t="s">
        <v>1158</v>
      </c>
      <c r="C1685" s="18" t="str">
        <f>+C1684</f>
        <v>DIO1</v>
      </c>
      <c r="D1685" s="18">
        <v>132</v>
      </c>
      <c r="E1685" s="84">
        <f>+E1684</f>
        <v>2</v>
      </c>
      <c r="F1685" s="84">
        <f>+F1684</f>
        <v>12</v>
      </c>
      <c r="G1685" s="84">
        <v>0</v>
      </c>
      <c r="H1685" s="186">
        <f>+H1684</f>
        <v>3</v>
      </c>
      <c r="I1685" s="187">
        <f>+I1684+1</f>
        <v>7</v>
      </c>
      <c r="J1685" s="193"/>
      <c r="K1685" s="65"/>
      <c r="L1685" s="79" t="s">
        <v>292</v>
      </c>
      <c r="M1685" s="18"/>
      <c r="N1685" s="59"/>
      <c r="O1685" s="18"/>
      <c r="P1685" s="59"/>
      <c r="Q1685" s="17" t="s">
        <v>127</v>
      </c>
      <c r="R1685" s="17"/>
      <c r="S1685" s="17"/>
      <c r="T1685" s="18"/>
      <c r="U1685" s="17"/>
      <c r="V1685" s="17" t="str">
        <f>+CONCATENATE(E1685,".",F1685,"\",G1685,".",H1685,":",I1685)</f>
        <v>2.12\0.3:7</v>
      </c>
      <c r="W1685" s="17"/>
      <c r="X1685" s="17"/>
      <c r="Y1685" s="17"/>
      <c r="Z1685" s="20" t="s">
        <v>1159</v>
      </c>
      <c r="AA1685" s="17"/>
      <c r="AB1685" s="17"/>
      <c r="AC1685" s="17"/>
      <c r="AD1685" s="17"/>
      <c r="AE1685" s="17"/>
      <c r="AF1685" s="17"/>
      <c r="AG1685" s="64" t="s">
        <v>844</v>
      </c>
      <c r="AH1685" s="64">
        <v>15</v>
      </c>
      <c r="AI1685" s="64">
        <v>16</v>
      </c>
      <c r="AJ1685" s="64"/>
      <c r="AK1685" s="64"/>
      <c r="AL1685" s="264"/>
      <c r="AM1685" s="84"/>
      <c r="AN1685" s="18"/>
      <c r="AO1685" s="18"/>
      <c r="AP1685" s="18"/>
      <c r="AQ1685" s="18"/>
      <c r="AR1685" s="18"/>
      <c r="AS1685" s="18"/>
      <c r="AT1685" s="18"/>
      <c r="AU1685" s="18"/>
      <c r="AV1685" s="18"/>
      <c r="AW1685" s="18"/>
      <c r="AX1685" s="18"/>
      <c r="AY1685" s="18"/>
    </row>
    <row r="1686" spans="1:51" s="33" customFormat="1" ht="14.5" x14ac:dyDescent="0.35">
      <c r="A1686" s="63" t="str">
        <f>A1685</f>
        <v>BCV131</v>
      </c>
      <c r="B1686" s="17" t="s">
        <v>1158</v>
      </c>
      <c r="C1686" s="18" t="str">
        <f>+C1685</f>
        <v>DIO1</v>
      </c>
      <c r="D1686" s="18">
        <v>132</v>
      </c>
      <c r="E1686" s="84">
        <f>+E1685</f>
        <v>2</v>
      </c>
      <c r="F1686" s="84">
        <f>+F1685</f>
        <v>12</v>
      </c>
      <c r="G1686" s="84">
        <v>0</v>
      </c>
      <c r="H1686" s="186">
        <f>+H1685</f>
        <v>3</v>
      </c>
      <c r="I1686" s="187">
        <f>+I1685+1</f>
        <v>8</v>
      </c>
      <c r="J1686" s="193"/>
      <c r="K1686" s="65"/>
      <c r="L1686" s="79" t="s">
        <v>292</v>
      </c>
      <c r="M1686" s="18"/>
      <c r="N1686" s="59"/>
      <c r="O1686" s="18"/>
      <c r="P1686" s="59"/>
      <c r="Q1686" s="17"/>
      <c r="R1686" s="17"/>
      <c r="S1686" s="17"/>
      <c r="T1686" s="18"/>
      <c r="U1686" s="17"/>
      <c r="V1686" s="17" t="str">
        <f>+CONCATENATE(E1686,".",F1686,"\",G1686,".",H1686,":",I1686)</f>
        <v>2.12\0.3:8</v>
      </c>
      <c r="W1686" s="17"/>
      <c r="X1686" s="17"/>
      <c r="Y1686" s="20"/>
      <c r="Z1686" s="20" t="s">
        <v>1159</v>
      </c>
      <c r="AA1686" s="20"/>
      <c r="AB1686" s="17"/>
      <c r="AC1686" s="17"/>
      <c r="AD1686" s="17"/>
      <c r="AE1686" s="17"/>
      <c r="AF1686" s="17"/>
      <c r="AG1686" s="64" t="s">
        <v>844</v>
      </c>
      <c r="AH1686" s="64">
        <v>17</v>
      </c>
      <c r="AI1686" s="64">
        <v>18</v>
      </c>
      <c r="AJ1686" s="64"/>
      <c r="AK1686" s="64"/>
      <c r="AL1686" s="264"/>
      <c r="AM1686" s="84"/>
      <c r="AN1686" s="18"/>
      <c r="AO1686" s="18"/>
      <c r="AP1686" s="18"/>
      <c r="AQ1686" s="18"/>
      <c r="AR1686" s="18"/>
      <c r="AS1686" s="18"/>
      <c r="AT1686" s="18"/>
      <c r="AU1686" s="18"/>
      <c r="AV1686" s="18"/>
      <c r="AW1686" s="18"/>
      <c r="AX1686" s="18"/>
      <c r="AY1686" s="18"/>
    </row>
    <row r="1687" spans="1:51" s="33" customFormat="1" ht="14.5" x14ac:dyDescent="0.35">
      <c r="A1687" s="63" t="str">
        <f>A1686</f>
        <v>BCV131</v>
      </c>
      <c r="B1687" s="17" t="s">
        <v>1158</v>
      </c>
      <c r="C1687" s="18" t="str">
        <f>+C1686</f>
        <v>DIO1</v>
      </c>
      <c r="D1687" s="18">
        <v>132</v>
      </c>
      <c r="E1687" s="84">
        <f>+E1686</f>
        <v>2</v>
      </c>
      <c r="F1687" s="84">
        <f>+F1686</f>
        <v>12</v>
      </c>
      <c r="G1687" s="84">
        <v>0</v>
      </c>
      <c r="H1687" s="186">
        <f>+H1686</f>
        <v>3</v>
      </c>
      <c r="I1687" s="187">
        <f>+I1686+1</f>
        <v>9</v>
      </c>
      <c r="J1687" s="193"/>
      <c r="K1687" s="65"/>
      <c r="L1687" s="79" t="s">
        <v>292</v>
      </c>
      <c r="M1687" s="18"/>
      <c r="N1687" s="59"/>
      <c r="O1687" s="18"/>
      <c r="P1687" s="59" t="s">
        <v>1187</v>
      </c>
      <c r="Q1687" s="17"/>
      <c r="R1687" s="17"/>
      <c r="S1687" s="17"/>
      <c r="T1687" s="18"/>
      <c r="U1687" s="17"/>
      <c r="V1687" s="17" t="str">
        <f>+CONCATENATE(E1687,".",F1687,"\",G1687,".",H1687,":",I1687)</f>
        <v>2.12\0.3:9</v>
      </c>
      <c r="W1687" s="17"/>
      <c r="X1687" s="17"/>
      <c r="Y1687" s="20"/>
      <c r="Z1687" s="20" t="s">
        <v>1159</v>
      </c>
      <c r="AA1687" s="20"/>
      <c r="AB1687" s="17"/>
      <c r="AC1687" s="17"/>
      <c r="AD1687" s="17"/>
      <c r="AE1687" s="17"/>
      <c r="AF1687" s="17"/>
      <c r="AG1687" s="64" t="s">
        <v>844</v>
      </c>
      <c r="AH1687" s="64">
        <v>19</v>
      </c>
      <c r="AI1687" s="64">
        <v>20</v>
      </c>
      <c r="AJ1687" s="64"/>
      <c r="AK1687" s="64"/>
      <c r="AL1687" s="264"/>
      <c r="AM1687" s="84"/>
      <c r="AN1687" s="18"/>
      <c r="AO1687" s="18"/>
      <c r="AP1687" s="18"/>
      <c r="AQ1687" s="18"/>
      <c r="AR1687" s="18"/>
      <c r="AS1687" s="18"/>
      <c r="AT1687" s="18"/>
      <c r="AU1687" s="18"/>
      <c r="AV1687" s="18"/>
      <c r="AW1687" s="18"/>
      <c r="AX1687" s="18"/>
      <c r="AY1687" s="18"/>
    </row>
    <row r="1688" spans="1:51" s="33" customFormat="1" ht="14.5" x14ac:dyDescent="0.35">
      <c r="A1688" s="63" t="str">
        <f>A1687</f>
        <v>BCV131</v>
      </c>
      <c r="B1688" s="17" t="s">
        <v>1158</v>
      </c>
      <c r="C1688" s="18" t="str">
        <f>+C1687</f>
        <v>DIO1</v>
      </c>
      <c r="D1688" s="18">
        <v>132</v>
      </c>
      <c r="E1688" s="84">
        <f>+E1687</f>
        <v>2</v>
      </c>
      <c r="F1688" s="84">
        <f>+F1687</f>
        <v>12</v>
      </c>
      <c r="G1688" s="84">
        <v>0</v>
      </c>
      <c r="H1688" s="186">
        <f>+H1687</f>
        <v>3</v>
      </c>
      <c r="I1688" s="187">
        <f>+I1687+1</f>
        <v>10</v>
      </c>
      <c r="J1688" s="193"/>
      <c r="K1688" s="65"/>
      <c r="L1688" s="79" t="s">
        <v>292</v>
      </c>
      <c r="M1688" s="18"/>
      <c r="N1688" s="59"/>
      <c r="O1688" s="18"/>
      <c r="P1688" s="59" t="s">
        <v>1186</v>
      </c>
      <c r="Q1688" s="17"/>
      <c r="R1688" s="78"/>
      <c r="S1688" s="78"/>
      <c r="T1688" s="18"/>
      <c r="U1688" s="17"/>
      <c r="V1688" s="17" t="str">
        <f>+CONCATENATE(E1688,".",F1688,"\",G1688,".",H1688,":",I1688)</f>
        <v>2.12\0.3:10</v>
      </c>
      <c r="W1688" s="17"/>
      <c r="X1688" s="17"/>
      <c r="Y1688" s="17"/>
      <c r="Z1688" s="20" t="s">
        <v>1159</v>
      </c>
      <c r="AA1688" s="17"/>
      <c r="AB1688" s="17"/>
      <c r="AC1688" s="17"/>
      <c r="AD1688" s="17"/>
      <c r="AE1688" s="17"/>
      <c r="AF1688" s="17"/>
      <c r="AG1688" s="64" t="s">
        <v>844</v>
      </c>
      <c r="AH1688" s="64">
        <v>21</v>
      </c>
      <c r="AI1688" s="64">
        <v>22</v>
      </c>
      <c r="AJ1688" s="64"/>
      <c r="AK1688" s="64"/>
      <c r="AL1688" s="264"/>
      <c r="AM1688" s="84"/>
      <c r="AN1688" s="18"/>
      <c r="AO1688" s="18"/>
      <c r="AP1688" s="18"/>
      <c r="AQ1688" s="18"/>
      <c r="AR1688" s="18"/>
      <c r="AS1688" s="18"/>
      <c r="AT1688" s="18"/>
      <c r="AU1688" s="18"/>
      <c r="AV1688" s="18"/>
      <c r="AW1688" s="18"/>
      <c r="AX1688" s="18"/>
      <c r="AY1688" s="18"/>
    </row>
    <row r="1689" spans="1:51" s="33" customFormat="1" ht="14.5" x14ac:dyDescent="0.35">
      <c r="A1689" s="63" t="str">
        <f>A1688</f>
        <v>BCV131</v>
      </c>
      <c r="B1689" s="17" t="s">
        <v>1158</v>
      </c>
      <c r="C1689" s="18" t="str">
        <f>+C1688</f>
        <v>DIO1</v>
      </c>
      <c r="D1689" s="18">
        <v>132</v>
      </c>
      <c r="E1689" s="84">
        <f>+E1688</f>
        <v>2</v>
      </c>
      <c r="F1689" s="84">
        <f>+F1688</f>
        <v>12</v>
      </c>
      <c r="G1689" s="84">
        <v>0</v>
      </c>
      <c r="H1689" s="186">
        <f>+H1688</f>
        <v>3</v>
      </c>
      <c r="I1689" s="187">
        <f>+I1688+1</f>
        <v>11</v>
      </c>
      <c r="J1689" s="193"/>
      <c r="K1689" s="65"/>
      <c r="L1689" s="79" t="s">
        <v>292</v>
      </c>
      <c r="M1689" s="18"/>
      <c r="N1689" s="59"/>
      <c r="O1689" s="18"/>
      <c r="P1689" s="59"/>
      <c r="Q1689" s="17"/>
      <c r="R1689" s="78"/>
      <c r="S1689" s="78"/>
      <c r="T1689" s="18"/>
      <c r="U1689" s="17"/>
      <c r="V1689" s="17" t="str">
        <f>+CONCATENATE(E1689,".",F1689,"\",G1689,".",H1689,":",I1689)</f>
        <v>2.12\0.3:11</v>
      </c>
      <c r="W1689" s="17"/>
      <c r="X1689" s="17"/>
      <c r="Y1689" s="17"/>
      <c r="Z1689" s="20" t="s">
        <v>1159</v>
      </c>
      <c r="AA1689" s="17"/>
      <c r="AB1689" s="17"/>
      <c r="AC1689" s="17"/>
      <c r="AD1689" s="17"/>
      <c r="AE1689" s="17"/>
      <c r="AF1689" s="17"/>
      <c r="AG1689" s="64" t="s">
        <v>844</v>
      </c>
      <c r="AH1689" s="64">
        <v>23</v>
      </c>
      <c r="AI1689" s="64">
        <v>24</v>
      </c>
      <c r="AJ1689" s="64"/>
      <c r="AK1689" s="64"/>
      <c r="AL1689" s="264"/>
      <c r="AM1689" s="84"/>
      <c r="AN1689" s="18"/>
      <c r="AO1689" s="18"/>
      <c r="AP1689" s="18"/>
      <c r="AQ1689" s="18"/>
      <c r="AR1689" s="18"/>
      <c r="AS1689" s="18"/>
      <c r="AT1689" s="18"/>
      <c r="AU1689" s="18"/>
      <c r="AV1689" s="18"/>
      <c r="AW1689" s="18"/>
      <c r="AX1689" s="18"/>
      <c r="AY1689" s="18"/>
    </row>
    <row r="1690" spans="1:51" s="33" customFormat="1" ht="14.5" x14ac:dyDescent="0.35">
      <c r="A1690" s="63" t="str">
        <f>A1689</f>
        <v>BCV131</v>
      </c>
      <c r="B1690" s="17" t="s">
        <v>1158</v>
      </c>
      <c r="C1690" s="18" t="str">
        <f>+C1689</f>
        <v>DIO1</v>
      </c>
      <c r="D1690" s="18">
        <v>132</v>
      </c>
      <c r="E1690" s="84">
        <f>+E1689</f>
        <v>2</v>
      </c>
      <c r="F1690" s="84">
        <f>+F1689</f>
        <v>12</v>
      </c>
      <c r="G1690" s="84">
        <v>0</v>
      </c>
      <c r="H1690" s="186">
        <f>+H1689</f>
        <v>3</v>
      </c>
      <c r="I1690" s="187">
        <f>+I1689+1</f>
        <v>12</v>
      </c>
      <c r="J1690" s="193"/>
      <c r="K1690" s="65"/>
      <c r="L1690" s="79" t="s">
        <v>292</v>
      </c>
      <c r="M1690" s="18"/>
      <c r="N1690" s="18"/>
      <c r="O1690" s="18"/>
      <c r="P1690" s="59"/>
      <c r="Q1690" s="17"/>
      <c r="R1690" s="78"/>
      <c r="S1690" s="78"/>
      <c r="T1690" s="18"/>
      <c r="U1690" s="17"/>
      <c r="V1690" s="17" t="str">
        <f>+CONCATENATE(E1690,".",F1690,"\",G1690,".",H1690,":",I1690)</f>
        <v>2.12\0.3:12</v>
      </c>
      <c r="W1690" s="17"/>
      <c r="X1690" s="17"/>
      <c r="Y1690" s="17"/>
      <c r="Z1690" s="20" t="s">
        <v>1159</v>
      </c>
      <c r="AA1690" s="17"/>
      <c r="AB1690" s="17"/>
      <c r="AC1690" s="17"/>
      <c r="AD1690" s="17"/>
      <c r="AE1690" s="17"/>
      <c r="AF1690" s="17"/>
      <c r="AG1690" s="64" t="s">
        <v>844</v>
      </c>
      <c r="AH1690" s="64">
        <v>25</v>
      </c>
      <c r="AI1690" s="64">
        <v>26</v>
      </c>
      <c r="AJ1690" s="64"/>
      <c r="AK1690" s="64"/>
      <c r="AL1690" s="264"/>
      <c r="AM1690" s="84"/>
      <c r="AN1690" s="18"/>
      <c r="AO1690" s="18"/>
      <c r="AP1690" s="18"/>
      <c r="AQ1690" s="18"/>
      <c r="AR1690" s="18"/>
      <c r="AS1690" s="18"/>
      <c r="AT1690" s="18"/>
      <c r="AU1690" s="18"/>
      <c r="AV1690" s="18"/>
      <c r="AW1690" s="18"/>
      <c r="AX1690" s="18"/>
      <c r="AY1690" s="18"/>
    </row>
    <row r="1691" spans="1:51" s="33" customFormat="1" x14ac:dyDescent="0.3">
      <c r="A1691" s="63" t="str">
        <f>A1690</f>
        <v>BCV131</v>
      </c>
      <c r="B1691" s="17" t="s">
        <v>1158</v>
      </c>
      <c r="C1691" s="18" t="str">
        <f>+C1690</f>
        <v>DIO1</v>
      </c>
      <c r="D1691" s="18">
        <v>132</v>
      </c>
      <c r="E1691" s="84">
        <f>+E1690</f>
        <v>2</v>
      </c>
      <c r="F1691" s="84">
        <f>+F1690</f>
        <v>12</v>
      </c>
      <c r="G1691" s="84">
        <v>0</v>
      </c>
      <c r="H1691" s="186">
        <f>+H1690</f>
        <v>3</v>
      </c>
      <c r="I1691" s="187">
        <f>+I1690+1</f>
        <v>13</v>
      </c>
      <c r="J1691" s="193"/>
      <c r="K1691" s="65"/>
      <c r="L1691" s="79" t="s">
        <v>292</v>
      </c>
      <c r="M1691" s="18"/>
      <c r="N1691" s="18"/>
      <c r="O1691" s="18"/>
      <c r="P1691" s="18"/>
      <c r="Q1691" s="17"/>
      <c r="R1691" s="78"/>
      <c r="S1691" s="78"/>
      <c r="T1691" s="18"/>
      <c r="U1691" s="18"/>
      <c r="V1691" s="17" t="str">
        <f>+CONCATENATE(E1691,".",F1691,"\",G1691,".",H1691,":",I1691)</f>
        <v>2.12\0.3:13</v>
      </c>
      <c r="W1691" s="18"/>
      <c r="X1691" s="18"/>
      <c r="Y1691" s="17"/>
      <c r="Z1691" s="20" t="s">
        <v>1159</v>
      </c>
      <c r="AA1691" s="17"/>
      <c r="AB1691" s="17"/>
      <c r="AC1691" s="17"/>
      <c r="AD1691" s="17"/>
      <c r="AE1691" s="17"/>
      <c r="AF1691" s="17"/>
      <c r="AG1691" s="64" t="s">
        <v>844</v>
      </c>
      <c r="AH1691" s="64">
        <v>27</v>
      </c>
      <c r="AI1691" s="64">
        <v>28</v>
      </c>
      <c r="AJ1691" s="64"/>
      <c r="AK1691" s="64"/>
      <c r="AL1691" s="264"/>
      <c r="AM1691" s="84"/>
      <c r="AN1691" s="18"/>
      <c r="AO1691" s="18"/>
      <c r="AP1691" s="18"/>
      <c r="AQ1691" s="18"/>
      <c r="AR1691" s="18"/>
      <c r="AS1691" s="18"/>
      <c r="AT1691" s="18"/>
      <c r="AU1691" s="18"/>
      <c r="AV1691" s="18"/>
      <c r="AW1691" s="18"/>
      <c r="AX1691" s="18"/>
      <c r="AY1691" s="18"/>
    </row>
    <row r="1692" spans="1:51" s="33" customFormat="1" x14ac:dyDescent="0.3">
      <c r="A1692" s="63" t="str">
        <f>A1691</f>
        <v>BCV131</v>
      </c>
      <c r="B1692" s="17" t="s">
        <v>1158</v>
      </c>
      <c r="C1692" s="18" t="str">
        <f>+C1691</f>
        <v>DIO1</v>
      </c>
      <c r="D1692" s="18">
        <v>132</v>
      </c>
      <c r="E1692" s="84">
        <f>+E1691</f>
        <v>2</v>
      </c>
      <c r="F1692" s="84">
        <f>+F1691</f>
        <v>12</v>
      </c>
      <c r="G1692" s="84">
        <v>0</v>
      </c>
      <c r="H1692" s="186">
        <f>+H1691</f>
        <v>3</v>
      </c>
      <c r="I1692" s="187">
        <f>+I1691+1</f>
        <v>14</v>
      </c>
      <c r="J1692" s="193"/>
      <c r="K1692" s="65"/>
      <c r="L1692" s="79" t="s">
        <v>292</v>
      </c>
      <c r="M1692" s="18"/>
      <c r="N1692" s="18"/>
      <c r="O1692" s="18"/>
      <c r="P1692" s="18"/>
      <c r="Q1692" s="17" t="s">
        <v>127</v>
      </c>
      <c r="R1692" s="17"/>
      <c r="S1692" s="17"/>
      <c r="T1692" s="18"/>
      <c r="U1692" s="18"/>
      <c r="V1692" s="17" t="str">
        <f>+CONCATENATE(E1692,".",F1692,"\",G1692,".",H1692,":",I1692)</f>
        <v>2.12\0.3:14</v>
      </c>
      <c r="W1692" s="18"/>
      <c r="X1692" s="18"/>
      <c r="Y1692" s="17"/>
      <c r="Z1692" s="20" t="s">
        <v>1159</v>
      </c>
      <c r="AA1692" s="17"/>
      <c r="AB1692" s="17"/>
      <c r="AC1692" s="17"/>
      <c r="AD1692" s="17"/>
      <c r="AE1692" s="17"/>
      <c r="AF1692" s="17"/>
      <c r="AG1692" s="64" t="s">
        <v>844</v>
      </c>
      <c r="AH1692" s="64">
        <v>29</v>
      </c>
      <c r="AI1692" s="64">
        <v>30</v>
      </c>
      <c r="AJ1692" s="64"/>
      <c r="AK1692" s="64"/>
      <c r="AL1692" s="264"/>
      <c r="AM1692" s="84"/>
      <c r="AN1692" s="18"/>
      <c r="AO1692" s="18"/>
      <c r="AP1692" s="18"/>
      <c r="AQ1692" s="18"/>
      <c r="AR1692" s="18"/>
      <c r="AS1692" s="18"/>
      <c r="AT1692" s="18"/>
      <c r="AU1692" s="18"/>
      <c r="AV1692" s="18"/>
      <c r="AW1692" s="18"/>
      <c r="AX1692" s="18"/>
      <c r="AY1692" s="18"/>
    </row>
    <row r="1693" spans="1:51" s="33" customFormat="1" ht="13.5" thickBot="1" x14ac:dyDescent="0.35">
      <c r="A1693" s="63" t="str">
        <f>A1692</f>
        <v>BCV131</v>
      </c>
      <c r="B1693" s="17" t="s">
        <v>1158</v>
      </c>
      <c r="C1693" s="18" t="str">
        <f>+C1692</f>
        <v>DIO1</v>
      </c>
      <c r="D1693" s="18">
        <v>132</v>
      </c>
      <c r="E1693" s="84">
        <f>+E1692</f>
        <v>2</v>
      </c>
      <c r="F1693" s="84">
        <f>+F1692</f>
        <v>12</v>
      </c>
      <c r="G1693" s="84">
        <v>0</v>
      </c>
      <c r="H1693" s="186">
        <f>+H1692</f>
        <v>3</v>
      </c>
      <c r="I1693" s="191">
        <f>+I1692+1</f>
        <v>15</v>
      </c>
      <c r="J1693" s="190"/>
      <c r="K1693" s="65"/>
      <c r="L1693" s="79" t="s">
        <v>292</v>
      </c>
      <c r="M1693" s="18"/>
      <c r="N1693" s="18"/>
      <c r="O1693" s="17"/>
      <c r="P1693" s="17"/>
      <c r="Q1693" s="17" t="s">
        <v>127</v>
      </c>
      <c r="R1693" s="17"/>
      <c r="S1693" s="17"/>
      <c r="T1693" s="18"/>
      <c r="U1693" s="17"/>
      <c r="V1693" s="17" t="str">
        <f>+CONCATENATE(E1693,".",F1693,"\",G1693,".",H1693,":",I1693)</f>
        <v>2.12\0.3:15</v>
      </c>
      <c r="W1693" s="17"/>
      <c r="X1693" s="17"/>
      <c r="Y1693" s="17"/>
      <c r="Z1693" s="20" t="s">
        <v>1159</v>
      </c>
      <c r="AA1693" s="17"/>
      <c r="AB1693" s="17"/>
      <c r="AC1693" s="17"/>
      <c r="AD1693" s="17"/>
      <c r="AE1693" s="17"/>
      <c r="AF1693" s="17"/>
      <c r="AG1693" s="64" t="s">
        <v>844</v>
      </c>
      <c r="AH1693" s="64">
        <v>31</v>
      </c>
      <c r="AI1693" s="64">
        <v>32</v>
      </c>
      <c r="AJ1693" s="64"/>
      <c r="AK1693" s="64"/>
      <c r="AL1693" s="264"/>
      <c r="AM1693" s="84"/>
      <c r="AN1693" s="18"/>
      <c r="AO1693" s="18"/>
      <c r="AP1693" s="18"/>
      <c r="AQ1693" s="18"/>
      <c r="AR1693" s="18"/>
      <c r="AS1693" s="18"/>
      <c r="AT1693" s="18"/>
      <c r="AU1693" s="18"/>
      <c r="AV1693" s="18"/>
      <c r="AW1693" s="18"/>
      <c r="AX1693" s="18"/>
      <c r="AY1693" s="18"/>
    </row>
    <row r="1694" spans="1:51" s="33" customFormat="1" ht="14.5" x14ac:dyDescent="0.35">
      <c r="A1694" s="268" t="s">
        <v>194</v>
      </c>
      <c r="B1694" s="17" t="s">
        <v>1158</v>
      </c>
      <c r="C1694" s="18" t="str">
        <f>+C1693</f>
        <v>DIO1</v>
      </c>
      <c r="D1694" s="18">
        <v>132</v>
      </c>
      <c r="E1694" s="84">
        <f>+E1693</f>
        <v>2</v>
      </c>
      <c r="F1694" s="84">
        <f>+F1693</f>
        <v>12</v>
      </c>
      <c r="G1694" s="84">
        <v>0</v>
      </c>
      <c r="H1694" s="214">
        <v>4</v>
      </c>
      <c r="I1694" s="188">
        <v>0</v>
      </c>
      <c r="J1694" s="276" t="s">
        <v>1185</v>
      </c>
      <c r="K1694" s="17" t="s">
        <v>1184</v>
      </c>
      <c r="L1694" s="79" t="s">
        <v>1170</v>
      </c>
      <c r="M1694" s="18">
        <v>4</v>
      </c>
      <c r="N1694" s="59" t="s">
        <v>1183</v>
      </c>
      <c r="O1694" s="17" t="s">
        <v>1182</v>
      </c>
      <c r="P1694" s="217" t="s">
        <v>1181</v>
      </c>
      <c r="Q1694" s="18" t="s">
        <v>1180</v>
      </c>
      <c r="R1694" s="18"/>
      <c r="S1694" s="91" t="s">
        <v>1179</v>
      </c>
      <c r="T1694" s="17" t="s">
        <v>1178</v>
      </c>
      <c r="U1694" s="17" t="s">
        <v>1177</v>
      </c>
      <c r="V1694" s="17" t="str">
        <f>+CONCATENATE(E1694,".",F1694,"\",G1694,".",H1694,":",I1694)</f>
        <v>2.12\0.4:0</v>
      </c>
      <c r="W1694" s="17" t="s">
        <v>1171</v>
      </c>
      <c r="X1694" s="272">
        <v>0</v>
      </c>
      <c r="Y1694" s="17"/>
      <c r="Z1694" s="20" t="s">
        <v>1159</v>
      </c>
      <c r="AA1694" s="17"/>
      <c r="AB1694" s="17"/>
      <c r="AC1694" s="17"/>
      <c r="AD1694" s="17"/>
      <c r="AE1694" s="17"/>
      <c r="AF1694" s="17" t="s">
        <v>1176</v>
      </c>
      <c r="AG1694" s="64" t="s">
        <v>844</v>
      </c>
      <c r="AH1694" s="64">
        <v>33</v>
      </c>
      <c r="AI1694" s="64">
        <v>34</v>
      </c>
      <c r="AJ1694" s="64"/>
      <c r="AK1694" s="64"/>
      <c r="AL1694" s="264"/>
      <c r="AM1694" s="84"/>
      <c r="AN1694" s="18"/>
      <c r="AO1694" s="18"/>
      <c r="AP1694" s="18"/>
      <c r="AQ1694" s="18"/>
      <c r="AR1694" s="18"/>
      <c r="AS1694" s="18"/>
      <c r="AT1694" s="18"/>
      <c r="AU1694" s="18"/>
      <c r="AV1694" s="18"/>
      <c r="AW1694" s="18"/>
      <c r="AX1694" s="18"/>
      <c r="AY1694" s="18"/>
    </row>
    <row r="1695" spans="1:51" s="33" customFormat="1" ht="14.5" x14ac:dyDescent="0.35">
      <c r="A1695" s="63" t="str">
        <f>A1694</f>
        <v>BCV131</v>
      </c>
      <c r="B1695" s="17" t="s">
        <v>1158</v>
      </c>
      <c r="C1695" s="18" t="str">
        <f>+C1694</f>
        <v>DIO1</v>
      </c>
      <c r="D1695" s="18">
        <v>132</v>
      </c>
      <c r="E1695" s="84">
        <f>+E1694</f>
        <v>2</v>
      </c>
      <c r="F1695" s="84">
        <f>+F1694</f>
        <v>12</v>
      </c>
      <c r="G1695" s="84">
        <v>0</v>
      </c>
      <c r="H1695" s="186">
        <f>+H1694</f>
        <v>4</v>
      </c>
      <c r="I1695" s="187">
        <f>+I1694+1</f>
        <v>1</v>
      </c>
      <c r="J1695" s="275"/>
      <c r="K1695" s="18"/>
      <c r="L1695" s="79" t="s">
        <v>1170</v>
      </c>
      <c r="M1695" s="18">
        <v>4</v>
      </c>
      <c r="N1695" s="59" t="s">
        <v>1175</v>
      </c>
      <c r="O1695" s="17" t="s">
        <v>1174</v>
      </c>
      <c r="P1695" s="217" t="s">
        <v>1173</v>
      </c>
      <c r="Q1695" s="17" t="s">
        <v>1172</v>
      </c>
      <c r="R1695" s="18"/>
      <c r="S1695" s="91"/>
      <c r="T1695" s="17" t="s">
        <v>194</v>
      </c>
      <c r="U1695" s="17"/>
      <c r="V1695" s="17" t="str">
        <f>+CONCATENATE(E1695,".",F1695,"\",G1695,".",H1695,":",I1695)</f>
        <v>2.12\0.4:1</v>
      </c>
      <c r="W1695" s="17" t="s">
        <v>1171</v>
      </c>
      <c r="X1695" s="272">
        <v>0</v>
      </c>
      <c r="Y1695" s="17"/>
      <c r="Z1695" s="20" t="s">
        <v>1159</v>
      </c>
      <c r="AA1695" s="17"/>
      <c r="AB1695" s="17"/>
      <c r="AC1695" s="17"/>
      <c r="AD1695" s="17"/>
      <c r="AE1695" s="17"/>
      <c r="AF1695" s="17"/>
      <c r="AG1695" s="64" t="s">
        <v>844</v>
      </c>
      <c r="AH1695" s="64">
        <v>35</v>
      </c>
      <c r="AI1695" s="64">
        <v>36</v>
      </c>
      <c r="AJ1695" s="64"/>
      <c r="AK1695" s="64"/>
      <c r="AL1695" s="264"/>
      <c r="AM1695" s="84"/>
      <c r="AN1695" s="18"/>
      <c r="AO1695" s="18"/>
      <c r="AP1695" s="18"/>
      <c r="AQ1695" s="18"/>
      <c r="AR1695" s="18"/>
      <c r="AS1695" s="18"/>
      <c r="AT1695" s="18"/>
      <c r="AU1695" s="18"/>
      <c r="AV1695" s="18"/>
      <c r="AW1695" s="18"/>
      <c r="AX1695" s="18"/>
      <c r="AY1695" s="18"/>
    </row>
    <row r="1696" spans="1:51" s="33" customFormat="1" ht="14.5" x14ac:dyDescent="0.35">
      <c r="A1696" s="63" t="str">
        <f>A1695</f>
        <v>BCV131</v>
      </c>
      <c r="B1696" s="17" t="s">
        <v>1158</v>
      </c>
      <c r="C1696" s="18" t="str">
        <f>+C1695</f>
        <v>DIO1</v>
      </c>
      <c r="D1696" s="18">
        <v>132</v>
      </c>
      <c r="E1696" s="84">
        <f>+E1695</f>
        <v>2</v>
      </c>
      <c r="F1696" s="84">
        <f>+F1695</f>
        <v>12</v>
      </c>
      <c r="G1696" s="84">
        <v>0</v>
      </c>
      <c r="H1696" s="186">
        <f>+H1695</f>
        <v>4</v>
      </c>
      <c r="I1696" s="187">
        <f>+I1695+1</f>
        <v>2</v>
      </c>
      <c r="J1696" s="275"/>
      <c r="K1696" s="18"/>
      <c r="L1696" s="79" t="s">
        <v>1170</v>
      </c>
      <c r="M1696" s="18"/>
      <c r="N1696" s="59"/>
      <c r="O1696" s="17"/>
      <c r="P1696" s="59"/>
      <c r="Q1696" s="17"/>
      <c r="R1696" s="18"/>
      <c r="S1696" s="18"/>
      <c r="T1696" s="17"/>
      <c r="U1696" s="17"/>
      <c r="V1696" s="17" t="str">
        <f>+CONCATENATE(E1696,".",F1696,"\",G1696,".",H1696,":",I1696)</f>
        <v>2.12\0.4:2</v>
      </c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64" t="s">
        <v>844</v>
      </c>
      <c r="AH1696" s="64">
        <v>37</v>
      </c>
      <c r="AI1696" s="64">
        <v>38</v>
      </c>
      <c r="AJ1696" s="64"/>
      <c r="AK1696" s="64"/>
      <c r="AL1696" s="264"/>
      <c r="AM1696" s="84"/>
      <c r="AN1696" s="18"/>
      <c r="AO1696" s="18"/>
      <c r="AP1696" s="18"/>
      <c r="AQ1696" s="18"/>
      <c r="AR1696" s="18"/>
      <c r="AS1696" s="18"/>
      <c r="AT1696" s="18"/>
      <c r="AU1696" s="18"/>
      <c r="AV1696" s="18"/>
      <c r="AW1696" s="18"/>
      <c r="AX1696" s="18"/>
      <c r="AY1696" s="18"/>
    </row>
    <row r="1697" spans="1:51" s="33" customFormat="1" ht="14.5" x14ac:dyDescent="0.35">
      <c r="A1697" s="63" t="str">
        <f>A1696</f>
        <v>BCV131</v>
      </c>
      <c r="B1697" s="17" t="s">
        <v>1158</v>
      </c>
      <c r="C1697" s="18" t="str">
        <f>+C1696</f>
        <v>DIO1</v>
      </c>
      <c r="D1697" s="18">
        <v>132</v>
      </c>
      <c r="E1697" s="84">
        <f>+E1696</f>
        <v>2</v>
      </c>
      <c r="F1697" s="84">
        <f>+F1696</f>
        <v>12</v>
      </c>
      <c r="G1697" s="84">
        <v>0</v>
      </c>
      <c r="H1697" s="186">
        <f>+H1696</f>
        <v>4</v>
      </c>
      <c r="I1697" s="187">
        <f>+I1696+1</f>
        <v>3</v>
      </c>
      <c r="J1697" s="275"/>
      <c r="K1697" s="18"/>
      <c r="L1697" s="79" t="s">
        <v>1170</v>
      </c>
      <c r="M1697" s="18"/>
      <c r="N1697" s="59"/>
      <c r="O1697" s="17"/>
      <c r="P1697" s="59"/>
      <c r="Q1697" s="17"/>
      <c r="R1697" s="18"/>
      <c r="S1697" s="18"/>
      <c r="T1697" s="17"/>
      <c r="U1697" s="17"/>
      <c r="V1697" s="17" t="str">
        <f>+CONCATENATE(E1697,".",F1697,"\",G1697,".",H1697,":",I1697)</f>
        <v>2.12\0.4:3</v>
      </c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64" t="s">
        <v>844</v>
      </c>
      <c r="AH1697" s="64">
        <v>39</v>
      </c>
      <c r="AI1697" s="64">
        <v>40</v>
      </c>
      <c r="AJ1697" s="64"/>
      <c r="AK1697" s="64"/>
      <c r="AL1697" s="264"/>
      <c r="AM1697" s="84"/>
      <c r="AN1697" s="18"/>
      <c r="AO1697" s="18"/>
      <c r="AP1697" s="18"/>
      <c r="AQ1697" s="18"/>
      <c r="AR1697" s="18"/>
      <c r="AS1697" s="18"/>
      <c r="AT1697" s="18"/>
      <c r="AU1697" s="18"/>
      <c r="AV1697" s="18"/>
      <c r="AW1697" s="18"/>
      <c r="AX1697" s="18"/>
      <c r="AY1697" s="18"/>
    </row>
    <row r="1698" spans="1:51" s="33" customFormat="1" x14ac:dyDescent="0.3">
      <c r="A1698" s="63" t="str">
        <f>A1697</f>
        <v>BCV131</v>
      </c>
      <c r="B1698" s="17" t="s">
        <v>1158</v>
      </c>
      <c r="C1698" s="18" t="str">
        <f>+C1697</f>
        <v>DIO1</v>
      </c>
      <c r="D1698" s="18">
        <v>132</v>
      </c>
      <c r="E1698" s="84">
        <f>+E1697</f>
        <v>2</v>
      </c>
      <c r="F1698" s="84">
        <f>+F1697</f>
        <v>12</v>
      </c>
      <c r="G1698" s="84">
        <v>0</v>
      </c>
      <c r="H1698" s="186">
        <f>+H1697</f>
        <v>4</v>
      </c>
      <c r="I1698" s="187">
        <f>+I1697+1</f>
        <v>4</v>
      </c>
      <c r="J1698" s="275"/>
      <c r="K1698" s="18"/>
      <c r="L1698" s="79" t="s">
        <v>1170</v>
      </c>
      <c r="M1698" s="18"/>
      <c r="N1698" s="18"/>
      <c r="O1698" s="17"/>
      <c r="P1698" s="17"/>
      <c r="Q1698" s="17"/>
      <c r="R1698" s="17"/>
      <c r="S1698" s="17"/>
      <c r="T1698" s="17"/>
      <c r="U1698" s="17"/>
      <c r="V1698" s="17" t="str">
        <f>+CONCATENATE(E1698,".",F1698,"\",G1698,".",H1698,":",I1698)</f>
        <v>2.12\0.4:4</v>
      </c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64" t="s">
        <v>844</v>
      </c>
      <c r="AH1698" s="64">
        <v>41</v>
      </c>
      <c r="AI1698" s="64">
        <v>42</v>
      </c>
      <c r="AJ1698" s="64"/>
      <c r="AK1698" s="64"/>
      <c r="AL1698" s="264"/>
      <c r="AM1698" s="84"/>
      <c r="AN1698" s="18"/>
      <c r="AO1698" s="18"/>
      <c r="AP1698" s="18"/>
      <c r="AQ1698" s="18"/>
      <c r="AR1698" s="18"/>
      <c r="AS1698" s="18"/>
      <c r="AT1698" s="18"/>
      <c r="AU1698" s="18"/>
      <c r="AV1698" s="18"/>
      <c r="AW1698" s="18"/>
      <c r="AX1698" s="18"/>
      <c r="AY1698" s="18"/>
    </row>
    <row r="1699" spans="1:51" s="33" customFormat="1" x14ac:dyDescent="0.3">
      <c r="A1699" s="63" t="str">
        <f>A1698</f>
        <v>BCV131</v>
      </c>
      <c r="B1699" s="17" t="s">
        <v>1158</v>
      </c>
      <c r="C1699" s="18" t="str">
        <f>+C1698</f>
        <v>DIO1</v>
      </c>
      <c r="D1699" s="18">
        <v>132</v>
      </c>
      <c r="E1699" s="84">
        <f>+E1698</f>
        <v>2</v>
      </c>
      <c r="F1699" s="84">
        <f>+F1698</f>
        <v>12</v>
      </c>
      <c r="G1699" s="84">
        <v>0</v>
      </c>
      <c r="H1699" s="186">
        <f>+H1698</f>
        <v>4</v>
      </c>
      <c r="I1699" s="187">
        <f>+I1698+1</f>
        <v>5</v>
      </c>
      <c r="J1699" s="275"/>
      <c r="K1699" s="18"/>
      <c r="L1699" s="79" t="s">
        <v>1170</v>
      </c>
      <c r="M1699" s="18"/>
      <c r="N1699" s="18"/>
      <c r="O1699" s="17"/>
      <c r="P1699" s="17"/>
      <c r="Q1699" s="17"/>
      <c r="R1699" s="18"/>
      <c r="S1699" s="18"/>
      <c r="T1699" s="18"/>
      <c r="U1699" s="17"/>
      <c r="V1699" s="17" t="str">
        <f>+CONCATENATE(E1699,".",F1699,"\",G1699,".",H1699,":",I1699)</f>
        <v>2.12\0.4:5</v>
      </c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64" t="s">
        <v>844</v>
      </c>
      <c r="AH1699" s="64">
        <v>43</v>
      </c>
      <c r="AI1699" s="64">
        <v>44</v>
      </c>
      <c r="AJ1699" s="64"/>
      <c r="AK1699" s="64"/>
      <c r="AL1699" s="264"/>
      <c r="AM1699" s="84"/>
      <c r="AN1699" s="18"/>
      <c r="AO1699" s="18"/>
      <c r="AP1699" s="18"/>
      <c r="AQ1699" s="18"/>
      <c r="AR1699" s="18"/>
      <c r="AS1699" s="18"/>
      <c r="AT1699" s="18"/>
      <c r="AU1699" s="18"/>
      <c r="AV1699" s="18"/>
      <c r="AW1699" s="18"/>
      <c r="AX1699" s="18"/>
      <c r="AY1699" s="18"/>
    </row>
    <row r="1700" spans="1:51" s="33" customFormat="1" x14ac:dyDescent="0.3">
      <c r="A1700" s="63" t="str">
        <f>A1699</f>
        <v>BCV131</v>
      </c>
      <c r="B1700" s="17" t="s">
        <v>1158</v>
      </c>
      <c r="C1700" s="18" t="str">
        <f>+C1699</f>
        <v>DIO1</v>
      </c>
      <c r="D1700" s="18">
        <v>132</v>
      </c>
      <c r="E1700" s="84">
        <f>+E1699</f>
        <v>2</v>
      </c>
      <c r="F1700" s="84">
        <f>+F1699</f>
        <v>12</v>
      </c>
      <c r="G1700" s="84">
        <v>0</v>
      </c>
      <c r="H1700" s="186">
        <f>+H1699</f>
        <v>4</v>
      </c>
      <c r="I1700" s="187">
        <f>+I1699+1</f>
        <v>6</v>
      </c>
      <c r="J1700" s="275"/>
      <c r="K1700" s="18"/>
      <c r="L1700" s="79" t="s">
        <v>1170</v>
      </c>
      <c r="M1700" s="18"/>
      <c r="N1700" s="18"/>
      <c r="O1700" s="17"/>
      <c r="P1700" s="17"/>
      <c r="Q1700" s="17"/>
      <c r="R1700" s="18"/>
      <c r="S1700" s="18"/>
      <c r="T1700" s="18"/>
      <c r="U1700" s="17"/>
      <c r="V1700" s="17" t="str">
        <f>+CONCATENATE(E1700,".",F1700,"\",G1700,".",H1700,":",I1700)</f>
        <v>2.12\0.4:6</v>
      </c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64" t="s">
        <v>844</v>
      </c>
      <c r="AH1700" s="64">
        <v>45</v>
      </c>
      <c r="AI1700" s="64">
        <v>46</v>
      </c>
      <c r="AJ1700" s="64"/>
      <c r="AK1700" s="64"/>
      <c r="AL1700" s="264"/>
      <c r="AM1700" s="84"/>
      <c r="AN1700" s="18"/>
      <c r="AO1700" s="18"/>
      <c r="AP1700" s="18"/>
      <c r="AQ1700" s="18"/>
      <c r="AR1700" s="18"/>
      <c r="AS1700" s="18"/>
      <c r="AT1700" s="18"/>
      <c r="AU1700" s="18"/>
      <c r="AV1700" s="18"/>
      <c r="AW1700" s="18"/>
      <c r="AX1700" s="18"/>
      <c r="AY1700" s="18"/>
    </row>
    <row r="1701" spans="1:51" s="33" customFormat="1" ht="13.5" thickBot="1" x14ac:dyDescent="0.35">
      <c r="A1701" s="63" t="str">
        <f>A1700</f>
        <v>BCV131</v>
      </c>
      <c r="B1701" s="17" t="s">
        <v>1158</v>
      </c>
      <c r="C1701" s="18" t="str">
        <f>+C1700</f>
        <v>DIO1</v>
      </c>
      <c r="D1701" s="18">
        <v>132</v>
      </c>
      <c r="E1701" s="84">
        <f>+E1700</f>
        <v>2</v>
      </c>
      <c r="F1701" s="84">
        <f>+F1700</f>
        <v>12</v>
      </c>
      <c r="G1701" s="84">
        <v>0</v>
      </c>
      <c r="H1701" s="186">
        <f>+H1700</f>
        <v>4</v>
      </c>
      <c r="I1701" s="191">
        <f>+I1700+1</f>
        <v>7</v>
      </c>
      <c r="J1701" s="274"/>
      <c r="K1701" s="18"/>
      <c r="L1701" s="79" t="s">
        <v>1170</v>
      </c>
      <c r="M1701" s="18"/>
      <c r="N1701" s="18"/>
      <c r="O1701" s="17"/>
      <c r="P1701" s="17"/>
      <c r="Q1701" s="17"/>
      <c r="R1701" s="18"/>
      <c r="S1701" s="18"/>
      <c r="T1701" s="18"/>
      <c r="U1701" s="17"/>
      <c r="V1701" s="17" t="str">
        <f>+CONCATENATE(E1701,".",F1701,"\",G1701,".",H1701,":",I1701)</f>
        <v>2.12\0.4:7</v>
      </c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64" t="s">
        <v>844</v>
      </c>
      <c r="AH1701" s="64">
        <v>47</v>
      </c>
      <c r="AI1701" s="64">
        <v>48</v>
      </c>
      <c r="AJ1701" s="64"/>
      <c r="AK1701" s="64"/>
      <c r="AL1701" s="264"/>
      <c r="AM1701" s="84"/>
      <c r="AN1701" s="18"/>
      <c r="AO1701" s="18"/>
      <c r="AP1701" s="18"/>
      <c r="AQ1701" s="18"/>
      <c r="AR1701" s="18"/>
      <c r="AS1701" s="18"/>
      <c r="AT1701" s="18"/>
      <c r="AU1701" s="18"/>
      <c r="AV1701" s="18"/>
      <c r="AW1701" s="18"/>
      <c r="AX1701" s="18"/>
      <c r="AY1701" s="18"/>
    </row>
    <row r="1702" spans="1:51" s="33" customFormat="1" ht="14.5" x14ac:dyDescent="0.35">
      <c r="A1702" s="268" t="s">
        <v>194</v>
      </c>
      <c r="B1702" s="17" t="s">
        <v>1158</v>
      </c>
      <c r="C1702" s="18" t="str">
        <f>+C1701</f>
        <v>DIO1</v>
      </c>
      <c r="D1702" s="18">
        <v>132</v>
      </c>
      <c r="E1702" s="84">
        <f>+E1701</f>
        <v>2</v>
      </c>
      <c r="F1702" s="84">
        <f>+F1701</f>
        <v>12</v>
      </c>
      <c r="G1702" s="84">
        <v>0</v>
      </c>
      <c r="H1702" s="214">
        <v>5</v>
      </c>
      <c r="I1702" s="188">
        <v>0</v>
      </c>
      <c r="J1702" s="273" t="s">
        <v>722</v>
      </c>
      <c r="K1702" s="18" t="s">
        <v>1169</v>
      </c>
      <c r="L1702" s="165" t="s">
        <v>1160</v>
      </c>
      <c r="M1702" s="18">
        <v>4</v>
      </c>
      <c r="N1702" s="59" t="s">
        <v>1168</v>
      </c>
      <c r="O1702" s="17" t="s">
        <v>1167</v>
      </c>
      <c r="P1702" s="59" t="s">
        <v>1163</v>
      </c>
      <c r="Q1702" s="17" t="s">
        <v>1166</v>
      </c>
      <c r="R1702" s="272" t="s">
        <v>922</v>
      </c>
      <c r="S1702" s="18"/>
      <c r="T1702" s="18" t="s">
        <v>194</v>
      </c>
      <c r="U1702" s="17"/>
      <c r="V1702" s="17" t="str">
        <f>+CONCATENATE(E1702,".",F1702,"\",G1702,".",H1702,":",I1702)</f>
        <v>2.12\0.5:0</v>
      </c>
      <c r="W1702" s="17" t="s">
        <v>1161</v>
      </c>
      <c r="X1702" s="271">
        <v>0</v>
      </c>
      <c r="Y1702" s="17"/>
      <c r="Z1702" s="20" t="s">
        <v>1159</v>
      </c>
      <c r="AA1702" s="17"/>
      <c r="AB1702" s="17"/>
      <c r="AC1702" s="17"/>
      <c r="AD1702" s="17"/>
      <c r="AE1702" s="17"/>
      <c r="AF1702" s="17"/>
      <c r="AG1702" s="64" t="s">
        <v>1045</v>
      </c>
      <c r="AH1702" s="64">
        <v>33</v>
      </c>
      <c r="AI1702" s="64">
        <v>34</v>
      </c>
      <c r="AJ1702" s="64"/>
      <c r="AK1702" s="64"/>
      <c r="AL1702" s="264"/>
      <c r="AM1702" s="84"/>
      <c r="AN1702" s="18"/>
      <c r="AO1702" s="18"/>
      <c r="AP1702" s="18"/>
      <c r="AQ1702" s="18"/>
      <c r="AR1702" s="18"/>
      <c r="AS1702" s="18"/>
      <c r="AT1702" s="18"/>
      <c r="AU1702" s="18"/>
      <c r="AV1702" s="18"/>
      <c r="AW1702" s="18"/>
      <c r="AX1702" s="18"/>
      <c r="AY1702" s="18"/>
    </row>
    <row r="1703" spans="1:51" s="33" customFormat="1" ht="14.5" x14ac:dyDescent="0.35">
      <c r="A1703" s="63" t="str">
        <f>A1702</f>
        <v>BCV131</v>
      </c>
      <c r="B1703" s="17" t="s">
        <v>1158</v>
      </c>
      <c r="C1703" s="18" t="str">
        <f>+C1702</f>
        <v>DIO1</v>
      </c>
      <c r="D1703" s="18">
        <v>132</v>
      </c>
      <c r="E1703" s="84">
        <f>+E1702</f>
        <v>2</v>
      </c>
      <c r="F1703" s="84">
        <f>+F1702</f>
        <v>12</v>
      </c>
      <c r="G1703" s="84">
        <v>0</v>
      </c>
      <c r="H1703" s="186">
        <f>+H1702</f>
        <v>5</v>
      </c>
      <c r="I1703" s="187">
        <f>+I1702+1</f>
        <v>1</v>
      </c>
      <c r="J1703" s="270"/>
      <c r="K1703" s="18"/>
      <c r="L1703" s="165" t="s">
        <v>1160</v>
      </c>
      <c r="M1703" s="18">
        <v>3</v>
      </c>
      <c r="N1703" s="59" t="s">
        <v>1165</v>
      </c>
      <c r="O1703" s="17" t="s">
        <v>1164</v>
      </c>
      <c r="P1703" s="59" t="s">
        <v>1163</v>
      </c>
      <c r="Q1703" s="17" t="s">
        <v>1162</v>
      </c>
      <c r="R1703" s="17"/>
      <c r="S1703" s="18"/>
      <c r="T1703" s="18" t="s">
        <v>194</v>
      </c>
      <c r="U1703" s="17"/>
      <c r="V1703" s="17" t="str">
        <f>+CONCATENATE(E1703,".",F1703,"\",G1703,".",H1703,":",I1703)</f>
        <v>2.12\0.5:1</v>
      </c>
      <c r="W1703" s="17" t="s">
        <v>1161</v>
      </c>
      <c r="X1703" s="271">
        <v>0</v>
      </c>
      <c r="Y1703" s="17"/>
      <c r="Z1703" s="20" t="s">
        <v>1159</v>
      </c>
      <c r="AA1703" s="17"/>
      <c r="AB1703" s="17"/>
      <c r="AC1703" s="17"/>
      <c r="AD1703" s="17"/>
      <c r="AE1703" s="17"/>
      <c r="AF1703" s="17"/>
      <c r="AG1703" s="64" t="s">
        <v>1045</v>
      </c>
      <c r="AH1703" s="64">
        <v>35</v>
      </c>
      <c r="AI1703" s="64">
        <v>36</v>
      </c>
      <c r="AJ1703" s="64"/>
      <c r="AK1703" s="64"/>
      <c r="AL1703" s="264"/>
      <c r="AM1703" s="84"/>
      <c r="AN1703" s="18"/>
      <c r="AO1703" s="18"/>
      <c r="AP1703" s="18"/>
      <c r="AQ1703" s="18"/>
      <c r="AR1703" s="18"/>
      <c r="AS1703" s="18"/>
      <c r="AT1703" s="18"/>
      <c r="AU1703" s="18"/>
      <c r="AV1703" s="18"/>
      <c r="AW1703" s="18"/>
      <c r="AX1703" s="18"/>
      <c r="AY1703" s="18"/>
    </row>
    <row r="1704" spans="1:51" s="33" customFormat="1" ht="14.5" x14ac:dyDescent="0.35">
      <c r="A1704" s="63" t="str">
        <f>A1703</f>
        <v>BCV131</v>
      </c>
      <c r="B1704" s="17" t="s">
        <v>1158</v>
      </c>
      <c r="C1704" s="18" t="str">
        <f>+C1703</f>
        <v>DIO1</v>
      </c>
      <c r="D1704" s="18">
        <v>132</v>
      </c>
      <c r="E1704" s="84">
        <f>+E1703</f>
        <v>2</v>
      </c>
      <c r="F1704" s="84">
        <f>+F1703</f>
        <v>12</v>
      </c>
      <c r="G1704" s="84">
        <v>0</v>
      </c>
      <c r="H1704" s="186">
        <f>+H1703</f>
        <v>5</v>
      </c>
      <c r="I1704" s="187">
        <f>+I1703+1</f>
        <v>2</v>
      </c>
      <c r="J1704" s="270"/>
      <c r="K1704" s="18"/>
      <c r="L1704" s="165" t="s">
        <v>1160</v>
      </c>
      <c r="M1704" s="18"/>
      <c r="N1704" s="59"/>
      <c r="O1704" s="17"/>
      <c r="P1704" s="59"/>
      <c r="Q1704" s="17"/>
      <c r="R1704" s="17"/>
      <c r="S1704" s="18"/>
      <c r="T1704" s="18"/>
      <c r="U1704" s="17"/>
      <c r="V1704" s="17" t="str">
        <f>+CONCATENATE(E1704,".",F1704,"\",G1704,".",H1704,":",I1704)</f>
        <v>2.12\0.5:2</v>
      </c>
      <c r="W1704" s="17"/>
      <c r="X1704" s="17"/>
      <c r="Y1704" s="17"/>
      <c r="Z1704" s="20" t="s">
        <v>1159</v>
      </c>
      <c r="AA1704" s="17"/>
      <c r="AB1704" s="17"/>
      <c r="AC1704" s="17"/>
      <c r="AD1704" s="17"/>
      <c r="AE1704" s="17"/>
      <c r="AF1704" s="17"/>
      <c r="AG1704" s="64" t="s">
        <v>1045</v>
      </c>
      <c r="AH1704" s="64">
        <v>37</v>
      </c>
      <c r="AI1704" s="64">
        <v>38</v>
      </c>
      <c r="AJ1704" s="64"/>
      <c r="AK1704" s="64"/>
      <c r="AL1704" s="264"/>
      <c r="AM1704" s="84"/>
      <c r="AN1704" s="18"/>
      <c r="AO1704" s="18"/>
      <c r="AP1704" s="18"/>
      <c r="AQ1704" s="18"/>
      <c r="AR1704" s="18"/>
      <c r="AS1704" s="18"/>
      <c r="AT1704" s="18"/>
      <c r="AU1704" s="18"/>
      <c r="AV1704" s="18"/>
      <c r="AW1704" s="18"/>
      <c r="AX1704" s="18"/>
      <c r="AY1704" s="18"/>
    </row>
    <row r="1705" spans="1:51" s="33" customFormat="1" ht="14.5" x14ac:dyDescent="0.35">
      <c r="A1705" s="63" t="str">
        <f>A1704</f>
        <v>BCV131</v>
      </c>
      <c r="B1705" s="17" t="s">
        <v>1158</v>
      </c>
      <c r="C1705" s="18" t="str">
        <f>+C1704</f>
        <v>DIO1</v>
      </c>
      <c r="D1705" s="18">
        <v>132</v>
      </c>
      <c r="E1705" s="84">
        <f>+E1704</f>
        <v>2</v>
      </c>
      <c r="F1705" s="84">
        <f>+F1704</f>
        <v>12</v>
      </c>
      <c r="G1705" s="84">
        <v>0</v>
      </c>
      <c r="H1705" s="186">
        <f>+H1704</f>
        <v>5</v>
      </c>
      <c r="I1705" s="187">
        <f>+I1704+1</f>
        <v>3</v>
      </c>
      <c r="J1705" s="270"/>
      <c r="K1705" s="18"/>
      <c r="L1705" s="165" t="s">
        <v>1160</v>
      </c>
      <c r="M1705" s="18"/>
      <c r="N1705" s="59"/>
      <c r="O1705" s="17"/>
      <c r="P1705" s="59"/>
      <c r="Q1705" s="17"/>
      <c r="R1705" s="17"/>
      <c r="S1705" s="18"/>
      <c r="T1705" s="18"/>
      <c r="U1705" s="17"/>
      <c r="V1705" s="17" t="str">
        <f>+CONCATENATE(E1705,".",F1705,"\",G1705,".",H1705,":",I1705)</f>
        <v>2.12\0.5:3</v>
      </c>
      <c r="W1705" s="17"/>
      <c r="X1705" s="17"/>
      <c r="Y1705" s="17"/>
      <c r="Z1705" s="20" t="s">
        <v>1159</v>
      </c>
      <c r="AA1705" s="17"/>
      <c r="AB1705" s="17"/>
      <c r="AC1705" s="17"/>
      <c r="AD1705" s="17"/>
      <c r="AE1705" s="17"/>
      <c r="AF1705" s="17"/>
      <c r="AG1705" s="64" t="s">
        <v>1045</v>
      </c>
      <c r="AH1705" s="64">
        <v>39</v>
      </c>
      <c r="AI1705" s="64">
        <v>40</v>
      </c>
      <c r="AJ1705" s="64"/>
      <c r="AK1705" s="64"/>
      <c r="AL1705" s="264"/>
      <c r="AM1705" s="84"/>
      <c r="AN1705" s="18"/>
      <c r="AO1705" s="18"/>
      <c r="AP1705" s="18"/>
      <c r="AQ1705" s="18"/>
      <c r="AR1705" s="18"/>
      <c r="AS1705" s="18"/>
      <c r="AT1705" s="18"/>
      <c r="AU1705" s="18"/>
      <c r="AV1705" s="18"/>
      <c r="AW1705" s="18"/>
      <c r="AX1705" s="18"/>
      <c r="AY1705" s="18"/>
    </row>
    <row r="1706" spans="1:51" s="33" customFormat="1" x14ac:dyDescent="0.3">
      <c r="A1706" s="63" t="str">
        <f>A1705</f>
        <v>BCV131</v>
      </c>
      <c r="B1706" s="17" t="s">
        <v>1158</v>
      </c>
      <c r="C1706" s="18" t="str">
        <f>+C1705</f>
        <v>DIO1</v>
      </c>
      <c r="D1706" s="18">
        <v>132</v>
      </c>
      <c r="E1706" s="84">
        <f>+E1705</f>
        <v>2</v>
      </c>
      <c r="F1706" s="84">
        <f>+F1705</f>
        <v>12</v>
      </c>
      <c r="G1706" s="84">
        <v>0</v>
      </c>
      <c r="H1706" s="186">
        <f>+H1705</f>
        <v>5</v>
      </c>
      <c r="I1706" s="187">
        <f>+I1705+1</f>
        <v>4</v>
      </c>
      <c r="J1706" s="270"/>
      <c r="K1706" s="18"/>
      <c r="L1706" s="165" t="s">
        <v>1160</v>
      </c>
      <c r="M1706" s="18"/>
      <c r="N1706" s="18"/>
      <c r="O1706" s="17"/>
      <c r="P1706" s="17"/>
      <c r="Q1706" s="17"/>
      <c r="R1706" s="17"/>
      <c r="S1706" s="18"/>
      <c r="T1706" s="18"/>
      <c r="U1706" s="17"/>
      <c r="V1706" s="17" t="str">
        <f>+CONCATENATE(E1706,".",F1706,"\",G1706,".",H1706,":",I1706)</f>
        <v>2.12\0.5:4</v>
      </c>
      <c r="W1706" s="17"/>
      <c r="X1706" s="17"/>
      <c r="Y1706" s="17"/>
      <c r="Z1706" s="20" t="s">
        <v>1159</v>
      </c>
      <c r="AA1706" s="17"/>
      <c r="AB1706" s="17"/>
      <c r="AC1706" s="17"/>
      <c r="AD1706" s="17"/>
      <c r="AE1706" s="17"/>
      <c r="AF1706" s="17"/>
      <c r="AG1706" s="64" t="s">
        <v>1045</v>
      </c>
      <c r="AH1706" s="64">
        <v>41</v>
      </c>
      <c r="AI1706" s="64">
        <v>42</v>
      </c>
      <c r="AJ1706" s="64"/>
      <c r="AK1706" s="64"/>
      <c r="AL1706" s="264"/>
      <c r="AM1706" s="84"/>
      <c r="AN1706" s="18"/>
      <c r="AO1706" s="18"/>
      <c r="AP1706" s="18"/>
      <c r="AQ1706" s="18"/>
      <c r="AR1706" s="18"/>
      <c r="AS1706" s="18"/>
      <c r="AT1706" s="18"/>
      <c r="AU1706" s="18"/>
      <c r="AV1706" s="18"/>
      <c r="AW1706" s="18"/>
      <c r="AX1706" s="18"/>
      <c r="AY1706" s="18"/>
    </row>
    <row r="1707" spans="1:51" s="33" customFormat="1" x14ac:dyDescent="0.3">
      <c r="A1707" s="63" t="str">
        <f>A1706</f>
        <v>BCV131</v>
      </c>
      <c r="B1707" s="17" t="s">
        <v>1158</v>
      </c>
      <c r="C1707" s="18" t="str">
        <f>+C1706</f>
        <v>DIO1</v>
      </c>
      <c r="D1707" s="18">
        <v>132</v>
      </c>
      <c r="E1707" s="84">
        <f>+E1706</f>
        <v>2</v>
      </c>
      <c r="F1707" s="84">
        <f>+F1706</f>
        <v>12</v>
      </c>
      <c r="G1707" s="84">
        <v>0</v>
      </c>
      <c r="H1707" s="186">
        <f>+H1706</f>
        <v>5</v>
      </c>
      <c r="I1707" s="187">
        <f>+I1706+1</f>
        <v>5</v>
      </c>
      <c r="J1707" s="270"/>
      <c r="K1707" s="18"/>
      <c r="L1707" s="165" t="s">
        <v>1160</v>
      </c>
      <c r="M1707" s="18"/>
      <c r="N1707" s="18"/>
      <c r="O1707" s="17"/>
      <c r="P1707" s="17"/>
      <c r="Q1707" s="17"/>
      <c r="R1707" s="17"/>
      <c r="S1707" s="18"/>
      <c r="T1707" s="18"/>
      <c r="U1707" s="17"/>
      <c r="V1707" s="17" t="str">
        <f>+CONCATENATE(E1707,".",F1707,"\",G1707,".",H1707,":",I1707)</f>
        <v>2.12\0.5:5</v>
      </c>
      <c r="W1707" s="17"/>
      <c r="X1707" s="17"/>
      <c r="Y1707" s="17"/>
      <c r="Z1707" s="20" t="s">
        <v>1159</v>
      </c>
      <c r="AA1707" s="17"/>
      <c r="AB1707" s="17"/>
      <c r="AC1707" s="17"/>
      <c r="AD1707" s="17"/>
      <c r="AE1707" s="17"/>
      <c r="AF1707" s="17"/>
      <c r="AG1707" s="64" t="s">
        <v>1045</v>
      </c>
      <c r="AH1707" s="64">
        <v>43</v>
      </c>
      <c r="AI1707" s="64">
        <v>44</v>
      </c>
      <c r="AJ1707" s="64"/>
      <c r="AK1707" s="64"/>
      <c r="AL1707" s="264"/>
      <c r="AM1707" s="84"/>
      <c r="AN1707" s="18"/>
      <c r="AO1707" s="18"/>
      <c r="AP1707" s="18"/>
      <c r="AQ1707" s="18"/>
      <c r="AR1707" s="18"/>
      <c r="AS1707" s="18"/>
      <c r="AT1707" s="18"/>
      <c r="AU1707" s="18"/>
      <c r="AV1707" s="18"/>
      <c r="AW1707" s="18"/>
      <c r="AX1707" s="18"/>
      <c r="AY1707" s="18"/>
    </row>
    <row r="1708" spans="1:51" s="33" customFormat="1" x14ac:dyDescent="0.3">
      <c r="A1708" s="63" t="str">
        <f>A1707</f>
        <v>BCV131</v>
      </c>
      <c r="B1708" s="17" t="s">
        <v>1158</v>
      </c>
      <c r="C1708" s="18" t="str">
        <f>+C1707</f>
        <v>DIO1</v>
      </c>
      <c r="D1708" s="18">
        <v>132</v>
      </c>
      <c r="E1708" s="84">
        <f>+E1707</f>
        <v>2</v>
      </c>
      <c r="F1708" s="84">
        <f>+F1707</f>
        <v>12</v>
      </c>
      <c r="G1708" s="84">
        <v>0</v>
      </c>
      <c r="H1708" s="186">
        <f>+H1707</f>
        <v>5</v>
      </c>
      <c r="I1708" s="187">
        <f>+I1707+1</f>
        <v>6</v>
      </c>
      <c r="J1708" s="270"/>
      <c r="K1708" s="18"/>
      <c r="L1708" s="165" t="s">
        <v>1160</v>
      </c>
      <c r="M1708" s="18"/>
      <c r="N1708" s="18"/>
      <c r="O1708" s="17"/>
      <c r="P1708" s="17"/>
      <c r="Q1708" s="17"/>
      <c r="R1708" s="17"/>
      <c r="S1708" s="18"/>
      <c r="T1708" s="18"/>
      <c r="U1708" s="17"/>
      <c r="V1708" s="17" t="str">
        <f>+CONCATENATE(E1708,".",F1708,"\",G1708,".",H1708,":",I1708)</f>
        <v>2.12\0.5:6</v>
      </c>
      <c r="W1708" s="17"/>
      <c r="X1708" s="17"/>
      <c r="Y1708" s="17"/>
      <c r="Z1708" s="20" t="s">
        <v>1159</v>
      </c>
      <c r="AA1708" s="17"/>
      <c r="AB1708" s="17"/>
      <c r="AC1708" s="17"/>
      <c r="AD1708" s="17"/>
      <c r="AE1708" s="17"/>
      <c r="AF1708" s="17"/>
      <c r="AG1708" s="64" t="s">
        <v>1045</v>
      </c>
      <c r="AH1708" s="64">
        <v>45</v>
      </c>
      <c r="AI1708" s="64">
        <v>46</v>
      </c>
      <c r="AJ1708" s="64"/>
      <c r="AK1708" s="64"/>
      <c r="AL1708" s="264"/>
      <c r="AM1708" s="84"/>
      <c r="AN1708" s="18"/>
      <c r="AO1708" s="18"/>
      <c r="AP1708" s="18"/>
      <c r="AQ1708" s="18"/>
      <c r="AR1708" s="18"/>
      <c r="AS1708" s="18"/>
      <c r="AT1708" s="18"/>
      <c r="AU1708" s="18"/>
      <c r="AV1708" s="18"/>
      <c r="AW1708" s="18"/>
      <c r="AX1708" s="18"/>
      <c r="AY1708" s="18"/>
    </row>
    <row r="1709" spans="1:51" s="33" customFormat="1" ht="13.5" thickBot="1" x14ac:dyDescent="0.35">
      <c r="A1709" s="63" t="str">
        <f>A1708</f>
        <v>BCV131</v>
      </c>
      <c r="B1709" s="17" t="s">
        <v>1158</v>
      </c>
      <c r="C1709" s="18" t="str">
        <f>+C1708</f>
        <v>DIO1</v>
      </c>
      <c r="D1709" s="18">
        <v>132</v>
      </c>
      <c r="E1709" s="84">
        <f>+E1708</f>
        <v>2</v>
      </c>
      <c r="F1709" s="84">
        <f>+F1708</f>
        <v>12</v>
      </c>
      <c r="G1709" s="84">
        <v>0</v>
      </c>
      <c r="H1709" s="186">
        <f>+H1708</f>
        <v>5</v>
      </c>
      <c r="I1709" s="191">
        <f>+I1708+1</f>
        <v>7</v>
      </c>
      <c r="J1709" s="269"/>
      <c r="K1709" s="65"/>
      <c r="L1709" s="165" t="s">
        <v>1160</v>
      </c>
      <c r="M1709" s="18"/>
      <c r="N1709" s="18"/>
      <c r="O1709" s="17"/>
      <c r="P1709" s="17"/>
      <c r="Q1709" s="17"/>
      <c r="R1709" s="17"/>
      <c r="S1709" s="18"/>
      <c r="T1709" s="18"/>
      <c r="U1709" s="17"/>
      <c r="V1709" s="17" t="str">
        <f>+CONCATENATE(E1709,".",F1709,"\",G1709,".",H1709,":",I1709)</f>
        <v>2.12\0.5:7</v>
      </c>
      <c r="W1709" s="17"/>
      <c r="X1709" s="17"/>
      <c r="Y1709" s="17"/>
      <c r="Z1709" s="20" t="s">
        <v>1159</v>
      </c>
      <c r="AA1709" s="17"/>
      <c r="AB1709" s="17"/>
      <c r="AC1709" s="17"/>
      <c r="AD1709" s="17"/>
      <c r="AE1709" s="17"/>
      <c r="AF1709" s="17"/>
      <c r="AG1709" s="64" t="s">
        <v>1045</v>
      </c>
      <c r="AH1709" s="64">
        <v>47</v>
      </c>
      <c r="AI1709" s="64">
        <v>48</v>
      </c>
      <c r="AJ1709" s="64"/>
      <c r="AK1709" s="64"/>
      <c r="AL1709" s="264"/>
      <c r="AM1709" s="84"/>
      <c r="AN1709" s="18"/>
      <c r="AO1709" s="18"/>
      <c r="AP1709" s="18"/>
      <c r="AQ1709" s="18"/>
      <c r="AR1709" s="18"/>
      <c r="AS1709" s="18"/>
      <c r="AT1709" s="18"/>
      <c r="AU1709" s="18"/>
      <c r="AV1709" s="18"/>
      <c r="AW1709" s="18"/>
      <c r="AX1709" s="18"/>
      <c r="AY1709" s="18"/>
    </row>
    <row r="1710" spans="1:51" s="33" customFormat="1" x14ac:dyDescent="0.3">
      <c r="A1710" s="268" t="s">
        <v>194</v>
      </c>
      <c r="B1710" s="17" t="s">
        <v>1158</v>
      </c>
      <c r="C1710" s="18" t="str">
        <f>+C1709</f>
        <v>DIO1</v>
      </c>
      <c r="D1710" s="18">
        <v>132</v>
      </c>
      <c r="E1710" s="84">
        <f>+E1709</f>
        <v>2</v>
      </c>
      <c r="F1710" s="84">
        <f>+F1709</f>
        <v>12</v>
      </c>
      <c r="G1710" s="84">
        <v>0</v>
      </c>
      <c r="H1710" s="202">
        <v>6</v>
      </c>
      <c r="I1710" s="188"/>
      <c r="J1710" s="267"/>
      <c r="K1710" s="68" t="s">
        <v>698</v>
      </c>
      <c r="L1710" s="17"/>
      <c r="M1710" s="18"/>
      <c r="N1710" s="18"/>
      <c r="O1710" s="17"/>
      <c r="P1710" s="17"/>
      <c r="Q1710" s="17"/>
      <c r="R1710" s="18"/>
      <c r="S1710" s="18"/>
      <c r="T1710" s="18"/>
      <c r="U1710" s="17"/>
      <c r="V1710" s="17" t="str">
        <f>+CONCATENATE(E1710,".",F1710,"\",G1710,".",H1710,":",I1710)</f>
        <v>2.12\0.6:</v>
      </c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64"/>
      <c r="AH1710" s="64"/>
      <c r="AI1710" s="64"/>
      <c r="AJ1710" s="64"/>
      <c r="AK1710" s="64"/>
      <c r="AL1710" s="264"/>
      <c r="AM1710" s="84"/>
      <c r="AN1710" s="18"/>
      <c r="AO1710" s="18"/>
      <c r="AP1710" s="18"/>
      <c r="AQ1710" s="18"/>
      <c r="AR1710" s="18"/>
      <c r="AS1710" s="18"/>
      <c r="AT1710" s="18"/>
      <c r="AU1710" s="18"/>
      <c r="AV1710" s="18"/>
      <c r="AW1710" s="18"/>
      <c r="AX1710" s="18"/>
      <c r="AY1710" s="18"/>
    </row>
    <row r="1711" spans="1:51" s="33" customFormat="1" x14ac:dyDescent="0.3">
      <c r="A1711" s="63" t="str">
        <f>A1710</f>
        <v>BCV131</v>
      </c>
      <c r="B1711" s="17" t="s">
        <v>1158</v>
      </c>
      <c r="C1711" s="18" t="str">
        <f>+C1710</f>
        <v>DIO1</v>
      </c>
      <c r="D1711" s="18">
        <v>132</v>
      </c>
      <c r="E1711" s="84">
        <f>+E1710</f>
        <v>2</v>
      </c>
      <c r="F1711" s="84">
        <f>+F1710</f>
        <v>12</v>
      </c>
      <c r="G1711" s="84">
        <v>0</v>
      </c>
      <c r="H1711" s="186">
        <f>+H1710</f>
        <v>6</v>
      </c>
      <c r="I1711" s="187"/>
      <c r="J1711" s="266"/>
      <c r="K1711" s="18"/>
      <c r="L1711" s="17"/>
      <c r="M1711" s="18"/>
      <c r="N1711" s="18"/>
      <c r="O1711" s="17"/>
      <c r="P1711" s="17"/>
      <c r="Q1711" s="17"/>
      <c r="R1711" s="18"/>
      <c r="S1711" s="18"/>
      <c r="T1711" s="18"/>
      <c r="U1711" s="17"/>
      <c r="V1711" s="17" t="str">
        <f>+CONCATENATE(E1711,".",F1711,"\",G1711,".",H1711,":",I1711)</f>
        <v>2.12\0.6:</v>
      </c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64"/>
      <c r="AH1711" s="64"/>
      <c r="AI1711" s="64"/>
      <c r="AJ1711" s="64"/>
      <c r="AK1711" s="64"/>
      <c r="AL1711" s="264"/>
      <c r="AM1711" s="84"/>
      <c r="AN1711" s="18"/>
      <c r="AO1711" s="18"/>
      <c r="AP1711" s="18"/>
      <c r="AQ1711" s="18"/>
      <c r="AR1711" s="18"/>
      <c r="AS1711" s="18"/>
      <c r="AT1711" s="18"/>
      <c r="AU1711" s="18"/>
      <c r="AV1711" s="18"/>
      <c r="AW1711" s="18"/>
      <c r="AX1711" s="18"/>
      <c r="AY1711" s="18"/>
    </row>
    <row r="1712" spans="1:51" s="33" customFormat="1" x14ac:dyDescent="0.3">
      <c r="A1712" s="63" t="str">
        <f>A1711</f>
        <v>BCV131</v>
      </c>
      <c r="B1712" s="17" t="s">
        <v>1158</v>
      </c>
      <c r="C1712" s="18" t="str">
        <f>+C1711</f>
        <v>DIO1</v>
      </c>
      <c r="D1712" s="18">
        <v>132</v>
      </c>
      <c r="E1712" s="84">
        <f>+E1711</f>
        <v>2</v>
      </c>
      <c r="F1712" s="84">
        <f>+F1711</f>
        <v>12</v>
      </c>
      <c r="G1712" s="84">
        <v>0</v>
      </c>
      <c r="H1712" s="186">
        <f>+H1711</f>
        <v>6</v>
      </c>
      <c r="I1712" s="187"/>
      <c r="J1712" s="266"/>
      <c r="K1712" s="18"/>
      <c r="L1712" s="17"/>
      <c r="M1712" s="18"/>
      <c r="N1712" s="18"/>
      <c r="O1712" s="17"/>
      <c r="P1712" s="17"/>
      <c r="Q1712" s="17"/>
      <c r="R1712" s="18"/>
      <c r="S1712" s="18"/>
      <c r="T1712" s="18"/>
      <c r="U1712" s="17"/>
      <c r="V1712" s="17" t="str">
        <f>+CONCATENATE(E1712,".",F1712,"\",G1712,".",H1712,":",I1712)</f>
        <v>2.12\0.6:</v>
      </c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64"/>
      <c r="AH1712" s="64"/>
      <c r="AI1712" s="64"/>
      <c r="AJ1712" s="64"/>
      <c r="AK1712" s="64"/>
      <c r="AL1712" s="264"/>
      <c r="AM1712" s="84"/>
      <c r="AN1712" s="18"/>
      <c r="AO1712" s="18"/>
      <c r="AP1712" s="18"/>
      <c r="AQ1712" s="18"/>
      <c r="AR1712" s="18"/>
      <c r="AS1712" s="18"/>
      <c r="AT1712" s="18"/>
      <c r="AU1712" s="18"/>
      <c r="AV1712" s="18"/>
      <c r="AW1712" s="18"/>
      <c r="AX1712" s="18"/>
      <c r="AY1712" s="18"/>
    </row>
    <row r="1713" spans="1:51" s="33" customFormat="1" ht="13.5" thickBot="1" x14ac:dyDescent="0.35">
      <c r="A1713" s="63" t="str">
        <f>A1712</f>
        <v>BCV131</v>
      </c>
      <c r="B1713" s="17" t="s">
        <v>1158</v>
      </c>
      <c r="C1713" s="18" t="str">
        <f>+C1712</f>
        <v>DIO1</v>
      </c>
      <c r="D1713" s="18">
        <v>132</v>
      </c>
      <c r="E1713" s="84">
        <f>+E1712</f>
        <v>2</v>
      </c>
      <c r="F1713" s="84">
        <f>+F1712</f>
        <v>12</v>
      </c>
      <c r="G1713" s="84">
        <v>0</v>
      </c>
      <c r="H1713" s="186">
        <f>+H1712</f>
        <v>6</v>
      </c>
      <c r="I1713" s="191"/>
      <c r="J1713" s="265"/>
      <c r="K1713" s="18"/>
      <c r="L1713" s="17"/>
      <c r="M1713" s="18"/>
      <c r="N1713" s="18"/>
      <c r="O1713" s="17"/>
      <c r="P1713" s="17"/>
      <c r="Q1713" s="17"/>
      <c r="R1713" s="18"/>
      <c r="S1713" s="18"/>
      <c r="T1713" s="18"/>
      <c r="U1713" s="17"/>
      <c r="V1713" s="17" t="str">
        <f>+CONCATENATE(E1713,".",F1713,"\",G1713,".",H1713,":",I1713)</f>
        <v>2.12\0.6:</v>
      </c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64"/>
      <c r="AH1713" s="64"/>
      <c r="AI1713" s="64"/>
      <c r="AJ1713" s="64"/>
      <c r="AK1713" s="64"/>
      <c r="AL1713" s="264"/>
      <c r="AM1713" s="84"/>
      <c r="AN1713" s="18"/>
      <c r="AO1713" s="18"/>
      <c r="AP1713" s="18"/>
      <c r="AQ1713" s="18"/>
      <c r="AR1713" s="18"/>
      <c r="AS1713" s="18"/>
      <c r="AT1713" s="18"/>
      <c r="AU1713" s="18"/>
      <c r="AV1713" s="18"/>
      <c r="AW1713" s="18"/>
      <c r="AX1713" s="18"/>
      <c r="AY1713" s="18"/>
    </row>
    <row r="1714" spans="1:51" s="33" customFormat="1" x14ac:dyDescent="0.3">
      <c r="A1714" s="268" t="s">
        <v>194</v>
      </c>
      <c r="B1714" s="17" t="s">
        <v>1158</v>
      </c>
      <c r="C1714" s="18" t="str">
        <f>+C1713</f>
        <v>DIO1</v>
      </c>
      <c r="D1714" s="18">
        <v>132</v>
      </c>
      <c r="E1714" s="84">
        <f>+E1713</f>
        <v>2</v>
      </c>
      <c r="F1714" s="84">
        <f>+F1713</f>
        <v>12</v>
      </c>
      <c r="G1714" s="84">
        <v>0</v>
      </c>
      <c r="H1714" s="202">
        <v>7</v>
      </c>
      <c r="I1714" s="188"/>
      <c r="J1714" s="267"/>
      <c r="K1714" s="68" t="s">
        <v>698</v>
      </c>
      <c r="L1714" s="17"/>
      <c r="M1714" s="18"/>
      <c r="N1714" s="18"/>
      <c r="O1714" s="17"/>
      <c r="P1714" s="17"/>
      <c r="Q1714" s="17"/>
      <c r="R1714" s="18"/>
      <c r="S1714" s="18"/>
      <c r="T1714" s="18"/>
      <c r="U1714" s="17"/>
      <c r="V1714" s="17" t="str">
        <f>+CONCATENATE(E1714,".",F1714,"\",G1714,".",H1714,":",I1714)</f>
        <v>2.12\0.7:</v>
      </c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64"/>
      <c r="AH1714" s="64"/>
      <c r="AI1714" s="64"/>
      <c r="AJ1714" s="64"/>
      <c r="AK1714" s="64"/>
      <c r="AL1714" s="264"/>
      <c r="AM1714" s="84"/>
      <c r="AN1714" s="18"/>
      <c r="AO1714" s="18"/>
      <c r="AP1714" s="18"/>
      <c r="AQ1714" s="18"/>
      <c r="AR1714" s="18"/>
      <c r="AS1714" s="18"/>
      <c r="AT1714" s="18"/>
      <c r="AU1714" s="18"/>
      <c r="AV1714" s="18"/>
      <c r="AW1714" s="18"/>
      <c r="AX1714" s="18"/>
      <c r="AY1714" s="18"/>
    </row>
    <row r="1715" spans="1:51" s="33" customFormat="1" x14ac:dyDescent="0.3">
      <c r="A1715" s="63" t="str">
        <f>A1714</f>
        <v>BCV131</v>
      </c>
      <c r="B1715" s="17" t="s">
        <v>1158</v>
      </c>
      <c r="C1715" s="18" t="str">
        <f>+C1714</f>
        <v>DIO1</v>
      </c>
      <c r="D1715" s="18">
        <v>132</v>
      </c>
      <c r="E1715" s="84">
        <f>+E1714</f>
        <v>2</v>
      </c>
      <c r="F1715" s="84">
        <f>+F1714</f>
        <v>12</v>
      </c>
      <c r="G1715" s="84">
        <v>0</v>
      </c>
      <c r="H1715" s="186">
        <f>+H1714</f>
        <v>7</v>
      </c>
      <c r="I1715" s="187"/>
      <c r="J1715" s="266"/>
      <c r="K1715" s="18"/>
      <c r="L1715" s="17"/>
      <c r="M1715" s="18"/>
      <c r="N1715" s="18"/>
      <c r="O1715" s="17"/>
      <c r="P1715" s="17"/>
      <c r="Q1715" s="17"/>
      <c r="R1715" s="18"/>
      <c r="S1715" s="18"/>
      <c r="T1715" s="18"/>
      <c r="U1715" s="17"/>
      <c r="V1715" s="17" t="str">
        <f>+CONCATENATE(E1715,".",F1715,"\",G1715,".",H1715,":",I1715)</f>
        <v>2.12\0.7:</v>
      </c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64"/>
      <c r="AH1715" s="64"/>
      <c r="AI1715" s="64"/>
      <c r="AJ1715" s="64"/>
      <c r="AK1715" s="64"/>
      <c r="AL1715" s="264"/>
      <c r="AM1715" s="84"/>
      <c r="AN1715" s="18"/>
      <c r="AO1715" s="18"/>
      <c r="AP1715" s="18"/>
      <c r="AQ1715" s="18"/>
      <c r="AR1715" s="18"/>
      <c r="AS1715" s="18"/>
      <c r="AT1715" s="18"/>
      <c r="AU1715" s="18"/>
      <c r="AV1715" s="18"/>
      <c r="AW1715" s="18"/>
      <c r="AX1715" s="18"/>
      <c r="AY1715" s="18"/>
    </row>
    <row r="1716" spans="1:51" s="33" customFormat="1" x14ac:dyDescent="0.3">
      <c r="A1716" s="63" t="str">
        <f>A1715</f>
        <v>BCV131</v>
      </c>
      <c r="B1716" s="17" t="s">
        <v>1158</v>
      </c>
      <c r="C1716" s="18" t="str">
        <f>+C1715</f>
        <v>DIO1</v>
      </c>
      <c r="D1716" s="18">
        <v>132</v>
      </c>
      <c r="E1716" s="84">
        <f>+E1715</f>
        <v>2</v>
      </c>
      <c r="F1716" s="84">
        <f>+F1715</f>
        <v>12</v>
      </c>
      <c r="G1716" s="84">
        <v>0</v>
      </c>
      <c r="H1716" s="186">
        <f>+H1715</f>
        <v>7</v>
      </c>
      <c r="I1716" s="187"/>
      <c r="J1716" s="266"/>
      <c r="K1716" s="18"/>
      <c r="L1716" s="17"/>
      <c r="M1716" s="18"/>
      <c r="N1716" s="18"/>
      <c r="O1716" s="17"/>
      <c r="P1716" s="17"/>
      <c r="Q1716" s="17"/>
      <c r="R1716" s="18"/>
      <c r="S1716" s="18"/>
      <c r="T1716" s="18"/>
      <c r="U1716" s="17"/>
      <c r="V1716" s="17" t="str">
        <f>+CONCATENATE(E1716,".",F1716,"\",G1716,".",H1716,":",I1716)</f>
        <v>2.12\0.7:</v>
      </c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64"/>
      <c r="AH1716" s="64"/>
      <c r="AI1716" s="64"/>
      <c r="AJ1716" s="64"/>
      <c r="AK1716" s="64"/>
      <c r="AL1716" s="264"/>
      <c r="AM1716" s="84"/>
      <c r="AN1716" s="18"/>
      <c r="AO1716" s="18"/>
      <c r="AP1716" s="18"/>
      <c r="AQ1716" s="18"/>
      <c r="AR1716" s="18"/>
      <c r="AS1716" s="18"/>
      <c r="AT1716" s="18"/>
      <c r="AU1716" s="18"/>
      <c r="AV1716" s="18"/>
      <c r="AW1716" s="18"/>
      <c r="AX1716" s="18"/>
      <c r="AY1716" s="18"/>
    </row>
    <row r="1717" spans="1:51" s="33" customFormat="1" ht="13.5" thickBot="1" x14ac:dyDescent="0.35">
      <c r="A1717" s="63" t="str">
        <f>A1716</f>
        <v>BCV131</v>
      </c>
      <c r="B1717" s="17" t="s">
        <v>1158</v>
      </c>
      <c r="C1717" s="18" t="str">
        <f>+C1716</f>
        <v>DIO1</v>
      </c>
      <c r="D1717" s="18">
        <v>132</v>
      </c>
      <c r="E1717" s="84">
        <f>+E1716</f>
        <v>2</v>
      </c>
      <c r="F1717" s="84">
        <f>+F1716</f>
        <v>12</v>
      </c>
      <c r="G1717" s="84">
        <v>0</v>
      </c>
      <c r="H1717" s="186">
        <f>+H1716</f>
        <v>7</v>
      </c>
      <c r="I1717" s="191"/>
      <c r="J1717" s="265"/>
      <c r="K1717" s="18"/>
      <c r="L1717" s="17"/>
      <c r="M1717" s="18"/>
      <c r="N1717" s="18"/>
      <c r="O1717" s="17"/>
      <c r="P1717" s="17"/>
      <c r="Q1717" s="17"/>
      <c r="R1717" s="18"/>
      <c r="S1717" s="18"/>
      <c r="T1717" s="18"/>
      <c r="U1717" s="17"/>
      <c r="V1717" s="17" t="str">
        <f>+CONCATENATE(E1717,".",F1717,"\",G1717,".",H1717,":",I1717)</f>
        <v>2.12\0.7:</v>
      </c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64"/>
      <c r="AH1717" s="64"/>
      <c r="AI1717" s="64"/>
      <c r="AJ1717" s="64"/>
      <c r="AK1717" s="64"/>
      <c r="AL1717" s="264"/>
      <c r="AM1717" s="84"/>
      <c r="AN1717" s="18"/>
      <c r="AO1717" s="18"/>
      <c r="AP1717" s="18"/>
      <c r="AQ1717" s="18"/>
      <c r="AR1717" s="18"/>
      <c r="AS1717" s="18"/>
      <c r="AT1717" s="18"/>
      <c r="AU1717" s="18"/>
      <c r="AV1717" s="18"/>
      <c r="AW1717" s="18"/>
      <c r="AX1717" s="18"/>
      <c r="AY1717" s="18"/>
    </row>
    <row r="1718" spans="1:51" s="33" customFormat="1" x14ac:dyDescent="0.3">
      <c r="A1718" s="268" t="s">
        <v>194</v>
      </c>
      <c r="B1718" s="17" t="s">
        <v>1158</v>
      </c>
      <c r="C1718" s="18" t="str">
        <f>+C1717</f>
        <v>DIO1</v>
      </c>
      <c r="D1718" s="18">
        <v>132</v>
      </c>
      <c r="E1718" s="84">
        <f>+E1717</f>
        <v>2</v>
      </c>
      <c r="F1718" s="84">
        <f>+F1717</f>
        <v>12</v>
      </c>
      <c r="G1718" s="84">
        <v>0</v>
      </c>
      <c r="H1718" s="202">
        <v>8</v>
      </c>
      <c r="I1718" s="188"/>
      <c r="J1718" s="267"/>
      <c r="K1718" s="68" t="s">
        <v>698</v>
      </c>
      <c r="L1718" s="17"/>
      <c r="M1718" s="18"/>
      <c r="N1718" s="18"/>
      <c r="O1718" s="17"/>
      <c r="P1718" s="17"/>
      <c r="Q1718" s="17"/>
      <c r="R1718" s="18"/>
      <c r="S1718" s="18"/>
      <c r="T1718" s="18"/>
      <c r="U1718" s="17"/>
      <c r="V1718" s="17" t="str">
        <f>+CONCATENATE(E1718,".",F1718,"\",G1718,".",H1718,":",I1718)</f>
        <v>2.12\0.8:</v>
      </c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64"/>
      <c r="AH1718" s="64"/>
      <c r="AI1718" s="64"/>
      <c r="AJ1718" s="64"/>
      <c r="AK1718" s="64"/>
      <c r="AL1718" s="264"/>
      <c r="AM1718" s="84"/>
      <c r="AN1718" s="18"/>
      <c r="AO1718" s="18"/>
      <c r="AP1718" s="18"/>
      <c r="AQ1718" s="18"/>
      <c r="AR1718" s="18"/>
      <c r="AS1718" s="18"/>
      <c r="AT1718" s="18"/>
      <c r="AU1718" s="18"/>
      <c r="AV1718" s="18"/>
      <c r="AW1718" s="18"/>
      <c r="AX1718" s="18"/>
      <c r="AY1718" s="18"/>
    </row>
    <row r="1719" spans="1:51" s="33" customFormat="1" x14ac:dyDescent="0.3">
      <c r="A1719" s="63" t="str">
        <f>A1718</f>
        <v>BCV131</v>
      </c>
      <c r="B1719" s="17" t="s">
        <v>1158</v>
      </c>
      <c r="C1719" s="18" t="str">
        <f>+C1718</f>
        <v>DIO1</v>
      </c>
      <c r="D1719" s="18">
        <v>132</v>
      </c>
      <c r="E1719" s="84">
        <f>+E1718</f>
        <v>2</v>
      </c>
      <c r="F1719" s="84">
        <f>+F1718</f>
        <v>12</v>
      </c>
      <c r="G1719" s="84">
        <v>0</v>
      </c>
      <c r="H1719" s="186">
        <f>+H1718</f>
        <v>8</v>
      </c>
      <c r="I1719" s="187"/>
      <c r="J1719" s="266"/>
      <c r="K1719" s="18"/>
      <c r="L1719" s="17"/>
      <c r="M1719" s="18"/>
      <c r="N1719" s="18"/>
      <c r="O1719" s="17"/>
      <c r="P1719" s="17"/>
      <c r="Q1719" s="17"/>
      <c r="R1719" s="18"/>
      <c r="S1719" s="18"/>
      <c r="T1719" s="18"/>
      <c r="U1719" s="17"/>
      <c r="V1719" s="17" t="str">
        <f>+CONCATENATE(E1719,".",F1719,"\",G1719,".",H1719,":",I1719)</f>
        <v>2.12\0.8:</v>
      </c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64"/>
      <c r="AH1719" s="64"/>
      <c r="AI1719" s="64"/>
      <c r="AJ1719" s="64"/>
      <c r="AK1719" s="64"/>
      <c r="AL1719" s="264"/>
      <c r="AM1719" s="84"/>
      <c r="AN1719" s="18"/>
      <c r="AO1719" s="18"/>
      <c r="AP1719" s="18"/>
      <c r="AQ1719" s="18"/>
      <c r="AR1719" s="18"/>
      <c r="AS1719" s="18"/>
      <c r="AT1719" s="18"/>
      <c r="AU1719" s="18"/>
      <c r="AV1719" s="18"/>
      <c r="AW1719" s="18"/>
      <c r="AX1719" s="18"/>
      <c r="AY1719" s="18"/>
    </row>
    <row r="1720" spans="1:51" s="33" customFormat="1" x14ac:dyDescent="0.3">
      <c r="A1720" s="63" t="str">
        <f>A1719</f>
        <v>BCV131</v>
      </c>
      <c r="B1720" s="17" t="s">
        <v>1158</v>
      </c>
      <c r="C1720" s="18" t="str">
        <f>+C1719</f>
        <v>DIO1</v>
      </c>
      <c r="D1720" s="18">
        <v>132</v>
      </c>
      <c r="E1720" s="84">
        <f>+E1719</f>
        <v>2</v>
      </c>
      <c r="F1720" s="84">
        <f>+F1719</f>
        <v>12</v>
      </c>
      <c r="G1720" s="84">
        <v>0</v>
      </c>
      <c r="H1720" s="186">
        <f>+H1719</f>
        <v>8</v>
      </c>
      <c r="I1720" s="187"/>
      <c r="J1720" s="266"/>
      <c r="K1720" s="18"/>
      <c r="L1720" s="17"/>
      <c r="M1720" s="18"/>
      <c r="N1720" s="18"/>
      <c r="O1720" s="17"/>
      <c r="P1720" s="17"/>
      <c r="Q1720" s="17"/>
      <c r="R1720" s="18"/>
      <c r="S1720" s="18"/>
      <c r="T1720" s="18"/>
      <c r="U1720" s="17"/>
      <c r="V1720" s="17" t="str">
        <f>+CONCATENATE(E1720,".",F1720,"\",G1720,".",H1720,":",I1720)</f>
        <v>2.12\0.8:</v>
      </c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64"/>
      <c r="AH1720" s="64"/>
      <c r="AI1720" s="64"/>
      <c r="AJ1720" s="64"/>
      <c r="AK1720" s="64"/>
      <c r="AL1720" s="264"/>
      <c r="AM1720" s="84"/>
      <c r="AN1720" s="18"/>
      <c r="AO1720" s="18"/>
      <c r="AP1720" s="18"/>
      <c r="AQ1720" s="18"/>
      <c r="AR1720" s="18"/>
      <c r="AS1720" s="18"/>
      <c r="AT1720" s="18"/>
      <c r="AU1720" s="18"/>
      <c r="AV1720" s="18"/>
      <c r="AW1720" s="18"/>
      <c r="AX1720" s="18"/>
      <c r="AY1720" s="18"/>
    </row>
    <row r="1721" spans="1:51" s="33" customFormat="1" ht="13.5" thickBot="1" x14ac:dyDescent="0.35">
      <c r="A1721" s="63" t="str">
        <f>A1720</f>
        <v>BCV131</v>
      </c>
      <c r="B1721" s="17" t="s">
        <v>1158</v>
      </c>
      <c r="C1721" s="18" t="str">
        <f>+C1720</f>
        <v>DIO1</v>
      </c>
      <c r="D1721" s="18">
        <v>132</v>
      </c>
      <c r="E1721" s="84">
        <f>+E1720</f>
        <v>2</v>
      </c>
      <c r="F1721" s="84">
        <f>+F1720</f>
        <v>12</v>
      </c>
      <c r="G1721" s="84">
        <v>0</v>
      </c>
      <c r="H1721" s="186">
        <f>+H1720</f>
        <v>8</v>
      </c>
      <c r="I1721" s="191"/>
      <c r="J1721" s="265"/>
      <c r="K1721" s="18"/>
      <c r="L1721" s="17"/>
      <c r="M1721" s="18"/>
      <c r="N1721" s="18"/>
      <c r="O1721" s="17"/>
      <c r="P1721" s="17"/>
      <c r="Q1721" s="17"/>
      <c r="R1721" s="18"/>
      <c r="S1721" s="18"/>
      <c r="T1721" s="18"/>
      <c r="U1721" s="17"/>
      <c r="V1721" s="17" t="str">
        <f>+CONCATENATE(E1721,".",F1721,"\",G1721,".",H1721,":",I1721)</f>
        <v>2.12\0.8:</v>
      </c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64"/>
      <c r="AH1721" s="64"/>
      <c r="AI1721" s="64"/>
      <c r="AJ1721" s="64"/>
      <c r="AK1721" s="64"/>
      <c r="AL1721" s="264"/>
      <c r="AM1721" s="84"/>
      <c r="AN1721" s="18"/>
      <c r="AO1721" s="18"/>
      <c r="AP1721" s="18"/>
      <c r="AQ1721" s="18"/>
      <c r="AR1721" s="18"/>
      <c r="AS1721" s="18"/>
      <c r="AT1721" s="18"/>
      <c r="AU1721" s="18"/>
      <c r="AV1721" s="18"/>
      <c r="AW1721" s="18"/>
      <c r="AX1721" s="18"/>
      <c r="AY1721" s="18"/>
    </row>
    <row r="1722" spans="1:51" s="33" customFormat="1" x14ac:dyDescent="0.3">
      <c r="A1722" s="268" t="s">
        <v>194</v>
      </c>
      <c r="B1722" s="17" t="s">
        <v>1158</v>
      </c>
      <c r="C1722" s="18" t="str">
        <f>+C1721</f>
        <v>DIO1</v>
      </c>
      <c r="D1722" s="18">
        <v>132</v>
      </c>
      <c r="E1722" s="84">
        <f>+E1721</f>
        <v>2</v>
      </c>
      <c r="F1722" s="84">
        <f>+F1721</f>
        <v>12</v>
      </c>
      <c r="G1722" s="84">
        <v>0</v>
      </c>
      <c r="H1722" s="214">
        <v>9</v>
      </c>
      <c r="I1722" s="188"/>
      <c r="J1722" s="267"/>
      <c r="K1722" s="68" t="s">
        <v>698</v>
      </c>
      <c r="L1722" s="17"/>
      <c r="M1722" s="18"/>
      <c r="N1722" s="18"/>
      <c r="O1722" s="17"/>
      <c r="P1722" s="17"/>
      <c r="Q1722" s="17"/>
      <c r="R1722" s="18"/>
      <c r="S1722" s="18"/>
      <c r="T1722" s="18"/>
      <c r="U1722" s="17"/>
      <c r="V1722" s="17" t="str">
        <f>+CONCATENATE(E1722,".",F1722,"\",G1722,".",H1722,":",I1722)</f>
        <v>2.12\0.9:</v>
      </c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64"/>
      <c r="AH1722" s="64"/>
      <c r="AI1722" s="64"/>
      <c r="AJ1722" s="64"/>
      <c r="AK1722" s="64"/>
      <c r="AL1722" s="264"/>
      <c r="AM1722" s="84"/>
      <c r="AN1722" s="18"/>
      <c r="AO1722" s="18"/>
      <c r="AP1722" s="18"/>
      <c r="AQ1722" s="18"/>
      <c r="AR1722" s="18"/>
      <c r="AS1722" s="18"/>
      <c r="AT1722" s="18"/>
      <c r="AU1722" s="18"/>
      <c r="AV1722" s="18"/>
      <c r="AW1722" s="18"/>
      <c r="AX1722" s="18"/>
      <c r="AY1722" s="18"/>
    </row>
    <row r="1723" spans="1:51" s="33" customFormat="1" x14ac:dyDescent="0.3">
      <c r="A1723" s="63" t="str">
        <f>A1722</f>
        <v>BCV131</v>
      </c>
      <c r="B1723" s="17" t="s">
        <v>1158</v>
      </c>
      <c r="C1723" s="18" t="str">
        <f>+C1722</f>
        <v>DIO1</v>
      </c>
      <c r="D1723" s="18">
        <v>132</v>
      </c>
      <c r="E1723" s="84">
        <f>+E1722</f>
        <v>2</v>
      </c>
      <c r="F1723" s="84">
        <f>+F1722</f>
        <v>12</v>
      </c>
      <c r="G1723" s="84">
        <v>0</v>
      </c>
      <c r="H1723" s="186">
        <f>+H1722</f>
        <v>9</v>
      </c>
      <c r="I1723" s="187"/>
      <c r="J1723" s="266"/>
      <c r="K1723" s="18"/>
      <c r="L1723" s="17"/>
      <c r="M1723" s="18"/>
      <c r="N1723" s="18"/>
      <c r="O1723" s="17"/>
      <c r="P1723" s="17"/>
      <c r="Q1723" s="17"/>
      <c r="R1723" s="18"/>
      <c r="S1723" s="18"/>
      <c r="T1723" s="18"/>
      <c r="U1723" s="17"/>
      <c r="V1723" s="17" t="str">
        <f>+CONCATENATE(E1723,".",F1723,"\",G1723,".",H1723,":",I1723)</f>
        <v>2.12\0.9:</v>
      </c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64"/>
      <c r="AH1723" s="64"/>
      <c r="AI1723" s="64"/>
      <c r="AJ1723" s="64"/>
      <c r="AK1723" s="64"/>
      <c r="AL1723" s="264"/>
      <c r="AM1723" s="84"/>
      <c r="AN1723" s="18"/>
      <c r="AO1723" s="18"/>
      <c r="AP1723" s="18"/>
      <c r="AQ1723" s="18"/>
      <c r="AR1723" s="18"/>
      <c r="AS1723" s="18"/>
      <c r="AT1723" s="18"/>
      <c r="AU1723" s="18"/>
      <c r="AV1723" s="18"/>
      <c r="AW1723" s="18"/>
      <c r="AX1723" s="18"/>
      <c r="AY1723" s="18"/>
    </row>
    <row r="1724" spans="1:51" s="33" customFormat="1" x14ac:dyDescent="0.3">
      <c r="A1724" s="63" t="str">
        <f>A1723</f>
        <v>BCV131</v>
      </c>
      <c r="B1724" s="17" t="s">
        <v>1158</v>
      </c>
      <c r="C1724" s="18" t="str">
        <f>+C1723</f>
        <v>DIO1</v>
      </c>
      <c r="D1724" s="18">
        <v>132</v>
      </c>
      <c r="E1724" s="84">
        <f>+E1723</f>
        <v>2</v>
      </c>
      <c r="F1724" s="84">
        <f>+F1723</f>
        <v>12</v>
      </c>
      <c r="G1724" s="84">
        <v>0</v>
      </c>
      <c r="H1724" s="186">
        <f>+H1723</f>
        <v>9</v>
      </c>
      <c r="I1724" s="187"/>
      <c r="J1724" s="266"/>
      <c r="K1724" s="18"/>
      <c r="L1724" s="17"/>
      <c r="M1724" s="18"/>
      <c r="N1724" s="18"/>
      <c r="O1724" s="17"/>
      <c r="P1724" s="17"/>
      <c r="Q1724" s="17"/>
      <c r="R1724" s="18"/>
      <c r="S1724" s="18"/>
      <c r="T1724" s="18"/>
      <c r="U1724" s="17"/>
      <c r="V1724" s="17" t="str">
        <f>+CONCATENATE(E1724,".",F1724,"\",G1724,".",H1724,":",I1724)</f>
        <v>2.12\0.9:</v>
      </c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64"/>
      <c r="AH1724" s="64"/>
      <c r="AI1724" s="64"/>
      <c r="AJ1724" s="64"/>
      <c r="AK1724" s="64"/>
      <c r="AL1724" s="264"/>
      <c r="AM1724" s="84"/>
      <c r="AN1724" s="18"/>
      <c r="AO1724" s="18"/>
      <c r="AP1724" s="18"/>
      <c r="AQ1724" s="18"/>
      <c r="AR1724" s="18"/>
      <c r="AS1724" s="18"/>
      <c r="AT1724" s="18"/>
      <c r="AU1724" s="18"/>
      <c r="AV1724" s="18"/>
      <c r="AW1724" s="18"/>
      <c r="AX1724" s="18"/>
      <c r="AY1724" s="18"/>
    </row>
    <row r="1725" spans="1:51" s="33" customFormat="1" ht="13.5" thickBot="1" x14ac:dyDescent="0.35">
      <c r="A1725" s="63" t="str">
        <f>A1724</f>
        <v>BCV131</v>
      </c>
      <c r="B1725" s="17" t="s">
        <v>1158</v>
      </c>
      <c r="C1725" s="18" t="str">
        <f>+C1724</f>
        <v>DIO1</v>
      </c>
      <c r="D1725" s="18">
        <v>132</v>
      </c>
      <c r="E1725" s="84">
        <f>+E1724</f>
        <v>2</v>
      </c>
      <c r="F1725" s="84">
        <f>+F1724</f>
        <v>12</v>
      </c>
      <c r="G1725" s="84">
        <v>0</v>
      </c>
      <c r="H1725" s="186">
        <f>+H1724</f>
        <v>9</v>
      </c>
      <c r="I1725" s="191"/>
      <c r="J1725" s="265"/>
      <c r="K1725" s="18"/>
      <c r="L1725" s="17"/>
      <c r="M1725" s="18"/>
      <c r="N1725" s="18"/>
      <c r="O1725" s="17"/>
      <c r="P1725" s="17"/>
      <c r="Q1725" s="17"/>
      <c r="R1725" s="18"/>
      <c r="S1725" s="18"/>
      <c r="T1725" s="18"/>
      <c r="U1725" s="17"/>
      <c r="V1725" s="17" t="str">
        <f>+CONCATENATE(E1725,".",F1725,"\",G1725,".",H1725,":",I1725)</f>
        <v>2.12\0.9:</v>
      </c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64"/>
      <c r="AH1725" s="64"/>
      <c r="AI1725" s="64"/>
      <c r="AJ1725" s="64"/>
      <c r="AK1725" s="64"/>
      <c r="AL1725" s="264"/>
      <c r="AM1725" s="84"/>
      <c r="AN1725" s="18"/>
      <c r="AO1725" s="18"/>
      <c r="AP1725" s="18"/>
      <c r="AQ1725" s="18"/>
      <c r="AR1725" s="18"/>
      <c r="AS1725" s="18"/>
      <c r="AT1725" s="18"/>
      <c r="AU1725" s="18"/>
      <c r="AV1725" s="18"/>
      <c r="AW1725" s="18"/>
      <c r="AX1725" s="18"/>
      <c r="AY1725" s="18"/>
    </row>
    <row r="1726" spans="1:51" s="33" customFormat="1" x14ac:dyDescent="0.3">
      <c r="A1726" s="268" t="s">
        <v>194</v>
      </c>
      <c r="B1726" s="17" t="s">
        <v>1158</v>
      </c>
      <c r="C1726" s="18" t="str">
        <f>+C1725</f>
        <v>DIO1</v>
      </c>
      <c r="D1726" s="18">
        <v>132</v>
      </c>
      <c r="E1726" s="84">
        <f>+E1725</f>
        <v>2</v>
      </c>
      <c r="F1726" s="84">
        <f>+F1725</f>
        <v>12</v>
      </c>
      <c r="G1726" s="84">
        <v>0</v>
      </c>
      <c r="H1726" s="202">
        <v>10</v>
      </c>
      <c r="I1726" s="188"/>
      <c r="J1726" s="267"/>
      <c r="K1726" s="68" t="s">
        <v>698</v>
      </c>
      <c r="L1726" s="17"/>
      <c r="M1726" s="18"/>
      <c r="N1726" s="18"/>
      <c r="O1726" s="17"/>
      <c r="P1726" s="17"/>
      <c r="Q1726" s="17"/>
      <c r="R1726" s="18"/>
      <c r="S1726" s="18"/>
      <c r="T1726" s="18"/>
      <c r="U1726" s="17"/>
      <c r="V1726" s="17" t="str">
        <f>+CONCATENATE(E1726,".",F1726,"\",G1726,".",H1726,":",I1726)</f>
        <v>2.12\0.10:</v>
      </c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64"/>
      <c r="AH1726" s="64"/>
      <c r="AI1726" s="64"/>
      <c r="AJ1726" s="64"/>
      <c r="AK1726" s="64"/>
      <c r="AL1726" s="264"/>
      <c r="AM1726" s="84"/>
      <c r="AN1726" s="18"/>
      <c r="AO1726" s="18"/>
      <c r="AP1726" s="18"/>
      <c r="AQ1726" s="18"/>
      <c r="AR1726" s="18"/>
      <c r="AS1726" s="18"/>
      <c r="AT1726" s="18"/>
      <c r="AU1726" s="18"/>
      <c r="AV1726" s="18"/>
      <c r="AW1726" s="18"/>
      <c r="AX1726" s="18"/>
      <c r="AY1726" s="18"/>
    </row>
    <row r="1727" spans="1:51" s="33" customFormat="1" x14ac:dyDescent="0.3">
      <c r="A1727" s="63" t="str">
        <f>A1726</f>
        <v>BCV131</v>
      </c>
      <c r="B1727" s="17" t="s">
        <v>1158</v>
      </c>
      <c r="C1727" s="18" t="str">
        <f>+C1726</f>
        <v>DIO1</v>
      </c>
      <c r="D1727" s="18">
        <v>132</v>
      </c>
      <c r="E1727" s="84">
        <f>+E1726</f>
        <v>2</v>
      </c>
      <c r="F1727" s="84">
        <f>+F1726</f>
        <v>12</v>
      </c>
      <c r="G1727" s="84">
        <v>0</v>
      </c>
      <c r="H1727" s="186">
        <f>+H1726</f>
        <v>10</v>
      </c>
      <c r="I1727" s="187"/>
      <c r="J1727" s="266"/>
      <c r="K1727" s="18"/>
      <c r="L1727" s="17"/>
      <c r="M1727" s="18"/>
      <c r="N1727" s="18"/>
      <c r="O1727" s="17"/>
      <c r="P1727" s="17"/>
      <c r="Q1727" s="17"/>
      <c r="R1727" s="18"/>
      <c r="S1727" s="18"/>
      <c r="T1727" s="18"/>
      <c r="U1727" s="17"/>
      <c r="V1727" s="17" t="str">
        <f>+CONCATENATE(E1727,".",F1727,"\",G1727,".",H1727,":",I1727)</f>
        <v>2.12\0.10:</v>
      </c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64"/>
      <c r="AH1727" s="64"/>
      <c r="AI1727" s="64"/>
      <c r="AJ1727" s="64"/>
      <c r="AK1727" s="64"/>
      <c r="AL1727" s="264"/>
      <c r="AM1727" s="84"/>
      <c r="AN1727" s="18"/>
      <c r="AO1727" s="18"/>
      <c r="AP1727" s="18"/>
      <c r="AQ1727" s="18"/>
      <c r="AR1727" s="18"/>
      <c r="AS1727" s="18"/>
      <c r="AT1727" s="18"/>
      <c r="AU1727" s="18"/>
      <c r="AV1727" s="18"/>
      <c r="AW1727" s="18"/>
      <c r="AX1727" s="18"/>
      <c r="AY1727" s="18"/>
    </row>
    <row r="1728" spans="1:51" s="33" customFormat="1" x14ac:dyDescent="0.3">
      <c r="A1728" s="63" t="str">
        <f>A1727</f>
        <v>BCV131</v>
      </c>
      <c r="B1728" s="17" t="s">
        <v>1158</v>
      </c>
      <c r="C1728" s="18" t="str">
        <f>+C1727</f>
        <v>DIO1</v>
      </c>
      <c r="D1728" s="18">
        <v>132</v>
      </c>
      <c r="E1728" s="84">
        <f>+E1727</f>
        <v>2</v>
      </c>
      <c r="F1728" s="84">
        <f>+F1727</f>
        <v>12</v>
      </c>
      <c r="G1728" s="84">
        <v>0</v>
      </c>
      <c r="H1728" s="186">
        <f>+H1727</f>
        <v>10</v>
      </c>
      <c r="I1728" s="187"/>
      <c r="J1728" s="266"/>
      <c r="K1728" s="18"/>
      <c r="L1728" s="17"/>
      <c r="M1728" s="18"/>
      <c r="N1728" s="18"/>
      <c r="O1728" s="17"/>
      <c r="P1728" s="17"/>
      <c r="Q1728" s="17"/>
      <c r="R1728" s="18"/>
      <c r="S1728" s="18"/>
      <c r="T1728" s="18"/>
      <c r="U1728" s="17"/>
      <c r="V1728" s="17" t="str">
        <f>+CONCATENATE(E1728,".",F1728,"\",G1728,".",H1728,":",I1728)</f>
        <v>2.12\0.10:</v>
      </c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64"/>
      <c r="AH1728" s="64"/>
      <c r="AI1728" s="64"/>
      <c r="AJ1728" s="64"/>
      <c r="AK1728" s="64"/>
      <c r="AL1728" s="264"/>
      <c r="AM1728" s="84"/>
      <c r="AN1728" s="18"/>
      <c r="AO1728" s="18"/>
      <c r="AP1728" s="18"/>
      <c r="AQ1728" s="18"/>
      <c r="AR1728" s="18"/>
      <c r="AS1728" s="18"/>
      <c r="AT1728" s="18"/>
      <c r="AU1728" s="18"/>
      <c r="AV1728" s="18"/>
      <c r="AW1728" s="18"/>
      <c r="AX1728" s="18"/>
      <c r="AY1728" s="18"/>
    </row>
    <row r="1729" spans="1:51" s="33" customFormat="1" ht="13.5" thickBot="1" x14ac:dyDescent="0.35">
      <c r="A1729" s="63" t="str">
        <f>A1728</f>
        <v>BCV131</v>
      </c>
      <c r="B1729" s="17" t="s">
        <v>1158</v>
      </c>
      <c r="C1729" s="18" t="str">
        <f>+C1728</f>
        <v>DIO1</v>
      </c>
      <c r="D1729" s="18">
        <v>132</v>
      </c>
      <c r="E1729" s="84">
        <f>+E1728</f>
        <v>2</v>
      </c>
      <c r="F1729" s="84">
        <f>+F1728</f>
        <v>12</v>
      </c>
      <c r="G1729" s="84">
        <v>0</v>
      </c>
      <c r="H1729" s="186">
        <f>+H1728</f>
        <v>10</v>
      </c>
      <c r="I1729" s="191"/>
      <c r="J1729" s="265"/>
      <c r="K1729" s="18"/>
      <c r="L1729" s="17"/>
      <c r="M1729" s="18"/>
      <c r="N1729" s="18"/>
      <c r="O1729" s="17"/>
      <c r="P1729" s="17"/>
      <c r="Q1729" s="17"/>
      <c r="R1729" s="18"/>
      <c r="S1729" s="18"/>
      <c r="T1729" s="18"/>
      <c r="U1729" s="17"/>
      <c r="V1729" s="17" t="str">
        <f>+CONCATENATE(E1729,".",F1729,"\",G1729,".",H1729,":",I1729)</f>
        <v>2.12\0.10:</v>
      </c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64"/>
      <c r="AH1729" s="64"/>
      <c r="AI1729" s="64"/>
      <c r="AJ1729" s="64"/>
      <c r="AK1729" s="64"/>
      <c r="AL1729" s="264"/>
      <c r="AM1729" s="84"/>
      <c r="AN1729" s="18"/>
      <c r="AO1729" s="18"/>
      <c r="AP1729" s="18"/>
      <c r="AQ1729" s="18"/>
      <c r="AR1729" s="18"/>
      <c r="AS1729" s="18"/>
      <c r="AT1729" s="18"/>
      <c r="AU1729" s="18"/>
      <c r="AV1729" s="18"/>
      <c r="AW1729" s="18"/>
      <c r="AX1729" s="18"/>
      <c r="AY1729" s="18"/>
    </row>
    <row r="1730" spans="1:51" s="33" customFormat="1" x14ac:dyDescent="0.3">
      <c r="A1730" s="268" t="s">
        <v>194</v>
      </c>
      <c r="B1730" s="17" t="s">
        <v>1158</v>
      </c>
      <c r="C1730" s="18" t="str">
        <f>+C1729</f>
        <v>DIO1</v>
      </c>
      <c r="D1730" s="18">
        <v>132</v>
      </c>
      <c r="E1730" s="84">
        <f>+E1729</f>
        <v>2</v>
      </c>
      <c r="F1730" s="84">
        <f>+F1729</f>
        <v>12</v>
      </c>
      <c r="G1730" s="84">
        <v>0</v>
      </c>
      <c r="H1730" s="202">
        <v>11</v>
      </c>
      <c r="I1730" s="188"/>
      <c r="J1730" s="267"/>
      <c r="K1730" s="68" t="s">
        <v>698</v>
      </c>
      <c r="L1730" s="17"/>
      <c r="M1730" s="18"/>
      <c r="N1730" s="18"/>
      <c r="O1730" s="17"/>
      <c r="P1730" s="17"/>
      <c r="Q1730" s="17"/>
      <c r="R1730" s="18"/>
      <c r="S1730" s="18"/>
      <c r="T1730" s="18"/>
      <c r="U1730" s="17"/>
      <c r="V1730" s="17" t="str">
        <f>+CONCATENATE(E1730,".",F1730,"\",G1730,".",H1730,":",I1730)</f>
        <v>2.12\0.11:</v>
      </c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64"/>
      <c r="AH1730" s="64"/>
      <c r="AI1730" s="64"/>
      <c r="AJ1730" s="64"/>
      <c r="AK1730" s="64"/>
      <c r="AL1730" s="264"/>
      <c r="AM1730" s="84"/>
      <c r="AN1730" s="18"/>
      <c r="AO1730" s="18"/>
      <c r="AP1730" s="18"/>
      <c r="AQ1730" s="18"/>
      <c r="AR1730" s="18"/>
      <c r="AS1730" s="18"/>
      <c r="AT1730" s="18"/>
      <c r="AU1730" s="18"/>
      <c r="AV1730" s="18"/>
      <c r="AW1730" s="18"/>
      <c r="AX1730" s="18"/>
      <c r="AY1730" s="18"/>
    </row>
    <row r="1731" spans="1:51" s="33" customFormat="1" x14ac:dyDescent="0.3">
      <c r="A1731" s="63" t="str">
        <f>A1730</f>
        <v>BCV131</v>
      </c>
      <c r="B1731" s="17" t="s">
        <v>1158</v>
      </c>
      <c r="C1731" s="18" t="str">
        <f>+C1730</f>
        <v>DIO1</v>
      </c>
      <c r="D1731" s="18">
        <v>132</v>
      </c>
      <c r="E1731" s="84">
        <f>+E1730</f>
        <v>2</v>
      </c>
      <c r="F1731" s="84">
        <f>+F1730</f>
        <v>12</v>
      </c>
      <c r="G1731" s="84">
        <v>0</v>
      </c>
      <c r="H1731" s="186">
        <f>+H1730</f>
        <v>11</v>
      </c>
      <c r="I1731" s="187"/>
      <c r="J1731" s="266"/>
      <c r="K1731" s="18"/>
      <c r="L1731" s="17"/>
      <c r="M1731" s="18"/>
      <c r="N1731" s="18"/>
      <c r="O1731" s="17"/>
      <c r="P1731" s="17"/>
      <c r="Q1731" s="17"/>
      <c r="R1731" s="18"/>
      <c r="S1731" s="18"/>
      <c r="T1731" s="18"/>
      <c r="U1731" s="17"/>
      <c r="V1731" s="17" t="str">
        <f>+CONCATENATE(E1731,".",F1731,"\",G1731,".",H1731,":",I1731)</f>
        <v>2.12\0.11:</v>
      </c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64"/>
      <c r="AH1731" s="64"/>
      <c r="AI1731" s="64"/>
      <c r="AJ1731" s="64"/>
      <c r="AK1731" s="64"/>
      <c r="AL1731" s="264"/>
      <c r="AM1731" s="84"/>
      <c r="AN1731" s="18"/>
      <c r="AO1731" s="18"/>
      <c r="AP1731" s="18"/>
      <c r="AQ1731" s="18"/>
      <c r="AR1731" s="18"/>
      <c r="AS1731" s="18"/>
      <c r="AT1731" s="18"/>
      <c r="AU1731" s="18"/>
      <c r="AV1731" s="18"/>
      <c r="AW1731" s="18"/>
      <c r="AX1731" s="18"/>
      <c r="AY1731" s="18"/>
    </row>
    <row r="1732" spans="1:51" s="33" customFormat="1" x14ac:dyDescent="0.3">
      <c r="A1732" s="63" t="str">
        <f>A1731</f>
        <v>BCV131</v>
      </c>
      <c r="B1732" s="17" t="s">
        <v>1158</v>
      </c>
      <c r="C1732" s="18" t="str">
        <f>+C1731</f>
        <v>DIO1</v>
      </c>
      <c r="D1732" s="18">
        <v>132</v>
      </c>
      <c r="E1732" s="84">
        <f>+E1731</f>
        <v>2</v>
      </c>
      <c r="F1732" s="84">
        <f>+F1731</f>
        <v>12</v>
      </c>
      <c r="G1732" s="84">
        <v>0</v>
      </c>
      <c r="H1732" s="186">
        <f>+H1731</f>
        <v>11</v>
      </c>
      <c r="I1732" s="187"/>
      <c r="J1732" s="266"/>
      <c r="K1732" s="18"/>
      <c r="L1732" s="17"/>
      <c r="M1732" s="18"/>
      <c r="N1732" s="18"/>
      <c r="O1732" s="17"/>
      <c r="P1732" s="17"/>
      <c r="Q1732" s="17"/>
      <c r="R1732" s="18"/>
      <c r="S1732" s="18"/>
      <c r="T1732" s="18"/>
      <c r="U1732" s="17"/>
      <c r="V1732" s="17" t="str">
        <f>+CONCATENATE(E1732,".",F1732,"\",G1732,".",H1732,":",I1732)</f>
        <v>2.12\0.11:</v>
      </c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64"/>
      <c r="AH1732" s="64"/>
      <c r="AI1732" s="64"/>
      <c r="AJ1732" s="64"/>
      <c r="AK1732" s="64"/>
      <c r="AL1732" s="264"/>
      <c r="AM1732" s="84"/>
      <c r="AN1732" s="18"/>
      <c r="AO1732" s="18"/>
      <c r="AP1732" s="18"/>
      <c r="AQ1732" s="18"/>
      <c r="AR1732" s="18"/>
      <c r="AS1732" s="18"/>
      <c r="AT1732" s="18"/>
      <c r="AU1732" s="18"/>
      <c r="AV1732" s="18"/>
      <c r="AW1732" s="18"/>
      <c r="AX1732" s="18"/>
      <c r="AY1732" s="18"/>
    </row>
    <row r="1733" spans="1:51" s="33" customFormat="1" ht="13.5" thickBot="1" x14ac:dyDescent="0.35">
      <c r="A1733" s="63" t="str">
        <f>A1732</f>
        <v>BCV131</v>
      </c>
      <c r="B1733" s="17" t="s">
        <v>1158</v>
      </c>
      <c r="C1733" s="18" t="str">
        <f>+C1732</f>
        <v>DIO1</v>
      </c>
      <c r="D1733" s="18">
        <v>132</v>
      </c>
      <c r="E1733" s="84">
        <f>+E1732</f>
        <v>2</v>
      </c>
      <c r="F1733" s="84">
        <f>+F1732</f>
        <v>12</v>
      </c>
      <c r="G1733" s="84">
        <v>0</v>
      </c>
      <c r="H1733" s="186">
        <f>+H1732</f>
        <v>11</v>
      </c>
      <c r="I1733" s="191"/>
      <c r="J1733" s="265"/>
      <c r="K1733" s="18"/>
      <c r="L1733" s="17"/>
      <c r="M1733" s="18"/>
      <c r="N1733" s="18"/>
      <c r="O1733" s="17"/>
      <c r="P1733" s="17"/>
      <c r="Q1733" s="17"/>
      <c r="R1733" s="18"/>
      <c r="S1733" s="18"/>
      <c r="T1733" s="18"/>
      <c r="U1733" s="17"/>
      <c r="V1733" s="17" t="str">
        <f>+CONCATENATE(E1733,".",F1733,"\",G1733,".",H1733,":",I1733)</f>
        <v>2.12\0.11:</v>
      </c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64"/>
      <c r="AH1733" s="64"/>
      <c r="AI1733" s="64"/>
      <c r="AJ1733" s="64"/>
      <c r="AK1733" s="64"/>
      <c r="AL1733" s="264"/>
      <c r="AM1733" s="84"/>
      <c r="AN1733" s="18"/>
      <c r="AO1733" s="18"/>
      <c r="AP1733" s="18"/>
      <c r="AQ1733" s="18"/>
      <c r="AR1733" s="18"/>
      <c r="AS1733" s="18"/>
      <c r="AT1733" s="18"/>
      <c r="AU1733" s="18"/>
      <c r="AV1733" s="18"/>
      <c r="AW1733" s="18"/>
      <c r="AX1733" s="18"/>
      <c r="AY1733" s="18"/>
    </row>
  </sheetData>
  <autoFilter ref="A1:AO1331" xr:uid="{00000000-0001-0000-0900-000000000000}"/>
  <mergeCells count="74">
    <mergeCell ref="I105:J105"/>
    <mergeCell ref="I106:J106"/>
    <mergeCell ref="I107:J107"/>
    <mergeCell ref="I928:J928"/>
    <mergeCell ref="I5:J5"/>
    <mergeCell ref="I6:J6"/>
    <mergeCell ref="I7:J7"/>
    <mergeCell ref="I8:J8"/>
    <mergeCell ref="I104:J104"/>
    <mergeCell ref="I1090:J1090"/>
    <mergeCell ref="I400:J400"/>
    <mergeCell ref="I401:J401"/>
    <mergeCell ref="I402:J402"/>
    <mergeCell ref="I557:J557"/>
    <mergeCell ref="I587:J587"/>
    <mergeCell ref="I588:J588"/>
    <mergeCell ref="I589:J589"/>
    <mergeCell ref="I590:J590"/>
    <mergeCell ref="I733:J733"/>
    <mergeCell ref="I766:J766"/>
    <mergeCell ref="I874:J874"/>
    <mergeCell ref="I892:J892"/>
    <mergeCell ref="I910:J910"/>
    <mergeCell ref="I1036:J1036"/>
    <mergeCell ref="I1054:J1054"/>
    <mergeCell ref="I946:J946"/>
    <mergeCell ref="I253:J253"/>
    <mergeCell ref="I254:J254"/>
    <mergeCell ref="I255:J255"/>
    <mergeCell ref="I256:J256"/>
    <mergeCell ref="I399:J399"/>
    <mergeCell ref="I765:J765"/>
    <mergeCell ref="I763:J763"/>
    <mergeCell ref="I764:J764"/>
    <mergeCell ref="I1108:J1108"/>
    <mergeCell ref="I1126:J1126"/>
    <mergeCell ref="I1144:J1144"/>
    <mergeCell ref="I1162:J1162"/>
    <mergeCell ref="I1180:J1180"/>
    <mergeCell ref="I964:J964"/>
    <mergeCell ref="I982:J982"/>
    <mergeCell ref="I1000:J1000"/>
    <mergeCell ref="I1018:J1018"/>
    <mergeCell ref="I1072:J1072"/>
    <mergeCell ref="I1254:J1254"/>
    <mergeCell ref="I1255:J1255"/>
    <mergeCell ref="I1301:J1301"/>
    <mergeCell ref="I1319:J1319"/>
    <mergeCell ref="I1337:J1337"/>
    <mergeCell ref="I1198:J1198"/>
    <mergeCell ref="I1216:J1216"/>
    <mergeCell ref="I1234:J1234"/>
    <mergeCell ref="I1252:J1252"/>
    <mergeCell ref="I1253:J1253"/>
    <mergeCell ref="I1422:J1422"/>
    <mergeCell ref="I1440:J1440"/>
    <mergeCell ref="I1441:J1441"/>
    <mergeCell ref="I1442:J1442"/>
    <mergeCell ref="I1443:J1443"/>
    <mergeCell ref="I1355:J1355"/>
    <mergeCell ref="I1356:J1356"/>
    <mergeCell ref="I1357:J1357"/>
    <mergeCell ref="I1358:J1358"/>
    <mergeCell ref="I1404:J1404"/>
    <mergeCell ref="I1579:J1579"/>
    <mergeCell ref="I1610:J1610"/>
    <mergeCell ref="I1611:J1611"/>
    <mergeCell ref="I1612:J1612"/>
    <mergeCell ref="I1613:J1613"/>
    <mergeCell ref="I1489:J1489"/>
    <mergeCell ref="I1507:J1507"/>
    <mergeCell ref="I1525:J1525"/>
    <mergeCell ref="I1543:J1543"/>
    <mergeCell ref="I1561:J1561"/>
  </mergeCells>
  <conditionalFormatting sqref="K1 K1734:K1048576">
    <cfRule type="expression" dxfId="267" priority="268">
      <formula>AND(IF(COUNTIF($K1, "BME*"),TRUE,FALSE), OR($H1=2,$H1=8, $H1=10, $H1=11))</formula>
    </cfRule>
  </conditionalFormatting>
  <conditionalFormatting sqref="K716:K717 K730 K338:K344 K103:K106 K732 K873 K9:K44 K46:K80 K85:K97 K108:K187 K189:K195 K197:K211 K220:K233 K237:K250 K257:K336 K346:K352 K354:K360 K365:K368 K373:K376 K381 K553 K252:K255 K3:K7 K560:K583 K586:K589 K736:K760 K763:K765 K887:K889 K891 K905:K907 K909 K923:K925 K927 K941:K943 K945 K959:K961 K963 K977:K979 K981 K995:K997 K999 K1013:K1015 K1017 K1031:K1033 K1035 K1049:K1051 K1053 K1067:K1069 K1071 K1085:K1087 K1089 K1103:K1105 K1107 K1121:K1123 K1125 K1139:K1141 K1143 K1157:K1159 K1161 K1175:K1177 K1179 K1193:K1195 K1197 K1211:K1213 K1215 K1229:K1231 K1233 K1247:K1249 K1252:K1254 K1288:K1298 K1300 K1314:K1316 K1318 K1332:K1334 K1336 K1350:K1352 K1391:K1400 K1609:K1612 K1614:K1693 K1722:K1733 K1695:K1709">
    <cfRule type="expression" dxfId="266" priority="266">
      <formula>AND(IF(COUNTIF($K3, "BME*"),TRUE,FALSE), OR($H3=2,$H3=8, $H3=10, $H3=11))</formula>
    </cfRule>
  </conditionalFormatting>
  <conditionalFormatting sqref="K707:K710">
    <cfRule type="expression" dxfId="265" priority="265">
      <formula>AND(IF(COUNTIF($K707, "BME*"),TRUE,FALSE), OR($H707=2,$H707=8, $H707=10, $H707=11))</formula>
    </cfRule>
  </conditionalFormatting>
  <conditionalFormatting sqref="K711:K714">
    <cfRule type="expression" dxfId="264" priority="264">
      <formula>AND(IF(COUNTIF($K711, "BME*"),TRUE,FALSE), OR($H711=2,$H711=8, $H711=10, $H711=11))</formula>
    </cfRule>
  </conditionalFormatting>
  <conditionalFormatting sqref="K82:K84">
    <cfRule type="expression" dxfId="263" priority="263">
      <formula>AND(IF(COUNTIF($K82, "BME*"),TRUE,FALSE), OR($H82=2,$H82=8, $H82=10, $H82=11))</formula>
    </cfRule>
  </conditionalFormatting>
  <conditionalFormatting sqref="K377:K380">
    <cfRule type="expression" dxfId="262" priority="262">
      <formula>AND(IF(COUNTIF($K377, "BME*"),TRUE,FALSE), OR($H377=2,$H377=8, $H377=10, $H377=11))</formula>
    </cfRule>
  </conditionalFormatting>
  <conditionalFormatting sqref="K45">
    <cfRule type="expression" dxfId="261" priority="261">
      <formula>AND(IF(COUNTIF($K45, "BME*"),TRUE,FALSE), OR($H45=2,$H45=8, $H45=10, $H45=11))</formula>
    </cfRule>
  </conditionalFormatting>
  <conditionalFormatting sqref="K188">
    <cfRule type="expression" dxfId="260" priority="260">
      <formula>AND(IF(COUNTIF($K188, "BME*"),TRUE,FALSE), OR($H188=2,$H188=8, $H188=10, $H188=11))</formula>
    </cfRule>
  </conditionalFormatting>
  <conditionalFormatting sqref="K337">
    <cfRule type="expression" dxfId="259" priority="259">
      <formula>AND(IF(COUNTIF($K337, "BME*"),TRUE,FALSE), OR($H337=2,$H337=8, $H337=10, $H337=11))</formula>
    </cfRule>
  </conditionalFormatting>
  <conditionalFormatting sqref="K8">
    <cfRule type="expression" dxfId="258" priority="258">
      <formula>AND(IF(COUNTIF($K8, "BME*"),TRUE,FALSE), OR($H8=2,$H8=8, $H8=10, $H8=11))</formula>
    </cfRule>
  </conditionalFormatting>
  <conditionalFormatting sqref="K107">
    <cfRule type="expression" dxfId="257" priority="257">
      <formula>AND(IF(COUNTIF($K107, "BME*"),TRUE,FALSE), OR($H107=2,$H107=8, $H107=10, $H107=11))</formula>
    </cfRule>
  </conditionalFormatting>
  <conditionalFormatting sqref="K256">
    <cfRule type="expression" dxfId="256" priority="256">
      <formula>AND(IF(COUNTIF($K256, "BME*"),TRUE,FALSE), OR($H256=2,$H256=8, $H256=10, $H256=11))</formula>
    </cfRule>
  </conditionalFormatting>
  <conditionalFormatting sqref="K590">
    <cfRule type="expression" dxfId="255" priority="255">
      <formula>AND(IF(COUNTIF($K590, "BME*"),TRUE,FALSE), OR($H590=2,$H590=8, $H590=10, $H590=11))</formula>
    </cfRule>
  </conditionalFormatting>
  <conditionalFormatting sqref="K102">
    <cfRule type="expression" dxfId="254" priority="254">
      <formula>AND(IF(COUNTIF($K102, "BME*"),TRUE,FALSE), OR($H102=2,$H102=8, $H102=10, $H102=11))</formula>
    </cfRule>
  </conditionalFormatting>
  <conditionalFormatting sqref="K884:K886">
    <cfRule type="expression" dxfId="253" priority="253">
      <formula>AND(IF(COUNTIF($K884, "BME*"),TRUE,FALSE), OR($H884=2,$H884=8, $H884=10, $H884=11))</formula>
    </cfRule>
  </conditionalFormatting>
  <conditionalFormatting sqref="K81">
    <cfRule type="expression" dxfId="252" priority="252">
      <formula>AND(IF(COUNTIF($K81, "BME*"),TRUE,FALSE), OR($H81=2,$H81=8, $H81=10, $H81=11))</formula>
    </cfRule>
  </conditionalFormatting>
  <conditionalFormatting sqref="K212:K219">
    <cfRule type="expression" dxfId="251" priority="251">
      <formula>AND(IF(COUNTIF($K212, "BME*"),TRUE,FALSE), OR($H212=2,$H212=8, $H212=10, $H212=11))</formula>
    </cfRule>
  </conditionalFormatting>
  <conditionalFormatting sqref="K383:K388">
    <cfRule type="expression" dxfId="250" priority="250">
      <formula>AND(IF(COUNTIF($K383, "BME*"),TRUE,FALSE), OR($H383=2,$H383=8, $H383=10, $H383=11))</formula>
    </cfRule>
  </conditionalFormatting>
  <conditionalFormatting sqref="K382">
    <cfRule type="expression" dxfId="249" priority="249">
      <formula>AND(IF(COUNTIF($K382, "BME*"),TRUE,FALSE), OR($H382=2,$H382=8, $H382=10, $H382=11))</formula>
    </cfRule>
  </conditionalFormatting>
  <conditionalFormatting sqref="K398:K399">
    <cfRule type="expression" dxfId="248" priority="248">
      <formula>AND(IF(COUNTIF($K398, "BME*"),TRUE,FALSE), OR($H398=2,$H398=8, $H398=10, $H398=11))</formula>
    </cfRule>
  </conditionalFormatting>
  <conditionalFormatting sqref="K402">
    <cfRule type="expression" dxfId="247" priority="247">
      <formula>AND(IF(COUNTIF($K402, "BME*"),TRUE,FALSE), OR($H402=2,$H402=8, $H402=10, $H402=11))</formula>
    </cfRule>
  </conditionalFormatting>
  <conditionalFormatting sqref="K467:K482">
    <cfRule type="expression" dxfId="246" priority="246">
      <formula>AND(IF(COUNTIF($K467, "BME*"),TRUE,FALSE), OR($H467=2,$H467=8, $H467=10, $H467=11))</formula>
    </cfRule>
  </conditionalFormatting>
  <conditionalFormatting sqref="K484:K490 K539">
    <cfRule type="expression" dxfId="245" priority="245">
      <formula>AND(IF(COUNTIF($K484, "BME*"),TRUE,FALSE), OR($H484=2,$H484=8, $H484=10, $H484=11))</formula>
    </cfRule>
  </conditionalFormatting>
  <conditionalFormatting sqref="K483">
    <cfRule type="expression" dxfId="244" priority="244">
      <formula>AND(IF(COUNTIF($K483, "BME*"),TRUE,FALSE), OR($H483=2,$H483=8, $H483=10, $H483=11))</formula>
    </cfRule>
  </conditionalFormatting>
  <conditionalFormatting sqref="K584">
    <cfRule type="expression" dxfId="243" priority="243">
      <formula>AND(IF(COUNTIF($K584, "BME*"),TRUE,FALSE), OR($H584=2,$H584=8, $H584=10, $H584=11))</formula>
    </cfRule>
  </conditionalFormatting>
  <conditionalFormatting sqref="K877:K882">
    <cfRule type="expression" dxfId="242" priority="242">
      <formula>AND(IF(COUNTIF($K877, "BME*"),TRUE,FALSE), OR($H877=2,$H877=8, $H877=10, $H877=11))</formula>
    </cfRule>
  </conditionalFormatting>
  <conditionalFormatting sqref="K883">
    <cfRule type="expression" dxfId="241" priority="241">
      <formula>AND(IF(COUNTIF($K883, "BME*"),TRUE,FALSE), OR($H883=2,$H883=8, $H883=10, $H883=11))</formula>
    </cfRule>
  </conditionalFormatting>
  <conditionalFormatting sqref="K855:K857 K869:K871">
    <cfRule type="expression" dxfId="240" priority="240">
      <formula>AND(IF(COUNTIF($K855, "BME*"),TRUE,FALSE), OR($H855=2,$H855=8, $H855=10, $H855=11))</formula>
    </cfRule>
  </conditionalFormatting>
  <conditionalFormatting sqref="K847:K850">
    <cfRule type="expression" dxfId="239" priority="239">
      <formula>AND(IF(COUNTIF($K847, "BME*"),TRUE,FALSE), OR($H847=2,$H847=8, $H847=10, $H847=11))</formula>
    </cfRule>
  </conditionalFormatting>
  <conditionalFormatting sqref="K851:K854">
    <cfRule type="expression" dxfId="238" priority="238">
      <formula>AND(IF(COUNTIF($K851, "BME*"),TRUE,FALSE), OR($H851=2,$H851=8, $H851=10, $H851=11))</formula>
    </cfRule>
  </conditionalFormatting>
  <conditionalFormatting sqref="K766">
    <cfRule type="expression" dxfId="237" priority="237">
      <formula>AND(IF(COUNTIF($K766, "BME*"),TRUE,FALSE), OR($H766=2,$H766=8, $H766=10, $H766=11))</formula>
    </cfRule>
  </conditionalFormatting>
  <conditionalFormatting sqref="K1401">
    <cfRule type="expression" dxfId="236" priority="236">
      <formula>AND(IF(COUNTIF($K1401, "BME*"),TRUE,FALSE), OR($H1401=2,$H1401=8, $H1401=10, $H1401=11))</formula>
    </cfRule>
  </conditionalFormatting>
  <conditionalFormatting sqref="K876">
    <cfRule type="expression" dxfId="235" priority="234">
      <formula>AND(IF(COUNTIF($K876, "BME*"),TRUE,FALSE), OR($H875=2,$H875=8, $H875=10, $H875=11))</formula>
    </cfRule>
  </conditionalFormatting>
  <conditionalFormatting sqref="K875">
    <cfRule type="expression" dxfId="234" priority="235">
      <formula>AND(IF(COUNTIF($K875, "BME*"),TRUE,FALSE), OR($H876=2,$H876=8, $H876=10, $H876=11))</formula>
    </cfRule>
  </conditionalFormatting>
  <conditionalFormatting sqref="K874">
    <cfRule type="expression" dxfId="233" priority="233">
      <formula>AND(IF(COUNTIF($K872, "BME*"),TRUE,FALSE), OR($H874=2,$H874=8, $H874=10, $H874=11))</formula>
    </cfRule>
  </conditionalFormatting>
  <conditionalFormatting sqref="K196">
    <cfRule type="expression" dxfId="232" priority="232">
      <formula>AND(IF(COUNTIF($K196, "BME*"),TRUE,FALSE), OR($H196=2,$H196=8, $H196=10, $H196=11))</formula>
    </cfRule>
  </conditionalFormatting>
  <conditionalFormatting sqref="K345">
    <cfRule type="expression" dxfId="231" priority="231">
      <formula>AND(IF(COUNTIF($K345, "BME*"),TRUE,FALSE), OR($H345=2,$H345=8, $H345=10, $H345=11))</formula>
    </cfRule>
  </conditionalFormatting>
  <conditionalFormatting sqref="K353">
    <cfRule type="expression" dxfId="230" priority="230">
      <formula>AND(IF(COUNTIF($K353, "BME*"),TRUE,FALSE), OR($H353=2,$H353=8, $H353=10, $H353=11))</formula>
    </cfRule>
  </conditionalFormatting>
  <conditionalFormatting sqref="K361:K364">
    <cfRule type="expression" dxfId="229" priority="229">
      <formula>AND(IF(COUNTIF($K361, "BME*"),TRUE,FALSE), OR($H361=2,$H361=8, $H361=10, $H361=11))</formula>
    </cfRule>
  </conditionalFormatting>
  <conditionalFormatting sqref="K369:K372">
    <cfRule type="expression" dxfId="228" priority="228">
      <formula>AND(IF(COUNTIF($K369, "BME*"),TRUE,FALSE), OR($H369=2,$H369=8, $H369=10, $H369=11))</formula>
    </cfRule>
  </conditionalFormatting>
  <conditionalFormatting sqref="K491:K522">
    <cfRule type="expression" dxfId="227" priority="227">
      <formula>AND(IF(COUNTIF($K491, "BME*"),TRUE,FALSE), OR($H491=2,$H491=8, $H491=10, $H491=11))</formula>
    </cfRule>
  </conditionalFormatting>
  <conditionalFormatting sqref="K403:K466">
    <cfRule type="expression" dxfId="226" priority="226">
      <formula>AND(IF(COUNTIF($K403, "BME*"),TRUE,FALSE), OR($H403=2,$H403=8, $H403=10, $H403=11))</formula>
    </cfRule>
  </conditionalFormatting>
  <conditionalFormatting sqref="K523:K530">
    <cfRule type="expression" dxfId="225" priority="225">
      <formula>AND(IF(COUNTIF($K523, "BME*"),TRUE,FALSE), OR($H523=2,$H523=8, $H523=10, $H523=11))</formula>
    </cfRule>
  </conditionalFormatting>
  <conditionalFormatting sqref="K531:K538">
    <cfRule type="expression" dxfId="224" priority="224">
      <formula>AND(IF(COUNTIF($K531, "BME*"),TRUE,FALSE), OR($H531=2,$H531=8, $H531=10, $H531=11))</formula>
    </cfRule>
  </conditionalFormatting>
  <conditionalFormatting sqref="K559">
    <cfRule type="expression" dxfId="223" priority="223">
      <formula>AND(IF(COUNTIF($K559, "BME*"),TRUE,FALSE), OR($H558=2,$H558=8, $H558=10, $H558=11))</formula>
    </cfRule>
  </conditionalFormatting>
  <conditionalFormatting sqref="K558">
    <cfRule type="expression" dxfId="222" priority="267">
      <formula>AND(IF(COUNTIF($K558, "BME*"),TRUE,FALSE), OR($H559=2,$H559=8, $H559=10, $H559=11))</formula>
    </cfRule>
  </conditionalFormatting>
  <conditionalFormatting sqref="K557">
    <cfRule type="expression" dxfId="221" priority="222">
      <formula>AND(IF(COUNTIF($K555, "BME*"),TRUE,FALSE), OR($H557=2,$H557=8, $H557=10, $H557=11))</formula>
    </cfRule>
  </conditionalFormatting>
  <conditionalFormatting sqref="K655:K670">
    <cfRule type="expression" dxfId="220" priority="221">
      <formula>AND(IF(COUNTIF($K655, "BME*"),TRUE,FALSE), OR($H655=2,$H655=8, $H655=10, $H655=11))</formula>
    </cfRule>
  </conditionalFormatting>
  <conditionalFormatting sqref="K672:K678">
    <cfRule type="expression" dxfId="219" priority="220">
      <formula>AND(IF(COUNTIF($K672, "BME*"),TRUE,FALSE), OR($H672=2,$H672=8, $H672=10, $H672=11))</formula>
    </cfRule>
  </conditionalFormatting>
  <conditionalFormatting sqref="K671">
    <cfRule type="expression" dxfId="218" priority="219">
      <formula>AND(IF(COUNTIF($K671, "BME*"),TRUE,FALSE), OR($H671=2,$H671=8, $H671=10, $H671=11))</formula>
    </cfRule>
  </conditionalFormatting>
  <conditionalFormatting sqref="K679:K694">
    <cfRule type="expression" dxfId="217" priority="218">
      <formula>AND(IF(COUNTIF($K679, "BME*"),TRUE,FALSE), OR($H679=2,$H679=8, $H679=10, $H679=11))</formula>
    </cfRule>
  </conditionalFormatting>
  <conditionalFormatting sqref="K591:K654">
    <cfRule type="expression" dxfId="216" priority="217">
      <formula>AND(IF(COUNTIF($K591, "BME*"),TRUE,FALSE), OR($H591=2,$H591=8, $H591=10, $H591=11))</formula>
    </cfRule>
  </conditionalFormatting>
  <conditionalFormatting sqref="K695:K702">
    <cfRule type="expression" dxfId="215" priority="216">
      <formula>AND(IF(COUNTIF($K695, "BME*"),TRUE,FALSE), OR($H695=2,$H695=8, $H695=10, $H695=11))</formula>
    </cfRule>
  </conditionalFormatting>
  <conditionalFormatting sqref="K703:K706">
    <cfRule type="expression" dxfId="214" priority="215">
      <formula>AND(IF(COUNTIF($K703, "BME*"),TRUE,FALSE), OR($H703=2,$H703=8, $H703=10, $H703=11))</formula>
    </cfRule>
  </conditionalFormatting>
  <conditionalFormatting sqref="K400:K401">
    <cfRule type="expression" dxfId="213" priority="214">
      <formula>AND(IF(COUNTIF($K400, "BME*"),TRUE,FALSE), OR($H400=2,$H400=8, $H400=10, $H400=11))</formula>
    </cfRule>
  </conditionalFormatting>
  <conditionalFormatting sqref="K735">
    <cfRule type="expression" dxfId="212" priority="213">
      <formula>AND(IF(COUNTIF($K735, "BME*"),TRUE,FALSE), OR($H734=2,$H734=8, $H734=10, $H734=11))</formula>
    </cfRule>
  </conditionalFormatting>
  <conditionalFormatting sqref="K733">
    <cfRule type="expression" dxfId="211" priority="212">
      <formula>AND(IF(COUNTIF($K731, "BME*"),TRUE,FALSE), OR($H733=2,$H733=8, $H733=10, $H733=11))</formula>
    </cfRule>
  </conditionalFormatting>
  <conditionalFormatting sqref="K799:K814">
    <cfRule type="expression" dxfId="210" priority="211">
      <formula>AND(IF(COUNTIF($K799, "BME*"),TRUE,FALSE), OR($H799=2,$H799=8, $H799=10, $H799=11))</formula>
    </cfRule>
  </conditionalFormatting>
  <conditionalFormatting sqref="K816:K822">
    <cfRule type="expression" dxfId="209" priority="210">
      <formula>AND(IF(COUNTIF($K816, "BME*"),TRUE,FALSE), OR($H816=2,$H816=8, $H816=10, $H816=11))</formula>
    </cfRule>
  </conditionalFormatting>
  <conditionalFormatting sqref="K815">
    <cfRule type="expression" dxfId="208" priority="209">
      <formula>AND(IF(COUNTIF($K815, "BME*"),TRUE,FALSE), OR($H815=2,$H815=8, $H815=10, $H815=11))</formula>
    </cfRule>
  </conditionalFormatting>
  <conditionalFormatting sqref="K767:K798">
    <cfRule type="expression" dxfId="207" priority="208">
      <formula>AND(IF(COUNTIF($K767, "BME*"),TRUE,FALSE), OR($H767=2,$H767=8, $H767=10, $H767=11))</formula>
    </cfRule>
  </conditionalFormatting>
  <conditionalFormatting sqref="K839:K842">
    <cfRule type="expression" dxfId="206" priority="207">
      <formula>AND(IF(COUNTIF($K839, "BME*"),TRUE,FALSE), OR($H839=2,$H839=8, $H839=10, $H839=11))</formula>
    </cfRule>
  </conditionalFormatting>
  <conditionalFormatting sqref="K843:K846">
    <cfRule type="expression" dxfId="205" priority="206">
      <formula>AND(IF(COUNTIF($K843, "BME*"),TRUE,FALSE), OR($H843=2,$H843=8, $H843=10, $H843=11))</formula>
    </cfRule>
  </conditionalFormatting>
  <conditionalFormatting sqref="K831:K834">
    <cfRule type="expression" dxfId="204" priority="205">
      <formula>AND(IF(COUNTIF($K831, "BME*"),TRUE,FALSE), OR($H831=2,$H831=8, $H831=10, $H831=11))</formula>
    </cfRule>
  </conditionalFormatting>
  <conditionalFormatting sqref="K835:K838">
    <cfRule type="expression" dxfId="203" priority="204">
      <formula>AND(IF(COUNTIF($K835, "BME*"),TRUE,FALSE), OR($H835=2,$H835=8, $H835=10, $H835=11))</formula>
    </cfRule>
  </conditionalFormatting>
  <conditionalFormatting sqref="K823:K826">
    <cfRule type="expression" dxfId="202" priority="203">
      <formula>AND(IF(COUNTIF($K823, "BME*"),TRUE,FALSE), OR($H823=2,$H823=8, $H823=10, $H823=11))</formula>
    </cfRule>
  </conditionalFormatting>
  <conditionalFormatting sqref="K827:K830">
    <cfRule type="expression" dxfId="201" priority="202">
      <formula>AND(IF(COUNTIF($K827, "BME*"),TRUE,FALSE), OR($H827=2,$H827=8, $H827=10, $H827=11))</formula>
    </cfRule>
  </conditionalFormatting>
  <conditionalFormatting sqref="K902:K904">
    <cfRule type="expression" dxfId="200" priority="201">
      <formula>AND(IF(COUNTIF($K902, "BME*"),TRUE,FALSE), OR($H902=2,$H902=8, $H902=10, $H902=11))</formula>
    </cfRule>
  </conditionalFormatting>
  <conditionalFormatting sqref="K895:K900">
    <cfRule type="expression" dxfId="199" priority="200">
      <formula>AND(IF(COUNTIF($K895, "BME*"),TRUE,FALSE), OR($H895=2,$H895=8, $H895=10, $H895=11))</formula>
    </cfRule>
  </conditionalFormatting>
  <conditionalFormatting sqref="K901">
    <cfRule type="expression" dxfId="198" priority="199">
      <formula>AND(IF(COUNTIF($K901, "BME*"),TRUE,FALSE), OR($H901=2,$H901=8, $H901=10, $H901=11))</formula>
    </cfRule>
  </conditionalFormatting>
  <conditionalFormatting sqref="K894">
    <cfRule type="expression" dxfId="197" priority="197">
      <formula>AND(IF(COUNTIF($K894, "BME*"),TRUE,FALSE), OR($H893=2,$H893=8, $H893=10, $H893=11))</formula>
    </cfRule>
  </conditionalFormatting>
  <conditionalFormatting sqref="K893">
    <cfRule type="expression" dxfId="196" priority="198">
      <formula>AND(IF(COUNTIF($K893, "BME*"),TRUE,FALSE), OR($H894=2,$H894=8, $H894=10, $H894=11))</formula>
    </cfRule>
  </conditionalFormatting>
  <conditionalFormatting sqref="K892">
    <cfRule type="expression" dxfId="195" priority="196">
      <formula>AND(IF(COUNTIF($K890, "BME*"),TRUE,FALSE), OR($H892=2,$H892=8, $H892=10, $H892=11))</formula>
    </cfRule>
  </conditionalFormatting>
  <conditionalFormatting sqref="K920:K922">
    <cfRule type="expression" dxfId="194" priority="195">
      <formula>AND(IF(COUNTIF($K920, "BME*"),TRUE,FALSE), OR($H920=2,$H920=8, $H920=10, $H920=11))</formula>
    </cfRule>
  </conditionalFormatting>
  <conditionalFormatting sqref="K913:K918">
    <cfRule type="expression" dxfId="193" priority="194">
      <formula>AND(IF(COUNTIF($K913, "BME*"),TRUE,FALSE), OR($H913=2,$H913=8, $H913=10, $H913=11))</formula>
    </cfRule>
  </conditionalFormatting>
  <conditionalFormatting sqref="K919">
    <cfRule type="expression" dxfId="192" priority="193">
      <formula>AND(IF(COUNTIF($K919, "BME*"),TRUE,FALSE), OR($H919=2,$H919=8, $H919=10, $H919=11))</formula>
    </cfRule>
  </conditionalFormatting>
  <conditionalFormatting sqref="K912">
    <cfRule type="expression" dxfId="191" priority="191">
      <formula>AND(IF(COUNTIF($K912, "BME*"),TRUE,FALSE), OR($H911=2,$H911=8, $H911=10, $H911=11))</formula>
    </cfRule>
  </conditionalFormatting>
  <conditionalFormatting sqref="K911">
    <cfRule type="expression" dxfId="190" priority="192">
      <formula>AND(IF(COUNTIF($K911, "BME*"),TRUE,FALSE), OR($H912=2,$H912=8, $H912=10, $H912=11))</formula>
    </cfRule>
  </conditionalFormatting>
  <conditionalFormatting sqref="K910">
    <cfRule type="expression" dxfId="189" priority="190">
      <formula>AND(IF(COUNTIF($K908, "BME*"),TRUE,FALSE), OR($H910=2,$H910=8, $H910=10, $H910=11))</formula>
    </cfRule>
  </conditionalFormatting>
  <conditionalFormatting sqref="K938:K940">
    <cfRule type="expression" dxfId="188" priority="189">
      <formula>AND(IF(COUNTIF($K938, "BME*"),TRUE,FALSE), OR($H938=2,$H938=8, $H938=10, $H938=11))</formula>
    </cfRule>
  </conditionalFormatting>
  <conditionalFormatting sqref="K931:K936">
    <cfRule type="expression" dxfId="187" priority="188">
      <formula>AND(IF(COUNTIF($K931, "BME*"),TRUE,FALSE), OR($H931=2,$H931=8, $H931=10, $H931=11))</formula>
    </cfRule>
  </conditionalFormatting>
  <conditionalFormatting sqref="K937">
    <cfRule type="expression" dxfId="186" priority="187">
      <formula>AND(IF(COUNTIF($K937, "BME*"),TRUE,FALSE), OR($H937=2,$H937=8, $H937=10, $H937=11))</formula>
    </cfRule>
  </conditionalFormatting>
  <conditionalFormatting sqref="K930">
    <cfRule type="expression" dxfId="185" priority="185">
      <formula>AND(IF(COUNTIF($K930, "BME*"),TRUE,FALSE), OR($H929=2,$H929=8, $H929=10, $H929=11))</formula>
    </cfRule>
  </conditionalFormatting>
  <conditionalFormatting sqref="K929">
    <cfRule type="expression" dxfId="184" priority="186">
      <formula>AND(IF(COUNTIF($K929, "BME*"),TRUE,FALSE), OR($H930=2,$H930=8, $H930=10, $H930=11))</formula>
    </cfRule>
  </conditionalFormatting>
  <conditionalFormatting sqref="K928">
    <cfRule type="expression" dxfId="183" priority="184">
      <formula>AND(IF(COUNTIF($K926, "BME*"),TRUE,FALSE), OR($H928=2,$H928=8, $H928=10, $H928=11))</formula>
    </cfRule>
  </conditionalFormatting>
  <conditionalFormatting sqref="K956:K958">
    <cfRule type="expression" dxfId="182" priority="183">
      <formula>AND(IF(COUNTIF($K956, "BME*"),TRUE,FALSE), OR($H956=2,$H956=8, $H956=10, $H956=11))</formula>
    </cfRule>
  </conditionalFormatting>
  <conditionalFormatting sqref="K949:K954">
    <cfRule type="expression" dxfId="181" priority="182">
      <formula>AND(IF(COUNTIF($K949, "BME*"),TRUE,FALSE), OR($H949=2,$H949=8, $H949=10, $H949=11))</formula>
    </cfRule>
  </conditionalFormatting>
  <conditionalFormatting sqref="K955">
    <cfRule type="expression" dxfId="180" priority="181">
      <formula>AND(IF(COUNTIF($K955, "BME*"),TRUE,FALSE), OR($H955=2,$H955=8, $H955=10, $H955=11))</formula>
    </cfRule>
  </conditionalFormatting>
  <conditionalFormatting sqref="K948">
    <cfRule type="expression" dxfId="179" priority="179">
      <formula>AND(IF(COUNTIF($K948, "BME*"),TRUE,FALSE), OR($H947=2,$H947=8, $H947=10, $H947=11))</formula>
    </cfRule>
  </conditionalFormatting>
  <conditionalFormatting sqref="K947">
    <cfRule type="expression" dxfId="178" priority="180">
      <formula>AND(IF(COUNTIF($K947, "BME*"),TRUE,FALSE), OR($H948=2,$H948=8, $H948=10, $H948=11))</formula>
    </cfRule>
  </conditionalFormatting>
  <conditionalFormatting sqref="K946">
    <cfRule type="expression" dxfId="177" priority="178">
      <formula>AND(IF(COUNTIF($K944, "BME*"),TRUE,FALSE), OR($H946=2,$H946=8, $H946=10, $H946=11))</formula>
    </cfRule>
  </conditionalFormatting>
  <conditionalFormatting sqref="K974:K976">
    <cfRule type="expression" dxfId="176" priority="177">
      <formula>AND(IF(COUNTIF($K974, "BME*"),TRUE,FALSE), OR($H974=2,$H974=8, $H974=10, $H974=11))</formula>
    </cfRule>
  </conditionalFormatting>
  <conditionalFormatting sqref="K967:K972">
    <cfRule type="expression" dxfId="175" priority="176">
      <formula>AND(IF(COUNTIF($K967, "BME*"),TRUE,FALSE), OR($H967=2,$H967=8, $H967=10, $H967=11))</formula>
    </cfRule>
  </conditionalFormatting>
  <conditionalFormatting sqref="K973">
    <cfRule type="expression" dxfId="174" priority="175">
      <formula>AND(IF(COUNTIF($K973, "BME*"),TRUE,FALSE), OR($H973=2,$H973=8, $H973=10, $H973=11))</formula>
    </cfRule>
  </conditionalFormatting>
  <conditionalFormatting sqref="K966">
    <cfRule type="expression" dxfId="173" priority="173">
      <formula>AND(IF(COUNTIF($K966, "BME*"),TRUE,FALSE), OR($H965=2,$H965=8, $H965=10, $H965=11))</formula>
    </cfRule>
  </conditionalFormatting>
  <conditionalFormatting sqref="K965">
    <cfRule type="expression" dxfId="172" priority="174">
      <formula>AND(IF(COUNTIF($K965, "BME*"),TRUE,FALSE), OR($H966=2,$H966=8, $H966=10, $H966=11))</formula>
    </cfRule>
  </conditionalFormatting>
  <conditionalFormatting sqref="K964">
    <cfRule type="expression" dxfId="171" priority="172">
      <formula>AND(IF(COUNTIF($K962, "BME*"),TRUE,FALSE), OR($H964=2,$H964=8, $H964=10, $H964=11))</formula>
    </cfRule>
  </conditionalFormatting>
  <conditionalFormatting sqref="K992:K994">
    <cfRule type="expression" dxfId="170" priority="171">
      <formula>AND(IF(COUNTIF($K992, "BME*"),TRUE,FALSE), OR($H992=2,$H992=8, $H992=10, $H992=11))</formula>
    </cfRule>
  </conditionalFormatting>
  <conditionalFormatting sqref="K985:K990">
    <cfRule type="expression" dxfId="169" priority="170">
      <formula>AND(IF(COUNTIF($K985, "BME*"),TRUE,FALSE), OR($H985=2,$H985=8, $H985=10, $H985=11))</formula>
    </cfRule>
  </conditionalFormatting>
  <conditionalFormatting sqref="K991">
    <cfRule type="expression" dxfId="168" priority="169">
      <formula>AND(IF(COUNTIF($K991, "BME*"),TRUE,FALSE), OR($H991=2,$H991=8, $H991=10, $H991=11))</formula>
    </cfRule>
  </conditionalFormatting>
  <conditionalFormatting sqref="K984">
    <cfRule type="expression" dxfId="167" priority="167">
      <formula>AND(IF(COUNTIF($K984, "BME*"),TRUE,FALSE), OR($H983=2,$H983=8, $H983=10, $H983=11))</formula>
    </cfRule>
  </conditionalFormatting>
  <conditionalFormatting sqref="K983">
    <cfRule type="expression" dxfId="166" priority="168">
      <formula>AND(IF(COUNTIF($K983, "BME*"),TRUE,FALSE), OR($H984=2,$H984=8, $H984=10, $H984=11))</formula>
    </cfRule>
  </conditionalFormatting>
  <conditionalFormatting sqref="K982">
    <cfRule type="expression" dxfId="165" priority="166">
      <formula>AND(IF(COUNTIF($K980, "BME*"),TRUE,FALSE), OR($H982=2,$H982=8, $H982=10, $H982=11))</formula>
    </cfRule>
  </conditionalFormatting>
  <conditionalFormatting sqref="K1010:K1012">
    <cfRule type="expression" dxfId="164" priority="165">
      <formula>AND(IF(COUNTIF($K1010, "BME*"),TRUE,FALSE), OR($H1010=2,$H1010=8, $H1010=10, $H1010=11))</formula>
    </cfRule>
  </conditionalFormatting>
  <conditionalFormatting sqref="K1003:K1008">
    <cfRule type="expression" dxfId="163" priority="164">
      <formula>AND(IF(COUNTIF($K1003, "BME*"),TRUE,FALSE), OR($H1003=2,$H1003=8, $H1003=10, $H1003=11))</formula>
    </cfRule>
  </conditionalFormatting>
  <conditionalFormatting sqref="K1009">
    <cfRule type="expression" dxfId="162" priority="163">
      <formula>AND(IF(COUNTIF($K1009, "BME*"),TRUE,FALSE), OR($H1009=2,$H1009=8, $H1009=10, $H1009=11))</formula>
    </cfRule>
  </conditionalFormatting>
  <conditionalFormatting sqref="K1002">
    <cfRule type="expression" dxfId="161" priority="161">
      <formula>AND(IF(COUNTIF($K1002, "BME*"),TRUE,FALSE), OR($H1001=2,$H1001=8, $H1001=10, $H1001=11))</formula>
    </cfRule>
  </conditionalFormatting>
  <conditionalFormatting sqref="K1001">
    <cfRule type="expression" dxfId="160" priority="162">
      <formula>AND(IF(COUNTIF($K1001, "BME*"),TRUE,FALSE), OR($H1002=2,$H1002=8, $H1002=10, $H1002=11))</formula>
    </cfRule>
  </conditionalFormatting>
  <conditionalFormatting sqref="K1000">
    <cfRule type="expression" dxfId="159" priority="160">
      <formula>AND(IF(COUNTIF($K998, "BME*"),TRUE,FALSE), OR($H1000=2,$H1000=8, $H1000=10, $H1000=11))</formula>
    </cfRule>
  </conditionalFormatting>
  <conditionalFormatting sqref="K1028:K1030">
    <cfRule type="expression" dxfId="158" priority="159">
      <formula>AND(IF(COUNTIF($K1028, "BME*"),TRUE,FALSE), OR($H1028=2,$H1028=8, $H1028=10, $H1028=11))</formula>
    </cfRule>
  </conditionalFormatting>
  <conditionalFormatting sqref="K1021:K1026">
    <cfRule type="expression" dxfId="157" priority="158">
      <formula>AND(IF(COUNTIF($K1021, "BME*"),TRUE,FALSE), OR($H1021=2,$H1021=8, $H1021=10, $H1021=11))</formula>
    </cfRule>
  </conditionalFormatting>
  <conditionalFormatting sqref="K1027">
    <cfRule type="expression" dxfId="156" priority="157">
      <formula>AND(IF(COUNTIF($K1027, "BME*"),TRUE,FALSE), OR($H1027=2,$H1027=8, $H1027=10, $H1027=11))</formula>
    </cfRule>
  </conditionalFormatting>
  <conditionalFormatting sqref="K1020">
    <cfRule type="expression" dxfId="155" priority="155">
      <formula>AND(IF(COUNTIF($K1020, "BME*"),TRUE,FALSE), OR($H1019=2,$H1019=8, $H1019=10, $H1019=11))</formula>
    </cfRule>
  </conditionalFormatting>
  <conditionalFormatting sqref="K1019">
    <cfRule type="expression" dxfId="154" priority="156">
      <formula>AND(IF(COUNTIF($K1019, "BME*"),TRUE,FALSE), OR($H1020=2,$H1020=8, $H1020=10, $H1020=11))</formula>
    </cfRule>
  </conditionalFormatting>
  <conditionalFormatting sqref="K1018">
    <cfRule type="expression" dxfId="153" priority="154">
      <formula>AND(IF(COUNTIF($K1016, "BME*"),TRUE,FALSE), OR($H1018=2,$H1018=8, $H1018=10, $H1018=11))</formula>
    </cfRule>
  </conditionalFormatting>
  <conditionalFormatting sqref="K1046:K1048">
    <cfRule type="expression" dxfId="152" priority="153">
      <formula>AND(IF(COUNTIF($K1046, "BME*"),TRUE,FALSE), OR($H1046=2,$H1046=8, $H1046=10, $H1046=11))</formula>
    </cfRule>
  </conditionalFormatting>
  <conditionalFormatting sqref="K1039:K1044">
    <cfRule type="expression" dxfId="151" priority="152">
      <formula>AND(IF(COUNTIF($K1039, "BME*"),TRUE,FALSE), OR($H1039=2,$H1039=8, $H1039=10, $H1039=11))</formula>
    </cfRule>
  </conditionalFormatting>
  <conditionalFormatting sqref="K1045">
    <cfRule type="expression" dxfId="150" priority="151">
      <formula>AND(IF(COUNTIF($K1045, "BME*"),TRUE,FALSE), OR($H1045=2,$H1045=8, $H1045=10, $H1045=11))</formula>
    </cfRule>
  </conditionalFormatting>
  <conditionalFormatting sqref="K1038">
    <cfRule type="expression" dxfId="149" priority="149">
      <formula>AND(IF(COUNTIF($K1038, "BME*"),TRUE,FALSE), OR($H1037=2,$H1037=8, $H1037=10, $H1037=11))</formula>
    </cfRule>
  </conditionalFormatting>
  <conditionalFormatting sqref="K1037">
    <cfRule type="expression" dxfId="148" priority="150">
      <formula>AND(IF(COUNTIF($K1037, "BME*"),TRUE,FALSE), OR($H1038=2,$H1038=8, $H1038=10, $H1038=11))</formula>
    </cfRule>
  </conditionalFormatting>
  <conditionalFormatting sqref="K1036">
    <cfRule type="expression" dxfId="147" priority="148">
      <formula>AND(IF(COUNTIF($K1034, "BME*"),TRUE,FALSE), OR($H1036=2,$H1036=8, $H1036=10, $H1036=11))</formula>
    </cfRule>
  </conditionalFormatting>
  <conditionalFormatting sqref="K1064:K1066">
    <cfRule type="expression" dxfId="146" priority="147">
      <formula>AND(IF(COUNTIF($K1064, "BME*"),TRUE,FALSE), OR($H1064=2,$H1064=8, $H1064=10, $H1064=11))</formula>
    </cfRule>
  </conditionalFormatting>
  <conditionalFormatting sqref="K1057:K1062">
    <cfRule type="expression" dxfId="145" priority="146">
      <formula>AND(IF(COUNTIF($K1057, "BME*"),TRUE,FALSE), OR($H1057=2,$H1057=8, $H1057=10, $H1057=11))</formula>
    </cfRule>
  </conditionalFormatting>
  <conditionalFormatting sqref="K1063">
    <cfRule type="expression" dxfId="144" priority="145">
      <formula>AND(IF(COUNTIF($K1063, "BME*"),TRUE,FALSE), OR($H1063=2,$H1063=8, $H1063=10, $H1063=11))</formula>
    </cfRule>
  </conditionalFormatting>
  <conditionalFormatting sqref="K1056">
    <cfRule type="expression" dxfId="143" priority="143">
      <formula>AND(IF(COUNTIF($K1056, "BME*"),TRUE,FALSE), OR($H1055=2,$H1055=8, $H1055=10, $H1055=11))</formula>
    </cfRule>
  </conditionalFormatting>
  <conditionalFormatting sqref="K1055">
    <cfRule type="expression" dxfId="142" priority="144">
      <formula>AND(IF(COUNTIF($K1055, "BME*"),TRUE,FALSE), OR($H1056=2,$H1056=8, $H1056=10, $H1056=11))</formula>
    </cfRule>
  </conditionalFormatting>
  <conditionalFormatting sqref="K1054">
    <cfRule type="expression" dxfId="141" priority="142">
      <formula>AND(IF(COUNTIF($K1052, "BME*"),TRUE,FALSE), OR($H1054=2,$H1054=8, $H1054=10, $H1054=11))</formula>
    </cfRule>
  </conditionalFormatting>
  <conditionalFormatting sqref="K1082:K1084">
    <cfRule type="expression" dxfId="140" priority="141">
      <formula>AND(IF(COUNTIF($K1082, "BME*"),TRUE,FALSE), OR($H1082=2,$H1082=8, $H1082=10, $H1082=11))</formula>
    </cfRule>
  </conditionalFormatting>
  <conditionalFormatting sqref="K1075:K1080">
    <cfRule type="expression" dxfId="139" priority="140">
      <formula>AND(IF(COUNTIF($K1075, "BME*"),TRUE,FALSE), OR($H1075=2,$H1075=8, $H1075=10, $H1075=11))</formula>
    </cfRule>
  </conditionalFormatting>
  <conditionalFormatting sqref="K1081">
    <cfRule type="expression" dxfId="138" priority="139">
      <formula>AND(IF(COUNTIF($K1081, "BME*"),TRUE,FALSE), OR($H1081=2,$H1081=8, $H1081=10, $H1081=11))</formula>
    </cfRule>
  </conditionalFormatting>
  <conditionalFormatting sqref="K1074">
    <cfRule type="expression" dxfId="137" priority="137">
      <formula>AND(IF(COUNTIF($K1074, "BME*"),TRUE,FALSE), OR($H1073=2,$H1073=8, $H1073=10, $H1073=11))</formula>
    </cfRule>
  </conditionalFormatting>
  <conditionalFormatting sqref="K1073">
    <cfRule type="expression" dxfId="136" priority="138">
      <formula>AND(IF(COUNTIF($K1073, "BME*"),TRUE,FALSE), OR($H1074=2,$H1074=8, $H1074=10, $H1074=11))</formula>
    </cfRule>
  </conditionalFormatting>
  <conditionalFormatting sqref="K1072">
    <cfRule type="expression" dxfId="135" priority="136">
      <formula>AND(IF(COUNTIF($K1070, "BME*"),TRUE,FALSE), OR($H1072=2,$H1072=8, $H1072=10, $H1072=11))</formula>
    </cfRule>
  </conditionalFormatting>
  <conditionalFormatting sqref="K1100:K1102">
    <cfRule type="expression" dxfId="134" priority="135">
      <formula>AND(IF(COUNTIF($K1100, "BME*"),TRUE,FALSE), OR($H1100=2,$H1100=8, $H1100=10, $H1100=11))</formula>
    </cfRule>
  </conditionalFormatting>
  <conditionalFormatting sqref="K1093:K1098">
    <cfRule type="expression" dxfId="133" priority="134">
      <formula>AND(IF(COUNTIF($K1093, "BME*"),TRUE,FALSE), OR($H1093=2,$H1093=8, $H1093=10, $H1093=11))</formula>
    </cfRule>
  </conditionalFormatting>
  <conditionalFormatting sqref="K1099">
    <cfRule type="expression" dxfId="132" priority="133">
      <formula>AND(IF(COUNTIF($K1099, "BME*"),TRUE,FALSE), OR($H1099=2,$H1099=8, $H1099=10, $H1099=11))</formula>
    </cfRule>
  </conditionalFormatting>
  <conditionalFormatting sqref="K1092">
    <cfRule type="expression" dxfId="131" priority="131">
      <formula>AND(IF(COUNTIF($K1092, "BME*"),TRUE,FALSE), OR($H1091=2,$H1091=8, $H1091=10, $H1091=11))</formula>
    </cfRule>
  </conditionalFormatting>
  <conditionalFormatting sqref="K1091">
    <cfRule type="expression" dxfId="130" priority="132">
      <formula>AND(IF(COUNTIF($K1091, "BME*"),TRUE,FALSE), OR($H1092=2,$H1092=8, $H1092=10, $H1092=11))</formula>
    </cfRule>
  </conditionalFormatting>
  <conditionalFormatting sqref="K1090">
    <cfRule type="expression" dxfId="129" priority="130">
      <formula>AND(IF(COUNTIF($K1088, "BME*"),TRUE,FALSE), OR($H1090=2,$H1090=8, $H1090=10, $H1090=11))</formula>
    </cfRule>
  </conditionalFormatting>
  <conditionalFormatting sqref="K1118:K1120">
    <cfRule type="expression" dxfId="128" priority="129">
      <formula>AND(IF(COUNTIF($K1118, "BME*"),TRUE,FALSE), OR($H1118=2,$H1118=8, $H1118=10, $H1118=11))</formula>
    </cfRule>
  </conditionalFormatting>
  <conditionalFormatting sqref="K1111:K1116">
    <cfRule type="expression" dxfId="127" priority="128">
      <formula>AND(IF(COUNTIF($K1111, "BME*"),TRUE,FALSE), OR($H1111=2,$H1111=8, $H1111=10, $H1111=11))</formula>
    </cfRule>
  </conditionalFormatting>
  <conditionalFormatting sqref="K1117">
    <cfRule type="expression" dxfId="126" priority="127">
      <formula>AND(IF(COUNTIF($K1117, "BME*"),TRUE,FALSE), OR($H1117=2,$H1117=8, $H1117=10, $H1117=11))</formula>
    </cfRule>
  </conditionalFormatting>
  <conditionalFormatting sqref="K1110">
    <cfRule type="expression" dxfId="125" priority="125">
      <formula>AND(IF(COUNTIF($K1110, "BME*"),TRUE,FALSE), OR($H1109=2,$H1109=8, $H1109=10, $H1109=11))</formula>
    </cfRule>
  </conditionalFormatting>
  <conditionalFormatting sqref="K1109">
    <cfRule type="expression" dxfId="124" priority="126">
      <formula>AND(IF(COUNTIF($K1109, "BME*"),TRUE,FALSE), OR($H1110=2,$H1110=8, $H1110=10, $H1110=11))</formula>
    </cfRule>
  </conditionalFormatting>
  <conditionalFormatting sqref="K1108">
    <cfRule type="expression" dxfId="123" priority="124">
      <formula>AND(IF(COUNTIF($K1106, "BME*"),TRUE,FALSE), OR($H1108=2,$H1108=8, $H1108=10, $H1108=11))</formula>
    </cfRule>
  </conditionalFormatting>
  <conditionalFormatting sqref="K1136:K1138">
    <cfRule type="expression" dxfId="122" priority="123">
      <formula>AND(IF(COUNTIF($K1136, "BME*"),TRUE,FALSE), OR($H1136=2,$H1136=8, $H1136=10, $H1136=11))</formula>
    </cfRule>
  </conditionalFormatting>
  <conditionalFormatting sqref="K1129:K1134">
    <cfRule type="expression" dxfId="121" priority="122">
      <formula>AND(IF(COUNTIF($K1129, "BME*"),TRUE,FALSE), OR($H1129=2,$H1129=8, $H1129=10, $H1129=11))</formula>
    </cfRule>
  </conditionalFormatting>
  <conditionalFormatting sqref="K1135">
    <cfRule type="expression" dxfId="120" priority="121">
      <formula>AND(IF(COUNTIF($K1135, "BME*"),TRUE,FALSE), OR($H1135=2,$H1135=8, $H1135=10, $H1135=11))</formula>
    </cfRule>
  </conditionalFormatting>
  <conditionalFormatting sqref="K1128">
    <cfRule type="expression" dxfId="119" priority="119">
      <formula>AND(IF(COUNTIF($K1128, "BME*"),TRUE,FALSE), OR($H1127=2,$H1127=8, $H1127=10, $H1127=11))</formula>
    </cfRule>
  </conditionalFormatting>
  <conditionalFormatting sqref="K1127">
    <cfRule type="expression" dxfId="118" priority="120">
      <formula>AND(IF(COUNTIF($K1127, "BME*"),TRUE,FALSE), OR($H1128=2,$H1128=8, $H1128=10, $H1128=11))</formula>
    </cfRule>
  </conditionalFormatting>
  <conditionalFormatting sqref="K1126">
    <cfRule type="expression" dxfId="117" priority="118">
      <formula>AND(IF(COUNTIF($K1124, "BME*"),TRUE,FALSE), OR($H1126=2,$H1126=8, $H1126=10, $H1126=11))</formula>
    </cfRule>
  </conditionalFormatting>
  <conditionalFormatting sqref="K1154:K1156">
    <cfRule type="expression" dxfId="116" priority="117">
      <formula>AND(IF(COUNTIF($K1154, "BME*"),TRUE,FALSE), OR($H1154=2,$H1154=8, $H1154=10, $H1154=11))</formula>
    </cfRule>
  </conditionalFormatting>
  <conditionalFormatting sqref="K1147:K1152">
    <cfRule type="expression" dxfId="115" priority="116">
      <formula>AND(IF(COUNTIF($K1147, "BME*"),TRUE,FALSE), OR($H1147=2,$H1147=8, $H1147=10, $H1147=11))</formula>
    </cfRule>
  </conditionalFormatting>
  <conditionalFormatting sqref="K1153">
    <cfRule type="expression" dxfId="114" priority="115">
      <formula>AND(IF(COUNTIF($K1153, "BME*"),TRUE,FALSE), OR($H1153=2,$H1153=8, $H1153=10, $H1153=11))</formula>
    </cfRule>
  </conditionalFormatting>
  <conditionalFormatting sqref="K1146">
    <cfRule type="expression" dxfId="113" priority="113">
      <formula>AND(IF(COUNTIF($K1146, "BME*"),TRUE,FALSE), OR($H1145=2,$H1145=8, $H1145=10, $H1145=11))</formula>
    </cfRule>
  </conditionalFormatting>
  <conditionalFormatting sqref="K1145">
    <cfRule type="expression" dxfId="112" priority="114">
      <formula>AND(IF(COUNTIF($K1145, "BME*"),TRUE,FALSE), OR($H1146=2,$H1146=8, $H1146=10, $H1146=11))</formula>
    </cfRule>
  </conditionalFormatting>
  <conditionalFormatting sqref="K1144">
    <cfRule type="expression" dxfId="111" priority="112">
      <formula>AND(IF(COUNTIF($K1142, "BME*"),TRUE,FALSE), OR($H1144=2,$H1144=8, $H1144=10, $H1144=11))</formula>
    </cfRule>
  </conditionalFormatting>
  <conditionalFormatting sqref="K1172:K1174">
    <cfRule type="expression" dxfId="110" priority="111">
      <formula>AND(IF(COUNTIF($K1172, "BME*"),TRUE,FALSE), OR($H1172=2,$H1172=8, $H1172=10, $H1172=11))</formula>
    </cfRule>
  </conditionalFormatting>
  <conditionalFormatting sqref="K1165:K1170">
    <cfRule type="expression" dxfId="109" priority="110">
      <formula>AND(IF(COUNTIF($K1165, "BME*"),TRUE,FALSE), OR($H1165=2,$H1165=8, $H1165=10, $H1165=11))</formula>
    </cfRule>
  </conditionalFormatting>
  <conditionalFormatting sqref="K1171">
    <cfRule type="expression" dxfId="108" priority="109">
      <formula>AND(IF(COUNTIF($K1171, "BME*"),TRUE,FALSE), OR($H1171=2,$H1171=8, $H1171=10, $H1171=11))</formula>
    </cfRule>
  </conditionalFormatting>
  <conditionalFormatting sqref="K1164">
    <cfRule type="expression" dxfId="107" priority="107">
      <formula>AND(IF(COUNTIF($K1164, "BME*"),TRUE,FALSE), OR($H1163=2,$H1163=8, $H1163=10, $H1163=11))</formula>
    </cfRule>
  </conditionalFormatting>
  <conditionalFormatting sqref="K1163">
    <cfRule type="expression" dxfId="106" priority="108">
      <formula>AND(IF(COUNTIF($K1163, "BME*"),TRUE,FALSE), OR($H1164=2,$H1164=8, $H1164=10, $H1164=11))</formula>
    </cfRule>
  </conditionalFormatting>
  <conditionalFormatting sqref="K1162">
    <cfRule type="expression" dxfId="105" priority="106">
      <formula>AND(IF(COUNTIF($K1160, "BME*"),TRUE,FALSE), OR($H1162=2,$H1162=8, $H1162=10, $H1162=11))</formula>
    </cfRule>
  </conditionalFormatting>
  <conditionalFormatting sqref="K1190:K1192">
    <cfRule type="expression" dxfId="104" priority="105">
      <formula>AND(IF(COUNTIF($K1190, "BME*"),TRUE,FALSE), OR($H1190=2,$H1190=8, $H1190=10, $H1190=11))</formula>
    </cfRule>
  </conditionalFormatting>
  <conditionalFormatting sqref="K1183:K1188">
    <cfRule type="expression" dxfId="103" priority="104">
      <formula>AND(IF(COUNTIF($K1183, "BME*"),TRUE,FALSE), OR($H1183=2,$H1183=8, $H1183=10, $H1183=11))</formula>
    </cfRule>
  </conditionalFormatting>
  <conditionalFormatting sqref="K1189">
    <cfRule type="expression" dxfId="102" priority="103">
      <formula>AND(IF(COUNTIF($K1189, "BME*"),TRUE,FALSE), OR($H1189=2,$H1189=8, $H1189=10, $H1189=11))</formula>
    </cfRule>
  </conditionalFormatting>
  <conditionalFormatting sqref="K1182">
    <cfRule type="expression" dxfId="101" priority="101">
      <formula>AND(IF(COUNTIF($K1182, "BME*"),TRUE,FALSE), OR($H1181=2,$H1181=8, $H1181=10, $H1181=11))</formula>
    </cfRule>
  </conditionalFormatting>
  <conditionalFormatting sqref="K1181">
    <cfRule type="expression" dxfId="100" priority="102">
      <formula>AND(IF(COUNTIF($K1181, "BME*"),TRUE,FALSE), OR($H1182=2,$H1182=8, $H1182=10, $H1182=11))</formula>
    </cfRule>
  </conditionalFormatting>
  <conditionalFormatting sqref="K1180">
    <cfRule type="expression" dxfId="99" priority="100">
      <formula>AND(IF(COUNTIF($K1178, "BME*"),TRUE,FALSE), OR($H1180=2,$H1180=8, $H1180=10, $H1180=11))</formula>
    </cfRule>
  </conditionalFormatting>
  <conditionalFormatting sqref="K1208:K1210">
    <cfRule type="expression" dxfId="98" priority="99">
      <formula>AND(IF(COUNTIF($K1208, "BME*"),TRUE,FALSE), OR($H1208=2,$H1208=8, $H1208=10, $H1208=11))</formula>
    </cfRule>
  </conditionalFormatting>
  <conditionalFormatting sqref="K1201:K1206">
    <cfRule type="expression" dxfId="97" priority="98">
      <formula>AND(IF(COUNTIF($K1201, "BME*"),TRUE,FALSE), OR($H1201=2,$H1201=8, $H1201=10, $H1201=11))</formula>
    </cfRule>
  </conditionalFormatting>
  <conditionalFormatting sqref="K1207">
    <cfRule type="expression" dxfId="96" priority="97">
      <formula>AND(IF(COUNTIF($K1207, "BME*"),TRUE,FALSE), OR($H1207=2,$H1207=8, $H1207=10, $H1207=11))</formula>
    </cfRule>
  </conditionalFormatting>
  <conditionalFormatting sqref="K1200">
    <cfRule type="expression" dxfId="95" priority="95">
      <formula>AND(IF(COUNTIF($K1200, "BME*"),TRUE,FALSE), OR($H1199=2,$H1199=8, $H1199=10, $H1199=11))</formula>
    </cfRule>
  </conditionalFormatting>
  <conditionalFormatting sqref="K1199">
    <cfRule type="expression" dxfId="94" priority="96">
      <formula>AND(IF(COUNTIF($K1199, "BME*"),TRUE,FALSE), OR($H1200=2,$H1200=8, $H1200=10, $H1200=11))</formula>
    </cfRule>
  </conditionalFormatting>
  <conditionalFormatting sqref="K1198">
    <cfRule type="expression" dxfId="93" priority="94">
      <formula>AND(IF(COUNTIF($K1196, "BME*"),TRUE,FALSE), OR($H1198=2,$H1198=8, $H1198=10, $H1198=11))</formula>
    </cfRule>
  </conditionalFormatting>
  <conditionalFormatting sqref="K1226:K1228">
    <cfRule type="expression" dxfId="92" priority="93">
      <formula>AND(IF(COUNTIF($K1226, "BME*"),TRUE,FALSE), OR($H1226=2,$H1226=8, $H1226=10, $H1226=11))</formula>
    </cfRule>
  </conditionalFormatting>
  <conditionalFormatting sqref="K1219:K1224">
    <cfRule type="expression" dxfId="91" priority="92">
      <formula>AND(IF(COUNTIF($K1219, "BME*"),TRUE,FALSE), OR($H1219=2,$H1219=8, $H1219=10, $H1219=11))</formula>
    </cfRule>
  </conditionalFormatting>
  <conditionalFormatting sqref="K1225">
    <cfRule type="expression" dxfId="90" priority="91">
      <formula>AND(IF(COUNTIF($K1225, "BME*"),TRUE,FALSE), OR($H1225=2,$H1225=8, $H1225=10, $H1225=11))</formula>
    </cfRule>
  </conditionalFormatting>
  <conditionalFormatting sqref="K1218">
    <cfRule type="expression" dxfId="89" priority="89">
      <formula>AND(IF(COUNTIF($K1218, "BME*"),TRUE,FALSE), OR($H1217=2,$H1217=8, $H1217=10, $H1217=11))</formula>
    </cfRule>
  </conditionalFormatting>
  <conditionalFormatting sqref="K1217">
    <cfRule type="expression" dxfId="88" priority="90">
      <formula>AND(IF(COUNTIF($K1217, "BME*"),TRUE,FALSE), OR($H1218=2,$H1218=8, $H1218=10, $H1218=11))</formula>
    </cfRule>
  </conditionalFormatting>
  <conditionalFormatting sqref="K1216">
    <cfRule type="expression" dxfId="87" priority="88">
      <formula>AND(IF(COUNTIF($K1214, "BME*"),TRUE,FALSE), OR($H1216=2,$H1216=8, $H1216=10, $H1216=11))</formula>
    </cfRule>
  </conditionalFormatting>
  <conditionalFormatting sqref="K1244:K1246">
    <cfRule type="expression" dxfId="86" priority="87">
      <formula>AND(IF(COUNTIF($K1244, "BME*"),TRUE,FALSE), OR($H1244=2,$H1244=8, $H1244=10, $H1244=11))</formula>
    </cfRule>
  </conditionalFormatting>
  <conditionalFormatting sqref="K1237:K1242">
    <cfRule type="expression" dxfId="85" priority="86">
      <formula>AND(IF(COUNTIF($K1237, "BME*"),TRUE,FALSE), OR($H1237=2,$H1237=8, $H1237=10, $H1237=11))</formula>
    </cfRule>
  </conditionalFormatting>
  <conditionalFormatting sqref="K1243">
    <cfRule type="expression" dxfId="84" priority="85">
      <formula>AND(IF(COUNTIF($K1243, "BME*"),TRUE,FALSE), OR($H1243=2,$H1243=8, $H1243=10, $H1243=11))</formula>
    </cfRule>
  </conditionalFormatting>
  <conditionalFormatting sqref="K1236">
    <cfRule type="expression" dxfId="83" priority="83">
      <formula>AND(IF(COUNTIF($K1236, "BME*"),TRUE,FALSE), OR($H1235=2,$H1235=8, $H1235=10, $H1235=11))</formula>
    </cfRule>
  </conditionalFormatting>
  <conditionalFormatting sqref="K1235">
    <cfRule type="expression" dxfId="82" priority="84">
      <formula>AND(IF(COUNTIF($K1235, "BME*"),TRUE,FALSE), OR($H1236=2,$H1236=8, $H1236=10, $H1236=11))</formula>
    </cfRule>
  </conditionalFormatting>
  <conditionalFormatting sqref="K1234">
    <cfRule type="expression" dxfId="81" priority="82">
      <formula>AND(IF(COUNTIF($K1232, "BME*"),TRUE,FALSE), OR($H1234=2,$H1234=8, $H1234=10, $H1234=11))</formula>
    </cfRule>
  </conditionalFormatting>
  <conditionalFormatting sqref="K1255">
    <cfRule type="expression" dxfId="80" priority="81">
      <formula>AND(IF(COUNTIF($K1255, "BME*"),TRUE,FALSE), OR($H1255=2,$H1255=8, $H1255=10, $H1255=11))</formula>
    </cfRule>
  </conditionalFormatting>
  <conditionalFormatting sqref="K1256:K1287">
    <cfRule type="expression" dxfId="79" priority="80">
      <formula>AND(IF(COUNTIF($K1256, "BME*"),TRUE,FALSE), OR($H1256=2,$H1256=8, $H1256=10, $H1256=11))</formula>
    </cfRule>
  </conditionalFormatting>
  <conditionalFormatting sqref="K1311:K1313">
    <cfRule type="expression" dxfId="78" priority="79">
      <formula>AND(IF(COUNTIF($K1311, "BME*"),TRUE,FALSE), OR($H1311=2,$H1311=8, $H1311=10, $H1311=11))</formula>
    </cfRule>
  </conditionalFormatting>
  <conditionalFormatting sqref="K1304:K1309">
    <cfRule type="expression" dxfId="77" priority="78">
      <formula>AND(IF(COUNTIF($K1304, "BME*"),TRUE,FALSE), OR($H1304=2,$H1304=8, $H1304=10, $H1304=11))</formula>
    </cfRule>
  </conditionalFormatting>
  <conditionalFormatting sqref="K1310">
    <cfRule type="expression" dxfId="76" priority="77">
      <formula>AND(IF(COUNTIF($K1310, "BME*"),TRUE,FALSE), OR($H1310=2,$H1310=8, $H1310=10, $H1310=11))</formula>
    </cfRule>
  </conditionalFormatting>
  <conditionalFormatting sqref="K1303">
    <cfRule type="expression" dxfId="75" priority="75">
      <formula>AND(IF(COUNTIF($K1303, "BME*"),TRUE,FALSE), OR($H1302=2,$H1302=8, $H1302=10, $H1302=11))</formula>
    </cfRule>
  </conditionalFormatting>
  <conditionalFormatting sqref="K1302">
    <cfRule type="expression" dxfId="74" priority="76">
      <formula>AND(IF(COUNTIF($K1302, "BME*"),TRUE,FALSE), OR($H1303=2,$H1303=8, $H1303=10, $H1303=11))</formula>
    </cfRule>
  </conditionalFormatting>
  <conditionalFormatting sqref="K1301">
    <cfRule type="expression" dxfId="73" priority="74">
      <formula>AND(IF(COUNTIF($K1299, "BME*"),TRUE,FALSE), OR($H1301=2,$H1301=8, $H1301=10, $H1301=11))</formula>
    </cfRule>
  </conditionalFormatting>
  <conditionalFormatting sqref="K1329:K1331">
    <cfRule type="expression" dxfId="72" priority="73">
      <formula>AND(IF(COUNTIF($K1329, "BME*"),TRUE,FALSE), OR($H1329=2,$H1329=8, $H1329=10, $H1329=11))</formula>
    </cfRule>
  </conditionalFormatting>
  <conditionalFormatting sqref="K1322:K1327">
    <cfRule type="expression" dxfId="71" priority="72">
      <formula>AND(IF(COUNTIF($K1322, "BME*"),TRUE,FALSE), OR($H1322=2,$H1322=8, $H1322=10, $H1322=11))</formula>
    </cfRule>
  </conditionalFormatting>
  <conditionalFormatting sqref="K1328">
    <cfRule type="expression" dxfId="70" priority="71">
      <formula>AND(IF(COUNTIF($K1328, "BME*"),TRUE,FALSE), OR($H1328=2,$H1328=8, $H1328=10, $H1328=11))</formula>
    </cfRule>
  </conditionalFormatting>
  <conditionalFormatting sqref="K1321">
    <cfRule type="expression" dxfId="69" priority="69">
      <formula>AND(IF(COUNTIF($K1321, "BME*"),TRUE,FALSE), OR($H1320=2,$H1320=8, $H1320=10, $H1320=11))</formula>
    </cfRule>
  </conditionalFormatting>
  <conditionalFormatting sqref="K1320">
    <cfRule type="expression" dxfId="68" priority="70">
      <formula>AND(IF(COUNTIF($K1320, "BME*"),TRUE,FALSE), OR($H1321=2,$H1321=8, $H1321=10, $H1321=11))</formula>
    </cfRule>
  </conditionalFormatting>
  <conditionalFormatting sqref="K1319">
    <cfRule type="expression" dxfId="67" priority="68">
      <formula>AND(IF(COUNTIF($K1317, "BME*"),TRUE,FALSE), OR($H1319=2,$H1319=8, $H1319=10, $H1319=11))</formula>
    </cfRule>
  </conditionalFormatting>
  <conditionalFormatting sqref="K1347:K1349">
    <cfRule type="expression" dxfId="66" priority="67">
      <formula>AND(IF(COUNTIF($K1347, "BME*"),TRUE,FALSE), OR($H1347=2,$H1347=8, $H1347=10, $H1347=11))</formula>
    </cfRule>
  </conditionalFormatting>
  <conditionalFormatting sqref="K1340:K1345">
    <cfRule type="expression" dxfId="65" priority="66">
      <formula>AND(IF(COUNTIF($K1340, "BME*"),TRUE,FALSE), OR($H1340=2,$H1340=8, $H1340=10, $H1340=11))</formula>
    </cfRule>
  </conditionalFormatting>
  <conditionalFormatting sqref="K1346">
    <cfRule type="expression" dxfId="64" priority="65">
      <formula>AND(IF(COUNTIF($K1346, "BME*"),TRUE,FALSE), OR($H1346=2,$H1346=8, $H1346=10, $H1346=11))</formula>
    </cfRule>
  </conditionalFormatting>
  <conditionalFormatting sqref="K1339">
    <cfRule type="expression" dxfId="63" priority="63">
      <formula>AND(IF(COUNTIF($K1339, "BME*"),TRUE,FALSE), OR($H1338=2,$H1338=8, $H1338=10, $H1338=11))</formula>
    </cfRule>
  </conditionalFormatting>
  <conditionalFormatting sqref="K1338">
    <cfRule type="expression" dxfId="62" priority="64">
      <formula>AND(IF(COUNTIF($K1338, "BME*"),TRUE,FALSE), OR($H1339=2,$H1339=8, $H1339=10, $H1339=11))</formula>
    </cfRule>
  </conditionalFormatting>
  <conditionalFormatting sqref="K1337">
    <cfRule type="expression" dxfId="61" priority="62">
      <formula>AND(IF(COUNTIF($K1335, "BME*"),TRUE,FALSE), OR($H1337=2,$H1337=8, $H1337=10, $H1337=11))</formula>
    </cfRule>
  </conditionalFormatting>
  <conditionalFormatting sqref="K1355:K1357">
    <cfRule type="expression" dxfId="60" priority="61">
      <formula>AND(IF(COUNTIF($K1355, "BME*"),TRUE,FALSE), OR($H1355=2,$H1355=8, $H1355=10, $H1355=11))</formula>
    </cfRule>
  </conditionalFormatting>
  <conditionalFormatting sqref="K1358">
    <cfRule type="expression" dxfId="59" priority="60">
      <formula>AND(IF(COUNTIF($K1358, "BME*"),TRUE,FALSE), OR($H1358=2,$H1358=8, $H1358=10, $H1358=11))</formula>
    </cfRule>
  </conditionalFormatting>
  <conditionalFormatting sqref="K1359:K1390">
    <cfRule type="expression" dxfId="58" priority="59">
      <formula>AND(IF(COUNTIF($K1359, "BME*"),TRUE,FALSE), OR($H1359=2,$H1359=8, $H1359=10, $H1359=11))</formula>
    </cfRule>
  </conditionalFormatting>
  <conditionalFormatting sqref="K1403 K1417:K1419 K1421 K1435:K1437">
    <cfRule type="expression" dxfId="57" priority="58">
      <formula>AND(IF(COUNTIF($K1403, "BME*"),TRUE,FALSE), OR($H1403=2,$H1403=8, $H1403=10, $H1403=11))</formula>
    </cfRule>
  </conditionalFormatting>
  <conditionalFormatting sqref="K1414:K1416">
    <cfRule type="expression" dxfId="56" priority="57">
      <formula>AND(IF(COUNTIF($K1414, "BME*"),TRUE,FALSE), OR($H1414=2,$H1414=8, $H1414=10, $H1414=11))</formula>
    </cfRule>
  </conditionalFormatting>
  <conditionalFormatting sqref="K1407:K1412">
    <cfRule type="expression" dxfId="55" priority="56">
      <formula>AND(IF(COUNTIF($K1407, "BME*"),TRUE,FALSE), OR($H1407=2,$H1407=8, $H1407=10, $H1407=11))</formula>
    </cfRule>
  </conditionalFormatting>
  <conditionalFormatting sqref="K1413">
    <cfRule type="expression" dxfId="54" priority="55">
      <formula>AND(IF(COUNTIF($K1413, "BME*"),TRUE,FALSE), OR($H1413=2,$H1413=8, $H1413=10, $H1413=11))</formula>
    </cfRule>
  </conditionalFormatting>
  <conditionalFormatting sqref="K1406">
    <cfRule type="expression" dxfId="53" priority="53">
      <formula>AND(IF(COUNTIF($K1406, "BME*"),TRUE,FALSE), OR($H1405=2,$H1405=8, $H1405=10, $H1405=11))</formula>
    </cfRule>
  </conditionalFormatting>
  <conditionalFormatting sqref="K1405">
    <cfRule type="expression" dxfId="52" priority="54">
      <formula>AND(IF(COUNTIF($K1405, "BME*"),TRUE,FALSE), OR($H1406=2,$H1406=8, $H1406=10, $H1406=11))</formula>
    </cfRule>
  </conditionalFormatting>
  <conditionalFormatting sqref="K1404">
    <cfRule type="expression" dxfId="51" priority="52">
      <formula>AND(IF(COUNTIF($K1402, "BME*"),TRUE,FALSE), OR($H1404=2,$H1404=8, $H1404=10, $H1404=11))</formula>
    </cfRule>
  </conditionalFormatting>
  <conditionalFormatting sqref="K1432:K1434">
    <cfRule type="expression" dxfId="50" priority="51">
      <formula>AND(IF(COUNTIF($K1432, "BME*"),TRUE,FALSE), OR($H1432=2,$H1432=8, $H1432=10, $H1432=11))</formula>
    </cfRule>
  </conditionalFormatting>
  <conditionalFormatting sqref="K1425:K1430">
    <cfRule type="expression" dxfId="49" priority="50">
      <formula>AND(IF(COUNTIF($K1425, "BME*"),TRUE,FALSE), OR($H1425=2,$H1425=8, $H1425=10, $H1425=11))</formula>
    </cfRule>
  </conditionalFormatting>
  <conditionalFormatting sqref="K1431">
    <cfRule type="expression" dxfId="48" priority="49">
      <formula>AND(IF(COUNTIF($K1431, "BME*"),TRUE,FALSE), OR($H1431=2,$H1431=8, $H1431=10, $H1431=11))</formula>
    </cfRule>
  </conditionalFormatting>
  <conditionalFormatting sqref="K1424">
    <cfRule type="expression" dxfId="47" priority="47">
      <formula>AND(IF(COUNTIF($K1424, "BME*"),TRUE,FALSE), OR($H1423=2,$H1423=8, $H1423=10, $H1423=11))</formula>
    </cfRule>
  </conditionalFormatting>
  <conditionalFormatting sqref="K1423">
    <cfRule type="expression" dxfId="46" priority="48">
      <formula>AND(IF(COUNTIF($K1423, "BME*"),TRUE,FALSE), OR($H1424=2,$H1424=8, $H1424=10, $H1424=11))</formula>
    </cfRule>
  </conditionalFormatting>
  <conditionalFormatting sqref="K1422">
    <cfRule type="expression" dxfId="45" priority="46">
      <formula>AND(IF(COUNTIF($K1420, "BME*"),TRUE,FALSE), OR($H1422=2,$H1422=8, $H1422=10, $H1422=11))</formula>
    </cfRule>
  </conditionalFormatting>
  <conditionalFormatting sqref="K1476:K1485">
    <cfRule type="expression" dxfId="44" priority="45">
      <formula>AND(IF(COUNTIF($K1476, "BME*"),TRUE,FALSE), OR($H1476=2,$H1476=8, $H1476=10, $H1476=11))</formula>
    </cfRule>
  </conditionalFormatting>
  <conditionalFormatting sqref="K1486">
    <cfRule type="expression" dxfId="43" priority="44">
      <formula>AND(IF(COUNTIF($K1486, "BME*"),TRUE,FALSE), OR($H1486=2,$H1486=8, $H1486=10, $H1486=11))</formula>
    </cfRule>
  </conditionalFormatting>
  <conditionalFormatting sqref="K1440:K1442">
    <cfRule type="expression" dxfId="42" priority="43">
      <formula>AND(IF(COUNTIF($K1440, "BME*"),TRUE,FALSE), OR($H1440=2,$H1440=8, $H1440=10, $H1440=11))</formula>
    </cfRule>
  </conditionalFormatting>
  <conditionalFormatting sqref="K1443">
    <cfRule type="expression" dxfId="41" priority="42">
      <formula>AND(IF(COUNTIF($K1443, "BME*"),TRUE,FALSE), OR($H1443=2,$H1443=8, $H1443=10, $H1443=11))</formula>
    </cfRule>
  </conditionalFormatting>
  <conditionalFormatting sqref="K1444:K1475">
    <cfRule type="expression" dxfId="40" priority="41">
      <formula>AND(IF(COUNTIF($K1444, "BME*"),TRUE,FALSE), OR($H1444=2,$H1444=8, $H1444=10, $H1444=11))</formula>
    </cfRule>
  </conditionalFormatting>
  <conditionalFormatting sqref="K1488 K1502:K1504 K1506 K1520:K1522 K1524 K1538:K1540 K1542 K1556:K1558 K1560 K1574:K1576">
    <cfRule type="expression" dxfId="39" priority="40">
      <formula>AND(IF(COUNTIF($K1488, "BME*"),TRUE,FALSE), OR($H1488=2,$H1488=8, $H1488=10, $H1488=11))</formula>
    </cfRule>
  </conditionalFormatting>
  <conditionalFormatting sqref="K1499:K1501">
    <cfRule type="expression" dxfId="38" priority="39">
      <formula>AND(IF(COUNTIF($K1499, "BME*"),TRUE,FALSE), OR($H1499=2,$H1499=8, $H1499=10, $H1499=11))</formula>
    </cfRule>
  </conditionalFormatting>
  <conditionalFormatting sqref="K1492:K1497">
    <cfRule type="expression" dxfId="37" priority="38">
      <formula>AND(IF(COUNTIF($K1492, "BME*"),TRUE,FALSE), OR($H1492=2,$H1492=8, $H1492=10, $H1492=11))</formula>
    </cfRule>
  </conditionalFormatting>
  <conditionalFormatting sqref="K1498">
    <cfRule type="expression" dxfId="36" priority="37">
      <formula>AND(IF(COUNTIF($K1498, "BME*"),TRUE,FALSE), OR($H1498=2,$H1498=8, $H1498=10, $H1498=11))</formula>
    </cfRule>
  </conditionalFormatting>
  <conditionalFormatting sqref="K1491">
    <cfRule type="expression" dxfId="35" priority="35">
      <formula>AND(IF(COUNTIF($K1491, "BME*"),TRUE,FALSE), OR($H1490=2,$H1490=8, $H1490=10, $H1490=11))</formula>
    </cfRule>
  </conditionalFormatting>
  <conditionalFormatting sqref="K1490">
    <cfRule type="expression" dxfId="34" priority="36">
      <formula>AND(IF(COUNTIF($K1490, "BME*"),TRUE,FALSE), OR($H1491=2,$H1491=8, $H1491=10, $H1491=11))</formula>
    </cfRule>
  </conditionalFormatting>
  <conditionalFormatting sqref="K1489">
    <cfRule type="expression" dxfId="33" priority="34">
      <formula>AND(IF(COUNTIF($K1487, "BME*"),TRUE,FALSE), OR($H1489=2,$H1489=8, $H1489=10, $H1489=11))</formula>
    </cfRule>
  </conditionalFormatting>
  <conditionalFormatting sqref="K1517:K1519">
    <cfRule type="expression" dxfId="32" priority="33">
      <formula>AND(IF(COUNTIF($K1517, "BME*"),TRUE,FALSE), OR($H1517=2,$H1517=8, $H1517=10, $H1517=11))</formula>
    </cfRule>
  </conditionalFormatting>
  <conditionalFormatting sqref="K1510:K1515">
    <cfRule type="expression" dxfId="31" priority="32">
      <formula>AND(IF(COUNTIF($K1510, "BME*"),TRUE,FALSE), OR($H1510=2,$H1510=8, $H1510=10, $H1510=11))</formula>
    </cfRule>
  </conditionalFormatting>
  <conditionalFormatting sqref="K1516">
    <cfRule type="expression" dxfId="30" priority="31">
      <formula>AND(IF(COUNTIF($K1516, "BME*"),TRUE,FALSE), OR($H1516=2,$H1516=8, $H1516=10, $H1516=11))</formula>
    </cfRule>
  </conditionalFormatting>
  <conditionalFormatting sqref="K1509">
    <cfRule type="expression" dxfId="29" priority="29">
      <formula>AND(IF(COUNTIF($K1509, "BME*"),TRUE,FALSE), OR($H1508=2,$H1508=8, $H1508=10, $H1508=11))</formula>
    </cfRule>
  </conditionalFormatting>
  <conditionalFormatting sqref="K1508">
    <cfRule type="expression" dxfId="28" priority="30">
      <formula>AND(IF(COUNTIF($K1508, "BME*"),TRUE,FALSE), OR($H1509=2,$H1509=8, $H1509=10, $H1509=11))</formula>
    </cfRule>
  </conditionalFormatting>
  <conditionalFormatting sqref="K1507">
    <cfRule type="expression" dxfId="27" priority="28">
      <formula>AND(IF(COUNTIF($K1505, "BME*"),TRUE,FALSE), OR($H1507=2,$H1507=8, $H1507=10, $H1507=11))</formula>
    </cfRule>
  </conditionalFormatting>
  <conditionalFormatting sqref="K1535:K1537">
    <cfRule type="expression" dxfId="26" priority="27">
      <formula>AND(IF(COUNTIF($K1535, "BME*"),TRUE,FALSE), OR($H1535=2,$H1535=8, $H1535=10, $H1535=11))</formula>
    </cfRule>
  </conditionalFormatting>
  <conditionalFormatting sqref="K1528:K1533">
    <cfRule type="expression" dxfId="25" priority="26">
      <formula>AND(IF(COUNTIF($K1528, "BME*"),TRUE,FALSE), OR($H1528=2,$H1528=8, $H1528=10, $H1528=11))</formula>
    </cfRule>
  </conditionalFormatting>
  <conditionalFormatting sqref="K1534">
    <cfRule type="expression" dxfId="24" priority="25">
      <formula>AND(IF(COUNTIF($K1534, "BME*"),TRUE,FALSE), OR($H1534=2,$H1534=8, $H1534=10, $H1534=11))</formula>
    </cfRule>
  </conditionalFormatting>
  <conditionalFormatting sqref="K1527">
    <cfRule type="expression" dxfId="23" priority="23">
      <formula>AND(IF(COUNTIF($K1527, "BME*"),TRUE,FALSE), OR($H1526=2,$H1526=8, $H1526=10, $H1526=11))</formula>
    </cfRule>
  </conditionalFormatting>
  <conditionalFormatting sqref="K1526">
    <cfRule type="expression" dxfId="22" priority="24">
      <formula>AND(IF(COUNTIF($K1526, "BME*"),TRUE,FALSE), OR($H1527=2,$H1527=8, $H1527=10, $H1527=11))</formula>
    </cfRule>
  </conditionalFormatting>
  <conditionalFormatting sqref="K1525">
    <cfRule type="expression" dxfId="21" priority="22">
      <formula>AND(IF(COUNTIF($K1523, "BME*"),TRUE,FALSE), OR($H1525=2,$H1525=8, $H1525=10, $H1525=11))</formula>
    </cfRule>
  </conditionalFormatting>
  <conditionalFormatting sqref="K1553:K1555">
    <cfRule type="expression" dxfId="20" priority="21">
      <formula>AND(IF(COUNTIF($K1553, "BME*"),TRUE,FALSE), OR($H1553=2,$H1553=8, $H1553=10, $H1553=11))</formula>
    </cfRule>
  </conditionalFormatting>
  <conditionalFormatting sqref="K1546:K1551">
    <cfRule type="expression" dxfId="19" priority="20">
      <formula>AND(IF(COUNTIF($K1546, "BME*"),TRUE,FALSE), OR($H1546=2,$H1546=8, $H1546=10, $H1546=11))</formula>
    </cfRule>
  </conditionalFormatting>
  <conditionalFormatting sqref="K1552">
    <cfRule type="expression" dxfId="18" priority="19">
      <formula>AND(IF(COUNTIF($K1552, "BME*"),TRUE,FALSE), OR($H1552=2,$H1552=8, $H1552=10, $H1552=11))</formula>
    </cfRule>
  </conditionalFormatting>
  <conditionalFormatting sqref="K1545">
    <cfRule type="expression" dxfId="17" priority="17">
      <formula>AND(IF(COUNTIF($K1545, "BME*"),TRUE,FALSE), OR($H1544=2,$H1544=8, $H1544=10, $H1544=11))</formula>
    </cfRule>
  </conditionalFormatting>
  <conditionalFormatting sqref="K1544">
    <cfRule type="expression" dxfId="16" priority="18">
      <formula>AND(IF(COUNTIF($K1544, "BME*"),TRUE,FALSE), OR($H1545=2,$H1545=8, $H1545=10, $H1545=11))</formula>
    </cfRule>
  </conditionalFormatting>
  <conditionalFormatting sqref="K1543">
    <cfRule type="expression" dxfId="15" priority="16">
      <formula>AND(IF(COUNTIF($K1541, "BME*"),TRUE,FALSE), OR($H1543=2,$H1543=8, $H1543=10, $H1543=11))</formula>
    </cfRule>
  </conditionalFormatting>
  <conditionalFormatting sqref="K1571:K1573">
    <cfRule type="expression" dxfId="14" priority="15">
      <formula>AND(IF(COUNTIF($K1571, "BME*"),TRUE,FALSE), OR($H1571=2,$H1571=8, $H1571=10, $H1571=11))</formula>
    </cfRule>
  </conditionalFormatting>
  <conditionalFormatting sqref="K1564:K1569">
    <cfRule type="expression" dxfId="13" priority="14">
      <formula>AND(IF(COUNTIF($K1564, "BME*"),TRUE,FALSE), OR($H1564=2,$H1564=8, $H1564=10, $H1564=11))</formula>
    </cfRule>
  </conditionalFormatting>
  <conditionalFormatting sqref="K1570">
    <cfRule type="expression" dxfId="12" priority="13">
      <formula>AND(IF(COUNTIF($K1570, "BME*"),TRUE,FALSE), OR($H1570=2,$H1570=8, $H1570=10, $H1570=11))</formula>
    </cfRule>
  </conditionalFormatting>
  <conditionalFormatting sqref="K1563">
    <cfRule type="expression" dxfId="11" priority="11">
      <formula>AND(IF(COUNTIF($K1563, "BME*"),TRUE,FALSE), OR($H1562=2,$H1562=8, $H1562=10, $H1562=11))</formula>
    </cfRule>
  </conditionalFormatting>
  <conditionalFormatting sqref="K1562">
    <cfRule type="expression" dxfId="10" priority="12">
      <formula>AND(IF(COUNTIF($K1562, "BME*"),TRUE,FALSE), OR($H1563=2,$H1563=8, $H1563=10, $H1563=11))</formula>
    </cfRule>
  </conditionalFormatting>
  <conditionalFormatting sqref="K1561">
    <cfRule type="expression" dxfId="9" priority="10">
      <formula>AND(IF(COUNTIF($K1559, "BME*"),TRUE,FALSE), OR($H1561=2,$H1561=8, $H1561=10, $H1561=11))</formula>
    </cfRule>
  </conditionalFormatting>
  <conditionalFormatting sqref="K1582:K1605">
    <cfRule type="expression" dxfId="8" priority="8">
      <formula>AND(IF(COUNTIF($K1582, "BME*"),TRUE,FALSE), OR($H1582=2,$H1582=8, $H1582=10, $H1582=11))</formula>
    </cfRule>
  </conditionalFormatting>
  <conditionalFormatting sqref="K1606">
    <cfRule type="expression" dxfId="7" priority="7">
      <formula>AND(IF(COUNTIF($K1606, "BME*"),TRUE,FALSE), OR($H1606=2,$H1606=8, $H1606=10, $H1606=11))</formula>
    </cfRule>
  </conditionalFormatting>
  <conditionalFormatting sqref="K1581">
    <cfRule type="expression" dxfId="6" priority="6">
      <formula>AND(IF(COUNTIF($K1581, "BME*"),TRUE,FALSE), OR($H1580=2,$H1580=8, $H1580=10, $H1580=11))</formula>
    </cfRule>
  </conditionalFormatting>
  <conditionalFormatting sqref="K1580">
    <cfRule type="expression" dxfId="5" priority="9">
      <formula>AND(IF(COUNTIF($K1580, "BME*"),TRUE,FALSE), OR($H1581=2,$H1581=8, $H1581=10, $H1581=11))</formula>
    </cfRule>
  </conditionalFormatting>
  <conditionalFormatting sqref="K1579">
    <cfRule type="expression" dxfId="4" priority="5">
      <formula>AND(IF(COUNTIF($K1577, "BME*"),TRUE,FALSE), OR($H1579=2,$H1579=8, $H1579=10, $H1579=11))</formula>
    </cfRule>
  </conditionalFormatting>
  <conditionalFormatting sqref="K1694">
    <cfRule type="expression" dxfId="3" priority="4">
      <formula>AND(IF(COUNTIF($K1694, "BME*"),TRUE,FALSE), OR($H1694=2,$H1694=8, $H1694=10, $H1694=11))</formula>
    </cfRule>
  </conditionalFormatting>
  <conditionalFormatting sqref="K1613">
    <cfRule type="expression" dxfId="2" priority="3">
      <formula>AND(IF(COUNTIF($K1613, "BME*"),TRUE,FALSE), OR($H1613=2,$H1613=8, $H1613=10, $H1613=11))</formula>
    </cfRule>
  </conditionalFormatting>
  <conditionalFormatting sqref="K1608">
    <cfRule type="expression" dxfId="1" priority="2">
      <formula>AND(IF(COUNTIF($K1608, "BME*"),TRUE,FALSE), OR($H1608=2,$H1608=8, $H1608=10, $H1608=11))</formula>
    </cfRule>
  </conditionalFormatting>
  <conditionalFormatting sqref="K1710:K1721">
    <cfRule type="expression" dxfId="0" priority="1">
      <formula>AND(IF(COUNTIF($K1710, "BME*"),TRUE,FALSE), OR($H1710=2,$H1710=8, $H1710=10, $H1710=11))</formula>
    </cfRule>
  </conditionalFormatting>
  <printOptions gridLines="1"/>
  <pageMargins left="0.23622047244094491" right="0.23622047244094491" top="0.74803149606299213" bottom="0.74803149606299213" header="0.31496062992125984" footer="0.31496062992125984"/>
  <pageSetup paperSize="8" scale="82" fitToHeight="0" orientation="landscape" r:id="rId1"/>
  <headerFooter alignWithMargins="0">
    <oddHeader>&amp;C&amp;F</oddHeader>
    <oddFooter>&amp;R&amp;D&amp;C&amp;"Calibri"&amp;11&amp;K000000&amp;Z&amp;F_x000D_&amp;1#&amp;"Calibri"&amp;10&amp;KFFFFFFRioTintoNonBusiness</oddFooter>
  </headerFooter>
  <legacyDrawing r:id="rId2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IO Assignment</vt:lpstr>
      <vt:lpstr>Field IO Assignment</vt:lpstr>
      <vt:lpstr>'Field IO Assignment'!Print_Area</vt:lpstr>
      <vt:lpstr>'Sub IO Assignment'!Print_Titles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Sleight, Timothy (RTIO-WORLEYPARSONS)</dc:creator>
  <cp:lastModifiedBy>Sleight, Timothy (RTIO-WORLEYPARSONS)</cp:lastModifiedBy>
  <dcterms:created xsi:type="dcterms:W3CDTF">2015-06-05T18:17:20Z</dcterms:created>
  <dcterms:modified xsi:type="dcterms:W3CDTF">2026-09-07T23:52:10Z</dcterms:modified>
</cp:coreProperties>
</file>